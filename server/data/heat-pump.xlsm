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16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19230" yWindow="-15870" windowWidth="25440" windowHeight="15270"/>
  </bookViews>
  <sheets>
    <sheet sheetId="1" name="Summary" state="visible" r:id="rId4"/>
    <sheet sheetId="17" name="Home Size Selector" state="visible" r:id="rId5"/>
    <sheet sheetId="18" name="Heat Pump Selector" state="visible" r:id="rId6"/>
    <sheet sheetId="2" name="Calc Worksheet" state="visible" r:id="rId7"/>
    <sheet sheetId="3" name="Calc Table" state="visible" r:id="rId8"/>
    <sheet sheetId="12" name="Payback Worksheet" state="visible" r:id="rId9"/>
    <sheet sheetId="16" name="Financing" state="visible" r:id="rId10"/>
    <sheet sheetId="6" name="Cost sensitivity" state="visible" r:id="rId11"/>
    <sheet sheetId="8" name="Emissions sensitivity" state="visible" r:id="rId12"/>
    <sheet sheetId="4" name="Conversion Factors" state="visible" r:id="rId13"/>
    <sheet sheetId="5" name="User Inputs" state="visible" r:id="rId14"/>
  </sheets>
  <definedNames>
    <definedName name="_2600">'Home Size Selector'!$B$4</definedName>
    <definedName name="Dwelling_Size">'Home Size Selector'!$D$6:$D$7</definedName>
    <definedName name="Single_Family_Home">'Home Size Selector'!$B$2:$B$5</definedName>
    <definedName name="solver_adj">'Cost sensitivity'!$C$83</definedName>
    <definedName name="solver_lhs1">'Calc Worksheet'!$C$12</definedName>
    <definedName name="solver_opt">'Cost sensitivity'!$F$83</definedName>
    <definedName name="solver_rhs1">'Calc Worksheet'!$C$11</definedName>
    <definedName name="Townhome_Rowhome">'Home Size Selector'!$C$2:$C$5</definedName>
  </definedNames>
  <calcPr calcId="171027"/>
</workbook>
</file>

<file path=xl/comments5.xml><?xml version="1.0" encoding="utf-8"?>
<comments xmlns="http://schemas.openxmlformats.org/spreadsheetml/2006/main">
  <authors>
    <author>Author</author>
  </authors>
  <commentList>
    <comment ref="B16" authorId="0">
      <text/>
    </comment>
  </commentList>
</comments>
</file>

<file path=xl/sharedStrings.xml><?xml version="1.0" encoding="utf-8"?>
<sst xmlns="http://schemas.openxmlformats.org/spreadsheetml/2006/main" count="497" uniqueCount="347">
  <si>
    <t>Dwelling_Size (ft2)</t>
  </si>
  <si>
    <t>Heating Demand (GJ/year)</t>
  </si>
  <si>
    <t>Cooling Demand (GJ/m2)</t>
  </si>
  <si>
    <t>User Inputs</t>
  </si>
  <si>
    <t>Advanced User Inputs</t>
  </si>
  <si>
    <t>Input #1 - Year house was built (dropdown)</t>
  </si>
  <si>
    <t>1982-1990</t>
  </si>
  <si>
    <t>What are the estimated project costs?</t>
  </si>
  <si>
    <t>*All of these values are pulled into the financial model for the tool, see Calc Worksheet, Payback worksheet, Cost Sensitivity etc</t>
  </si>
  <si>
    <t>Input #2a - Size of Home (drop down)</t>
  </si>
  <si>
    <t>High Efficiency Furnace (HEF) Upgrade Estimate</t>
  </si>
  <si>
    <t>Input #2b - Size of Home (manual)</t>
  </si>
  <si>
    <t>Heat Pump + HEF Install Estimate</t>
  </si>
  <si>
    <t>Input #3 - Existing Furnace Efficiency</t>
  </si>
  <si>
    <t>Solar PV Install Estimate</t>
  </si>
  <si>
    <t>Which incentive/financing programs will you be applying to your projects?</t>
  </si>
  <si>
    <t>Canada Greener Homes Grant?</t>
  </si>
  <si>
    <t>Energy Use (GJ) per m2 by Age of Property (from Energuide data)</t>
  </si>
  <si>
    <t>City of Calgary Clean Energy Improvement Program</t>
  </si>
  <si>
    <t>&lt;1949</t>
  </si>
  <si>
    <t>CEIP Interest Rate</t>
  </si>
  <si>
    <t>1950-1959</t>
  </si>
  <si>
    <t>Result</t>
  </si>
  <si>
    <t>Annual Lump Sum Payments</t>
  </si>
  <si>
    <t>1960-1981</t>
  </si>
  <si>
    <t>Space Heating Demand (GJ/year)</t>
  </si>
  <si>
    <t>Cooling Demand (GJ/year)</t>
  </si>
  <si>
    <t>Furnace Efficiency</t>
  </si>
  <si>
    <t>Solar Generation Potential (kWh)</t>
  </si>
  <si>
    <t>1991-1997</t>
  </si>
  <si>
    <t>* these values all get pulled to the "Calc Worksheet"</t>
  </si>
  <si>
    <t>*waiting on Lewis to finalize this calculation. Need to calc ft2 x average solar potential (i.e kWh/ft2)</t>
  </si>
  <si>
    <t>1998-2006</t>
  </si>
  <si>
    <t>**what is the roof area to total floor area of a home, generally?</t>
  </si>
  <si>
    <t>2007-2014</t>
  </si>
  <si>
    <t>2015-present</t>
  </si>
  <si>
    <t>Furnace Efficiency Selection</t>
  </si>
  <si>
    <t>I don't know</t>
  </si>
  <si>
    <t>Different sources</t>
  </si>
  <si>
    <r>
      <t xml:space="preserve">*the information below is for </t>
    </r>
    <r>
      <rPr>
        <b/>
        <color rgb="FF000000"/>
        <family val="2"/>
        <scheme val="minor"/>
        <sz val="10"/>
        <rFont val="Arial"/>
      </rPr>
      <t>reference only</t>
    </r>
    <r>
      <rPr>
        <color rgb="FF000000"/>
        <family val="2"/>
        <scheme val="minor"/>
        <sz val="10"/>
        <rFont val="Arial"/>
      </rPr>
      <t xml:space="preserve">. It shows why we selected EnerGuide data for the above calculations over LCE data. </t>
    </r>
  </si>
  <si>
    <t>1.) LCE Model</t>
  </si>
  <si>
    <t>Annual Nat Gas</t>
  </si>
  <si>
    <t xml:space="preserve">Single Family </t>
  </si>
  <si>
    <t xml:space="preserve">Townhome </t>
  </si>
  <si>
    <t>GJ</t>
  </si>
  <si>
    <t>*total nat gas so includes DHW, based on reference homes of 2,246 sq.ft for sf and 1713 sq.ft for townhome</t>
  </si>
  <si>
    <t>GJ/ft2</t>
  </si>
  <si>
    <t>2.) Energuide evaluations</t>
  </si>
  <si>
    <t>Code year</t>
  </si>
  <si>
    <t>Natural gas consumption (gj/m2)</t>
  </si>
  <si>
    <t>Unit count</t>
  </si>
  <si>
    <t>*data not seperated between single and town as no difference in performance found in data</t>
  </si>
  <si>
    <t>Weighted average (gj/m2)</t>
  </si>
  <si>
    <t>Weighted average (gj/ft2)</t>
  </si>
  <si>
    <t>% of NG use heating demand</t>
  </si>
  <si>
    <t>*this value taken from energuide data assumes DHW only other NG draw, also broadly in line with this resource: https://natural-resources.canada.ca/energy-efficiency/products/appliances-for-residential-use/13630</t>
  </si>
  <si>
    <t>Cooling load % of heating load</t>
  </si>
  <si>
    <t xml:space="preserve">Taken from Calc Table tab -  column L </t>
  </si>
  <si>
    <t>Updated tables (based on values above)</t>
  </si>
  <si>
    <t>1.) LCE Data</t>
  </si>
  <si>
    <t>Dwelling Type</t>
  </si>
  <si>
    <t>Size SQFT</t>
  </si>
  <si>
    <t>Heating Demand (GJ)</t>
  </si>
  <si>
    <t>Cooling Demand (GJ)</t>
  </si>
  <si>
    <t>Single_Family_Home</t>
  </si>
  <si>
    <t>Townhome_Rowhome</t>
  </si>
  <si>
    <t>2.) Energuide Data</t>
  </si>
  <si>
    <t>FOR COOLING TO HEAT RATIO</t>
  </si>
  <si>
    <t>EGHSPACEENERGY</t>
  </si>
  <si>
    <t>ERSSPACECOOLENERGY</t>
  </si>
  <si>
    <t>Source: 3500 Energuide for homes records for Calgary that have air conditioners provided by NRCAN</t>
  </si>
  <si>
    <t>Product Type</t>
  </si>
  <si>
    <t>Central Air Conditioning Heat Pump</t>
  </si>
  <si>
    <t>ENERGY STAR V6.1 Cold Climate</t>
  </si>
  <si>
    <t>Ducting Configuration</t>
  </si>
  <si>
    <t xml:space="preserve">Singlezone, Centrally Ducted </t>
  </si>
  <si>
    <t>Unit #1</t>
  </si>
  <si>
    <t>Unit #2</t>
  </si>
  <si>
    <t>AHRI Cert #</t>
  </si>
  <si>
    <t>Outdoor Model</t>
  </si>
  <si>
    <t>Indoor Model</t>
  </si>
  <si>
    <t>Furnace Model</t>
  </si>
  <si>
    <t>Outdoor Temp</t>
  </si>
  <si>
    <t>Min</t>
  </si>
  <si>
    <t>Max</t>
  </si>
  <si>
    <t>SL25XPV-024-230A</t>
  </si>
  <si>
    <t>CHX35-42C-**-*+TDR</t>
  </si>
  <si>
    <t>EL297UH110XV48C</t>
  </si>
  <si>
    <t>SL25XPV-048-230A</t>
  </si>
  <si>
    <t>CHX35-60D-**-*+TDR</t>
  </si>
  <si>
    <t>EL297UH135XV60D</t>
  </si>
  <si>
    <t>Unit</t>
  </si>
  <si>
    <t>Temp (°C)</t>
  </si>
  <si>
    <t>Heating/cooling stage</t>
  </si>
  <si>
    <t>Min Btu/hr</t>
  </si>
  <si>
    <t>Max Btu/hr</t>
  </si>
  <si>
    <t>Min kW</t>
  </si>
  <si>
    <t>Max kW</t>
  </si>
  <si>
    <t>Min COP</t>
  </si>
  <si>
    <t>Max COP</t>
  </si>
  <si>
    <t>Unit 1</t>
  </si>
  <si>
    <t>Unit 2</t>
  </si>
  <si>
    <t>Cooling</t>
  </si>
  <si>
    <t>95℉</t>
  </si>
  <si>
    <t>80℉</t>
  </si>
  <si>
    <t>Btu/h</t>
  </si>
  <si>
    <t>kW</t>
  </si>
  <si>
    <t>COP</t>
  </si>
  <si>
    <t>82℉</t>
  </si>
  <si>
    <t>-</t>
  </si>
  <si>
    <t>Heating</t>
  </si>
  <si>
    <t>47℉</t>
  </si>
  <si>
    <t>70℉</t>
  </si>
  <si>
    <t>17℉</t>
  </si>
  <si>
    <t>5℉</t>
  </si>
  <si>
    <t>-15℉</t>
  </si>
  <si>
    <t>Heating parameters</t>
  </si>
  <si>
    <t>Design Temp (C)</t>
  </si>
  <si>
    <t>Heating/cooling Design Load (btu/h)</t>
  </si>
  <si>
    <t>(99% heating hours &gt; temperature)</t>
  </si>
  <si>
    <t xml:space="preserve">Heating needed to keep home, at design temperature, at an internal temperature of 70F (21C) </t>
  </si>
  <si>
    <t>(99% cooling hours &gt; temperature)</t>
  </si>
  <si>
    <t>Cooling needed to keep home, at design temperature, at an internal temperature of 80F (26C)</t>
  </si>
  <si>
    <t>Base case - Nat Gas furnace</t>
  </si>
  <si>
    <t>GJ of natural gas used for annual heating</t>
  </si>
  <si>
    <t>BTUs of natural gas annual heating demand</t>
  </si>
  <si>
    <t>BTUs</t>
  </si>
  <si>
    <t>Calculated by Goal Seek</t>
  </si>
  <si>
    <t>if &lt; D3 OR &gt; D4=0 else current equation for column L in Calc table</t>
  </si>
  <si>
    <t>kg CO2e</t>
  </si>
  <si>
    <t>Base case - Electric Air Conditioner</t>
  </si>
  <si>
    <t>GJs of electricity used for annual cooling</t>
  </si>
  <si>
    <t>BTUs of electricity used for annual cooling</t>
  </si>
  <si>
    <t>Base Case - Total emissions</t>
  </si>
  <si>
    <t>Heat Pump case</t>
  </si>
  <si>
    <t>Data sourced from NEEP Cold Climate Air Source Heat Pump List: https://ashp.neep.org/#!/</t>
  </si>
  <si>
    <t>min Btu/hr</t>
  </si>
  <si>
    <t>max Btu/hr</t>
  </si>
  <si>
    <t>Rated Btu/hr</t>
  </si>
  <si>
    <t>rated Btu/hr</t>
  </si>
  <si>
    <t>min/°C</t>
  </si>
  <si>
    <t>max/°C</t>
  </si>
  <si>
    <t>Rated kW</t>
  </si>
  <si>
    <t>rated/°C</t>
  </si>
  <si>
    <t>Rated COP</t>
  </si>
  <si>
    <t>Design Temp</t>
  </si>
  <si>
    <t>More stages - insert cells above this line</t>
  </si>
  <si>
    <t>Annual Heating Hours</t>
  </si>
  <si>
    <t>Number of hours below High Temp Off Setpoint</t>
  </si>
  <si>
    <t>Annual Cooling Hours</t>
  </si>
  <si>
    <t>Heating Average BTU/hr</t>
  </si>
  <si>
    <t>Cooling Average BTU/hr</t>
  </si>
  <si>
    <t>Minimum Capacity Threshold</t>
  </si>
  <si>
    <t>Temperature where heating load is less than minimum capacity</t>
  </si>
  <si>
    <t>Maximum Capacity at Design Temp</t>
  </si>
  <si>
    <t>btu/hr</t>
  </si>
  <si>
    <t>Percent Design load served</t>
  </si>
  <si>
    <t>Annual Cooling Load</t>
  </si>
  <si>
    <t>Annual Heating Load</t>
  </si>
  <si>
    <t>Annual Cooling Load Served w HP</t>
  </si>
  <si>
    <t>Annual Heating Load Served w HP</t>
  </si>
  <si>
    <t>% Annual Cooling Load Served w HP</t>
  </si>
  <si>
    <t>% Annual Heating Load Served w HP</t>
  </si>
  <si>
    <t>Annual BTUs covered by supplemental cooling</t>
  </si>
  <si>
    <t>Annual BTUs covered by supplemental heat</t>
  </si>
  <si>
    <t>Hours supplemental cooling</t>
  </si>
  <si>
    <t>Hours supplemental heat</t>
  </si>
  <si>
    <t>pecent supplemental cooling</t>
  </si>
  <si>
    <t>pecent supplemental heat</t>
  </si>
  <si>
    <t>hours load modulating</t>
  </si>
  <si>
    <t>percent annual load modulating</t>
  </si>
  <si>
    <t>hours low-load cycling</t>
  </si>
  <si>
    <t>percent annual load with low-load cycling</t>
  </si>
  <si>
    <t>High Efficiency Furnace Upgade</t>
  </si>
  <si>
    <t>Annual GJ</t>
  </si>
  <si>
    <t>Project Name</t>
  </si>
  <si>
    <t>Estimated Project Cost</t>
  </si>
  <si>
    <t>Annual Estimated Cost Savings</t>
  </si>
  <si>
    <t>Annual Estimated GHG Emissions Savings</t>
  </si>
  <si>
    <t>Simple Payback Period</t>
  </si>
  <si>
    <t>$/kgCO2e saved</t>
  </si>
  <si>
    <t>Blended Gas rate ($/GJ)</t>
  </si>
  <si>
    <t>Annual HF Furnace GHGs (kg CO2e)</t>
  </si>
  <si>
    <t>Furnace Installation</t>
  </si>
  <si>
    <t>Blended electricity rate ($/kWh)</t>
  </si>
  <si>
    <t>Annual Energy Saved (GJ)</t>
  </si>
  <si>
    <t>Old Heating Costs</t>
  </si>
  <si>
    <t>*confirm these values with Lewis for 2024</t>
  </si>
  <si>
    <t>Annual GHGs Saved (kg CO2e)</t>
  </si>
  <si>
    <t>Old Cooling Costs</t>
  </si>
  <si>
    <t>New Heating Costs</t>
  </si>
  <si>
    <t>Heat Pump + HEF + Solar (w/ Incentives)</t>
  </si>
  <si>
    <t>Cost Savings</t>
  </si>
  <si>
    <t>Payback Period</t>
  </si>
  <si>
    <t>Heat Pump + HEF</t>
  </si>
  <si>
    <t>Annual kWh</t>
  </si>
  <si>
    <t>Annual Heat Pump Energy Use (GJ)</t>
  </si>
  <si>
    <t>Heat Pump Installation</t>
  </si>
  <si>
    <t>Annual Heat Pump GHGs (kg CO2e)</t>
  </si>
  <si>
    <t>Annual Supplemental Heat Energy Use (GJ)</t>
  </si>
  <si>
    <t>Annual Supplemental Heat GHGs (kg CO2e)</t>
  </si>
  <si>
    <t>Total Heating/Cooling Energy Use (GJ)</t>
  </si>
  <si>
    <t>Total GHGs (kg CO2e)</t>
  </si>
  <si>
    <t>Energy Use Saved (GJ)</t>
  </si>
  <si>
    <t>GHGs Saved (kg CO2e)</t>
  </si>
  <si>
    <t>Heat Pump + HEF + Solar PV</t>
  </si>
  <si>
    <t>Annual Solar PV Energy Generation (GJ)</t>
  </si>
  <si>
    <t>Solar PV Installation</t>
  </si>
  <si>
    <t>Net Energy Use/Generation (GJ)</t>
  </si>
  <si>
    <t>Net GHGs (kg CO2e)</t>
  </si>
  <si>
    <t>New Heating and Cooling Costs</t>
  </si>
  <si>
    <t>*solar PV cost savings are calculated at a 65% return on blended electricity rate, some fees non-recoverable</t>
  </si>
  <si>
    <t>Energy Saved (GJ)</t>
  </si>
  <si>
    <t>Column1</t>
  </si>
  <si>
    <t>Maximum Capacity Threshold</t>
  </si>
  <si>
    <t>kWh</t>
  </si>
  <si>
    <t>Modulating Hours</t>
  </si>
  <si>
    <t>Low-Load Hours</t>
  </si>
  <si>
    <t>Modulating + Low Load Hours</t>
  </si>
  <si>
    <t>Temperature</t>
  </si>
  <si>
    <t>Heating stage</t>
  </si>
  <si>
    <t>Hours</t>
  </si>
  <si>
    <t xml:space="preserve"> Load Line (btu/hr)</t>
  </si>
  <si>
    <t>Annual Heating/Cooling Load (btu/year)</t>
  </si>
  <si>
    <t>Heating/Cooling Min Capacity</t>
  </si>
  <si>
    <t>Heating/Cooling Max Capacity</t>
  </si>
  <si>
    <t>Heating/Cooling Rated Capacity</t>
  </si>
  <si>
    <t>min kW</t>
  </si>
  <si>
    <t>max kW</t>
  </si>
  <si>
    <t>Year</t>
  </si>
  <si>
    <t>Month</t>
  </si>
  <si>
    <t>Day</t>
  </si>
  <si>
    <t>Time (LST)</t>
  </si>
  <si>
    <t>Capital Investment</t>
  </si>
  <si>
    <t>Annual Savings</t>
  </si>
  <si>
    <t>Amount Remaining</t>
  </si>
  <si>
    <t>Prinicple Remaining</t>
  </si>
  <si>
    <t>Greener Homes Grant Incentive Applied</t>
  </si>
  <si>
    <t>Greener Homes Incentive Applied to Heat Pump</t>
  </si>
  <si>
    <t>New HEF Payback</t>
  </si>
  <si>
    <t>Project Cost</t>
  </si>
  <si>
    <t xml:space="preserve">CEIP Incentive Applied to Solar PV </t>
  </si>
  <si>
    <t>CEIP Finance Rate Applied to Solar PV</t>
  </si>
  <si>
    <t>Heat Pump + HEF Payback**</t>
  </si>
  <si>
    <t>Solar PV Project Payback**</t>
  </si>
  <si>
    <t>Financing Costs</t>
  </si>
  <si>
    <t>CEIP Repayment Amount</t>
  </si>
  <si>
    <t>Lump Sum Payment</t>
  </si>
  <si>
    <t>Annual Cost Savings*</t>
  </si>
  <si>
    <t>*end of life heat pump</t>
  </si>
  <si>
    <t>*end of life solar PV for ceip financing term</t>
  </si>
  <si>
    <t>*considers annual 2% blended electricity/natural gas rate inflation (conservative)</t>
  </si>
  <si>
    <t>No point in running this calculation</t>
  </si>
  <si>
    <t>*considers annual 2% blended electricity rate inflation (conservative)</t>
  </si>
  <si>
    <t>** assumes reinvestment of cost savings across both projects equally</t>
  </si>
  <si>
    <t>*considers annual 2% blended natural gas rate inflation (conservative)</t>
  </si>
  <si>
    <t>Interest Payments</t>
  </si>
  <si>
    <t>Added Property Tax</t>
  </si>
  <si>
    <t>CEIP Lump Sum Payments</t>
  </si>
  <si>
    <t>Cash Flow</t>
  </si>
  <si>
    <t>Electricity Price Sensitivity Analysis</t>
  </si>
  <si>
    <t xml:space="preserve">Old heating costs </t>
  </si>
  <si>
    <t>Old cooling costs</t>
  </si>
  <si>
    <t>Old total</t>
  </si>
  <si>
    <t>New energy demand by HP (GJ)</t>
  </si>
  <si>
    <t>New heating demand by auxillary (GJ)</t>
  </si>
  <si>
    <t>Blended rate natural gas ($/GJ)</t>
  </si>
  <si>
    <t>Blended rate electricity ($/kWh)</t>
  </si>
  <si>
    <t>New cost</t>
  </si>
  <si>
    <t>Delta</t>
  </si>
  <si>
    <t xml:space="preserve">Electricity cost cross over </t>
  </si>
  <si>
    <t>$/kWh</t>
  </si>
  <si>
    <t>*At this price the heat pump option is more expensive than old heating and cooling system</t>
  </si>
  <si>
    <t>Electricity Emissions Factor Sensitivity Analysis</t>
  </si>
  <si>
    <t>Old heating emissions (kgCO2)</t>
  </si>
  <si>
    <t>Old cooling emissions (kgCO2)</t>
  </si>
  <si>
    <t>Old total emissions (kgCO2)</t>
  </si>
  <si>
    <t>Electricity emissions factor (kgCO2/kWh)</t>
  </si>
  <si>
    <t>Old total (kg/CO2)</t>
  </si>
  <si>
    <t>New total (kg/CO2)</t>
  </si>
  <si>
    <t>Delta (kg/CO2)</t>
  </si>
  <si>
    <t xml:space="preserve">Electricity emissions factor cross over </t>
  </si>
  <si>
    <t>kgCO2/kWh</t>
  </si>
  <si>
    <t>*Below this emission factor the heat pump option has fewer emissions than old heating and cooling system</t>
  </si>
  <si>
    <t>Emission Factors</t>
  </si>
  <si>
    <t>Energy</t>
  </si>
  <si>
    <t>Electricity Emission Factor (Alberta)</t>
  </si>
  <si>
    <t>g CO2e/kWh</t>
  </si>
  <si>
    <t>1 btu =</t>
  </si>
  <si>
    <t>1 GJ =</t>
  </si>
  <si>
    <t>1 kWh =</t>
  </si>
  <si>
    <t>g CO2e/GJ</t>
  </si>
  <si>
    <t>kg CO2/GJ</t>
  </si>
  <si>
    <t>Size</t>
  </si>
  <si>
    <t>ft2</t>
  </si>
  <si>
    <t>equals</t>
  </si>
  <si>
    <t>m2</t>
  </si>
  <si>
    <t>En81-4-2020-3-eng.pdf (publications.gc.ca)</t>
  </si>
  <si>
    <t>Table A13–10 E</t>
  </si>
  <si>
    <t>Natural Gas Emission Factor</t>
  </si>
  <si>
    <t>GWP</t>
  </si>
  <si>
    <t>g CO2/m3</t>
  </si>
  <si>
    <t>g CH4/m3</t>
  </si>
  <si>
    <t>g N20/m3</t>
  </si>
  <si>
    <t>g CO2e/m3</t>
  </si>
  <si>
    <t xml:space="preserve">1 m3 NG = </t>
  </si>
  <si>
    <t>kg CO2e/GJ</t>
  </si>
  <si>
    <t>En81-4-2020-2-eng.pdf (publications.gc.ca)</t>
  </si>
  <si>
    <t>Table A6.1-1</t>
  </si>
  <si>
    <t>Table A6.1–3</t>
  </si>
  <si>
    <t>Natural Gas: A Primer (nrcan.gc.ca)</t>
  </si>
  <si>
    <t>m3 to GJ Conversion</t>
  </si>
  <si>
    <t>Total Natural Gas Bill ($)</t>
  </si>
  <si>
    <t>Natural Gas Consumption (GJ)</t>
  </si>
  <si>
    <t>DHW Natural Gas Consumption (GJ)</t>
  </si>
  <si>
    <t>Heating Natural Gas Consumption (GJ)</t>
  </si>
  <si>
    <t>Heating Natural Gas Consumption (BTU)</t>
  </si>
  <si>
    <t>Blended Rate ($/GJ)</t>
  </si>
  <si>
    <t xml:space="preserve">Jan </t>
  </si>
  <si>
    <t>Furnace Efficiency Rating</t>
  </si>
  <si>
    <t>Feb</t>
  </si>
  <si>
    <t>What outdoor temperature do you turn the heating system off?</t>
  </si>
  <si>
    <t>degrees Celcius</t>
  </si>
  <si>
    <t>Mar</t>
  </si>
  <si>
    <t>What outdoor temperature do you turn the air conditioning on?</t>
  </si>
  <si>
    <t>Apr</t>
  </si>
  <si>
    <t>May</t>
  </si>
  <si>
    <t>Residential Solar Calculator Output</t>
  </si>
  <si>
    <t>kWh/year</t>
  </si>
  <si>
    <t>Jun</t>
  </si>
  <si>
    <t>Jul</t>
  </si>
  <si>
    <t>Aug</t>
  </si>
  <si>
    <t>High Efficiency Furnace Upgrade Estimate</t>
  </si>
  <si>
    <t>Sep</t>
  </si>
  <si>
    <t>Heat Pump + Furnace Install Estimate</t>
  </si>
  <si>
    <t>Oct</t>
  </si>
  <si>
    <t>Nov</t>
  </si>
  <si>
    <t>Dec</t>
  </si>
  <si>
    <t>Total</t>
  </si>
  <si>
    <t>Total Electricity Bill</t>
  </si>
  <si>
    <t>Electricity Consumption (kWh)</t>
  </si>
  <si>
    <t>Air Conditioner Runtime Hours</t>
  </si>
  <si>
    <t>Electricity Consumption (GJ)</t>
  </si>
  <si>
    <t>Blended Rate ($/kWh)</t>
  </si>
  <si>
    <t>Air Conditioner Rating</t>
  </si>
  <si>
    <t>Amps</t>
  </si>
  <si>
    <t>Volts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</si>
</sst>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(* #,##0_);_(* (#,##0);_(* &quot;-&quot;??_);_(@_)"/>
    <numFmt numFmtId="165" formatCode="0.0"/>
    <numFmt numFmtId="166" formatCode="_(&quot;$&quot;* #,##0_);_(&quot;$&quot;* (#,##0);_(&quot;$&quot;* &quot;-&quot;??_);_(@_)"/>
    <numFmt numFmtId="167" formatCode="0.0000"/>
    <numFmt numFmtId="168" formatCode="0.000"/>
    <numFmt numFmtId="169" formatCode="0.0%"/>
    <numFmt numFmtId="170" formatCode="_(&quot;$&quot;* #,##0.00_);_(&quot;$&quot;* (#,##0.00);_(&quot;$&quot;* &quot;-&quot;??_);_(@_)"/>
    <numFmt numFmtId="171" formatCode="_(* #,##0.00_);_(* (#,##0.00);_(* &quot;-&quot;??_);_(@_)"/>
    <numFmt numFmtId="172" formatCode="_(* #,##0.0_);_(* (#,##0.0);_(* &quot;-&quot;??_);_(@_)"/>
    <numFmt numFmtId="173" formatCode="#,##0.0"/>
    <numFmt numFmtId="174" formatCode="hh:mm"/>
    <numFmt numFmtId="175" formatCode="_(&quot;$&quot;* #,##0.0000_);_(&quot;$&quot;* (#,##0.0000);_(&quot;$&quot;* &quot;-&quot;??_);_(@_)"/>
  </numFmts>
  <fonts count="33" x14ac:knownFonts="1">
    <font>
      <color theme="1"/>
      <family val="2"/>
      <scheme val="minor"/>
      <sz val="11"/>
      <name val="Calibri"/>
    </font>
    <font>
      <color theme="1"/>
      <family val="2"/>
      <scheme val="minor"/>
      <sz val="10"/>
      <name val="Arial"/>
    </font>
    <font>
      <u/>
      <color rgb="FF0000FF"/>
      <family val="2"/>
      <sz val="10"/>
      <name val="Arial"/>
    </font>
    <font>
      <color rgb="FFFF0000"/>
      <family val="2"/>
      <scheme val="minor"/>
      <sz val="10"/>
      <name val="Arial"/>
    </font>
    <font>
      <color rgb="FF000000"/>
      <family val="2"/>
      <scheme val="minor"/>
      <sz val="10"/>
      <name val="Arial"/>
    </font>
    <font>
      <color rgb="FF000000"/>
      <scheme val="minor"/>
      <sz val="10"/>
      <name val="Arial"/>
    </font>
    <font>
      <b/>
      <color rgb="FF000000"/>
      <family val="2"/>
      <scheme val="minor"/>
      <sz val="10"/>
      <name val="Arial"/>
    </font>
    <font>
      <family val="2"/>
      <scheme val="minor"/>
      <sz val="10"/>
      <name val="Arial"/>
    </font>
    <font>
      <color theme="7"/>
      <family val="2"/>
      <scheme val="minor"/>
      <sz val="10"/>
      <name val="Arial"/>
    </font>
    <font>
      <color rgb="FF000000"/>
      <family val="2"/>
      <scheme val="minor"/>
      <sz val="12"/>
      <name val="Arial"/>
    </font>
    <font>
      <color rgb="FFC00000"/>
      <family val="2"/>
      <scheme val="minor"/>
      <sz val="12"/>
      <name val="Arial"/>
    </font>
    <font>
      <color rgb="FFC00000"/>
      <family val="2"/>
      <scheme val="minor"/>
      <sz val="10"/>
      <name val="Arial"/>
    </font>
    <font>
      <b/>
      <u/>
      <color rgb="FF000000"/>
      <family val="2"/>
      <scheme val="minor"/>
      <sz val="11"/>
      <name val="Arial"/>
    </font>
    <font>
      <color rgb="FF000000"/>
      <family val="2"/>
      <scheme val="minor"/>
      <sz val="11"/>
      <name val="Arial"/>
    </font>
    <font>
      <b/>
      <color theme="1"/>
      <family val="2"/>
      <scheme val="minor"/>
      <sz val="10"/>
      <name val="Arial"/>
    </font>
    <font>
      <i/>
      <color theme="1"/>
      <family val="2"/>
      <scheme val="minor"/>
      <sz val="10"/>
      <name val="Arial"/>
    </font>
    <font>
      <b/>
      <family val="2"/>
      <scheme val="minor"/>
      <sz val="10"/>
      <name val="Arial"/>
    </font>
    <font>
      <i/>
      <family val="2"/>
      <scheme val="minor"/>
      <sz val="10"/>
      <name val="Arial"/>
    </font>
    <font>
      <b/>
      <color rgb="FFFF0000"/>
      <family val="2"/>
      <scheme val="minor"/>
      <sz val="10"/>
      <name val="Arial"/>
    </font>
    <font>
      <b/>
      <color rgb="FF0070C0"/>
      <family val="2"/>
      <scheme val="minor"/>
      <sz val="10"/>
      <name val="Arial"/>
    </font>
    <font>
      <color rgb="FF000000"/>
      <family val="2"/>
      <sz val="10"/>
      <name val="Calibri"/>
    </font>
    <font>
      <b/>
      <i/>
      <color rgb="FF000000"/>
      <family val="2"/>
      <scheme val="minor"/>
      <sz val="10"/>
      <name val="Arial"/>
    </font>
    <font>
      <b/>
      <i/>
      <color theme="1"/>
      <family val="2"/>
      <scheme val="minor"/>
      <sz val="10"/>
      <name val="Arial"/>
    </font>
    <font>
      <color theme="4"/>
      <family val="2"/>
      <scheme val="minor"/>
      <sz val="10"/>
      <name val="Arial"/>
    </font>
    <font>
      <b/>
      <family val="2"/>
      <scheme val="minor"/>
      <sz val="8"/>
      <name val="Arial"/>
    </font>
    <font>
      <color rgb="FF000000"/>
      <family val="2"/>
      <sz val="11"/>
      <name val="Calibri"/>
    </font>
    <font>
      <u/>
      <color rgb="FF000000"/>
      <family val="2"/>
      <scheme val="minor"/>
      <sz val="16"/>
      <name val="Arial"/>
    </font>
    <font>
      <color rgb="FF000000"/>
      <family val="2"/>
      <scheme val="minor"/>
      <sz val="14"/>
      <name val="Arial"/>
    </font>
    <font>
      <color rgb="FFFF0000"/>
      <family val="2"/>
      <scheme val="minor"/>
      <sz val="9"/>
      <name val="Arial"/>
    </font>
    <font>
      <color theme="1"/>
      <family val="2"/>
      <scheme val="minor"/>
      <sz val="16"/>
      <name val="Arial"/>
    </font>
    <font>
      <b/>
      <color theme="1"/>
      <family val="2"/>
      <scheme val="minor"/>
      <sz val="11"/>
      <name val="Arial"/>
    </font>
    <font>
      <u/>
      <color theme="10"/>
      <family val="2"/>
      <scheme val="minor"/>
      <sz val="10"/>
      <name val="Arial"/>
    </font>
    <font>
      <color theme="1"/>
      <family val="2"/>
      <scheme val="minor"/>
      <sz val="11"/>
      <name val="Arial"/>
    </font>
  </fonts>
  <fills count="14">
    <fill>
      <patternFill patternType="none"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7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64" fontId="5" fillId="0" borderId="0" xfId="0" applyNumberFormat="1" applyFont="1"/>
    <xf numFmtId="165" fontId="5" fillId="0" borderId="0" xfId="0" applyNumberFormat="1" applyFont="1"/>
    <xf numFmtId="3" fontId="5" fillId="0" borderId="0" xfId="0" applyNumberFormat="1" applyFont="1"/>
    <xf numFmtId="0" fontId="6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vertical="center"/>
    </xf>
    <xf numFmtId="2" fontId="5" fillId="2" borderId="0" xfId="0" applyNumberFormat="1" applyFont="1" applyFill="1"/>
    <xf numFmtId="2" fontId="7" fillId="2" borderId="8" xfId="0" applyNumberFormat="1" applyFont="1" applyFill="1" applyBorder="1"/>
    <xf numFmtId="0" fontId="5" fillId="3" borderId="7" xfId="0" applyFont="1" applyFill="1" applyBorder="1"/>
    <xf numFmtId="0" fontId="8" fillId="3" borderId="0" xfId="0" applyFont="1" applyFill="1" applyAlignment="1">
      <alignment horizontal="right"/>
    </xf>
    <xf numFmtId="0" fontId="5" fillId="3" borderId="9" xfId="0" applyFont="1" applyFill="1" applyBorder="1"/>
    <xf numFmtId="0" fontId="5" fillId="3" borderId="8" xfId="0" applyFont="1" applyFill="1" applyBorder="1"/>
    <xf numFmtId="0" fontId="6" fillId="4" borderId="1" xfId="0" applyFont="1" applyFill="1" applyBorder="1"/>
    <xf numFmtId="0" fontId="5" fillId="4" borderId="2" xfId="0" applyFont="1" applyFill="1" applyBorder="1"/>
    <xf numFmtId="0" fontId="5" fillId="4" borderId="3" xfId="0" applyFont="1" applyFill="1" applyBorder="1"/>
    <xf numFmtId="0" fontId="5" fillId="3" borderId="9" xfId="0" applyFont="1" applyFill="1" applyBorder="1" applyAlignment="1">
      <alignment horizontal="center"/>
    </xf>
    <xf numFmtId="0" fontId="4" fillId="4" borderId="7" xfId="0" applyFont="1" applyFill="1" applyBorder="1"/>
    <xf numFmtId="0" fontId="5" fillId="4" borderId="0" xfId="0" applyFont="1" applyFill="1"/>
    <xf numFmtId="166" fontId="5" fillId="4" borderId="9" xfId="0" applyNumberFormat="1" applyFont="1" applyFill="1" applyBorder="1"/>
    <xf numFmtId="0" fontId="7" fillId="3" borderId="9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right" vertical="center"/>
    </xf>
    <xf numFmtId="9" fontId="7" fillId="3" borderId="9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5" fillId="4" borderId="11" xfId="0" applyFont="1" applyFill="1" applyBorder="1"/>
    <xf numFmtId="0" fontId="4" fillId="3" borderId="7" xfId="0" applyFont="1" applyFill="1" applyBorder="1"/>
    <xf numFmtId="0" fontId="5" fillId="3" borderId="0" xfId="0" applyFont="1" applyFill="1"/>
    <xf numFmtId="0" fontId="4" fillId="2" borderId="9" xfId="0" applyFont="1" applyFill="1" applyBorder="1" applyAlignment="1">
      <alignment vertical="center"/>
    </xf>
    <xf numFmtId="2" fontId="5" fillId="2" borderId="11" xfId="0" applyNumberFormat="1" applyFont="1" applyFill="1" applyBorder="1"/>
    <xf numFmtId="2" fontId="7" fillId="2" borderId="12" xfId="0" applyNumberFormat="1" applyFont="1" applyFill="1" applyBorder="1"/>
    <xf numFmtId="0" fontId="4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4" borderId="7" xfId="0" applyFont="1" applyFill="1" applyBorder="1"/>
    <xf numFmtId="0" fontId="4" fillId="2" borderId="1" xfId="0" applyFont="1" applyFill="1" applyBorder="1" applyAlignment="1">
      <alignment vertical="center"/>
    </xf>
    <xf numFmtId="2" fontId="5" fillId="2" borderId="3" xfId="0" applyNumberFormat="1" applyFont="1" applyFill="1" applyBorder="1"/>
    <xf numFmtId="2" fontId="5" fillId="2" borderId="8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wrapText="1"/>
    </xf>
    <xf numFmtId="10" fontId="5" fillId="4" borderId="9" xfId="0" applyNumberFormat="1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wrapText="1"/>
    </xf>
    <xf numFmtId="166" fontId="5" fillId="4" borderId="9" xfId="0" applyNumberFormat="1" applyFont="1" applyFill="1" applyBorder="1" applyAlignment="1">
      <alignment horizontal="left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1" fontId="9" fillId="3" borderId="16" xfId="0" applyNumberFormat="1" applyFont="1" applyFill="1" applyBorder="1" applyAlignment="1">
      <alignment horizontal="center"/>
    </xf>
    <xf numFmtId="165" fontId="9" fillId="3" borderId="17" xfId="0" applyNumberFormat="1" applyFont="1" applyFill="1" applyBorder="1" applyAlignment="1">
      <alignment horizontal="center"/>
    </xf>
    <xf numFmtId="9" fontId="9" fillId="3" borderId="18" xfId="0" applyNumberFormat="1" applyFont="1" applyFill="1" applyBorder="1" applyAlignment="1">
      <alignment horizontal="center"/>
    </xf>
    <xf numFmtId="1" fontId="10" fillId="3" borderId="16" xfId="0" applyNumberFormat="1" applyFont="1" applyFill="1" applyBorder="1" applyAlignment="1">
      <alignment horizontal="center"/>
    </xf>
    <xf numFmtId="0" fontId="11" fillId="0" borderId="0" xfId="0" applyFont="1"/>
    <xf numFmtId="0" fontId="4" fillId="2" borderId="10" xfId="0" applyFont="1" applyFill="1" applyBorder="1" applyAlignment="1">
      <alignment vertical="center"/>
    </xf>
    <xf numFmtId="2" fontId="5" fillId="2" borderId="12" xfId="0" applyNumberFormat="1" applyFont="1" applyFill="1" applyBorder="1" applyAlignment="1">
      <alignment horizontal="center"/>
    </xf>
    <xf numFmtId="0" fontId="4" fillId="2" borderId="19" xfId="0" applyFont="1" applyFill="1" applyBorder="1" applyAlignment="1">
      <alignment vertical="center"/>
    </xf>
    <xf numFmtId="0" fontId="4" fillId="2" borderId="20" xfId="0" applyFont="1" applyFill="1" applyBorder="1" applyAlignment="1">
      <alignment horizontal="right" vertical="center"/>
    </xf>
    <xf numFmtId="2" fontId="5" fillId="0" borderId="0" xfId="0" applyNumberFormat="1" applyFont="1"/>
    <xf numFmtId="9" fontId="4" fillId="2" borderId="20" xfId="0" applyNumberFormat="1" applyFont="1" applyFill="1" applyBorder="1" applyAlignment="1">
      <alignment vertical="center"/>
    </xf>
    <xf numFmtId="9" fontId="4" fillId="2" borderId="21" xfId="0" applyNumberFormat="1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12" fillId="5" borderId="0" xfId="0" applyFont="1" applyFill="1"/>
    <xf numFmtId="0" fontId="4" fillId="5" borderId="0" xfId="0" applyFont="1" applyFill="1"/>
    <xf numFmtId="0" fontId="5" fillId="5" borderId="0" xfId="0" applyFont="1" applyFill="1"/>
    <xf numFmtId="0" fontId="5" fillId="0" borderId="0" xfId="0" applyFont="1"/>
    <xf numFmtId="0" fontId="13" fillId="6" borderId="0" xfId="0" applyFont="1" applyFill="1"/>
    <xf numFmtId="0" fontId="5" fillId="6" borderId="0" xfId="0" applyFont="1" applyFill="1"/>
    <xf numFmtId="0" fontId="4" fillId="0" borderId="0" xfId="0" applyFont="1" applyAlignment="1">
      <alignment horizontal="right"/>
    </xf>
    <xf numFmtId="167" fontId="5" fillId="0" borderId="0" xfId="0" applyNumberFormat="1" applyFont="1"/>
    <xf numFmtId="0" fontId="13" fillId="7" borderId="0" xfId="0" applyFont="1" applyFill="1"/>
    <xf numFmtId="0" fontId="5" fillId="7" borderId="0" xfId="0" applyFont="1" applyFill="1"/>
    <xf numFmtId="0" fontId="6" fillId="5" borderId="0" xfId="0" applyFont="1" applyFill="1"/>
    <xf numFmtId="168" fontId="6" fillId="5" borderId="0" xfId="0" applyNumberFormat="1" applyFont="1" applyFill="1"/>
    <xf numFmtId="169" fontId="4" fillId="0" borderId="0" xfId="0" applyNumberFormat="1" applyFont="1"/>
    <xf numFmtId="10" fontId="5" fillId="0" borderId="0" xfId="0" applyNumberFormat="1" applyFont="1"/>
    <xf numFmtId="170" fontId="5" fillId="0" borderId="0" xfId="0" applyNumberFormat="1" applyFont="1"/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5" fillId="0" borderId="0" xfId="0" applyNumberFormat="1" applyFont="1"/>
    <xf numFmtId="0" fontId="4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" fontId="6" fillId="0" borderId="0" xfId="0" applyNumberFormat="1" applyFont="1"/>
    <xf numFmtId="0" fontId="7" fillId="2" borderId="19" xfId="0" applyFont="1" applyFill="1" applyBorder="1" applyAlignment="1">
      <alignment horizontal="center" vertical="center"/>
    </xf>
    <xf numFmtId="0" fontId="5" fillId="0" borderId="1" xfId="0" applyFont="1" applyBorder="1"/>
    <xf numFmtId="0" fontId="5" fillId="0" borderId="3" xfId="0" applyFont="1" applyBorder="1"/>
    <xf numFmtId="0" fontId="7" fillId="2" borderId="20" xfId="0" applyFont="1" applyFill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3" fontId="5" fillId="0" borderId="0" xfId="0" applyNumberFormat="1" applyFont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2" xfId="0" applyFont="1" applyBorder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4" fillId="0" borderId="1" xfId="0" applyFont="1" applyBorder="1"/>
    <xf numFmtId="0" fontId="5" fillId="0" borderId="2" xfId="0" applyFont="1" applyBorder="1"/>
    <xf numFmtId="0" fontId="14" fillId="0" borderId="0" xfId="0" applyFont="1"/>
    <xf numFmtId="0" fontId="15" fillId="0" borderId="0" xfId="0" applyFont="1"/>
    <xf numFmtId="165" fontId="1" fillId="2" borderId="0" xfId="0" applyNumberFormat="1" applyFont="1" applyFill="1" applyAlignment="1">
      <alignment horizontal="right"/>
    </xf>
    <xf numFmtId="1" fontId="16" fillId="3" borderId="0" xfId="0" applyNumberFormat="1" applyFont="1" applyFill="1"/>
    <xf numFmtId="0" fontId="17" fillId="0" borderId="0" xfId="0" applyFont="1"/>
    <xf numFmtId="165" fontId="5" fillId="2" borderId="0" xfId="0" applyNumberFormat="1" applyFont="1" applyFill="1"/>
    <xf numFmtId="1" fontId="7" fillId="3" borderId="0" xfId="0" applyNumberFormat="1" applyFont="1" applyFill="1"/>
    <xf numFmtId="0" fontId="3" fillId="0" borderId="8" xfId="0" applyFont="1" applyBorder="1"/>
    <xf numFmtId="1" fontId="18" fillId="3" borderId="0" xfId="0" applyNumberFormat="1" applyFont="1" applyFill="1"/>
    <xf numFmtId="1" fontId="3" fillId="0" borderId="0" xfId="0" applyNumberFormat="1" applyFont="1"/>
    <xf numFmtId="0" fontId="5" fillId="0" borderId="11" xfId="0" applyFont="1" applyBorder="1"/>
    <xf numFmtId="4" fontId="1" fillId="0" borderId="0" xfId="0" applyNumberFormat="1" applyFont="1"/>
    <xf numFmtId="1" fontId="1" fillId="0" borderId="0" xfId="0" applyNumberFormat="1" applyFont="1"/>
    <xf numFmtId="0" fontId="14" fillId="0" borderId="22" xfId="0" applyFont="1" applyBorder="1" applyAlignment="1">
      <alignment horizontal="center" wrapText="1"/>
    </xf>
    <xf numFmtId="164" fontId="18" fillId="0" borderId="2" xfId="0" applyNumberFormat="1" applyFont="1" applyBorder="1"/>
    <xf numFmtId="0" fontId="18" fillId="0" borderId="2" xfId="0" applyFont="1" applyBorder="1"/>
    <xf numFmtId="0" fontId="18" fillId="0" borderId="3" xfId="0" applyFont="1" applyBorder="1"/>
    <xf numFmtId="9" fontId="4" fillId="0" borderId="0" xfId="0" applyNumberFormat="1" applyFont="1"/>
    <xf numFmtId="3" fontId="1" fillId="0" borderId="0" xfId="0" applyNumberFormat="1" applyFont="1"/>
    <xf numFmtId="0" fontId="14" fillId="0" borderId="23" xfId="0" applyFont="1" applyBorder="1" applyAlignment="1">
      <alignment horizontal="center" wrapText="1"/>
    </xf>
    <xf numFmtId="164" fontId="18" fillId="0" borderId="0" xfId="0" applyNumberFormat="1" applyFont="1"/>
    <xf numFmtId="0" fontId="18" fillId="0" borderId="0" xfId="0" applyFont="1"/>
    <xf numFmtId="1" fontId="5" fillId="0" borderId="0" xfId="0" applyNumberFormat="1" applyFont="1"/>
    <xf numFmtId="0" fontId="5" fillId="0" borderId="23" xfId="0" applyFont="1" applyBorder="1"/>
    <xf numFmtId="0" fontId="5" fillId="0" borderId="24" xfId="0" applyFont="1" applyBorder="1"/>
    <xf numFmtId="164" fontId="1" fillId="4" borderId="11" xfId="0" applyNumberFormat="1" applyFont="1" applyFill="1" applyBorder="1"/>
    <xf numFmtId="0" fontId="14" fillId="0" borderId="23" xfId="0" applyFont="1" applyBorder="1" applyAlignment="1">
      <alignment horizontal="center" vertical="top" wrapText="1"/>
    </xf>
    <xf numFmtId="171" fontId="19" fillId="0" borderId="0" xfId="0" applyNumberFormat="1" applyFont="1"/>
    <xf numFmtId="0" fontId="19" fillId="0" borderId="0" xfId="0" applyFont="1"/>
    <xf numFmtId="164" fontId="5" fillId="4" borderId="0" xfId="0" applyNumberFormat="1" applyFont="1" applyFill="1"/>
    <xf numFmtId="0" fontId="14" fillId="0" borderId="25" xfId="0" applyFont="1" applyBorder="1" applyAlignment="1">
      <alignment horizontal="center" vertical="top" wrapText="1"/>
    </xf>
    <xf numFmtId="164" fontId="5" fillId="4" borderId="26" xfId="0" applyNumberFormat="1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0" borderId="27" xfId="0" applyFont="1" applyBorder="1"/>
    <xf numFmtId="0" fontId="5" fillId="0" borderId="28" xfId="0" applyFont="1" applyBorder="1"/>
    <xf numFmtId="0" fontId="20" fillId="0" borderId="0" xfId="0" applyFont="1"/>
    <xf numFmtId="0" fontId="14" fillId="0" borderId="24" xfId="0" applyFont="1" applyBorder="1" applyAlignment="1">
      <alignment horizontal="center" vertical="top" wrapText="1"/>
    </xf>
    <xf numFmtId="164" fontId="5" fillId="4" borderId="29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" fontId="14" fillId="0" borderId="0" xfId="0" applyNumberFormat="1" applyFont="1"/>
    <xf numFmtId="0" fontId="14" fillId="0" borderId="0" xfId="0" applyFont="1" applyAlignment="1">
      <alignment horizontal="center" vertical="top" wrapText="1"/>
    </xf>
    <xf numFmtId="0" fontId="14" fillId="0" borderId="2" xfId="0" applyFont="1" applyBorder="1"/>
    <xf numFmtId="1" fontId="14" fillId="0" borderId="2" xfId="0" applyNumberFormat="1" applyFont="1" applyBorder="1"/>
    <xf numFmtId="0" fontId="21" fillId="0" borderId="0" xfId="0" applyFont="1"/>
    <xf numFmtId="164" fontId="4" fillId="0" borderId="0" xfId="0" applyNumberFormat="1" applyFont="1"/>
    <xf numFmtId="0" fontId="6" fillId="0" borderId="30" xfId="0" applyFont="1" applyBorder="1" applyAlignment="1">
      <alignment horizontal="center"/>
    </xf>
    <xf numFmtId="0" fontId="15" fillId="0" borderId="30" xfId="0" applyFont="1" applyBorder="1" applyAlignment="1">
      <alignment horizontal="center" wrapText="1"/>
    </xf>
    <xf numFmtId="0" fontId="14" fillId="0" borderId="30" xfId="0" applyFont="1" applyBorder="1" applyAlignment="1">
      <alignment horizontal="center"/>
    </xf>
    <xf numFmtId="0" fontId="15" fillId="0" borderId="31" xfId="0" applyFont="1" applyBorder="1" applyAlignment="1">
      <alignment horizontal="center" wrapText="1"/>
    </xf>
    <xf numFmtId="0" fontId="22" fillId="0" borderId="0" xfId="0" applyFont="1"/>
    <xf numFmtId="1" fontId="1" fillId="8" borderId="30" xfId="0" applyNumberFormat="1" applyFont="1" applyFill="1" applyBorder="1"/>
    <xf numFmtId="0" fontId="23" fillId="0" borderId="30" xfId="0" applyFont="1" applyBorder="1"/>
    <xf numFmtId="0" fontId="1" fillId="8" borderId="30" xfId="0" applyFont="1" applyFill="1" applyBorder="1"/>
    <xf numFmtId="2" fontId="23" fillId="0" borderId="30" xfId="0" applyNumberFormat="1" applyFont="1" applyBorder="1"/>
    <xf numFmtId="2" fontId="1" fillId="8" borderId="30" xfId="0" applyNumberFormat="1" applyFont="1" applyFill="1" applyBorder="1"/>
    <xf numFmtId="2" fontId="23" fillId="0" borderId="31" xfId="0" applyNumberFormat="1" applyFont="1" applyBorder="1"/>
    <xf numFmtId="2" fontId="3" fillId="8" borderId="30" xfId="0" applyNumberFormat="1" applyFont="1" applyFill="1" applyBorder="1"/>
    <xf numFmtId="1" fontId="23" fillId="8" borderId="30" xfId="0" applyNumberFormat="1" applyFont="1" applyFill="1" applyBorder="1"/>
    <xf numFmtId="0" fontId="4" fillId="0" borderId="0" xfId="0" applyFont="1" applyAlignment="1">
      <alignment wrapText="1"/>
    </xf>
    <xf numFmtId="1" fontId="7" fillId="8" borderId="30" xfId="0" applyNumberFormat="1" applyFont="1" applyFill="1" applyBorder="1"/>
    <xf numFmtId="0" fontId="22" fillId="0" borderId="32" xfId="0" applyFont="1" applyBorder="1" applyAlignment="1">
      <alignment horizontal="left"/>
    </xf>
    <xf numFmtId="0" fontId="22" fillId="0" borderId="33" xfId="0" applyFont="1" applyBorder="1" applyAlignment="1">
      <alignment horizontal="left"/>
    </xf>
    <xf numFmtId="1" fontId="1" fillId="0" borderId="30" xfId="0" applyNumberFormat="1" applyFont="1" applyBorder="1"/>
    <xf numFmtId="171" fontId="5" fillId="0" borderId="0" xfId="0" applyNumberFormat="1" applyFont="1"/>
    <xf numFmtId="0" fontId="1" fillId="0" borderId="30" xfId="0" applyFont="1" applyBorder="1" applyAlignment="1">
      <alignment vertical="center"/>
    </xf>
    <xf numFmtId="0" fontId="7" fillId="0" borderId="0" xfId="0" applyFont="1"/>
    <xf numFmtId="164" fontId="1" fillId="0" borderId="30" xfId="0" applyNumberFormat="1" applyFont="1" applyBorder="1" applyAlignment="1">
      <alignment vertical="center"/>
    </xf>
    <xf numFmtId="9" fontId="5" fillId="0" borderId="0" xfId="0" applyNumberFormat="1" applyFont="1"/>
    <xf numFmtId="169" fontId="1" fillId="0" borderId="30" xfId="0" applyNumberFormat="1" applyFont="1" applyBorder="1" applyAlignment="1">
      <alignment vertical="center"/>
    </xf>
    <xf numFmtId="3" fontId="1" fillId="0" borderId="30" xfId="0" applyNumberFormat="1" applyFont="1" applyBorder="1" applyAlignment="1">
      <alignment vertical="center"/>
    </xf>
    <xf numFmtId="0" fontId="22" fillId="2" borderId="32" xfId="0" applyFont="1" applyFill="1" applyBorder="1" applyAlignment="1">
      <alignment horizontal="left"/>
    </xf>
    <xf numFmtId="0" fontId="22" fillId="2" borderId="33" xfId="0" applyFont="1" applyFill="1" applyBorder="1" applyAlignment="1">
      <alignment horizontal="left"/>
    </xf>
    <xf numFmtId="9" fontId="1" fillId="2" borderId="30" xfId="0" applyNumberFormat="1" applyFont="1" applyFill="1" applyBorder="1" applyAlignment="1">
      <alignment vertical="center"/>
    </xf>
    <xf numFmtId="0" fontId="5" fillId="0" borderId="30" xfId="0" applyFont="1" applyBorder="1"/>
    <xf numFmtId="9" fontId="1" fillId="0" borderId="30" xfId="0" applyNumberFormat="1" applyFont="1" applyBorder="1" applyAlignment="1">
      <alignment vertical="center"/>
    </xf>
    <xf numFmtId="1" fontId="1" fillId="0" borderId="30" xfId="0" applyNumberFormat="1" applyFont="1" applyBorder="1" applyAlignment="1">
      <alignment vertical="center"/>
    </xf>
    <xf numFmtId="0" fontId="22" fillId="9" borderId="32" xfId="0" applyFont="1" applyFill="1" applyBorder="1" applyAlignment="1">
      <alignment horizontal="left"/>
    </xf>
    <xf numFmtId="0" fontId="22" fillId="9" borderId="33" xfId="0" applyFont="1" applyFill="1" applyBorder="1" applyAlignment="1">
      <alignment horizontal="left"/>
    </xf>
    <xf numFmtId="9" fontId="14" fillId="9" borderId="30" xfId="0" applyNumberFormat="1" applyFont="1" applyFill="1" applyBorder="1" applyAlignment="1">
      <alignment vertical="center"/>
    </xf>
    <xf numFmtId="0" fontId="16" fillId="0" borderId="1" xfId="0" applyFont="1" applyBorder="1"/>
    <xf numFmtId="0" fontId="1" fillId="0" borderId="2" xfId="0" applyFont="1" applyBorder="1"/>
    <xf numFmtId="164" fontId="1" fillId="0" borderId="3" xfId="0" applyNumberFormat="1" applyFont="1" applyBorder="1"/>
    <xf numFmtId="0" fontId="6" fillId="0" borderId="2" xfId="0" applyFont="1" applyBorder="1"/>
    <xf numFmtId="165" fontId="6" fillId="0" borderId="3" xfId="0" applyNumberFormat="1" applyFont="1" applyBorder="1"/>
    <xf numFmtId="0" fontId="5" fillId="3" borderId="1" xfId="0" applyFont="1" applyFill="1" applyBorder="1"/>
    <xf numFmtId="0" fontId="5" fillId="3" borderId="2" xfId="0" applyFont="1" applyFill="1" applyBorder="1"/>
    <xf numFmtId="170" fontId="5" fillId="3" borderId="3" xfId="0" applyNumberFormat="1" applyFont="1" applyFill="1" applyBorder="1"/>
    <xf numFmtId="9" fontId="5" fillId="0" borderId="9" xfId="0" applyNumberFormat="1" applyFont="1" applyBorder="1" applyAlignment="1">
      <alignment horizontal="center"/>
    </xf>
    <xf numFmtId="3" fontId="7" fillId="0" borderId="8" xfId="0" applyNumberFormat="1" applyFont="1" applyBorder="1"/>
    <xf numFmtId="170" fontId="5" fillId="0" borderId="8" xfId="0" applyNumberFormat="1" applyFont="1" applyBorder="1"/>
    <xf numFmtId="0" fontId="5" fillId="3" borderId="10" xfId="0" applyFont="1" applyFill="1" applyBorder="1"/>
    <xf numFmtId="170" fontId="5" fillId="3" borderId="12" xfId="0" applyNumberFormat="1" applyFont="1" applyFill="1" applyBorder="1"/>
    <xf numFmtId="0" fontId="7" fillId="0" borderId="7" xfId="0" applyFont="1" applyBorder="1"/>
    <xf numFmtId="0" fontId="4" fillId="0" borderId="1" xfId="0" applyFont="1" applyBorder="1"/>
    <xf numFmtId="165" fontId="5" fillId="0" borderId="3" xfId="0" applyNumberFormat="1" applyFont="1" applyBorder="1"/>
    <xf numFmtId="0" fontId="14" fillId="0" borderId="7" xfId="0" applyFont="1" applyBorder="1"/>
    <xf numFmtId="0" fontId="7" fillId="0" borderId="10" xfId="0" applyFont="1" applyBorder="1"/>
    <xf numFmtId="0" fontId="6" fillId="0" borderId="10" xfId="0" applyFont="1" applyBorder="1"/>
    <xf numFmtId="1" fontId="5" fillId="0" borderId="12" xfId="0" applyNumberFormat="1" applyFont="1" applyBorder="1"/>
    <xf numFmtId="171" fontId="5" fillId="0" borderId="12" xfId="0" applyNumberFormat="1" applyFont="1" applyBorder="1"/>
    <xf numFmtId="0" fontId="16" fillId="0" borderId="0" xfId="0" applyFont="1"/>
    <xf numFmtId="165" fontId="7" fillId="0" borderId="8" xfId="0" applyNumberFormat="1" applyFont="1" applyBorder="1"/>
    <xf numFmtId="165" fontId="6" fillId="0" borderId="8" xfId="0" applyNumberFormat="1" applyFont="1" applyBorder="1"/>
    <xf numFmtId="171" fontId="5" fillId="5" borderId="8" xfId="0" applyNumberFormat="1" applyFont="1" applyFill="1" applyBorder="1"/>
    <xf numFmtId="172" fontId="5" fillId="0" borderId="0" xfId="0" applyNumberFormat="1" applyFont="1"/>
    <xf numFmtId="0" fontId="24" fillId="0" borderId="1" xfId="0" applyFont="1" applyBorder="1" applyAlignment="1">
      <alignment horizontal="center" vertical="top" wrapText="1"/>
    </xf>
    <xf numFmtId="0" fontId="24" fillId="0" borderId="7" xfId="0" applyFont="1" applyBorder="1" applyAlignment="1">
      <alignment horizontal="center" vertical="top" wrapText="1"/>
    </xf>
    <xf numFmtId="0" fontId="16" fillId="0" borderId="7" xfId="0" applyFont="1" applyBorder="1" applyAlignment="1">
      <alignment horizontal="left" vertical="top" wrapText="1"/>
    </xf>
    <xf numFmtId="173" fontId="7" fillId="0" borderId="8" xfId="0" applyNumberFormat="1" applyFont="1" applyBorder="1"/>
    <xf numFmtId="0" fontId="6" fillId="0" borderId="11" xfId="0" applyFont="1" applyBorder="1"/>
    <xf numFmtId="171" fontId="6" fillId="0" borderId="12" xfId="0" applyNumberFormat="1" applyFont="1" applyBorder="1"/>
    <xf numFmtId="164" fontId="5" fillId="0" borderId="8" xfId="0" applyNumberFormat="1" applyFont="1" applyBorder="1"/>
    <xf numFmtId="0" fontId="14" fillId="10" borderId="30" xfId="0" applyFont="1" applyFill="1" applyBorder="1"/>
    <xf numFmtId="1" fontId="14" fillId="10" borderId="30" xfId="0" applyNumberFormat="1" applyFont="1" applyFill="1" applyBorder="1"/>
    <xf numFmtId="0" fontId="14" fillId="10" borderId="34" xfId="0" applyFont="1" applyFill="1" applyBorder="1"/>
    <xf numFmtId="0" fontId="25" fillId="0" borderId="0" xfId="0" applyFont="1"/>
    <xf numFmtId="1" fontId="23" fillId="0" borderId="30" xfId="0" applyNumberFormat="1" applyFont="1" applyBorder="1"/>
    <xf numFmtId="2" fontId="23" fillId="0" borderId="32" xfId="0" applyNumberFormat="1" applyFont="1" applyBorder="1"/>
    <xf numFmtId="0" fontId="25" fillId="0" borderId="0" xfId="0" applyFont="1" applyAlignment="1">
      <alignment horizontal="right"/>
    </xf>
    <xf numFmtId="174" fontId="25" fillId="0" borderId="0" xfId="0" applyNumberFormat="1" applyFont="1" applyAlignment="1">
      <alignment horizontal="right"/>
    </xf>
    <xf numFmtId="173" fontId="25" fillId="0" borderId="0" xfId="0" applyNumberFormat="1" applyFont="1" applyAlignment="1">
      <alignment horizontal="right"/>
    </xf>
    <xf numFmtId="173" fontId="5" fillId="0" borderId="0" xfId="0" applyNumberFormat="1" applyFont="1"/>
    <xf numFmtId="1" fontId="23" fillId="2" borderId="30" xfId="0" applyNumberFormat="1" applyFont="1" applyFill="1" applyBorder="1"/>
    <xf numFmtId="1" fontId="1" fillId="3" borderId="30" xfId="0" applyNumberFormat="1" applyFont="1" applyFill="1" applyBorder="1"/>
    <xf numFmtId="1" fontId="23" fillId="3" borderId="30" xfId="0" applyNumberFormat="1" applyFont="1" applyFill="1" applyBorder="1"/>
    <xf numFmtId="2" fontId="23" fillId="3" borderId="30" xfId="0" applyNumberFormat="1" applyFont="1" applyFill="1" applyBorder="1"/>
    <xf numFmtId="2" fontId="23" fillId="3" borderId="32" xfId="0" applyNumberFormat="1" applyFont="1" applyFill="1" applyBorder="1"/>
    <xf numFmtId="170" fontId="4" fillId="0" borderId="0" xfId="0" applyNumberFormat="1" applyFont="1"/>
    <xf numFmtId="0" fontId="4" fillId="0" borderId="0" xfId="0" applyFont="1" applyAlignment="1">
      <alignment horizontal="center"/>
    </xf>
    <xf numFmtId="166" fontId="5" fillId="0" borderId="0" xfId="0" applyNumberFormat="1" applyFont="1"/>
    <xf numFmtId="166" fontId="3" fillId="0" borderId="0" xfId="0" applyNumberFormat="1" applyFont="1"/>
    <xf numFmtId="0" fontId="6" fillId="5" borderId="0" xfId="0" applyFont="1" applyFill="1" applyAlignment="1">
      <alignment horizontal="center"/>
    </xf>
    <xf numFmtId="0" fontId="6" fillId="11" borderId="0" xfId="0" applyFont="1" applyFill="1"/>
    <xf numFmtId="0" fontId="6" fillId="6" borderId="0" xfId="0" applyFont="1" applyFill="1"/>
    <xf numFmtId="166" fontId="3" fillId="5" borderId="0" xfId="0" applyNumberFormat="1" applyFont="1" applyFill="1"/>
    <xf numFmtId="166" fontId="5" fillId="11" borderId="0" xfId="0" applyNumberFormat="1" applyFont="1" applyFill="1"/>
    <xf numFmtId="170" fontId="5" fillId="11" borderId="0" xfId="0" applyNumberFormat="1" applyFont="1" applyFill="1"/>
    <xf numFmtId="170" fontId="5" fillId="6" borderId="0" xfId="0" applyNumberFormat="1" applyFont="1" applyFill="1"/>
    <xf numFmtId="166" fontId="5" fillId="5" borderId="0" xfId="0" applyNumberFormat="1" applyFont="1" applyFill="1"/>
    <xf numFmtId="0" fontId="4" fillId="0" borderId="0" xfId="0" applyFont="1" applyAlignment="1">
      <alignment horizontal="left" vertical="center"/>
    </xf>
    <xf numFmtId="0" fontId="26" fillId="0" borderId="0" xfId="0" applyFont="1"/>
    <xf numFmtId="0" fontId="5" fillId="0" borderId="35" xfId="0" applyFont="1" applyBorder="1" applyAlignment="1">
      <alignment horizontal="left"/>
    </xf>
    <xf numFmtId="0" fontId="5" fillId="0" borderId="36" xfId="0" applyFont="1" applyBorder="1" applyAlignment="1">
      <alignment horizontal="left"/>
    </xf>
    <xf numFmtId="0" fontId="5" fillId="0" borderId="37" xfId="0" applyFont="1" applyBorder="1" applyAlignment="1">
      <alignment horizontal="left"/>
    </xf>
    <xf numFmtId="170" fontId="5" fillId="0" borderId="38" xfId="0" applyNumberFormat="1" applyFont="1" applyBorder="1"/>
    <xf numFmtId="0" fontId="5" fillId="0" borderId="39" xfId="0" applyFont="1" applyBorder="1" applyAlignment="1">
      <alignment horizontal="left"/>
    </xf>
    <xf numFmtId="0" fontId="5" fillId="0" borderId="40" xfId="0" applyFont="1" applyBorder="1" applyAlignment="1">
      <alignment horizontal="left"/>
    </xf>
    <xf numFmtId="0" fontId="5" fillId="0" borderId="33" xfId="0" applyFont="1" applyBorder="1" applyAlignment="1">
      <alignment horizontal="left"/>
    </xf>
    <xf numFmtId="170" fontId="5" fillId="0" borderId="31" xfId="0" applyNumberFormat="1" applyFont="1" applyBorder="1"/>
    <xf numFmtId="0" fontId="5" fillId="0" borderId="41" xfId="0" applyFont="1" applyBorder="1" applyAlignment="1">
      <alignment horizontal="left"/>
    </xf>
    <xf numFmtId="0" fontId="5" fillId="0" borderId="42" xfId="0" applyFont="1" applyBorder="1" applyAlignment="1">
      <alignment horizontal="left"/>
    </xf>
    <xf numFmtId="0" fontId="5" fillId="0" borderId="43" xfId="0" applyFont="1" applyBorder="1" applyAlignment="1">
      <alignment horizontal="left"/>
    </xf>
    <xf numFmtId="170" fontId="5" fillId="0" borderId="18" xfId="0" applyNumberFormat="1" applyFont="1" applyBorder="1"/>
    <xf numFmtId="0" fontId="5" fillId="0" borderId="44" xfId="0" applyFont="1" applyBorder="1"/>
    <xf numFmtId="0" fontId="5" fillId="0" borderId="45" xfId="0" applyFont="1" applyBorder="1"/>
    <xf numFmtId="0" fontId="5" fillId="0" borderId="38" xfId="0" applyFont="1" applyBorder="1"/>
    <xf numFmtId="0" fontId="5" fillId="0" borderId="16" xfId="0" applyFont="1" applyBorder="1"/>
    <xf numFmtId="0" fontId="5" fillId="0" borderId="17" xfId="0" applyFont="1" applyBorder="1"/>
    <xf numFmtId="0" fontId="5" fillId="0" borderId="18" xfId="0" applyFont="1" applyBorder="1"/>
    <xf numFmtId="0" fontId="5" fillId="0" borderId="46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13" xfId="0" applyFont="1" applyBorder="1"/>
    <xf numFmtId="0" fontId="5" fillId="0" borderId="14" xfId="0" applyFont="1" applyBorder="1"/>
    <xf numFmtId="170" fontId="5" fillId="0" borderId="14" xfId="0" applyNumberFormat="1" applyFont="1" applyBorder="1"/>
    <xf numFmtId="170" fontId="5" fillId="0" borderId="15" xfId="0" applyNumberFormat="1" applyFont="1" applyBorder="1"/>
    <xf numFmtId="0" fontId="5" fillId="0" borderId="49" xfId="0" applyFont="1" applyBorder="1"/>
    <xf numFmtId="170" fontId="5" fillId="0" borderId="30" xfId="0" applyNumberFormat="1" applyFont="1" applyBorder="1"/>
    <xf numFmtId="0" fontId="27" fillId="0" borderId="4" xfId="0" applyFont="1" applyBorder="1"/>
    <xf numFmtId="0" fontId="5" fillId="0" borderId="5" xfId="0" applyFont="1" applyBorder="1"/>
    <xf numFmtId="2" fontId="27" fillId="0" borderId="5" xfId="0" applyNumberFormat="1" applyFont="1" applyBorder="1"/>
    <xf numFmtId="0" fontId="27" fillId="0" borderId="6" xfId="0" applyFont="1" applyBorder="1"/>
    <xf numFmtId="0" fontId="28" fillId="0" borderId="0" xfId="0" applyFont="1"/>
    <xf numFmtId="170" fontId="5" fillId="0" borderId="17" xfId="0" applyNumberFormat="1" applyFont="1" applyBorder="1"/>
    <xf numFmtId="175" fontId="5" fillId="0" borderId="0" xfId="0" applyNumberFormat="1" applyFont="1"/>
    <xf numFmtId="170" fontId="5" fillId="0" borderId="50" xfId="0" applyNumberFormat="1" applyFont="1" applyBorder="1"/>
    <xf numFmtId="170" fontId="5" fillId="0" borderId="51" xfId="0" applyNumberFormat="1" applyFont="1" applyBorder="1"/>
    <xf numFmtId="0" fontId="4" fillId="0" borderId="35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4" fillId="0" borderId="37" xfId="0" applyFont="1" applyBorder="1" applyAlignment="1">
      <alignment horizontal="left"/>
    </xf>
    <xf numFmtId="171" fontId="5" fillId="0" borderId="38" xfId="0" applyNumberFormat="1" applyFont="1" applyBorder="1"/>
    <xf numFmtId="0" fontId="4" fillId="0" borderId="39" xfId="0" applyFont="1" applyBorder="1" applyAlignment="1">
      <alignment horizontal="left"/>
    </xf>
    <xf numFmtId="0" fontId="4" fillId="0" borderId="40" xfId="0" applyFont="1" applyBorder="1" applyAlignment="1">
      <alignment horizontal="left"/>
    </xf>
    <xf numFmtId="0" fontId="4" fillId="0" borderId="33" xfId="0" applyFont="1" applyBorder="1" applyAlignment="1">
      <alignment horizontal="left"/>
    </xf>
    <xf numFmtId="171" fontId="5" fillId="0" borderId="31" xfId="0" applyNumberFormat="1" applyFont="1" applyBorder="1"/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3" xfId="0" applyFont="1" applyBorder="1" applyAlignment="1">
      <alignment horizontal="left"/>
    </xf>
    <xf numFmtId="171" fontId="5" fillId="0" borderId="18" xfId="0" applyNumberFormat="1" applyFont="1" applyBorder="1"/>
    <xf numFmtId="0" fontId="4" fillId="0" borderId="46" xfId="0" applyFont="1" applyBorder="1" applyAlignment="1">
      <alignment horizontal="center" vertical="center" wrapText="1"/>
    </xf>
    <xf numFmtId="0" fontId="4" fillId="0" borderId="47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171" fontId="5" fillId="0" borderId="14" xfId="0" applyNumberFormat="1" applyFont="1" applyBorder="1"/>
    <xf numFmtId="171" fontId="5" fillId="0" borderId="15" xfId="0" applyNumberFormat="1" applyFont="1" applyBorder="1"/>
    <xf numFmtId="171" fontId="5" fillId="0" borderId="30" xfId="0" applyNumberFormat="1" applyFont="1" applyBorder="1"/>
    <xf numFmtId="171" fontId="5" fillId="0" borderId="17" xfId="0" applyNumberFormat="1" applyFont="1" applyBorder="1"/>
    <xf numFmtId="0" fontId="29" fillId="0" borderId="0" xfId="0" applyFont="1"/>
    <xf numFmtId="0" fontId="30" fillId="12" borderId="1" xfId="0" applyFont="1" applyFill="1" applyBorder="1"/>
    <xf numFmtId="0" fontId="5" fillId="12" borderId="2" xfId="0" applyFont="1" applyFill="1" applyBorder="1"/>
    <xf numFmtId="0" fontId="5" fillId="12" borderId="3" xfId="0" applyFont="1" applyFill="1" applyBorder="1"/>
    <xf numFmtId="0" fontId="5" fillId="12" borderId="7" xfId="0" applyFont="1" applyFill="1" applyBorder="1"/>
    <xf numFmtId="0" fontId="5" fillId="12" borderId="0" xfId="0" applyFont="1" applyFill="1"/>
    <xf numFmtId="0" fontId="5" fillId="12" borderId="8" xfId="0" applyFont="1" applyFill="1" applyBorder="1"/>
    <xf numFmtId="0" fontId="5" fillId="12" borderId="7" xfId="0" applyFont="1" applyFill="1" applyBorder="1" applyAlignment="1">
      <alignment horizontal="right"/>
    </xf>
    <xf numFmtId="0" fontId="5" fillId="12" borderId="0" xfId="0" applyFont="1" applyFill="1" applyAlignment="1">
      <alignment horizontal="left"/>
    </xf>
    <xf numFmtId="1" fontId="5" fillId="12" borderId="7" xfId="0" applyNumberFormat="1" applyFont="1" applyFill="1" applyBorder="1"/>
    <xf numFmtId="165" fontId="30" fillId="12" borderId="7" xfId="0" applyNumberFormat="1" applyFont="1" applyFill="1" applyBorder="1"/>
    <xf numFmtId="0" fontId="30" fillId="12" borderId="0" xfId="0" applyFont="1" applyFill="1"/>
    <xf numFmtId="0" fontId="30" fillId="12" borderId="8" xfId="0" applyFont="1" applyFill="1" applyBorder="1"/>
    <xf numFmtId="0" fontId="5" fillId="12" borderId="10" xfId="0" applyFont="1" applyFill="1" applyBorder="1"/>
    <xf numFmtId="0" fontId="5" fillId="12" borderId="11" xfId="0" applyFont="1" applyFill="1" applyBorder="1"/>
    <xf numFmtId="0" fontId="5" fillId="12" borderId="12" xfId="0" applyFont="1" applyFill="1" applyBorder="1"/>
    <xf numFmtId="0" fontId="31" fillId="0" borderId="0" xfId="0" applyFont="1"/>
    <xf numFmtId="165" fontId="5" fillId="12" borderId="7" xfId="0" applyNumberFormat="1" applyFont="1" applyFill="1" applyBorder="1"/>
    <xf numFmtId="165" fontId="30" fillId="12" borderId="10" xfId="0" applyNumberFormat="1" applyFont="1" applyFill="1" applyBorder="1"/>
    <xf numFmtId="0" fontId="30" fillId="12" borderId="11" xfId="0" applyFont="1" applyFill="1" applyBorder="1"/>
    <xf numFmtId="0" fontId="5" fillId="0" borderId="0" xfId="0" applyFont="1" applyAlignment="1">
      <alignment wrapText="1"/>
    </xf>
    <xf numFmtId="0" fontId="6" fillId="9" borderId="0" xfId="0" applyFont="1" applyFill="1" applyAlignment="1">
      <alignment horizontal="center" vertical="center" wrapText="1"/>
    </xf>
    <xf numFmtId="0" fontId="5" fillId="9" borderId="0" xfId="0" applyFont="1" applyFill="1" applyAlignment="1">
      <alignment horizontal="right"/>
    </xf>
    <xf numFmtId="170" fontId="5" fillId="13" borderId="0" xfId="0" applyNumberFormat="1" applyFont="1" applyFill="1" applyAlignment="1">
      <alignment horizontal="right"/>
    </xf>
    <xf numFmtId="2" fontId="32" fillId="0" borderId="0" xfId="0" applyNumberFormat="1" applyFont="1" applyAlignment="1">
      <alignment horizontal="center"/>
    </xf>
    <xf numFmtId="2" fontId="5" fillId="9" borderId="0" xfId="0" applyNumberFormat="1" applyFont="1" applyFill="1" applyAlignment="1">
      <alignment horizontal="right"/>
    </xf>
    <xf numFmtId="165" fontId="5" fillId="9" borderId="0" xfId="0" applyNumberFormat="1" applyFont="1" applyFill="1"/>
    <xf numFmtId="164" fontId="5" fillId="9" borderId="0" xfId="0" applyNumberFormat="1" applyFont="1" applyFill="1"/>
    <xf numFmtId="170" fontId="5" fillId="9" borderId="0" xfId="0" applyNumberFormat="1" applyFont="1" applyFill="1"/>
    <xf numFmtId="0" fontId="5" fillId="9" borderId="0" xfId="0" applyFont="1" applyFill="1"/>
    <xf numFmtId="0" fontId="4" fillId="9" borderId="0" xfId="0" applyFont="1" applyFill="1"/>
    <xf numFmtId="9" fontId="5" fillId="0" borderId="9" xfId="0" applyNumberFormat="1" applyFont="1" applyBorder="1"/>
    <xf numFmtId="0" fontId="5" fillId="0" borderId="9" xfId="0" applyFont="1" applyBorder="1"/>
    <xf numFmtId="164" fontId="5" fillId="0" borderId="9" xfId="0" applyNumberFormat="1" applyFont="1" applyBorder="1"/>
    <xf numFmtId="0" fontId="6" fillId="9" borderId="0" xfId="0" applyFont="1" applyFill="1"/>
    <xf numFmtId="166" fontId="5" fillId="0" borderId="9" xfId="0" applyNumberFormat="1" applyFont="1" applyBorder="1"/>
    <xf numFmtId="0" fontId="5" fillId="9" borderId="52" xfId="0" applyFont="1" applyFill="1" applyBorder="1" applyAlignment="1">
      <alignment horizontal="right"/>
    </xf>
    <xf numFmtId="170" fontId="5" fillId="13" borderId="52" xfId="0" applyNumberFormat="1" applyFont="1" applyFill="1" applyBorder="1" applyAlignment="1">
      <alignment horizontal="right"/>
    </xf>
    <xf numFmtId="2" fontId="32" fillId="0" borderId="52" xfId="0" applyNumberFormat="1" applyFont="1" applyBorder="1" applyAlignment="1">
      <alignment horizontal="center"/>
    </xf>
    <xf numFmtId="2" fontId="5" fillId="9" borderId="52" xfId="0" applyNumberFormat="1" applyFont="1" applyFill="1" applyBorder="1" applyAlignment="1">
      <alignment horizontal="right"/>
    </xf>
    <xf numFmtId="165" fontId="5" fillId="9" borderId="52" xfId="0" applyNumberFormat="1" applyFont="1" applyFill="1" applyBorder="1"/>
    <xf numFmtId="164" fontId="5" fillId="9" borderId="52" xfId="0" applyNumberFormat="1" applyFont="1" applyFill="1" applyBorder="1"/>
    <xf numFmtId="170" fontId="5" fillId="9" borderId="52" xfId="0" applyNumberFormat="1" applyFont="1" applyFill="1" applyBorder="1"/>
    <xf numFmtId="0" fontId="6" fillId="9" borderId="0" xfId="0" applyFont="1" applyFill="1" applyAlignment="1">
      <alignment horizontal="right"/>
    </xf>
    <xf numFmtId="170" fontId="6" fillId="9" borderId="0" xfId="0" applyNumberFormat="1" applyFont="1" applyFill="1" applyAlignment="1">
      <alignment horizontal="center"/>
    </xf>
    <xf numFmtId="2" fontId="6" fillId="9" borderId="0" xfId="0" applyNumberFormat="1" applyFont="1" applyFill="1" applyAlignment="1">
      <alignment horizontal="center"/>
    </xf>
    <xf numFmtId="2" fontId="6" fillId="9" borderId="0" xfId="0" applyNumberFormat="1" applyFont="1" applyFill="1" applyAlignment="1">
      <alignment horizontal="right"/>
    </xf>
    <xf numFmtId="165" fontId="6" fillId="9" borderId="0" xfId="0" applyNumberFormat="1" applyFont="1" applyFill="1"/>
    <xf numFmtId="164" fontId="6" fillId="9" borderId="0" xfId="0" applyNumberFormat="1" applyFont="1" applyFill="1"/>
    <xf numFmtId="170" fontId="6" fillId="9" borderId="0" xfId="0" applyNumberFormat="1" applyFont="1" applyFill="1"/>
    <xf numFmtId="166" fontId="5" fillId="0" borderId="19" xfId="0" applyNumberFormat="1" applyFont="1" applyBorder="1"/>
    <xf numFmtId="0" fontId="5" fillId="9" borderId="0" xfId="0" applyFont="1" applyFill="1" applyAlignment="1">
      <alignment horizontal="left" vertical="center" wrapText="1"/>
    </xf>
    <xf numFmtId="10" fontId="5" fillId="0" borderId="30" xfId="0" applyNumberFormat="1" applyFont="1" applyBorder="1" applyAlignment="1">
      <alignment horizontal="center" vertical="center"/>
    </xf>
    <xf numFmtId="170" fontId="11" fillId="13" borderId="0" xfId="0" applyNumberFormat="1" applyFont="1" applyFill="1" applyAlignment="1">
      <alignment horizontal="right"/>
    </xf>
    <xf numFmtId="166" fontId="5" fillId="0" borderId="30" xfId="0" applyNumberFormat="1" applyFont="1" applyBorder="1" applyAlignment="1">
      <alignment horizontal="left" vertical="center"/>
    </xf>
    <xf numFmtId="170" fontId="11" fillId="13" borderId="52" xfId="0" applyNumberFormat="1" applyFont="1" applyFill="1" applyBorder="1" applyAlignment="1">
      <alignment horizontal="righ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17.xml"/><Relationship Id="rId6" Type="http://schemas.openxmlformats.org/officeDocument/2006/relationships/worksheet" Target="worksheets/sheet18.xml"/><Relationship Id="rId7" Type="http://schemas.openxmlformats.org/officeDocument/2006/relationships/worksheet" Target="worksheets/sheet2.xml"/><Relationship Id="rId8" Type="http://schemas.openxmlformats.org/officeDocument/2006/relationships/worksheet" Target="worksheets/sheet3.xml"/><Relationship Id="rId9" Type="http://schemas.openxmlformats.org/officeDocument/2006/relationships/worksheet" Target="worksheets/sheet12.xml"/><Relationship Id="rId10" Type="http://schemas.openxmlformats.org/officeDocument/2006/relationships/worksheet" Target="worksheets/sheet16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8.xml"/><Relationship Id="rId13" Type="http://schemas.openxmlformats.org/officeDocument/2006/relationships/worksheet" Target="worksheets/sheet4.xml"/><Relationship Id="rId14" Type="http://schemas.openxmlformats.org/officeDocument/2006/relationships/worksheet" Target="worksheets/sheet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able1" displayName="Table1" ref="A1:S74" totalsRowShown="1" headerRowCount="0">
  <autoFilter>
    <filterColumn colId="0" hiddenButton="1"/>
    <filterColumn colId="1" hiddenButton="1"/>
  </autoFilter>
  <tableColumns count="2">
    <tableColumn id="1" name="Column1"/>
    <tableColumn id="2" name="Minimum Capacity Thresh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hyperlink" Target="https://publications.gc.ca/collections/collection_2022/eccc/En81-4-2020-3-eng.pdf" TargetMode="External"/><Relationship Id="rId2" Type="http://schemas.openxmlformats.org/officeDocument/2006/relationships/hyperlink" Target="https://publications.gc.ca/collections/collection_2022/eccc/En81-4-2020-2-eng.pdf" TargetMode="External"/><Relationship Id="rId3" Type="http://schemas.openxmlformats.org/officeDocument/2006/relationships/hyperlink" Target="https://www.nrcan.gc.ca/energy/energy-sources-distribution/natural-gas/natural-gas-primer/5641" TargetMode="Externa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Q37"/>
  <sheetViews>
    <sheetView workbookViewId="0" showGridLines="0" zoomScale="100" zoomScaleNormal="100">
      <selection activeCell="D27" sqref="D27"/>
    </sheetView>
  </sheetViews>
  <sheetFormatPr defaultRowHeight="15.75" outlineLevelRow="0" outlineLevelCol="0" x14ac:dyDescent="0.25" defaultColWidth="12.54296875" customHeight="1"/>
  <cols>
    <col min="1" max="1" width="2.81640625" customWidth="1"/>
    <col min="2" max="2" width="6.1796875" customWidth="1"/>
    <col min="3" max="3" width="7.1796875" customWidth="1"/>
  </cols>
  <sheetData>
    <row r="1" spans="1:1" x14ac:dyDescent="0.25">
      <c r="A1">
        <v>15</v>
      </c>
    </row>
    <row r="2" ht="15.75" customHeight="1" spans="2:8" x14ac:dyDescent="0.25">
      <c r="B2" s="1"/>
      <c r="C2" s="1"/>
      <c r="D2" s="1"/>
      <c r="H2" s="2"/>
    </row>
    <row r="3" ht="15.75" customHeight="1" spans="3:4" x14ac:dyDescent="0.25">
      <c r="C3" s="1"/>
      <c r="D3" s="1"/>
    </row>
    <row r="4" ht="15.75" customHeight="1" spans="3:7" x14ac:dyDescent="0.25">
      <c r="C4" s="1"/>
      <c r="D4" s="1"/>
      <c r="G4">
        <v>1200</v>
      </c>
    </row>
    <row r="5" ht="15.75" customHeight="1" spans="3:4" x14ac:dyDescent="0.25">
      <c r="C5" s="1"/>
      <c r="D5" s="1"/>
    </row>
    <row r="6" ht="15.75" customHeight="1" spans="3:4" x14ac:dyDescent="0.25">
      <c r="C6" s="1"/>
      <c r="D6" s="1"/>
    </row>
    <row r="8" ht="15.75" customHeight="1" spans="15:15" x14ac:dyDescent="0.25">
      <c r="O8" s="3"/>
    </row>
    <row r="9" ht="15.75" customHeight="1" spans="17:17" x14ac:dyDescent="0.25">
      <c r="Q9" s="4"/>
    </row>
    <row r="32" ht="15.75" customHeight="1" spans="8:8" x14ac:dyDescent="0.25">
      <c r="H32" s="5"/>
    </row>
    <row r="33" ht="15.75" customHeight="1" spans="8:8" x14ac:dyDescent="0.25">
      <c r="H33" s="6"/>
    </row>
    <row r="34" ht="15.75" customHeight="1" spans="8:8" x14ac:dyDescent="0.25">
      <c r="H34" s="6"/>
    </row>
    <row r="35" ht="15.75" customHeight="1" spans="8:8" x14ac:dyDescent="0.25">
      <c r="H35" s="7"/>
    </row>
    <row r="36" ht="15.75" customHeight="1" spans="8:8" x14ac:dyDescent="0.25">
      <c r="H36" s="6"/>
    </row>
    <row r="37" ht="15.75" customHeight="1" spans="8:8" x14ac:dyDescent="0.25">
      <c r="H37" s="7"/>
    </row>
  </sheetData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B1:AA86"/>
  <sheetViews>
    <sheetView workbookViewId="0" showGridLines="0" zoomScale="100" zoomScaleNormal="100">
      <selection activeCell="C25" sqref="C25"/>
    </sheetView>
  </sheetViews>
  <sheetFormatPr defaultRowHeight="15.75" outlineLevelRow="0" outlineLevelCol="0" x14ac:dyDescent="0.25" defaultColWidth="12.54296875" customHeight="1"/>
  <cols>
    <col min="1" max="1" width="5" customWidth="1"/>
    <col min="2" max="2" width="19.54296875" customWidth="1"/>
    <col min="3" max="3" width="24.54296875" customWidth="1"/>
    <col min="4" max="4" width="15.7265625" customWidth="1"/>
    <col min="5" max="5" width="17.7265625" customWidth="1"/>
    <col min="6" max="6" width="13.7265625" customWidth="1"/>
    <col min="7" max="7" width="14.1796875" customWidth="1"/>
    <col min="8" max="8" width="17.26953125" customWidth="1"/>
    <col min="9" max="9" width="14.81640625" customWidth="1"/>
    <col min="11" max="11" width="18.26953125" customWidth="1"/>
    <col min="12" max="12" width="27.81640625" customWidth="1"/>
  </cols>
  <sheetData>
    <row r="1" ht="13" customHeight="1" spans="2:12" x14ac:dyDescent="0.25">
      <c r="B1" s="114" t="s">
        <v>116</v>
      </c>
      <c r="C1" s="115"/>
      <c r="D1" s="115"/>
      <c r="E1" s="115"/>
      <c r="F1" s="115"/>
      <c r="G1" s="115"/>
      <c r="H1" s="115"/>
      <c r="I1" s="115"/>
      <c r="J1" s="115"/>
      <c r="K1" s="98"/>
      <c r="L1" s="116"/>
    </row>
    <row r="2" ht="13" customHeight="1" spans="2:12" x14ac:dyDescent="0.25">
      <c r="B2" s="100"/>
      <c r="D2" s="1" t="s">
        <v>117</v>
      </c>
      <c r="E2" s="3" t="s">
        <v>118</v>
      </c>
      <c r="K2" s="101"/>
      <c r="L2" s="116"/>
    </row>
    <row r="3" ht="13" customHeight="1" spans="2:12" x14ac:dyDescent="0.25">
      <c r="B3" s="100"/>
      <c r="C3" s="117" t="s">
        <v>119</v>
      </c>
      <c r="D3" s="118">
        <v>-31</v>
      </c>
      <c r="E3" s="119">
        <v>66705.10021363392</v>
      </c>
      <c r="F3" s="120" t="s">
        <v>120</v>
      </c>
      <c r="K3" s="101"/>
      <c r="L3" s="116"/>
    </row>
    <row r="4" ht="13" customHeight="1" spans="2:12" x14ac:dyDescent="0.25">
      <c r="B4" s="100"/>
      <c r="D4" s="121">
        <v>17</v>
      </c>
      <c r="E4" s="122">
        <v>0</v>
      </c>
      <c r="G4" s="3">
        <v>1200</v>
      </c>
      <c r="H4" s="3"/>
      <c r="I4" s="3"/>
      <c r="J4" s="3"/>
      <c r="K4" s="123"/>
      <c r="L4" s="116"/>
    </row>
    <row r="5" ht="13" customHeight="1" spans="2:12" x14ac:dyDescent="0.25">
      <c r="B5" s="100"/>
      <c r="D5" s="121">
        <v>24</v>
      </c>
      <c r="E5" s="122">
        <v>0</v>
      </c>
      <c r="G5" s="3"/>
      <c r="H5" s="3"/>
      <c r="I5" s="3"/>
      <c r="J5" s="3"/>
      <c r="K5" s="123"/>
      <c r="L5" s="116"/>
    </row>
    <row r="6" ht="13" customHeight="1" spans="2:12" x14ac:dyDescent="0.25">
      <c r="B6" s="100"/>
      <c r="C6" s="4" t="s">
        <v>121</v>
      </c>
      <c r="D6" s="121">
        <v>28.6</v>
      </c>
      <c r="E6" s="124">
        <v>10286.968532167963</v>
      </c>
      <c r="F6" t="s">
        <v>122</v>
      </c>
      <c r="G6" s="3"/>
      <c r="H6" s="3"/>
      <c r="I6" s="3"/>
      <c r="J6" s="3"/>
      <c r="K6" s="123"/>
      <c r="L6" s="116"/>
    </row>
    <row r="7" ht="13" customHeight="1" spans="2:12" x14ac:dyDescent="0.25">
      <c r="B7" s="100"/>
      <c r="C7" s="3"/>
      <c r="D7" s="125"/>
      <c r="E7" s="125"/>
      <c r="F7" s="3"/>
      <c r="G7" s="3"/>
      <c r="H7" s="3"/>
      <c r="I7" s="3"/>
      <c r="J7" s="3"/>
      <c r="K7" s="123"/>
      <c r="L7" s="116"/>
    </row>
    <row r="8" ht="13.5" customHeight="1" spans="2:12" x14ac:dyDescent="0.25">
      <c r="B8" s="104"/>
      <c r="C8" s="126"/>
      <c r="D8" s="126"/>
      <c r="E8" s="126"/>
      <c r="F8" s="126"/>
      <c r="G8" s="126"/>
      <c r="H8" s="126"/>
      <c r="I8" s="126"/>
      <c r="J8" s="126"/>
      <c r="K8" s="105"/>
      <c r="L8" s="116"/>
    </row>
    <row r="9" ht="15.75" customHeight="1" spans="11:12" x14ac:dyDescent="0.25">
      <c r="K9" s="127"/>
      <c r="L9" s="128"/>
    </row>
    <row r="10" ht="13" customHeight="1" spans="2:12" x14ac:dyDescent="0.25">
      <c r="B10" s="129" t="s">
        <v>123</v>
      </c>
      <c r="C10" s="130">
        <f>'Home Size Selector'!E12</f>
        <v>165.60795600825512</v>
      </c>
      <c r="D10" s="131" t="s">
        <v>124</v>
      </c>
      <c r="E10" s="131"/>
      <c r="F10" s="131"/>
      <c r="G10" s="132"/>
      <c r="H10" s="133"/>
      <c r="K10" s="134"/>
      <c r="L10" s="128"/>
    </row>
    <row r="11" ht="15.65" customHeight="1" spans="2:12" x14ac:dyDescent="0.25">
      <c r="B11" s="135"/>
      <c r="C11" s="136">
        <f>C10/'Conversion Factors'!$M$4</f>
        <v>156965438.9402073</v>
      </c>
      <c r="D11" s="137" t="s">
        <v>125</v>
      </c>
      <c r="E11" s="5"/>
      <c r="F11" s="72"/>
      <c r="G11" s="101"/>
      <c r="H11" s="138"/>
      <c r="K11" s="134"/>
      <c r="L11" s="128"/>
    </row>
    <row r="12" ht="15.75" customHeight="1" spans="2:12" x14ac:dyDescent="0.25">
      <c r="B12" s="139"/>
      <c r="C12" s="134">
        <f>SUMIF('Calc Table'!H:H,"&lt;"&amp;'Calc Worksheet'!$D$4,'Calc Table'!L:L)</f>
        <v>156965438.94020733</v>
      </c>
      <c r="D12" s="1" t="s">
        <v>126</v>
      </c>
      <c r="E12" s="4" t="s">
        <v>127</v>
      </c>
      <c r="F12" s="72"/>
      <c r="G12" s="101" t="s">
        <v>128</v>
      </c>
      <c r="K12" s="134"/>
      <c r="L12" s="128"/>
    </row>
    <row r="13" ht="15.75" customHeight="1" spans="2:12" x14ac:dyDescent="0.25">
      <c r="B13" s="140"/>
      <c r="C13" s="141">
        <f>C10*'Conversion Factors'!C27</f>
        <v>8756.847005967766</v>
      </c>
      <c r="D13" s="35" t="s">
        <v>129</v>
      </c>
      <c r="E13" s="126"/>
      <c r="F13" s="126"/>
      <c r="G13" s="105"/>
      <c r="K13" s="134"/>
      <c r="L13" s="128"/>
    </row>
    <row r="14" ht="15.75" customHeight="1" spans="2:12" x14ac:dyDescent="0.25">
      <c r="B14" s="142" t="s">
        <v>130</v>
      </c>
      <c r="C14" s="143">
        <f>'Home Size Selector'!F12</f>
        <v>2.616605704930431</v>
      </c>
      <c r="D14" s="144" t="s">
        <v>131</v>
      </c>
      <c r="E14" s="72"/>
      <c r="F14" s="72"/>
      <c r="G14" s="101"/>
      <c r="K14" s="134"/>
      <c r="L14" s="128"/>
    </row>
    <row r="15" ht="15.75" customHeight="1" spans="2:12" x14ac:dyDescent="0.25">
      <c r="B15" s="142"/>
      <c r="C15" s="136">
        <f>C14/'Conversion Factors'!$M$4</f>
        <v>2480053.9352552756</v>
      </c>
      <c r="D15" t="s">
        <v>132</v>
      </c>
      <c r="E15" s="72"/>
      <c r="F15" s="72"/>
      <c r="G15" s="101"/>
      <c r="K15" s="134"/>
      <c r="L15" s="128"/>
    </row>
    <row r="16" ht="15.75" customHeight="1" spans="2:12" x14ac:dyDescent="0.25">
      <c r="B16" s="139"/>
      <c r="C16" s="5">
        <f>SUMIF('Calc Table'!H:H,"&gt;"&amp;'Calc Worksheet'!$D$5,'Calc Table'!L:L)</f>
        <v>2480053.9352552746</v>
      </c>
      <c r="D16" s="72" t="s">
        <v>126</v>
      </c>
      <c r="E16" s="4" t="s">
        <v>127</v>
      </c>
      <c r="F16" s="72"/>
      <c r="G16" s="101"/>
      <c r="K16" s="134"/>
      <c r="L16" s="128"/>
    </row>
    <row r="17" ht="15.75" customHeight="1" spans="2:12" x14ac:dyDescent="0.25">
      <c r="B17" s="139"/>
      <c r="C17" s="145">
        <f>C14*'Conversion Factors'!C9</f>
        <v>428.8326016413763</v>
      </c>
      <c r="D17" s="29" t="s">
        <v>129</v>
      </c>
      <c r="E17" s="72"/>
      <c r="F17" s="72"/>
      <c r="G17" s="101"/>
      <c r="K17" s="134"/>
      <c r="L17" s="128"/>
    </row>
    <row r="18" ht="12.5" customHeight="1" spans="2:12" x14ac:dyDescent="0.25">
      <c r="B18" s="139"/>
      <c r="C18" s="72"/>
      <c r="D18" s="72"/>
      <c r="E18" s="72"/>
      <c r="F18" s="72"/>
      <c r="G18" s="101"/>
      <c r="K18" s="134"/>
      <c r="L18" s="128"/>
    </row>
    <row r="19" ht="13" customHeight="1" spans="2:12" x14ac:dyDescent="0.25">
      <c r="B19" s="146" t="s">
        <v>133</v>
      </c>
      <c r="C19" s="147">
        <f>C13+C17</f>
        <v>9185.679607609141</v>
      </c>
      <c r="D19" s="148" t="s">
        <v>129</v>
      </c>
      <c r="E19" s="149"/>
      <c r="F19" s="149"/>
      <c r="G19" s="150"/>
      <c r="I19" s="151"/>
      <c r="K19" s="134"/>
      <c r="L19" s="128"/>
    </row>
    <row r="20" ht="15.75" customHeight="1" spans="2:12" x14ac:dyDescent="0.25">
      <c r="B20" s="152"/>
      <c r="C20" s="153"/>
      <c r="D20" s="154"/>
      <c r="E20" s="126"/>
      <c r="F20" s="126"/>
      <c r="G20" s="105"/>
      <c r="I20" s="116"/>
      <c r="J20" s="116"/>
      <c r="K20" s="134"/>
      <c r="L20" s="155"/>
    </row>
    <row r="21" ht="15.75" customHeight="1" spans="1:12" x14ac:dyDescent="0.25">
      <c r="A21" s="72"/>
      <c r="B21" s="156"/>
      <c r="C21" s="72"/>
      <c r="D21" s="72"/>
      <c r="E21" s="72"/>
      <c r="F21" s="72"/>
      <c r="G21" s="72"/>
      <c r="I21" s="116"/>
      <c r="J21" s="116"/>
      <c r="K21" s="116"/>
      <c r="L21" s="155"/>
    </row>
    <row r="22" ht="15.75" customHeight="1" spans="2:23" x14ac:dyDescent="0.25">
      <c r="B22" s="114" t="s">
        <v>134</v>
      </c>
      <c r="C22" s="115"/>
      <c r="D22" s="115"/>
      <c r="E22" s="115"/>
      <c r="F22" s="115"/>
      <c r="G22" s="115"/>
      <c r="H22" s="115"/>
      <c r="I22" s="157"/>
      <c r="J22" s="157"/>
      <c r="K22" s="157"/>
      <c r="L22" s="158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98"/>
    </row>
    <row r="23" ht="15.75" customHeight="1" spans="2:23" x14ac:dyDescent="0.25">
      <c r="B23" s="100"/>
      <c r="C23" s="159"/>
      <c r="D23" s="4"/>
      <c r="E23" s="72"/>
      <c r="F23" s="4" t="s">
        <v>135</v>
      </c>
      <c r="G23" s="72"/>
      <c r="H23" s="72"/>
      <c r="I23" s="116"/>
      <c r="J23" s="116"/>
      <c r="K23" s="116"/>
      <c r="L23" s="155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101"/>
    </row>
    <row r="24" ht="15.75" customHeight="1" spans="2:23" x14ac:dyDescent="0.25">
      <c r="B24" s="100"/>
      <c r="C24" s="159"/>
      <c r="D24" s="160"/>
      <c r="E24" s="72"/>
      <c r="F24" s="72"/>
      <c r="G24" s="72"/>
      <c r="H24" s="72"/>
      <c r="I24" s="116"/>
      <c r="J24" s="116"/>
      <c r="K24" s="116"/>
      <c r="L24" s="155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101"/>
    </row>
    <row r="25" ht="15.75" customHeight="1" spans="2:23" x14ac:dyDescent="0.25">
      <c r="B25" s="100"/>
      <c r="C25" s="159" t="s">
        <v>100</v>
      </c>
      <c r="D25" s="160"/>
      <c r="E25" s="72"/>
      <c r="F25" s="72"/>
      <c r="G25" s="72"/>
      <c r="H25" s="72"/>
      <c r="I25" s="116"/>
      <c r="J25" s="116"/>
      <c r="K25" s="116"/>
      <c r="L25" s="155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101"/>
    </row>
    <row r="26" ht="15.75" customHeight="1" spans="2:23" x14ac:dyDescent="0.25">
      <c r="B26" s="100"/>
      <c r="C26" s="159"/>
      <c r="D26" s="160"/>
      <c r="E26" s="72"/>
      <c r="F26" s="4"/>
      <c r="G26" s="72"/>
      <c r="H26" s="72"/>
      <c r="I26" s="116"/>
      <c r="J26" s="116"/>
      <c r="K26" s="116"/>
      <c r="L26" s="155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101"/>
    </row>
    <row r="27" ht="13" customHeight="1" spans="2:23" x14ac:dyDescent="0.25">
      <c r="B27" s="100"/>
      <c r="C27" s="159"/>
      <c r="D27" s="160"/>
      <c r="E27" s="72"/>
      <c r="F27" s="72"/>
      <c r="G27" s="72"/>
      <c r="H27" s="72"/>
      <c r="I27" s="116"/>
      <c r="J27" s="116"/>
      <c r="K27" s="116"/>
      <c r="L27" s="155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101"/>
    </row>
    <row r="28" ht="26" customHeight="1" spans="2:23" x14ac:dyDescent="0.25">
      <c r="B28" s="100"/>
      <c r="C28" s="72"/>
      <c r="D28" s="161" t="s">
        <v>92</v>
      </c>
      <c r="E28" s="162" t="s">
        <v>93</v>
      </c>
      <c r="F28" s="163" t="s">
        <v>94</v>
      </c>
      <c r="G28" s="162" t="s">
        <v>136</v>
      </c>
      <c r="H28" s="163" t="s">
        <v>95</v>
      </c>
      <c r="I28" s="162" t="s">
        <v>137</v>
      </c>
      <c r="J28" s="163" t="s">
        <v>138</v>
      </c>
      <c r="K28" s="162" t="s">
        <v>139</v>
      </c>
      <c r="L28" s="163" t="s">
        <v>96</v>
      </c>
      <c r="M28" s="162" t="s">
        <v>140</v>
      </c>
      <c r="N28" s="163" t="s">
        <v>97</v>
      </c>
      <c r="O28" s="162" t="s">
        <v>141</v>
      </c>
      <c r="P28" s="163" t="s">
        <v>142</v>
      </c>
      <c r="Q28" s="162" t="s">
        <v>143</v>
      </c>
      <c r="R28" s="163" t="s">
        <v>98</v>
      </c>
      <c r="S28" s="162" t="s">
        <v>140</v>
      </c>
      <c r="T28" s="163" t="s">
        <v>99</v>
      </c>
      <c r="U28" s="162" t="s">
        <v>141</v>
      </c>
      <c r="V28" s="163" t="s">
        <v>144</v>
      </c>
      <c r="W28" s="164" t="s">
        <v>143</v>
      </c>
    </row>
    <row r="29" ht="15.75" customHeight="1" spans="2:23" x14ac:dyDescent="0.25">
      <c r="B29" s="100"/>
      <c r="C29" s="165" t="s">
        <v>145</v>
      </c>
      <c r="D29" s="166">
        <f>D3</f>
        <v>-31</v>
      </c>
      <c r="E29" s="167"/>
      <c r="F29" s="168">
        <f>VLOOKUP($C$25&amp;$D29,'Heat Pump Selector'!$C$30:$J$41,3,FALSE)</f>
        <v>14300</v>
      </c>
      <c r="G29" s="169"/>
      <c r="H29" s="168"/>
      <c r="I29" s="169"/>
      <c r="J29" s="166"/>
      <c r="K29" s="169"/>
      <c r="L29" s="170"/>
      <c r="M29" s="169"/>
      <c r="N29" s="170"/>
      <c r="O29" s="169"/>
      <c r="P29" s="170"/>
      <c r="Q29" s="169"/>
      <c r="R29" s="170"/>
      <c r="S29" s="169"/>
      <c r="T29" s="170"/>
      <c r="U29" s="169"/>
      <c r="V29" s="170"/>
      <c r="W29" s="171"/>
    </row>
    <row r="30" ht="15.75" customHeight="1" spans="2:23" x14ac:dyDescent="0.25">
      <c r="B30" s="100"/>
      <c r="C30" s="165"/>
      <c r="D30" s="166">
        <v>-15</v>
      </c>
      <c r="E30" s="167">
        <v>1</v>
      </c>
      <c r="F30" s="168">
        <f>VLOOKUP($C$25&amp;$D30,'Heat Pump Selector'!$C$30:$J$41,3,FALSE)</f>
        <v>20200</v>
      </c>
      <c r="G30" s="169">
        <f>(F31-F30)/($D31-$D30)</f>
        <v>514.2857142857143</v>
      </c>
      <c r="H30" s="168">
        <v>13400</v>
      </c>
      <c r="I30" s="169">
        <f>(H31-H30)/($D31-$D30)</f>
        <v>514.2857142857143</v>
      </c>
      <c r="J30" s="168"/>
      <c r="K30" s="169">
        <f>(J31-J30)/($D31-$D30)</f>
        <v>2042.857142857143</v>
      </c>
      <c r="L30" s="170">
        <v>0.76</v>
      </c>
      <c r="M30" s="169">
        <f>(L31-L30)/($D31-$D30)</f>
        <v>-0.0014285714285714299</v>
      </c>
      <c r="N30" s="170">
        <v>1.64</v>
      </c>
      <c r="O30" s="169">
        <f>(N31-N30)/($D31-$D30)</f>
        <v>-0.012857142857142836</v>
      </c>
      <c r="P30" s="172">
        <v>1.64</v>
      </c>
      <c r="Q30" s="169">
        <f>(P31-P30)/($D31-$D30)</f>
        <v>0.020000000000000018</v>
      </c>
      <c r="R30" s="170">
        <v>1.89</v>
      </c>
      <c r="S30" s="169">
        <f>(R31-R30)/($D31-$D30)</f>
        <v>0.10142857142857145</v>
      </c>
      <c r="T30" s="170">
        <v>2.39</v>
      </c>
      <c r="U30" s="169">
        <f>(T31-T30)/($D31-$D30)</f>
        <v>0.05857142857142853</v>
      </c>
      <c r="V30" s="172">
        <v>1.89</v>
      </c>
      <c r="W30" s="171">
        <f>(V31-V30)/($D31-$D30)</f>
        <v>0.11571428571428576</v>
      </c>
    </row>
    <row r="31" ht="12.5" customHeight="1" spans="2:23" x14ac:dyDescent="0.25">
      <c r="B31" s="100"/>
      <c r="C31" s="72"/>
      <c r="D31" s="168">
        <v>-8</v>
      </c>
      <c r="E31" s="167">
        <v>2</v>
      </c>
      <c r="F31" s="168">
        <f>VLOOKUP($C$25&amp;$D31,'Heat Pump Selector'!$C$30:$J$41,3,FALSE)</f>
        <v>23800</v>
      </c>
      <c r="G31" s="169">
        <f t="shared" ref="G30:G35" si="0">(F32-F31)/($D32-$D31)</f>
        <v>-1131.25</v>
      </c>
      <c r="H31" s="168">
        <v>17000</v>
      </c>
      <c r="I31" s="169">
        <f>(H32-H31)/($D32-$D31)</f>
        <v>362.5</v>
      </c>
      <c r="J31" s="168">
        <v>14300</v>
      </c>
      <c r="K31" s="169">
        <f>(J32-J31)/($D32-$D31)</f>
        <v>531.25</v>
      </c>
      <c r="L31" s="170">
        <v>0.75</v>
      </c>
      <c r="M31" s="169">
        <f>(L32-L31)/($D32-$D31)</f>
        <v>-0.023125</v>
      </c>
      <c r="N31" s="170">
        <v>1.55</v>
      </c>
      <c r="O31" s="169">
        <f>(N32-N31)/($D32-$D31)</f>
        <v>0.013124999999999998</v>
      </c>
      <c r="P31" s="170">
        <v>1.78</v>
      </c>
      <c r="Q31" s="169">
        <f>(P32-P31)/($D32-$D31)</f>
        <v>-0.0012500000000000011</v>
      </c>
      <c r="R31" s="170">
        <v>2.6</v>
      </c>
      <c r="S31" s="169">
        <f>(R32-R31)/($D32-$D31)</f>
        <v>0.11250000000000002</v>
      </c>
      <c r="T31" s="170">
        <v>2.8</v>
      </c>
      <c r="U31" s="169">
        <f>(T32-T31)/($D32-$D31)</f>
        <v>0.0625</v>
      </c>
      <c r="V31" s="170">
        <v>2.7</v>
      </c>
      <c r="W31" s="171">
        <f>(V32-V31)/($D32-$D31)</f>
        <v>0.06874999999999998</v>
      </c>
    </row>
    <row r="32" ht="15.75" customHeight="1" spans="2:23" x14ac:dyDescent="0.25">
      <c r="B32" s="100"/>
      <c r="C32" s="72"/>
      <c r="D32" s="168">
        <f>ROUND(8.3,0)</f>
        <v>8</v>
      </c>
      <c r="E32" s="167">
        <v>3</v>
      </c>
      <c r="F32" s="168">
        <v>5700</v>
      </c>
      <c r="G32" s="169">
        <f t="shared" si="0"/>
        <v>200</v>
      </c>
      <c r="H32" s="168">
        <v>22800</v>
      </c>
      <c r="I32" s="169">
        <f>(H33-H32)/($D33-$D32)</f>
        <v>133.33333333333334</v>
      </c>
      <c r="J32" s="168">
        <v>22800</v>
      </c>
      <c r="K32" s="169">
        <f>(J33-J32)/($D33-$D32)</f>
        <v>0</v>
      </c>
      <c r="L32" s="170">
        <v>0.38</v>
      </c>
      <c r="M32" s="169">
        <f>(L33-L32)/($D33-$D32)</f>
        <v>-0.00888888888888889</v>
      </c>
      <c r="N32" s="170">
        <v>1.76</v>
      </c>
      <c r="O32" s="169">
        <f>(N33-N32)/($D33-$D32)</f>
        <v>-0.003333333333333336</v>
      </c>
      <c r="P32" s="170">
        <v>1.76</v>
      </c>
      <c r="Q32" s="169">
        <f>(P33-P32)/($D33-$D32)</f>
        <v>-0.003333333333333336</v>
      </c>
      <c r="R32" s="170">
        <v>4.4</v>
      </c>
      <c r="S32" s="169">
        <f>(R33-R32)/($D33-$D32)</f>
        <v>0.32555555555555554</v>
      </c>
      <c r="T32" s="170">
        <v>3.8</v>
      </c>
      <c r="U32" s="169">
        <f>(T33-T32)/($D33-$D32)</f>
        <v>0.03000000000000005</v>
      </c>
      <c r="V32" s="170">
        <v>3.8</v>
      </c>
      <c r="W32" s="171">
        <f>(V33-V32)/($D33-$D32)</f>
        <v>0.03000000000000005</v>
      </c>
    </row>
    <row r="33" ht="15.75" customHeight="1" spans="2:23" x14ac:dyDescent="0.25">
      <c r="B33" s="100"/>
      <c r="C33" s="70" t="s">
        <v>146</v>
      </c>
      <c r="D33" s="173">
        <f>D4</f>
        <v>17</v>
      </c>
      <c r="E33" s="167">
        <v>4</v>
      </c>
      <c r="F33" s="168">
        <v>7500</v>
      </c>
      <c r="G33" s="169">
        <f t="shared" si="0"/>
        <v>0</v>
      </c>
      <c r="H33" s="168">
        <v>24000</v>
      </c>
      <c r="I33" s="169">
        <f t="shared" ref="I33:I35" si="1">(H34-H33)/($D34-$D33)</f>
        <v>0</v>
      </c>
      <c r="J33" s="168">
        <v>22800</v>
      </c>
      <c r="K33" s="169">
        <f t="shared" ref="K33:K35" si="2">(J34-J33)/($D34-$D33)</f>
        <v>0</v>
      </c>
      <c r="L33" s="170">
        <v>0.3</v>
      </c>
      <c r="M33" s="169">
        <v>3</v>
      </c>
      <c r="N33" s="170">
        <v>1.73</v>
      </c>
      <c r="O33" s="169">
        <f t="shared" ref="O33:O35" si="3">(N34-N33)/($D34-$D33)</f>
        <v>0</v>
      </c>
      <c r="P33" s="170">
        <v>1.73</v>
      </c>
      <c r="Q33" s="169">
        <f t="shared" ref="Q33:Q35" si="4">(P34-P33)/($D34-$D33)</f>
        <v>0</v>
      </c>
      <c r="R33" s="170">
        <v>7.33</v>
      </c>
      <c r="S33" s="169">
        <f t="shared" ref="S33:S35" si="5">(R34-R33)/($D34-$D33)</f>
        <v>0</v>
      </c>
      <c r="T33" s="170">
        <v>4.07</v>
      </c>
      <c r="U33" s="169">
        <f t="shared" ref="U33:U35" si="6">(T34-T33)/($D34-$D33)</f>
        <v>0</v>
      </c>
      <c r="V33" s="170">
        <v>4.07</v>
      </c>
      <c r="W33" s="171">
        <f t="shared" ref="W33:W35" si="7">(V34-V33)/($D34-$D33)</f>
        <v>0</v>
      </c>
    </row>
    <row r="34" ht="15.75" customHeight="1" spans="2:23" x14ac:dyDescent="0.25">
      <c r="B34" s="100"/>
      <c r="C34" s="174"/>
      <c r="D34" s="175">
        <v>28</v>
      </c>
      <c r="E34" s="167">
        <v>5</v>
      </c>
      <c r="F34" s="168">
        <v>7500</v>
      </c>
      <c r="G34" s="169">
        <f t="shared" si="0"/>
        <v>-100</v>
      </c>
      <c r="H34" s="168">
        <v>24000</v>
      </c>
      <c r="I34" s="169">
        <f t="shared" si="1"/>
        <v>-171.42857142857142</v>
      </c>
      <c r="J34" s="168">
        <v>22800</v>
      </c>
      <c r="K34" s="169">
        <f t="shared" si="2"/>
        <v>0</v>
      </c>
      <c r="L34" s="170">
        <v>0.3</v>
      </c>
      <c r="M34" s="169">
        <v>3</v>
      </c>
      <c r="N34" s="170">
        <v>1.73</v>
      </c>
      <c r="O34" s="169">
        <f t="shared" si="3"/>
        <v>0.04142857142857143</v>
      </c>
      <c r="P34" s="170">
        <v>1.73</v>
      </c>
      <c r="Q34" s="169">
        <f t="shared" si="4"/>
        <v>0.04142857142857143</v>
      </c>
      <c r="R34" s="170">
        <v>7.33</v>
      </c>
      <c r="S34" s="169">
        <f t="shared" si="5"/>
        <v>-0.42857142857142855</v>
      </c>
      <c r="T34" s="170">
        <v>4.07</v>
      </c>
      <c r="U34" s="169">
        <f t="shared" si="6"/>
        <v>-0.10857142857142861</v>
      </c>
      <c r="V34" s="170">
        <v>4.07</v>
      </c>
      <c r="W34" s="171">
        <f t="shared" si="7"/>
        <v>-0.10857142857142861</v>
      </c>
    </row>
    <row r="35" ht="15.75" customHeight="1" spans="2:23" x14ac:dyDescent="0.25">
      <c r="B35" s="100"/>
      <c r="C35" s="72"/>
      <c r="D35" s="168">
        <v>35</v>
      </c>
      <c r="E35" s="167">
        <v>6</v>
      </c>
      <c r="F35" s="168">
        <v>6800</v>
      </c>
      <c r="G35" s="169">
        <f t="shared" si="0"/>
        <v>194.28571428571428</v>
      </c>
      <c r="H35" s="168">
        <v>22800</v>
      </c>
      <c r="I35" s="169">
        <f t="shared" si="1"/>
        <v>651.4285714285714</v>
      </c>
      <c r="J35" s="168">
        <v>22800</v>
      </c>
      <c r="K35" s="169">
        <f t="shared" si="2"/>
        <v>651.4285714285714</v>
      </c>
      <c r="L35" s="170">
        <v>0.46</v>
      </c>
      <c r="M35" s="169">
        <f t="shared" ref="M35" si="8">(L36-L35)/($D36-$D35)</f>
        <v>0.013142857142857144</v>
      </c>
      <c r="N35" s="170">
        <v>2.02</v>
      </c>
      <c r="O35" s="169">
        <f t="shared" si="3"/>
        <v>0.05771428571428572</v>
      </c>
      <c r="P35" s="170">
        <v>2.02</v>
      </c>
      <c r="Q35" s="169">
        <f t="shared" si="4"/>
        <v>0.05771428571428572</v>
      </c>
      <c r="R35" s="170">
        <v>4.33</v>
      </c>
      <c r="S35" s="169">
        <f t="shared" si="5"/>
        <v>0.12371428571428572</v>
      </c>
      <c r="T35" s="170">
        <v>3.31</v>
      </c>
      <c r="U35" s="169">
        <f t="shared" si="6"/>
        <v>0.09457142857142857</v>
      </c>
      <c r="V35" s="170">
        <v>3.31</v>
      </c>
      <c r="W35" s="171">
        <f t="shared" si="7"/>
        <v>0.09457142857142857</v>
      </c>
    </row>
    <row r="36" ht="15.75" customHeight="1" spans="2:23" x14ac:dyDescent="0.25">
      <c r="B36" s="100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101"/>
    </row>
    <row r="37" ht="15.75" customHeight="1" spans="2:23" x14ac:dyDescent="0.25">
      <c r="B37" s="100"/>
      <c r="C37" s="176" t="s">
        <v>147</v>
      </c>
      <c r="D37" s="177"/>
      <c r="E37" s="178">
        <f>SUMIF('Calc Table'!H2:H74,"&lt;"&amp;'Calc Worksheet'!D4,'Calc Table'!J2:J74)</f>
        <v>7223</v>
      </c>
      <c r="F37" s="1" t="s">
        <v>148</v>
      </c>
      <c r="G37" s="72"/>
      <c r="H37" s="72"/>
      <c r="I37" s="138"/>
      <c r="J37" s="176" t="s">
        <v>149</v>
      </c>
      <c r="K37" s="177"/>
      <c r="L37" s="72">
        <f>SUMIF('Calc Table'!H2:H74,"&gt;"&amp;'Calc Worksheet'!$D$5,'Calc Table'!J2:J74)</f>
        <v>341</v>
      </c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101"/>
    </row>
    <row r="38" ht="15.75" customHeight="1" spans="2:23" x14ac:dyDescent="0.25">
      <c r="B38" s="100"/>
      <c r="C38" s="176" t="s">
        <v>150</v>
      </c>
      <c r="D38" s="177"/>
      <c r="E38" s="178">
        <f>C12/E37</f>
        <v>21731.335863243436</v>
      </c>
      <c r="F38" s="65"/>
      <c r="G38" s="72"/>
      <c r="H38" s="72"/>
      <c r="I38" s="72"/>
      <c r="J38" s="176" t="s">
        <v>151</v>
      </c>
      <c r="K38" s="177"/>
      <c r="L38" s="179">
        <f>C16/L37</f>
        <v>7272.885440631304</v>
      </c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101"/>
    </row>
    <row r="39" ht="15.75" customHeight="1" spans="2:23" x14ac:dyDescent="0.25">
      <c r="B39" s="100"/>
      <c r="C39" s="176" t="s">
        <v>152</v>
      </c>
      <c r="D39" s="177"/>
      <c r="E39" s="180">
        <f t="array" ref="E39">VLOOKUP(MIN(IF('Calc Table'!B2:B74&gt;0,'Calc Table'!B2:B74)),'Calc Table'!B2:R74,7,FALSE)</f>
        <v>12</v>
      </c>
      <c r="F39" s="181" t="s">
        <v>153</v>
      </c>
      <c r="G39" s="72"/>
      <c r="H39" s="72"/>
      <c r="I39" s="72"/>
      <c r="J39" s="176" t="s">
        <v>154</v>
      </c>
      <c r="K39" s="177"/>
      <c r="L39" s="5">
        <f>H34</f>
        <v>24000</v>
      </c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101"/>
    </row>
    <row r="40" ht="15.75" customHeight="1" spans="2:23" x14ac:dyDescent="0.25">
      <c r="B40" s="100"/>
      <c r="C40" s="176" t="s">
        <v>154</v>
      </c>
      <c r="D40" s="177"/>
      <c r="E40" s="182">
        <f>H29</f>
        <v>0</v>
      </c>
      <c r="F40" s="4" t="s">
        <v>155</v>
      </c>
      <c r="G40" s="72"/>
      <c r="H40" s="72"/>
      <c r="I40" s="72"/>
      <c r="J40" s="176" t="s">
        <v>156</v>
      </c>
      <c r="K40" s="177"/>
      <c r="L40" s="183">
        <f>L39/E6</f>
        <v>2.3330488398939466</v>
      </c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101"/>
    </row>
    <row r="41" ht="15.75" customHeight="1" spans="2:23" x14ac:dyDescent="0.25">
      <c r="B41" s="100"/>
      <c r="C41" s="176" t="s">
        <v>156</v>
      </c>
      <c r="D41" s="177"/>
      <c r="E41" s="184">
        <f>E40/E3</f>
        <v>0</v>
      </c>
      <c r="F41" s="72"/>
      <c r="G41" s="72"/>
      <c r="H41" s="72"/>
      <c r="I41" s="72"/>
      <c r="J41" s="176" t="s">
        <v>157</v>
      </c>
      <c r="K41" s="177"/>
      <c r="L41" s="5">
        <f>C16</f>
        <v>2480053.9352552746</v>
      </c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101"/>
    </row>
    <row r="42" ht="13" customHeight="1" spans="2:23" x14ac:dyDescent="0.25">
      <c r="B42" s="100"/>
      <c r="C42" s="176" t="s">
        <v>158</v>
      </c>
      <c r="D42" s="177"/>
      <c r="E42" s="185">
        <f>C12</f>
        <v>156965438.94020733</v>
      </c>
      <c r="F42" s="4"/>
      <c r="G42" s="72"/>
      <c r="H42" s="72"/>
      <c r="I42" s="72"/>
      <c r="J42" s="176" t="s">
        <v>159</v>
      </c>
      <c r="K42" s="177"/>
      <c r="L42" s="5">
        <f>SUMIFS('Calc Table'!L55:L74,'Calc Table'!G55:G74,"&gt;0")</f>
        <v>2480053.9352552746</v>
      </c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101"/>
    </row>
    <row r="43" ht="13" customHeight="1" spans="2:23" x14ac:dyDescent="0.25">
      <c r="B43" s="100"/>
      <c r="C43" s="176" t="s">
        <v>160</v>
      </c>
      <c r="D43" s="177"/>
      <c r="E43" s="185">
        <f>SUMIFS('Calc Table'!L2:L54,'Calc Table'!G2:G54,"&gt;0")</f>
        <v>39129489.7232352</v>
      </c>
      <c r="F43" s="72"/>
      <c r="G43" s="72"/>
      <c r="H43" s="72"/>
      <c r="I43" s="72"/>
      <c r="J43" s="176" t="s">
        <v>161</v>
      </c>
      <c r="K43" s="177"/>
      <c r="L43" s="183">
        <f>L42/L41</f>
        <v>1</v>
      </c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101"/>
    </row>
    <row r="44" ht="13" customHeight="1" spans="2:23" x14ac:dyDescent="0.25">
      <c r="B44" s="100"/>
      <c r="C44" s="186" t="s">
        <v>162</v>
      </c>
      <c r="D44" s="187"/>
      <c r="E44" s="188">
        <f>E43/E42</f>
        <v>0.24928729526339075</v>
      </c>
      <c r="F44" s="72"/>
      <c r="G44" s="72"/>
      <c r="H44" s="72"/>
      <c r="I44" s="72"/>
      <c r="J44" s="176" t="s">
        <v>163</v>
      </c>
      <c r="K44" s="177"/>
      <c r="L44" s="5">
        <f>L41-L42</f>
        <v>0</v>
      </c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101"/>
    </row>
    <row r="45" ht="13" customHeight="1" spans="2:23" x14ac:dyDescent="0.25">
      <c r="B45" s="100"/>
      <c r="C45" s="176" t="s">
        <v>164</v>
      </c>
      <c r="D45" s="177"/>
      <c r="E45" s="185">
        <f>E42-E43</f>
        <v>117835949.21697214</v>
      </c>
      <c r="F45" s="7"/>
      <c r="G45" s="72"/>
      <c r="H45" s="72"/>
      <c r="I45" s="72"/>
      <c r="J45" s="176" t="s">
        <v>165</v>
      </c>
      <c r="K45" s="177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101"/>
    </row>
    <row r="46" ht="17.15" customHeight="1" spans="2:23" x14ac:dyDescent="0.25">
      <c r="B46" s="100"/>
      <c r="C46" s="176" t="s">
        <v>166</v>
      </c>
      <c r="D46" s="177"/>
      <c r="E46" s="189">
        <f>SUMIFS('Calc Table'!J2:J74,'Calc Table'!H2:H74,"&lt;="&amp;'Calc Worksheet'!#REF!,'Calc Table'!G2:G74,0)</f>
        <v>0</v>
      </c>
      <c r="F46" s="72"/>
      <c r="G46" s="72"/>
      <c r="H46" s="72"/>
      <c r="I46" s="72"/>
      <c r="J46" s="176" t="s">
        <v>167</v>
      </c>
      <c r="K46" s="177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101"/>
    </row>
    <row r="47" ht="13" customHeight="1" spans="2:23" x14ac:dyDescent="0.25">
      <c r="B47" s="100"/>
      <c r="C47" s="176" t="s">
        <v>168</v>
      </c>
      <c r="D47" s="177"/>
      <c r="E47" s="190">
        <f>E45/E42</f>
        <v>0.7507127047366093</v>
      </c>
      <c r="F47" s="72"/>
      <c r="G47" s="72"/>
      <c r="H47" s="72"/>
      <c r="I47" s="72"/>
      <c r="J47" s="176" t="s">
        <v>169</v>
      </c>
      <c r="K47" s="177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101"/>
    </row>
    <row r="48" ht="15.75" customHeight="1" spans="2:23" x14ac:dyDescent="0.25">
      <c r="B48" s="100"/>
      <c r="C48" s="176" t="s">
        <v>169</v>
      </c>
      <c r="D48" s="177"/>
      <c r="E48" s="191">
        <f>SUM('Calc Table'!E2:E74)</f>
        <v>2840</v>
      </c>
      <c r="F48" s="138"/>
      <c r="G48" s="72"/>
      <c r="H48" s="72"/>
      <c r="I48" s="72"/>
      <c r="J48" s="176" t="s">
        <v>170</v>
      </c>
      <c r="K48" s="177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101"/>
    </row>
    <row r="49" ht="15.75" customHeight="1" spans="2:23" x14ac:dyDescent="0.25">
      <c r="B49" s="100"/>
      <c r="C49" s="192" t="s">
        <v>170</v>
      </c>
      <c r="D49" s="193"/>
      <c r="E49" s="194">
        <f>E48/SUM('Calc Table'!J2:J86)</f>
        <v>0.3242009132420091</v>
      </c>
      <c r="F49" s="72"/>
      <c r="G49" s="72"/>
      <c r="H49" s="72"/>
      <c r="I49" s="72"/>
      <c r="J49" s="176" t="s">
        <v>171</v>
      </c>
      <c r="K49" s="177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101"/>
    </row>
    <row r="50" ht="15.75" customHeight="1" spans="2:23" x14ac:dyDescent="0.25">
      <c r="B50" s="100"/>
      <c r="C50" s="176" t="s">
        <v>171</v>
      </c>
      <c r="D50" s="177"/>
      <c r="E50" s="191">
        <f>SUM('Calc Table'!F2:F74)</f>
        <v>1328</v>
      </c>
      <c r="F50" s="72"/>
      <c r="G50" s="72"/>
      <c r="H50" s="72"/>
      <c r="I50" s="72"/>
      <c r="J50" s="176" t="s">
        <v>172</v>
      </c>
      <c r="K50" s="177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101"/>
    </row>
    <row r="51" ht="15.75" customHeight="1" spans="2:23" x14ac:dyDescent="0.25">
      <c r="B51" s="100"/>
      <c r="C51" s="186" t="s">
        <v>172</v>
      </c>
      <c r="D51" s="187"/>
      <c r="E51" s="188">
        <f>E50/SUM('Calc Table'!J2:J74)</f>
        <v>0.15159817351598173</v>
      </c>
      <c r="F51" s="72"/>
      <c r="G51" s="72"/>
      <c r="H51" s="72"/>
      <c r="I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101"/>
    </row>
    <row r="52" ht="15.75" customHeight="1" spans="2:23" x14ac:dyDescent="0.25">
      <c r="B52" s="104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05"/>
    </row>
    <row r="53" ht="15.75" customHeight="1" x14ac:dyDescent="0.25"/>
    <row r="54" ht="15.75" customHeight="1" spans="2:23" x14ac:dyDescent="0.25">
      <c r="B54" s="195" t="s">
        <v>173</v>
      </c>
      <c r="C54" s="196" t="s">
        <v>174</v>
      </c>
      <c r="D54" s="115"/>
      <c r="E54" s="197">
        <f>C10-((B55-'Home Size Selector'!G12)*C10)</f>
        <v>139.1106830469343</v>
      </c>
      <c r="G54" s="114" t="str">
        <f>B54</f>
        <v>High Efficiency Furnace Upgade</v>
      </c>
      <c r="H54" s="198"/>
      <c r="I54" s="198"/>
      <c r="J54" s="199"/>
      <c r="L54" s="90" t="s">
        <v>175</v>
      </c>
      <c r="M54" s="90" t="s">
        <v>176</v>
      </c>
      <c r="N54" s="90" t="s">
        <v>177</v>
      </c>
      <c r="O54" s="90" t="s">
        <v>178</v>
      </c>
      <c r="P54" s="90" t="s">
        <v>179</v>
      </c>
      <c r="Q54" s="90" t="s">
        <v>180</v>
      </c>
      <c r="T54" s="200" t="s">
        <v>181</v>
      </c>
      <c r="U54" s="201"/>
      <c r="V54" s="201"/>
      <c r="W54" s="202">
        <v>32</v>
      </c>
    </row>
    <row r="55" ht="15.75" customHeight="1" spans="2:23" x14ac:dyDescent="0.25">
      <c r="B55" s="203">
        <v>0.96</v>
      </c>
      <c r="C55" s="181" t="s">
        <v>182</v>
      </c>
      <c r="D55" s="181"/>
      <c r="E55" s="204">
        <f>E54*'Conversion Factors'!C27</f>
        <v>7355.751485012924</v>
      </c>
      <c r="G55" s="100"/>
      <c r="H55" s="4" t="s">
        <v>183</v>
      </c>
      <c r="I55" s="72"/>
      <c r="J55" s="205">
        <f>'Home Size Selector'!N3</f>
        <v>10000</v>
      </c>
      <c r="L55" t="str">
        <f>B54</f>
        <v>High Efficiency Furnace Upgade</v>
      </c>
      <c r="M55" s="83">
        <f>J55</f>
        <v>10000</v>
      </c>
      <c r="N55" s="83">
        <f>J59</f>
        <v>1051.4266746234325</v>
      </c>
      <c r="O55" s="138">
        <f>E57</f>
        <v>1401.0955209548426</v>
      </c>
      <c r="P55" s="179">
        <f>J60</f>
        <v>9.510886723110284</v>
      </c>
      <c r="Q55" s="83">
        <f>M55/O55</f>
        <v>7.137272120593911</v>
      </c>
      <c r="T55" s="206" t="s">
        <v>184</v>
      </c>
      <c r="U55" s="42"/>
      <c r="V55" s="42"/>
      <c r="W55" s="207">
        <v>0.28</v>
      </c>
    </row>
    <row r="56" ht="15.75" customHeight="1" spans="2:20" x14ac:dyDescent="0.25">
      <c r="B56" s="208"/>
      <c r="C56" s="209" t="s">
        <v>185</v>
      </c>
      <c r="D56" s="115"/>
      <c r="E56" s="210">
        <f>C10-'Calc Worksheet'!E54</f>
        <v>26.497272961320817</v>
      </c>
      <c r="G56" s="211"/>
      <c r="H56" s="4" t="s">
        <v>186</v>
      </c>
      <c r="I56" s="72"/>
      <c r="J56" s="205">
        <f>C10*W54</f>
        <v>5299.454592264164</v>
      </c>
      <c r="L56" t="str">
        <f>B64</f>
        <v>Heat Pump + HEF</v>
      </c>
      <c r="M56" s="83">
        <f>J65</f>
        <v>16000</v>
      </c>
      <c r="N56" s="83">
        <f>J69</f>
        <v>-1484.750010007373</v>
      </c>
      <c r="O56" s="138">
        <f>E72</f>
        <v>-934.0295780841898</v>
      </c>
      <c r="P56" s="179">
        <f>J70</f>
        <v>-10.776224881063007</v>
      </c>
      <c r="Q56" s="83">
        <f>M56/O56</f>
        <v>-17.130078506526505</v>
      </c>
      <c r="T56" s="4" t="s">
        <v>187</v>
      </c>
    </row>
    <row r="57" ht="15.75" customHeight="1" spans="2:17" x14ac:dyDescent="0.25">
      <c r="B57" s="212"/>
      <c r="C57" s="213" t="s">
        <v>188</v>
      </c>
      <c r="D57" s="126"/>
      <c r="E57" s="214">
        <f>E56*'Conversion Factors'!C27</f>
        <v>1401.0955209548426</v>
      </c>
      <c r="G57" s="100"/>
      <c r="H57" s="4" t="s">
        <v>189</v>
      </c>
      <c r="I57" s="72"/>
      <c r="J57" s="205">
        <f>(C14*'Conversion Factors'!M5)*W55</f>
        <v>203.5139398611663</v>
      </c>
      <c r="L57" t="str">
        <f>B74</f>
        <v>Heat Pump + HEF + Solar PV</v>
      </c>
      <c r="M57" s="83">
        <f>M56+J76</f>
        <v>26200</v>
      </c>
      <c r="N57" s="83">
        <f>J80</f>
        <v>2051.8164943722404</v>
      </c>
      <c r="O57" s="138">
        <f>E84</f>
        <v>9525.314004335673</v>
      </c>
      <c r="P57" s="179">
        <f>J81</f>
        <v>12.769173106787004</v>
      </c>
      <c r="Q57" s="83">
        <f>M57/O57</f>
        <v>2.750565491917059</v>
      </c>
    </row>
    <row r="58" ht="15.75" customHeight="1" spans="2:17" x14ac:dyDescent="0.25">
      <c r="B58" s="116"/>
      <c r="C58" s="4"/>
      <c r="D58" s="72"/>
      <c r="E58" s="179"/>
      <c r="G58" s="100"/>
      <c r="H58" s="72" t="s">
        <v>190</v>
      </c>
      <c r="I58" s="72"/>
      <c r="J58" s="205">
        <f>E54*W54</f>
        <v>4451.5418575018975</v>
      </c>
      <c r="L58" s="4" t="s">
        <v>191</v>
      </c>
      <c r="M58" s="83">
        <f>M57-('Home Size Selector'!N7+'Home Size Selector'!N8)</f>
        <v>20780</v>
      </c>
      <c r="N58" s="83">
        <f>J80</f>
        <v>2051.8164943722404</v>
      </c>
      <c r="O58" s="138">
        <f>E84</f>
        <v>9525.314004335673</v>
      </c>
      <c r="P58" s="179">
        <f>M58/N58</f>
        <v>10.12761134194786</v>
      </c>
      <c r="Q58" s="83">
        <f>M58/O58</f>
        <v>2.1815553787036825</v>
      </c>
    </row>
    <row r="59" ht="15.75" customHeight="1" spans="2:10" x14ac:dyDescent="0.25">
      <c r="B59" s="116"/>
      <c r="C59" s="4"/>
      <c r="D59" s="72"/>
      <c r="E59" s="179"/>
      <c r="G59" s="100"/>
      <c r="H59" s="72" t="s">
        <v>192</v>
      </c>
      <c r="I59" s="72"/>
      <c r="J59" s="205">
        <f>(J56+J57)-J58</f>
        <v>1051.4266746234325</v>
      </c>
    </row>
    <row r="60" ht="15.75" customHeight="1" spans="2:10" x14ac:dyDescent="0.25">
      <c r="B60" s="116"/>
      <c r="C60" s="4"/>
      <c r="D60" s="72"/>
      <c r="E60" s="179"/>
      <c r="G60" s="104"/>
      <c r="H60" s="126" t="s">
        <v>193</v>
      </c>
      <c r="I60" s="126"/>
      <c r="J60" s="215">
        <f>SUM(J55:J55)/J59</f>
        <v>9.510886723110284</v>
      </c>
    </row>
    <row r="61" ht="15.75" customHeight="1" spans="2:15" x14ac:dyDescent="0.25">
      <c r="B61" s="116"/>
      <c r="C61" s="4"/>
      <c r="D61" s="72"/>
      <c r="E61" s="179"/>
      <c r="L61" s="90"/>
      <c r="M61" s="90"/>
      <c r="O61" s="90"/>
    </row>
    <row r="62" ht="15.75" customHeight="1" spans="2:5" x14ac:dyDescent="0.25">
      <c r="B62" s="116"/>
      <c r="C62" s="4"/>
      <c r="D62" s="72"/>
      <c r="E62" s="179"/>
    </row>
    <row r="63" ht="15.75" customHeight="1" x14ac:dyDescent="0.25"/>
    <row r="64" ht="15.75" customHeight="1" spans="2:10" x14ac:dyDescent="0.25">
      <c r="B64" s="195" t="s">
        <v>194</v>
      </c>
      <c r="C64" s="196" t="s">
        <v>195</v>
      </c>
      <c r="D64" s="115"/>
      <c r="E64" s="197">
        <f>SUM('Calc Table'!$D$2:$D$74)</f>
        <v>3224.3480196033074</v>
      </c>
      <c r="F64" s="83"/>
      <c r="G64" s="114" t="str">
        <f>B64</f>
        <v>Heat Pump + HEF</v>
      </c>
      <c r="H64" s="198"/>
      <c r="I64" s="198"/>
      <c r="J64" s="199"/>
    </row>
    <row r="65" ht="15.65" customHeight="1" spans="2:10" x14ac:dyDescent="0.25">
      <c r="B65" s="100"/>
      <c r="C65" s="181" t="s">
        <v>196</v>
      </c>
      <c r="D65" s="216"/>
      <c r="E65" s="217">
        <f>(E64/277.778)</f>
        <v>11.607643584457039</v>
      </c>
      <c r="G65" s="100"/>
      <c r="H65" s="4" t="s">
        <v>197</v>
      </c>
      <c r="I65" s="72"/>
      <c r="J65" s="205">
        <f>'Home Size Selector'!N4</f>
        <v>16000</v>
      </c>
    </row>
    <row r="66" ht="15.75" customHeight="1" spans="2:10" x14ac:dyDescent="0.25">
      <c r="B66" s="208"/>
      <c r="C66" s="181" t="s">
        <v>198</v>
      </c>
      <c r="D66" s="181"/>
      <c r="E66" s="204">
        <f>E65*'Conversion Factors'!C9</f>
        <v>1902.363809674904</v>
      </c>
      <c r="G66" s="211"/>
      <c r="H66" s="4" t="s">
        <v>186</v>
      </c>
      <c r="I66" s="72"/>
      <c r="J66" s="205">
        <f>'User Inputs'!E14*W54</f>
        <v>2059.52</v>
      </c>
    </row>
    <row r="67" ht="15.75" customHeight="1" spans="2:10" x14ac:dyDescent="0.25">
      <c r="B67" s="208"/>
      <c r="C67" s="181" t="s">
        <v>199</v>
      </c>
      <c r="D67" s="181"/>
      <c r="E67" s="217">
        <f>(E45*'Conversion Factors'!M4)/'User Inputs'!O2</f>
        <v>155.40499572607328</v>
      </c>
      <c r="F67" s="4"/>
      <c r="G67" s="100"/>
      <c r="H67" s="4" t="s">
        <v>189</v>
      </c>
      <c r="I67" s="72"/>
      <c r="J67" s="205">
        <f>(C14*'Conversion Factors'!M5)*W55</f>
        <v>203.5139398611663</v>
      </c>
    </row>
    <row r="68" ht="15.65" customHeight="1" spans="2:10" x14ac:dyDescent="0.25">
      <c r="B68" s="208"/>
      <c r="C68" s="181" t="s">
        <v>200</v>
      </c>
      <c r="D68" s="181"/>
      <c r="E68" s="204">
        <f>E67*'Conversion Factors'!C27</f>
        <v>8217.345376018427</v>
      </c>
      <c r="G68" s="100"/>
      <c r="H68" s="72" t="s">
        <v>190</v>
      </c>
      <c r="I68" s="72"/>
      <c r="J68" s="205">
        <f>(E67*'User Inputs'!G14)+(E64*'User Inputs'!G17)</f>
        <v>3747.7839498685394</v>
      </c>
    </row>
    <row r="69" ht="15.75" customHeight="1" spans="2:10" x14ac:dyDescent="0.25">
      <c r="B69" s="100"/>
      <c r="C69" s="90" t="s">
        <v>201</v>
      </c>
      <c r="D69" s="90"/>
      <c r="E69" s="218">
        <f>E65+E67</f>
        <v>167.01263931053032</v>
      </c>
      <c r="G69" s="100"/>
      <c r="H69" s="72" t="s">
        <v>192</v>
      </c>
      <c r="I69" s="72"/>
      <c r="J69" s="205">
        <f>(J66+J67)-J68</f>
        <v>-1484.750010007373</v>
      </c>
    </row>
    <row r="70" ht="15.75" customHeight="1" spans="2:25" x14ac:dyDescent="0.25">
      <c r="B70" s="211"/>
      <c r="C70" s="4" t="s">
        <v>202</v>
      </c>
      <c r="D70" s="72"/>
      <c r="E70" s="219">
        <f>E66+E68</f>
        <v>10119.709185693331</v>
      </c>
      <c r="F70" s="179"/>
      <c r="G70" s="104"/>
      <c r="H70" s="126" t="s">
        <v>193</v>
      </c>
      <c r="I70" s="126"/>
      <c r="J70" s="215">
        <f>SUM(J65:J65)/J69</f>
        <v>-10.776224881063007</v>
      </c>
      <c r="Y70" s="179"/>
    </row>
    <row r="71" ht="15.75" customHeight="1" spans="2:10" x14ac:dyDescent="0.25">
      <c r="B71" s="100"/>
      <c r="C71" s="97" t="s">
        <v>203</v>
      </c>
      <c r="D71" s="115"/>
      <c r="E71" s="210">
        <f>(C10+C14)-E69</f>
        <v>1.211922402655233</v>
      </c>
      <c r="G71" s="72"/>
      <c r="H71" s="72"/>
      <c r="I71" s="72"/>
      <c r="J71" s="72"/>
    </row>
    <row r="72" ht="15.75" customHeight="1" spans="2:5" x14ac:dyDescent="0.25">
      <c r="B72" s="104"/>
      <c r="C72" s="213" t="s">
        <v>204</v>
      </c>
      <c r="D72" s="126"/>
      <c r="E72" s="214">
        <f>C19-E70</f>
        <v>-934.0295780841898</v>
      </c>
    </row>
    <row r="73" ht="15.75" customHeight="1" spans="2:27" x14ac:dyDescent="0.25">
      <c r="B73" s="72"/>
      <c r="Y73" s="220"/>
      <c r="Z73" s="6"/>
      <c r="AA73" s="6"/>
    </row>
    <row r="74" ht="15.75" customHeight="1" spans="2:27" x14ac:dyDescent="0.25">
      <c r="B74" s="221" t="s">
        <v>205</v>
      </c>
      <c r="C74" s="196" t="s">
        <v>195</v>
      </c>
      <c r="D74" s="115"/>
      <c r="E74" s="197">
        <f>SUM('Calc Table'!$D$2:$D$74)</f>
        <v>3224.3480196033074</v>
      </c>
      <c r="G74" s="114" t="str">
        <f>B74</f>
        <v>Heat Pump + HEF + Solar PV</v>
      </c>
      <c r="H74" s="198"/>
      <c r="I74" s="198"/>
      <c r="J74" s="199"/>
      <c r="Y74" s="83"/>
      <c r="Z74" s="83"/>
      <c r="AA74" s="83"/>
    </row>
    <row r="75" ht="15.75" customHeight="1" spans="2:10" x14ac:dyDescent="0.25">
      <c r="B75" s="222"/>
      <c r="C75" s="181" t="s">
        <v>196</v>
      </c>
      <c r="D75" s="216"/>
      <c r="E75" s="217">
        <f>(E74/277.778)</f>
        <v>11.607643584457039</v>
      </c>
      <c r="G75" s="100"/>
      <c r="H75" s="4" t="s">
        <v>197</v>
      </c>
      <c r="I75" s="72"/>
      <c r="J75" s="205">
        <f>'Home Size Selector'!N4</f>
        <v>16000</v>
      </c>
    </row>
    <row r="76" ht="15.75" customHeight="1" spans="2:10" x14ac:dyDescent="0.25">
      <c r="B76" s="223"/>
      <c r="C76" s="181" t="s">
        <v>206</v>
      </c>
      <c r="D76" s="216"/>
      <c r="E76" s="217">
        <f>'User Inputs'!O6/'Conversion Factors'!M5</f>
        <v>13.679989056008754</v>
      </c>
      <c r="G76" s="211"/>
      <c r="H76" s="4" t="s">
        <v>207</v>
      </c>
      <c r="I76" s="90"/>
      <c r="J76" s="205">
        <f>'Home Size Selector'!N5</f>
        <v>10200</v>
      </c>
    </row>
    <row r="77" ht="15.75" customHeight="1" spans="2:10" x14ac:dyDescent="0.25">
      <c r="B77" s="223"/>
      <c r="C77" s="181" t="s">
        <v>208</v>
      </c>
      <c r="D77" s="216"/>
      <c r="E77" s="217">
        <f>E75-E76</f>
        <v>-2.0723454715517153</v>
      </c>
      <c r="G77" s="100"/>
      <c r="H77" s="4" t="s">
        <v>186</v>
      </c>
      <c r="I77" s="72"/>
      <c r="J77" s="205">
        <f>J66</f>
        <v>2059.52</v>
      </c>
    </row>
    <row r="78" ht="15.75" customHeight="1" spans="2:10" x14ac:dyDescent="0.25">
      <c r="B78" s="208"/>
      <c r="C78" s="181" t="s">
        <v>209</v>
      </c>
      <c r="D78" s="181"/>
      <c r="E78" s="224">
        <f>E77*'Conversion Factors'!C9</f>
        <v>-339.6343967265312</v>
      </c>
      <c r="G78" s="100"/>
      <c r="H78" s="4" t="s">
        <v>189</v>
      </c>
      <c r="I78" s="72"/>
      <c r="J78" s="205">
        <f>J67</f>
        <v>203.5139398611663</v>
      </c>
    </row>
    <row r="79" ht="15.75" customHeight="1" spans="2:11" x14ac:dyDescent="0.25">
      <c r="B79" s="208"/>
      <c r="C79" s="181" t="s">
        <v>199</v>
      </c>
      <c r="D79" s="181"/>
      <c r="E79" s="217">
        <f>E67</f>
        <v>155.40499572607328</v>
      </c>
      <c r="G79" s="100"/>
      <c r="H79" s="4" t="s">
        <v>210</v>
      </c>
      <c r="I79" s="72"/>
      <c r="J79" s="205">
        <f>E75*'Conversion Factors'!M5*W55-E76*'Conversion Factors'!M5*(W55*65%)</f>
        <v>211.21744548892605</v>
      </c>
      <c r="K79" s="3" t="s">
        <v>211</v>
      </c>
    </row>
    <row r="80" ht="15.75" customHeight="1" spans="2:10" x14ac:dyDescent="0.25">
      <c r="B80" s="208"/>
      <c r="C80" s="181" t="s">
        <v>200</v>
      </c>
      <c r="D80" s="181"/>
      <c r="E80" s="204">
        <f>E79*'Conversion Factors'!C37</f>
        <v>0</v>
      </c>
      <c r="G80" s="100"/>
      <c r="H80" s="72" t="s">
        <v>192</v>
      </c>
      <c r="I80" s="72"/>
      <c r="J80" s="205">
        <f>(J77+J78)-J79</f>
        <v>2051.8164943722404</v>
      </c>
    </row>
    <row r="81" ht="15.75" customHeight="1" spans="2:10" x14ac:dyDescent="0.25">
      <c r="B81" s="100"/>
      <c r="C81" s="90" t="s">
        <v>201</v>
      </c>
      <c r="D81" s="90"/>
      <c r="E81" s="218">
        <f>E77+E79</f>
        <v>153.33265025452155</v>
      </c>
      <c r="G81" s="213"/>
      <c r="H81" s="225" t="s">
        <v>193</v>
      </c>
      <c r="I81" s="225"/>
      <c r="J81" s="226">
        <f>SUM(J75:J76)/J80</f>
        <v>12.769173106787004</v>
      </c>
    </row>
    <row r="82" ht="15.75" customHeight="1" spans="2:5" x14ac:dyDescent="0.25">
      <c r="B82" s="211"/>
      <c r="C82" s="4" t="s">
        <v>202</v>
      </c>
      <c r="D82" s="72"/>
      <c r="E82" s="227">
        <f>E78+E80</f>
        <v>-339.6343967265312</v>
      </c>
    </row>
    <row r="83" ht="15.75" customHeight="1" spans="2:5" x14ac:dyDescent="0.25">
      <c r="B83" s="100"/>
      <c r="C83" s="97" t="s">
        <v>212</v>
      </c>
      <c r="D83" s="115"/>
      <c r="E83" s="210">
        <f>(C10+C14)-E81</f>
        <v>14.891911458663998</v>
      </c>
    </row>
    <row r="84" ht="15.75" customHeight="1" spans="2:7" x14ac:dyDescent="0.25">
      <c r="B84" s="104"/>
      <c r="C84" s="213" t="s">
        <v>204</v>
      </c>
      <c r="D84" s="126"/>
      <c r="E84" s="214">
        <f>C19-E82</f>
        <v>9525.314004335673</v>
      </c>
      <c r="G84" s="83"/>
    </row>
    <row r="85" ht="15.75" customHeight="1" spans="7:7" x14ac:dyDescent="0.25">
      <c r="G85" s="83"/>
    </row>
    <row r="86" ht="15.75" customHeight="1" spans="7:7" x14ac:dyDescent="0.25">
      <c r="G86" s="83"/>
    </row>
  </sheetData>
  <mergeCells count="24">
    <mergeCell ref="B10:B11"/>
    <mergeCell ref="B14:B15"/>
    <mergeCell ref="B19:B20"/>
    <mergeCell ref="C19:C20"/>
    <mergeCell ref="D19:D20"/>
    <mergeCell ref="C37:D37"/>
    <mergeCell ref="J37:K37"/>
    <mergeCell ref="C38:D38"/>
    <mergeCell ref="J38:K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J50:K50"/>
    <mergeCell ref="C51:D51"/>
    <mergeCell ref="B74:B75"/>
  </mergeCells>
  <conditionalFormatting sqref="E72">
    <cfRule type="cellIs" dxfId="0" priority="5" operator="lessThan">
      <formula>0</formula>
    </cfRule>
    <cfRule type="cellIs" dxfId="1" priority="6" operator="greaterThan">
      <formula>0</formula>
    </cfRule>
  </conditionalFormatting>
  <conditionalFormatting sqref="E84">
    <cfRule type="cellIs" dxfId="2" priority="3" operator="lessThan">
      <formula>0</formula>
    </cfRule>
    <cfRule type="cellIs" dxfId="3" priority="4" operator="greaterThan">
      <formula>0</formula>
    </cfRule>
  </conditionalFormatting>
  <conditionalFormatting sqref="E57">
    <cfRule type="cellIs" dxfId="4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AD12417"/>
  <sheetViews>
    <sheetView workbookViewId="0" showGridLines="0" zoomScale="115" zoomScaleNormal="115">
      <pane ySplit="1" topLeftCell="A2" activePane="bottomLeft" state="frozen"/>
      <selection pane="bottomLeft" activeCell="O20" sqref="O20"/>
    </sheetView>
  </sheetViews>
  <sheetFormatPr defaultRowHeight="15.75" outlineLevelRow="0" outlineLevelCol="0" x14ac:dyDescent="0.25" defaultColWidth="12.54296875" customHeight="1"/>
  <cols>
    <col min="1" max="1" width="10.54296875" customWidth="1"/>
    <col min="2" max="3" width="28.54296875" customWidth="1"/>
    <col min="4" max="4" width="16.453125" customWidth="1"/>
    <col min="5" max="5" width="18" customWidth="1"/>
    <col min="6" max="6" width="16.81640625" customWidth="1"/>
    <col min="7" max="7" width="28.81640625" customWidth="1"/>
    <col min="8" max="8" width="14.1796875" customWidth="1"/>
    <col min="9" max="9" width="17.1796875" customWidth="1"/>
    <col min="11" max="11" width="25.54296875" customWidth="1"/>
    <col min="12" max="12" width="26.1796875" customWidth="1"/>
    <col min="13" max="13" width="31.7265625" customWidth="1"/>
    <col min="14" max="14" width="30" customWidth="1"/>
    <col min="15" max="15" width="30.453125" customWidth="1"/>
    <col min="16" max="16" width="13.7265625" customWidth="1"/>
  </cols>
  <sheetData>
    <row r="1" ht="15.75" customHeight="1" spans="1:29" x14ac:dyDescent="0.25">
      <c r="A1" t="s">
        <v>213</v>
      </c>
      <c r="B1" s="228" t="s">
        <v>152</v>
      </c>
      <c r="C1" s="228" t="s">
        <v>214</v>
      </c>
      <c r="D1" s="228" t="s">
        <v>215</v>
      </c>
      <c r="E1" s="228" t="s">
        <v>216</v>
      </c>
      <c r="F1" s="228" t="s">
        <v>217</v>
      </c>
      <c r="G1" s="228" t="s">
        <v>218</v>
      </c>
      <c r="H1" s="228" t="s">
        <v>219</v>
      </c>
      <c r="I1" s="228" t="s">
        <v>220</v>
      </c>
      <c r="J1" s="228" t="s">
        <v>221</v>
      </c>
      <c r="K1" s="229" t="s">
        <v>222</v>
      </c>
      <c r="L1" s="228" t="s">
        <v>223</v>
      </c>
      <c r="M1" s="228" t="s">
        <v>224</v>
      </c>
      <c r="N1" s="228" t="s">
        <v>225</v>
      </c>
      <c r="O1" s="228" t="s">
        <v>226</v>
      </c>
      <c r="P1" s="228" t="s">
        <v>227</v>
      </c>
      <c r="Q1" s="228" t="s">
        <v>228</v>
      </c>
      <c r="R1" s="228" t="s">
        <v>142</v>
      </c>
      <c r="S1" s="230" t="s">
        <v>144</v>
      </c>
      <c r="X1" s="231" t="s">
        <v>229</v>
      </c>
      <c r="Y1" s="231" t="s">
        <v>230</v>
      </c>
      <c r="Z1" s="231" t="s">
        <v>231</v>
      </c>
      <c r="AA1" s="231" t="s">
        <v>232</v>
      </c>
      <c r="AB1" s="231" t="s">
        <v>92</v>
      </c>
      <c r="AC1" s="231" t="s">
        <v>92</v>
      </c>
    </row>
    <row r="2" ht="15.75" customHeight="1" spans="1:30" x14ac:dyDescent="0.25">
      <c r="A2">
        <v>1</v>
      </c>
      <c r="B2" s="178">
        <f>IFERROR(IF(H2&lt;'Calc Worksheet'!$D$4,$K2-$M2,0),0)</f>
        <v>68094.78980141797</v>
      </c>
      <c r="C2" s="178">
        <f t="shared" ref="C2:C33" si="0">K2-N2</f>
        <v>68094.78980141797</v>
      </c>
      <c r="D2" s="178">
        <f t="shared" ref="D2:D33" si="1">IFERROR((K2/N2)*Q2*G2,0)</f>
        <v>0</v>
      </c>
      <c r="E2" s="178">
        <f>IFERROR(IF(H2&gt;'Calc Worksheet'!$D$5,IF(AND(K2&gt;M2,K2&lt;N2,H2&gt;'Calc Worksheet'!$D$5),J2,0),IF(AND(K2&gt;M2,K2&lt;N2,H2&lt;'Calc Worksheet'!$D$4),J2,0)),0)</f>
        <v>0</v>
      </c>
      <c r="F2" s="178">
        <f>IFERROR(IF(H2&gt;'Calc Worksheet'!$D$5,IF(AND(K2&lt;M2,H2&gt;'Calc Worksheet'!$D$5),J2,0),IF(AND(K2&lt;M2,H2&lt;'Calc Worksheet'!$D$4),J2,0)),0)</f>
        <v>0</v>
      </c>
      <c r="G2" s="178">
        <f>E2+F2</f>
        <v>0</v>
      </c>
      <c r="H2" s="178">
        <v>-32</v>
      </c>
      <c r="I2" s="232">
        <f>IFERROR(VLOOKUP(H2,'Calc Worksheet'!$D$27:$T$35,2),0)</f>
        <v>0</v>
      </c>
      <c r="J2" s="178">
        <f t="shared" ref="J2:J33" si="2">COUNTIF($AC$2:$AC$8761,H2)</f>
        <v>4</v>
      </c>
      <c r="K2" s="232">
        <f>IF(H2&lt;'Calc Worksheet'!$D$4,MAX(_xlfn.FORECAST.LINEAR(H2,'Calc Worksheet'!$E$3:$E$4,'Calc Worksheet'!$D$3:$D$4),0),MAX(_xlfn.FORECAST.LINEAR(H2,'Calc Worksheet'!$E$5:$E$6,'Calc Worksheet'!$D$5:$D$6),0))</f>
        <v>68094.78980141797</v>
      </c>
      <c r="L2" s="178">
        <f t="shared" ref="L2:L33" si="3">J2*K2</f>
        <v>272379.15920567187</v>
      </c>
      <c r="M2" s="232">
        <f>IFERROR(IF(ISNUMBER(MATCH(H2,'Calc Worksheet'!$D$29:$D$35,0)),VLOOKUP(H2,'Calc Worksheet'!$D$29:$V$35,3,FALSE),INDEX('Calc Worksheet'!$F$29:$F$35,MATCH(I2,'Calc Worksheet'!$E$29:$E$35,0))+(INDEX('Calc Worksheet'!$G$29:$G$35,MATCH(I2,'Calc Worksheet'!$E$29:$E$35,0))*(H2-(INDEX('Calc Worksheet'!$D$29:$D$35,MATCH(I2,'Calc Worksheet'!$E$29:$E$35,0)))))),0)</f>
        <v>0</v>
      </c>
      <c r="N2" s="232">
        <f>IFERROR(IF(ISNUMBER(MATCH(H2,'Calc Worksheet'!$D$29:$D$35,0)),VLOOKUP(H2,'Calc Worksheet'!$D$29:$V$35,5,FALSE),INDEX('Calc Worksheet'!$H$29:$H$35,MATCH(I2,'Calc Worksheet'!$E$29:$E$35,0))+(INDEX('Calc Worksheet'!$I$29:$I$35,MATCH(I2,'Calc Worksheet'!$E$29:$E$35,0))*(H2-(INDEX('Calc Worksheet'!$D$29:$D$35,MATCH(I2,'Calc Worksheet'!$E$29:$E$35,0)))))),0)</f>
        <v>0</v>
      </c>
      <c r="O2" s="232">
        <f>IFERROR(IF(ISNUMBER(MATCH($H2,'Calc Worksheet'!$D$29:$D$35,0)),VLOOKUP($H2,'Calc Worksheet'!$D$29:$V$35,7,FALSE),INDEX('Calc Worksheet'!J$29:J$35,MATCH($I2,'Calc Worksheet'!$E$29:$E$35,0))+(INDEX('Calc Worksheet'!K$29:K$35,MATCH($I2,'Calc Worksheet'!$E$29:$E$35,0))*($H2-(INDEX('Calc Worksheet'!$D$29:$D$35,MATCH($I2,'Calc Worksheet'!$E$29:$E$35,0)))))),0)</f>
        <v>0</v>
      </c>
      <c r="P2" s="169">
        <f>IFERROR(IF(ISNUMBER(MATCH($H2,'Calc Worksheet'!$D$29:$D$35,0)),VLOOKUP($H2,'Calc Worksheet'!$D$29:$V$35,9,FALSE),INDEX('Calc Worksheet'!L$29:L$35,MATCH($I2,'Calc Worksheet'!$E$29:$E$35,0))+(INDEX('Calc Worksheet'!M$29:M$35,MATCH($I2,'Calc Worksheet'!$E$29:$E$35,0))*($H2-(INDEX('Calc Worksheet'!$D$29:$D$35,MATCH($I2,'Calc Worksheet'!$E$29:$E$35,0)))))),0)</f>
        <v>0</v>
      </c>
      <c r="Q2" s="169">
        <f>IFERROR(IF(ISNUMBER(MATCH($H2,'Calc Worksheet'!$D$29:$D$35,0)),VLOOKUP($H2,'Calc Worksheet'!$D$29:$V$35,11,FALSE),INDEX('Calc Worksheet'!N$29:N$35,MATCH($I2,'Calc Worksheet'!$E$29:$E$35,0))+(INDEX('Calc Worksheet'!O$29:O$35,MATCH($I2,'Calc Worksheet'!$E$29:$E$35,0))*($H2-(INDEX('Calc Worksheet'!$D$29:$D$35,MATCH($I2,'Calc Worksheet'!$E$29:$E$35,0)))))),0)</f>
        <v>0</v>
      </c>
      <c r="R2" s="169">
        <f>IFERROR(IF(ISNUMBER(MATCH($H2,'Calc Worksheet'!$D$29:$D$35,0)),VLOOKUP($H2,'Calc Worksheet'!$D$29:$V$35,13,FALSE),INDEX('Calc Worksheet'!P$29:P$35,MATCH($I2,'Calc Worksheet'!$E$29:$E$35,0))+(INDEX('Calc Worksheet'!Q$29:Q$35,MATCH($I2,'Calc Worksheet'!$E$29:$E$35,0))*($H2-(INDEX('Calc Worksheet'!$D$29:$D$35,MATCH($I2,'Calc Worksheet'!$E$29:$E$35,0)))))),0)</f>
        <v>0</v>
      </c>
      <c r="S2" s="233">
        <f>IFERROR(IF(ISNUMBER(MATCH($H2,'Calc Worksheet'!$D$29:$D$35,0)),VLOOKUP($H2,'Calc Worksheet'!$D$29:$V$35,19,FALSE),INDEX('Calc Worksheet'!V$29:V$35,MATCH($I2,'Calc Worksheet'!$E$29:$E$35,0))+(INDEX('Calc Worksheet'!W$29:W$35,MATCH($I2,'Calc Worksheet'!$E$29:$E$35,0))*($H2-(INDEX('Calc Worksheet'!$D$29:$D$35,MATCH($I2,'Calc Worksheet'!$E$29:$E$35,0)))))),0)</f>
        <v>0</v>
      </c>
      <c r="X2" s="234">
        <v>2022</v>
      </c>
      <c r="Y2" s="234">
        <v>1</v>
      </c>
      <c r="Z2" s="234">
        <v>1</v>
      </c>
      <c r="AA2" s="235">
        <v>0</v>
      </c>
      <c r="AB2" s="236">
        <v>-25.8</v>
      </c>
      <c r="AC2" s="127">
        <f t="shared" ref="AC2:AC9" si="4">ROUNDDOWN(AB2,0)</f>
        <v>-25</v>
      </c>
      <c r="AD2" s="237"/>
    </row>
    <row r="3" ht="15.75" customHeight="1" spans="1:30" x14ac:dyDescent="0.25">
      <c r="A3">
        <v>2</v>
      </c>
      <c r="B3" s="178">
        <f>IFERROR(IF(H3&lt;'Calc Worksheet'!$D$4,$K3-$M3,0),0)</f>
        <v>52405.10021363392</v>
      </c>
      <c r="C3" s="178">
        <f t="shared" si="0"/>
        <v>66705.10021363392</v>
      </c>
      <c r="D3" s="178">
        <f t="shared" si="1"/>
        <v>0</v>
      </c>
      <c r="E3" s="178">
        <f>IFERROR(IF(H3&gt;'Calc Worksheet'!$D$5,IF(AND(K3&gt;M3,K3&lt;N3,H3&gt;'Calc Worksheet'!$D$5),J3,0),IF(AND(K3&gt;M3,K3&lt;N3,H3&lt;'Calc Worksheet'!$D$4),J3,0)),0)</f>
        <v>0</v>
      </c>
      <c r="F3" s="178">
        <f>IFERROR(IF(H3&gt;'Calc Worksheet'!$D$5,IF(AND(K3&lt;M3,H3&gt;'Calc Worksheet'!$D$5),J3,0),IF(AND(K3&lt;M3,H3&lt;'Calc Worksheet'!$D$4),J3,0)),0)</f>
        <v>0</v>
      </c>
      <c r="G3" s="178">
        <f t="shared" ref="G3:G66" si="5">E3+F3</f>
        <v>0</v>
      </c>
      <c r="H3" s="178">
        <v>-31</v>
      </c>
      <c r="I3" s="232">
        <f>IFERROR(VLOOKUP(H3,'Calc Worksheet'!$D$27:$T$35,2),0)</f>
        <v>0</v>
      </c>
      <c r="J3" s="178">
        <f t="shared" si="2"/>
        <v>17</v>
      </c>
      <c r="K3" s="238">
        <f>IF(H3&lt;'Calc Worksheet'!$D$4,MAX(_xlfn.FORECAST.LINEAR(H3,'Calc Worksheet'!$E$3:$E$4,'Calc Worksheet'!$D$3:$D$4),0),MAX(_xlfn.FORECAST.LINEAR(H3,'Calc Worksheet'!$E$5:$E$6,'Calc Worksheet'!$D$5:$D$6),0))</f>
        <v>66705.10021363392</v>
      </c>
      <c r="L3" s="178">
        <f t="shared" si="3"/>
        <v>1133986.7036317766</v>
      </c>
      <c r="M3" s="232">
        <f>IFERROR(IF(ISNUMBER(MATCH(H3,'Calc Worksheet'!$D$29:$D$35,0)),VLOOKUP(H3,'Calc Worksheet'!$D$29:$V$35,3,FALSE),INDEX('Calc Worksheet'!$F$29:$F$35,MATCH(I3,'Calc Worksheet'!$E$29:$E$35,0))+(INDEX('Calc Worksheet'!$G$29:$G$35,MATCH(I3,'Calc Worksheet'!$E$29:$E$35,0))*(H3-(INDEX('Calc Worksheet'!$D$29:$D$35,MATCH(I3,'Calc Worksheet'!$E$29:$E$35,0)))))),0)</f>
        <v>14300</v>
      </c>
      <c r="N3" s="232">
        <f>IFERROR(IF(ISNUMBER(MATCH(H3,'Calc Worksheet'!$D$29:$D$35,0)),VLOOKUP(H3,'Calc Worksheet'!$D$29:$V$35,5,FALSE),INDEX('Calc Worksheet'!$H$29:$H$35,MATCH(I3,'Calc Worksheet'!$E$29:$E$35,0))+(INDEX('Calc Worksheet'!$I$29:$I$35,MATCH(I3,'Calc Worksheet'!$E$29:$E$35,0))*(H3-(INDEX('Calc Worksheet'!$D$29:$D$35,MATCH(I3,'Calc Worksheet'!$E$29:$E$35,0)))))),0)</f>
        <v>0</v>
      </c>
      <c r="O3" s="232">
        <f>IFERROR(IF(ISNUMBER(MATCH($H3,'Calc Worksheet'!$D$29:$D$35,0)),VLOOKUP($H3,'Calc Worksheet'!$D$29:$V$35,7,FALSE),INDEX('Calc Worksheet'!J$29:J$35,MATCH($I3,'Calc Worksheet'!$E$29:$E$35,0))+(INDEX('Calc Worksheet'!K$29:K$35,MATCH($I3,'Calc Worksheet'!$E$29:$E$35,0))*($H3-(INDEX('Calc Worksheet'!$D$29:$D$35,MATCH($I3,'Calc Worksheet'!$E$29:$E$35,0)))))),0)</f>
        <v>0</v>
      </c>
      <c r="P3" s="169">
        <f>IFERROR(IF(ISNUMBER(MATCH($H3,'Calc Worksheet'!$D$29:$D$35,0)),VLOOKUP($H3,'Calc Worksheet'!$D$29:$V$35,9,FALSE),INDEX('Calc Worksheet'!L$29:L$35,MATCH($I3,'Calc Worksheet'!$E$29:$E$35,0))+(INDEX('Calc Worksheet'!M$29:M$35,MATCH($I3,'Calc Worksheet'!$E$29:$E$35,0))*($H3-(INDEX('Calc Worksheet'!$D$29:$D$35,MATCH($I3,'Calc Worksheet'!$E$29:$E$35,0)))))),0)</f>
        <v>0</v>
      </c>
      <c r="Q3" s="169">
        <f>IFERROR(IF(ISNUMBER(MATCH($H3,'Calc Worksheet'!$D$29:$D$35,0)),VLOOKUP($H3,'Calc Worksheet'!$D$29:$V$35,11,FALSE),INDEX('Calc Worksheet'!N$29:N$35,MATCH($I3,'Calc Worksheet'!$E$29:$E$35,0))+(INDEX('Calc Worksheet'!O$29:O$35,MATCH($I3,'Calc Worksheet'!$E$29:$E$35,0))*($H3-(INDEX('Calc Worksheet'!$D$29:$D$35,MATCH($I3,'Calc Worksheet'!$E$29:$E$35,0)))))),0)</f>
        <v>0</v>
      </c>
      <c r="R3" s="169">
        <f>IFERROR(IF(ISNUMBER(MATCH($H3,'Calc Worksheet'!$D$29:$D$35,0)),VLOOKUP($H3,'Calc Worksheet'!$D$29:$V$35,13,FALSE),INDEX('Calc Worksheet'!P$29:P$35,MATCH($I3,'Calc Worksheet'!$E$29:$E$35,0))+(INDEX('Calc Worksheet'!Q$29:Q$35,MATCH($I3,'Calc Worksheet'!$E$29:$E$35,0))*($H3-(INDEX('Calc Worksheet'!$D$29:$D$35,MATCH($I3,'Calc Worksheet'!$E$29:$E$35,0)))))),0)</f>
        <v>0</v>
      </c>
      <c r="S3" s="233">
        <f>IFERROR(IF(ISNUMBER(MATCH($H3,'Calc Worksheet'!$D$29:$D$35,0)),VLOOKUP($H3,'Calc Worksheet'!$D$29:$V$35,19,FALSE),INDEX('Calc Worksheet'!V$29:V$35,MATCH($I3,'Calc Worksheet'!$E$29:$E$35,0))+(INDEX('Calc Worksheet'!W$29:W$35,MATCH($I3,'Calc Worksheet'!$E$29:$E$35,0))*($H3-(INDEX('Calc Worksheet'!$D$29:$D$35,MATCH($I3,'Calc Worksheet'!$E$29:$E$35,0)))))),0)</f>
        <v>0</v>
      </c>
      <c r="X3" s="234">
        <v>2022</v>
      </c>
      <c r="Y3" s="234">
        <v>1</v>
      </c>
      <c r="Z3" s="234">
        <v>1</v>
      </c>
      <c r="AA3" s="235">
        <v>0.041666666667879326</v>
      </c>
      <c r="AB3" s="236">
        <v>-25.6</v>
      </c>
      <c r="AC3" s="127">
        <f t="shared" si="4"/>
        <v>-25</v>
      </c>
      <c r="AD3" s="237"/>
    </row>
    <row r="4" ht="15.75" customHeight="1" spans="1:30" x14ac:dyDescent="0.25">
      <c r="A4">
        <v>3</v>
      </c>
      <c r="B4" s="178">
        <f>IFERROR(IF(H4&lt;'Calc Worksheet'!$D$4,$K4-$M4,0),0)</f>
        <v>65315.41062584989</v>
      </c>
      <c r="C4" s="178">
        <f t="shared" si="0"/>
        <v>65315.41062584989</v>
      </c>
      <c r="D4" s="178">
        <f t="shared" si="1"/>
        <v>0</v>
      </c>
      <c r="E4" s="178">
        <f>IFERROR(IF(H4&gt;'Calc Worksheet'!$D$5,IF(AND(K4&gt;M4,K4&lt;N4,H4&gt;'Calc Worksheet'!$D$5),J4,0),IF(AND(K4&gt;M4,K4&lt;N4,H4&lt;'Calc Worksheet'!$D$4),J4,0)),0)</f>
        <v>0</v>
      </c>
      <c r="F4" s="178">
        <f>IFERROR(IF(H4&gt;'Calc Worksheet'!$D$5,IF(AND(K4&lt;M4,H4&gt;'Calc Worksheet'!$D$5),J4,0),IF(AND(K4&lt;M4,H4&lt;'Calc Worksheet'!$D$4),J4,0)),0)</f>
        <v>0</v>
      </c>
      <c r="G4" s="178">
        <f t="shared" si="5"/>
        <v>0</v>
      </c>
      <c r="H4" s="178">
        <v>-30</v>
      </c>
      <c r="I4" s="232">
        <f>IFERROR(VLOOKUP(H4,'Calc Worksheet'!$D$27:$T$35,2),0)</f>
        <v>0</v>
      </c>
      <c r="J4" s="178">
        <f t="shared" si="2"/>
        <v>18</v>
      </c>
      <c r="K4" s="232">
        <f>IF(H4&lt;'Calc Worksheet'!$D$4,MAX(_xlfn.FORECAST.LINEAR(H4,'Calc Worksheet'!$E$3:$E$4,'Calc Worksheet'!$D$3:$D$4),0),MAX(_xlfn.FORECAST.LINEAR(H4,'Calc Worksheet'!$E$5:$E$6,'Calc Worksheet'!$D$5:$D$6),0))</f>
        <v>65315.41062584989</v>
      </c>
      <c r="L4" s="178">
        <f t="shared" si="3"/>
        <v>1175677.391265298</v>
      </c>
      <c r="M4" s="232">
        <f>IFERROR(IF(ISNUMBER(MATCH(H4,'Calc Worksheet'!$D$29:$D$35,0)),VLOOKUP(H4,'Calc Worksheet'!$D$29:$V$35,3,FALSE),INDEX('Calc Worksheet'!$F$29:$F$35,MATCH(I4,'Calc Worksheet'!$E$29:$E$35,0))+(INDEX('Calc Worksheet'!$G$29:$G$35,MATCH(I4,'Calc Worksheet'!$E$29:$E$35,0))*(H4-(INDEX('Calc Worksheet'!$D$29:$D$35,MATCH(I4,'Calc Worksheet'!$E$29:$E$35,0)))))),0)</f>
        <v>0</v>
      </c>
      <c r="N4" s="232">
        <f>IFERROR(IF(ISNUMBER(MATCH(H4,'Calc Worksheet'!$D$29:$D$35,0)),VLOOKUP(H4,'Calc Worksheet'!$D$29:$V$35,5,FALSE),INDEX('Calc Worksheet'!$H$29:$H$35,MATCH(I4,'Calc Worksheet'!$E$29:$E$35,0))+(INDEX('Calc Worksheet'!$I$29:$I$35,MATCH(I4,'Calc Worksheet'!$E$29:$E$35,0))*(H4-(INDEX('Calc Worksheet'!$D$29:$D$35,MATCH(I4,'Calc Worksheet'!$E$29:$E$35,0)))))),0)</f>
        <v>0</v>
      </c>
      <c r="O4" s="232">
        <f>IFERROR(IF(ISNUMBER(MATCH($H4,'Calc Worksheet'!$D$29:$D$35,0)),VLOOKUP($H4,'Calc Worksheet'!$D$29:$V$35,7,FALSE),INDEX('Calc Worksheet'!J$29:J$35,MATCH($I4,'Calc Worksheet'!$E$29:$E$35,0))+(INDEX('Calc Worksheet'!K$29:K$35,MATCH($I4,'Calc Worksheet'!$E$29:$E$35,0))*($H4-(INDEX('Calc Worksheet'!$D$29:$D$35,MATCH($I4,'Calc Worksheet'!$E$29:$E$35,0)))))),0)</f>
        <v>0</v>
      </c>
      <c r="P4" s="169">
        <f>IFERROR(IF(ISNUMBER(MATCH($H4,'Calc Worksheet'!$D$29:$D$35,0)),VLOOKUP($H4,'Calc Worksheet'!$D$29:$V$35,9,FALSE),INDEX('Calc Worksheet'!L$29:L$35,MATCH($I4,'Calc Worksheet'!$E$29:$E$35,0))+(INDEX('Calc Worksheet'!M$29:M$35,MATCH($I4,'Calc Worksheet'!$E$29:$E$35,0))*($H4-(INDEX('Calc Worksheet'!$D$29:$D$35,MATCH($I4,'Calc Worksheet'!$E$29:$E$35,0)))))),0)</f>
        <v>0</v>
      </c>
      <c r="Q4" s="169">
        <f>IFERROR(IF(ISNUMBER(MATCH($H4,'Calc Worksheet'!$D$29:$D$35,0)),VLOOKUP($H4,'Calc Worksheet'!$D$29:$V$35,11,FALSE),INDEX('Calc Worksheet'!N$29:N$35,MATCH($I4,'Calc Worksheet'!$E$29:$E$35,0))+(INDEX('Calc Worksheet'!O$29:O$35,MATCH($I4,'Calc Worksheet'!$E$29:$E$35,0))*($H4-(INDEX('Calc Worksheet'!$D$29:$D$35,MATCH($I4,'Calc Worksheet'!$E$29:$E$35,0)))))),0)</f>
        <v>0</v>
      </c>
      <c r="R4" s="169">
        <f>IFERROR(IF(ISNUMBER(MATCH($H4,'Calc Worksheet'!$D$29:$D$35,0)),VLOOKUP($H4,'Calc Worksheet'!$D$29:$V$35,13,FALSE),INDEX('Calc Worksheet'!P$29:P$35,MATCH($I4,'Calc Worksheet'!$E$29:$E$35,0))+(INDEX('Calc Worksheet'!Q$29:Q$35,MATCH($I4,'Calc Worksheet'!$E$29:$E$35,0))*($H4-(INDEX('Calc Worksheet'!$D$29:$D$35,MATCH($I4,'Calc Worksheet'!$E$29:$E$35,0)))))),0)</f>
        <v>0</v>
      </c>
      <c r="S4" s="233">
        <f>IFERROR(IF(ISNUMBER(MATCH($H4,'Calc Worksheet'!$D$29:$D$35,0)),VLOOKUP($H4,'Calc Worksheet'!$D$29:$V$35,19,FALSE),INDEX('Calc Worksheet'!V$29:V$35,MATCH($I4,'Calc Worksheet'!$E$29:$E$35,0))+(INDEX('Calc Worksheet'!W$29:W$35,MATCH($I4,'Calc Worksheet'!$E$29:$E$35,0))*($H4-(INDEX('Calc Worksheet'!$D$29:$D$35,MATCH($I4,'Calc Worksheet'!$E$29:$E$35,0)))))),0)</f>
        <v>0</v>
      </c>
      <c r="X4" s="234">
        <v>2022</v>
      </c>
      <c r="Y4" s="234">
        <v>1</v>
      </c>
      <c r="Z4" s="234">
        <v>1</v>
      </c>
      <c r="AA4" s="235">
        <v>0.08333333333212067</v>
      </c>
      <c r="AB4" s="236">
        <v>-25.6</v>
      </c>
      <c r="AC4" s="127">
        <f t="shared" si="4"/>
        <v>-25</v>
      </c>
      <c r="AD4" s="237"/>
    </row>
    <row r="5" ht="15.75" customHeight="1" spans="1:30" x14ac:dyDescent="0.25">
      <c r="A5">
        <v>4</v>
      </c>
      <c r="B5" s="178">
        <f>IFERROR(IF(H5&lt;'Calc Worksheet'!$D$4,$K5-$M5,0),0)</f>
        <v>63925.72103806584</v>
      </c>
      <c r="C5" s="178">
        <f t="shared" si="0"/>
        <v>63925.72103806584</v>
      </c>
      <c r="D5" s="178">
        <f t="shared" si="1"/>
        <v>0</v>
      </c>
      <c r="E5" s="178">
        <f>IFERROR(IF(H5&gt;'Calc Worksheet'!$D$5,IF(AND(K5&gt;M5,K5&lt;N5,H5&gt;'Calc Worksheet'!$D$5),J5,0),IF(AND(K5&gt;M5,K5&lt;N5,H5&lt;'Calc Worksheet'!$D$4),J5,0)),0)</f>
        <v>0</v>
      </c>
      <c r="F5" s="178">
        <f>IFERROR(IF(H5&gt;'Calc Worksheet'!$D$5,IF(AND(K5&lt;M5,H5&gt;'Calc Worksheet'!$D$5),J5,0),IF(AND(K5&lt;M5,H5&lt;'Calc Worksheet'!$D$4),J5,0)),0)</f>
        <v>0</v>
      </c>
      <c r="G5" s="178">
        <f t="shared" si="5"/>
        <v>0</v>
      </c>
      <c r="H5" s="178">
        <v>-29</v>
      </c>
      <c r="I5" s="232">
        <f>IFERROR(VLOOKUP(H5,'Calc Worksheet'!$D$27:$T$35,2),0)</f>
        <v>0</v>
      </c>
      <c r="J5" s="178">
        <f t="shared" si="2"/>
        <v>30</v>
      </c>
      <c r="K5" s="232">
        <f>IF(H5&lt;'Calc Worksheet'!$D$4,MAX(_xlfn.FORECAST.LINEAR(H5,'Calc Worksheet'!$E$3:$E$4,'Calc Worksheet'!$D$3:$D$4),0),MAX(_xlfn.FORECAST.LINEAR(H5,'Calc Worksheet'!$E$5:$E$6,'Calc Worksheet'!$D$5:$D$6),0))</f>
        <v>63925.72103806584</v>
      </c>
      <c r="L5" s="178">
        <f t="shared" si="3"/>
        <v>1917771.6311419753</v>
      </c>
      <c r="M5" s="232">
        <f>IFERROR(IF(ISNUMBER(MATCH(H5,'Calc Worksheet'!$D$29:$D$35,0)),VLOOKUP(H5,'Calc Worksheet'!$D$29:$V$35,3,FALSE),INDEX('Calc Worksheet'!$F$29:$F$35,MATCH(I5,'Calc Worksheet'!$E$29:$E$35,0))+(INDEX('Calc Worksheet'!$G$29:$G$35,MATCH(I5,'Calc Worksheet'!$E$29:$E$35,0))*(H5-(INDEX('Calc Worksheet'!$D$29:$D$35,MATCH(I5,'Calc Worksheet'!$E$29:$E$35,0)))))),0)</f>
        <v>0</v>
      </c>
      <c r="N5" s="232">
        <f>IFERROR(IF(ISNUMBER(MATCH(H5,'Calc Worksheet'!$D$29:$D$35,0)),VLOOKUP(H5,'Calc Worksheet'!$D$29:$V$35,5,FALSE),INDEX('Calc Worksheet'!$H$29:$H$35,MATCH(I5,'Calc Worksheet'!$E$29:$E$35,0))+(INDEX('Calc Worksheet'!$I$29:$I$35,MATCH(I5,'Calc Worksheet'!$E$29:$E$35,0))*(H5-(INDEX('Calc Worksheet'!$D$29:$D$35,MATCH(I5,'Calc Worksheet'!$E$29:$E$35,0)))))),0)</f>
        <v>0</v>
      </c>
      <c r="O5" s="232">
        <f>IFERROR(IF(ISNUMBER(MATCH($H5,'Calc Worksheet'!$D$29:$D$35,0)),VLOOKUP($H5,'Calc Worksheet'!$D$29:$V$35,7,FALSE),INDEX('Calc Worksheet'!J$29:J$35,MATCH($I5,'Calc Worksheet'!$E$29:$E$35,0))+(INDEX('Calc Worksheet'!K$29:K$35,MATCH($I5,'Calc Worksheet'!$E$29:$E$35,0))*($H5-(INDEX('Calc Worksheet'!$D$29:$D$35,MATCH($I5,'Calc Worksheet'!$E$29:$E$35,0)))))),0)</f>
        <v>0</v>
      </c>
      <c r="P5" s="169">
        <f>IFERROR(IF(ISNUMBER(MATCH($H5,'Calc Worksheet'!$D$29:$D$35,0)),VLOOKUP($H5,'Calc Worksheet'!$D$29:$V$35,9,FALSE),INDEX('Calc Worksheet'!L$29:L$35,MATCH($I5,'Calc Worksheet'!$E$29:$E$35,0))+(INDEX('Calc Worksheet'!M$29:M$35,MATCH($I5,'Calc Worksheet'!$E$29:$E$35,0))*($H5-(INDEX('Calc Worksheet'!$D$29:$D$35,MATCH($I5,'Calc Worksheet'!$E$29:$E$35,0)))))),0)</f>
        <v>0</v>
      </c>
      <c r="Q5" s="169">
        <f>IFERROR(IF(ISNUMBER(MATCH($H5,'Calc Worksheet'!$D$29:$D$35,0)),VLOOKUP($H5,'Calc Worksheet'!$D$29:$V$35,11,FALSE),INDEX('Calc Worksheet'!N$29:N$35,MATCH($I5,'Calc Worksheet'!$E$29:$E$35,0))+(INDEX('Calc Worksheet'!O$29:O$35,MATCH($I5,'Calc Worksheet'!$E$29:$E$35,0))*($H5-(INDEX('Calc Worksheet'!$D$29:$D$35,MATCH($I5,'Calc Worksheet'!$E$29:$E$35,0)))))),0)</f>
        <v>0</v>
      </c>
      <c r="R5" s="169">
        <f>IFERROR(IF(ISNUMBER(MATCH($H5,'Calc Worksheet'!$D$29:$D$35,0)),VLOOKUP($H5,'Calc Worksheet'!$D$29:$V$35,13,FALSE),INDEX('Calc Worksheet'!P$29:P$35,MATCH($I5,'Calc Worksheet'!$E$29:$E$35,0))+(INDEX('Calc Worksheet'!Q$29:Q$35,MATCH($I5,'Calc Worksheet'!$E$29:$E$35,0))*($H5-(INDEX('Calc Worksheet'!$D$29:$D$35,MATCH($I5,'Calc Worksheet'!$E$29:$E$35,0)))))),0)</f>
        <v>0</v>
      </c>
      <c r="S5" s="233">
        <f>IFERROR(IF(ISNUMBER(MATCH($H5,'Calc Worksheet'!$D$29:$D$35,0)),VLOOKUP($H5,'Calc Worksheet'!$D$29:$V$35,19,FALSE),INDEX('Calc Worksheet'!V$29:V$35,MATCH($I5,'Calc Worksheet'!$E$29:$E$35,0))+(INDEX('Calc Worksheet'!W$29:W$35,MATCH($I5,'Calc Worksheet'!$E$29:$E$35,0))*($H5-(INDEX('Calc Worksheet'!$D$29:$D$35,MATCH($I5,'Calc Worksheet'!$E$29:$E$35,0)))))),0)</f>
        <v>0</v>
      </c>
      <c r="X5" s="234">
        <v>2022</v>
      </c>
      <c r="Y5" s="234">
        <v>1</v>
      </c>
      <c r="Z5" s="234">
        <v>1</v>
      </c>
      <c r="AA5" s="235">
        <v>0.125</v>
      </c>
      <c r="AB5" s="236">
        <v>-25.2</v>
      </c>
      <c r="AC5" s="127">
        <f t="shared" si="4"/>
        <v>-25</v>
      </c>
      <c r="AD5" s="237"/>
    </row>
    <row r="6" ht="15.75" customHeight="1" spans="1:30" x14ac:dyDescent="0.25">
      <c r="A6">
        <v>5</v>
      </c>
      <c r="B6" s="178">
        <f>IFERROR(IF(H6&lt;'Calc Worksheet'!$D$4,$K6-$M6,0),0)</f>
        <v>62536.03145028181</v>
      </c>
      <c r="C6" s="178">
        <f t="shared" si="0"/>
        <v>62536.03145028181</v>
      </c>
      <c r="D6" s="178">
        <f t="shared" si="1"/>
        <v>0</v>
      </c>
      <c r="E6" s="178">
        <f>IFERROR(IF(H6&gt;'Calc Worksheet'!$D$5,IF(AND(K6&gt;M6,K6&lt;N6,H6&gt;'Calc Worksheet'!$D$5),J6,0),IF(AND(K6&gt;M6,K6&lt;N6,H6&lt;'Calc Worksheet'!$D$4),J6,0)),0)</f>
        <v>0</v>
      </c>
      <c r="F6" s="178">
        <f>IFERROR(IF(H6&gt;'Calc Worksheet'!$D$5,IF(AND(K6&lt;M6,H6&gt;'Calc Worksheet'!$D$5),J6,0),IF(AND(K6&lt;M6,H6&lt;'Calc Worksheet'!$D$4),J6,0)),0)</f>
        <v>0</v>
      </c>
      <c r="G6" s="178">
        <f t="shared" si="5"/>
        <v>0</v>
      </c>
      <c r="H6" s="178">
        <v>-28</v>
      </c>
      <c r="I6" s="232">
        <f>IFERROR(VLOOKUP(H6,'Calc Worksheet'!$D$27:$T$35,2),0)</f>
        <v>0</v>
      </c>
      <c r="J6" s="178">
        <f t="shared" si="2"/>
        <v>30</v>
      </c>
      <c r="K6" s="232">
        <f>IF(H6&lt;'Calc Worksheet'!$D$4,MAX(_xlfn.FORECAST.LINEAR(H6,'Calc Worksheet'!$E$3:$E$4,'Calc Worksheet'!$D$3:$D$4),0),MAX(_xlfn.FORECAST.LINEAR(H6,'Calc Worksheet'!$E$5:$E$6,'Calc Worksheet'!$D$5:$D$6),0))</f>
        <v>62536.03145028181</v>
      </c>
      <c r="L6" s="178">
        <f t="shared" si="3"/>
        <v>1876080.9435084541</v>
      </c>
      <c r="M6" s="232">
        <f>IFERROR(IF(ISNUMBER(MATCH(H6,'Calc Worksheet'!$D$29:$D$35,0)),VLOOKUP(H6,'Calc Worksheet'!$D$29:$V$35,3,FALSE),INDEX('Calc Worksheet'!$F$29:$F$35,MATCH(I6,'Calc Worksheet'!$E$29:$E$35,0))+(INDEX('Calc Worksheet'!$G$29:$G$35,MATCH(I6,'Calc Worksheet'!$E$29:$E$35,0))*(H6-(INDEX('Calc Worksheet'!$D$29:$D$35,MATCH(I6,'Calc Worksheet'!$E$29:$E$35,0)))))),0)</f>
        <v>0</v>
      </c>
      <c r="N6" s="232">
        <f>IFERROR(IF(ISNUMBER(MATCH(H6,'Calc Worksheet'!$D$29:$D$35,0)),VLOOKUP(H6,'Calc Worksheet'!$D$29:$V$35,5,FALSE),INDEX('Calc Worksheet'!$H$29:$H$35,MATCH(I6,'Calc Worksheet'!$E$29:$E$35,0))+(INDEX('Calc Worksheet'!$I$29:$I$35,MATCH(I6,'Calc Worksheet'!$E$29:$E$35,0))*(H6-(INDEX('Calc Worksheet'!$D$29:$D$35,MATCH(I6,'Calc Worksheet'!$E$29:$E$35,0)))))),0)</f>
        <v>0</v>
      </c>
      <c r="O6" s="232">
        <f>IFERROR(IF(ISNUMBER(MATCH($H6,'Calc Worksheet'!$D$29:$D$35,0)),VLOOKUP($H6,'Calc Worksheet'!$D$29:$V$35,7,FALSE),INDEX('Calc Worksheet'!J$29:J$35,MATCH($I6,'Calc Worksheet'!$E$29:$E$35,0))+(INDEX('Calc Worksheet'!K$29:K$35,MATCH($I6,'Calc Worksheet'!$E$29:$E$35,0))*($H6-(INDEX('Calc Worksheet'!$D$29:$D$35,MATCH($I6,'Calc Worksheet'!$E$29:$E$35,0)))))),0)</f>
        <v>0</v>
      </c>
      <c r="P6" s="169">
        <f>IFERROR(IF(ISNUMBER(MATCH($H6,'Calc Worksheet'!$D$29:$D$35,0)),VLOOKUP($H6,'Calc Worksheet'!$D$29:$V$35,9,FALSE),INDEX('Calc Worksheet'!L$29:L$35,MATCH($I6,'Calc Worksheet'!$E$29:$E$35,0))+(INDEX('Calc Worksheet'!M$29:M$35,MATCH($I6,'Calc Worksheet'!$E$29:$E$35,0))*($H6-(INDEX('Calc Worksheet'!$D$29:$D$35,MATCH($I6,'Calc Worksheet'!$E$29:$E$35,0)))))),0)</f>
        <v>0</v>
      </c>
      <c r="Q6" s="169">
        <f>IFERROR(IF(ISNUMBER(MATCH($H6,'Calc Worksheet'!$D$29:$D$35,0)),VLOOKUP($H6,'Calc Worksheet'!$D$29:$V$35,11,FALSE),INDEX('Calc Worksheet'!N$29:N$35,MATCH($I6,'Calc Worksheet'!$E$29:$E$35,0))+(INDEX('Calc Worksheet'!O$29:O$35,MATCH($I6,'Calc Worksheet'!$E$29:$E$35,0))*($H6-(INDEX('Calc Worksheet'!$D$29:$D$35,MATCH($I6,'Calc Worksheet'!$E$29:$E$35,0)))))),0)</f>
        <v>0</v>
      </c>
      <c r="R6" s="169">
        <f>IFERROR(IF(ISNUMBER(MATCH($H6,'Calc Worksheet'!$D$29:$D$35,0)),VLOOKUP($H6,'Calc Worksheet'!$D$29:$V$35,13,FALSE),INDEX('Calc Worksheet'!P$29:P$35,MATCH($I6,'Calc Worksheet'!$E$29:$E$35,0))+(INDEX('Calc Worksheet'!Q$29:Q$35,MATCH($I6,'Calc Worksheet'!$E$29:$E$35,0))*($H6-(INDEX('Calc Worksheet'!$D$29:$D$35,MATCH($I6,'Calc Worksheet'!$E$29:$E$35,0)))))),0)</f>
        <v>0</v>
      </c>
      <c r="S6" s="233">
        <f>IFERROR(IF(ISNUMBER(MATCH($H6,'Calc Worksheet'!$D$29:$D$35,0)),VLOOKUP($H6,'Calc Worksheet'!$D$29:$V$35,19,FALSE),INDEX('Calc Worksheet'!V$29:V$35,MATCH($I6,'Calc Worksheet'!$E$29:$E$35,0))+(INDEX('Calc Worksheet'!W$29:W$35,MATCH($I6,'Calc Worksheet'!$E$29:$E$35,0))*($H6-(INDEX('Calc Worksheet'!$D$29:$D$35,MATCH($I6,'Calc Worksheet'!$E$29:$E$35,0)))))),0)</f>
        <v>0</v>
      </c>
      <c r="X6" s="234">
        <v>2022</v>
      </c>
      <c r="Y6" s="234">
        <v>1</v>
      </c>
      <c r="Z6" s="234">
        <v>1</v>
      </c>
      <c r="AA6" s="235">
        <v>0.16666666666787933</v>
      </c>
      <c r="AB6" s="236">
        <v>-25.3</v>
      </c>
      <c r="AC6" s="127">
        <f t="shared" si="4"/>
        <v>-25</v>
      </c>
      <c r="AD6" s="237"/>
    </row>
    <row r="7" ht="15.75" customHeight="1" spans="1:30" x14ac:dyDescent="0.25">
      <c r="A7">
        <v>6</v>
      </c>
      <c r="B7" s="178">
        <f>IFERROR(IF(H7&lt;'Calc Worksheet'!$D$4,$K7-$M7,0),0)</f>
        <v>61146.341862497764</v>
      </c>
      <c r="C7" s="178">
        <f t="shared" si="0"/>
        <v>61146.341862497764</v>
      </c>
      <c r="D7" s="178">
        <f t="shared" si="1"/>
        <v>0</v>
      </c>
      <c r="E7" s="178">
        <f>IFERROR(IF(H7&gt;'Calc Worksheet'!$D$5,IF(AND(K7&gt;M7,K7&lt;N7,H7&gt;'Calc Worksheet'!$D$5),J7,0),IF(AND(K7&gt;M7,K7&lt;N7,H7&lt;'Calc Worksheet'!$D$4),J7,0)),0)</f>
        <v>0</v>
      </c>
      <c r="F7" s="178">
        <f>IFERROR(IF(H7&gt;'Calc Worksheet'!$D$5,IF(AND(K7&lt;M7,H7&gt;'Calc Worksheet'!$D$5),J7,0),IF(AND(K7&lt;M7,H7&lt;'Calc Worksheet'!$D$4),J7,0)),0)</f>
        <v>0</v>
      </c>
      <c r="G7" s="178">
        <f t="shared" si="5"/>
        <v>0</v>
      </c>
      <c r="H7" s="178">
        <v>-27</v>
      </c>
      <c r="I7" s="232">
        <f>IFERROR(VLOOKUP(H7,'Calc Worksheet'!$D$27:$T$35,2),0)</f>
        <v>0</v>
      </c>
      <c r="J7" s="178">
        <f t="shared" si="2"/>
        <v>32</v>
      </c>
      <c r="K7" s="232">
        <f>IF(H7&lt;'Calc Worksheet'!$D$4,MAX(_xlfn.FORECAST.LINEAR(H7,'Calc Worksheet'!$E$3:$E$4,'Calc Worksheet'!$D$3:$D$4),0),MAX(_xlfn.FORECAST.LINEAR(H7,'Calc Worksheet'!$E$5:$E$6,'Calc Worksheet'!$D$5:$D$6),0))</f>
        <v>61146.341862497764</v>
      </c>
      <c r="L7" s="178">
        <f t="shared" si="3"/>
        <v>1956682.9395999284</v>
      </c>
      <c r="M7" s="232">
        <f>IFERROR(IF(ISNUMBER(MATCH(H7,'Calc Worksheet'!$D$29:$D$35,0)),VLOOKUP(H7,'Calc Worksheet'!$D$29:$V$35,3,FALSE),INDEX('Calc Worksheet'!$F$29:$F$35,MATCH(I7,'Calc Worksheet'!$E$29:$E$35,0))+(INDEX('Calc Worksheet'!$G$29:$G$35,MATCH(I7,'Calc Worksheet'!$E$29:$E$35,0))*(H7-(INDEX('Calc Worksheet'!$D$29:$D$35,MATCH(I7,'Calc Worksheet'!$E$29:$E$35,0)))))),0)</f>
        <v>0</v>
      </c>
      <c r="N7" s="232">
        <f>IFERROR(IF(ISNUMBER(MATCH(H7,'Calc Worksheet'!$D$29:$D$35,0)),VLOOKUP(H7,'Calc Worksheet'!$D$29:$V$35,5,FALSE),INDEX('Calc Worksheet'!$H$29:$H$35,MATCH(I7,'Calc Worksheet'!$E$29:$E$35,0))+(INDEX('Calc Worksheet'!$I$29:$I$35,MATCH(I7,'Calc Worksheet'!$E$29:$E$35,0))*(H7-(INDEX('Calc Worksheet'!$D$29:$D$35,MATCH(I7,'Calc Worksheet'!$E$29:$E$35,0)))))),0)</f>
        <v>0</v>
      </c>
      <c r="O7" s="232">
        <f>IFERROR(IF(ISNUMBER(MATCH($H7,'Calc Worksheet'!$D$29:$D$35,0)),VLOOKUP($H7,'Calc Worksheet'!$D$29:$V$35,7,FALSE),INDEX('Calc Worksheet'!J$29:J$35,MATCH($I7,'Calc Worksheet'!$E$29:$E$35,0))+(INDEX('Calc Worksheet'!K$29:K$35,MATCH($I7,'Calc Worksheet'!$E$29:$E$35,0))*($H7-(INDEX('Calc Worksheet'!$D$29:$D$35,MATCH($I7,'Calc Worksheet'!$E$29:$E$35,0)))))),0)</f>
        <v>0</v>
      </c>
      <c r="P7" s="169">
        <f>IFERROR(IF(ISNUMBER(MATCH($H7,'Calc Worksheet'!$D$29:$D$35,0)),VLOOKUP($H7,'Calc Worksheet'!$D$29:$V$35,9,FALSE),INDEX('Calc Worksheet'!L$29:L$35,MATCH($I7,'Calc Worksheet'!$E$29:$E$35,0))+(INDEX('Calc Worksheet'!M$29:M$35,MATCH($I7,'Calc Worksheet'!$E$29:$E$35,0))*($H7-(INDEX('Calc Worksheet'!$D$29:$D$35,MATCH($I7,'Calc Worksheet'!$E$29:$E$35,0)))))),0)</f>
        <v>0</v>
      </c>
      <c r="Q7" s="169">
        <f>IFERROR(IF(ISNUMBER(MATCH($H7,'Calc Worksheet'!$D$29:$D$35,0)),VLOOKUP($H7,'Calc Worksheet'!$D$29:$V$35,11,FALSE),INDEX('Calc Worksheet'!N$29:N$35,MATCH($I7,'Calc Worksheet'!$E$29:$E$35,0))+(INDEX('Calc Worksheet'!O$29:O$35,MATCH($I7,'Calc Worksheet'!$E$29:$E$35,0))*($H7-(INDEX('Calc Worksheet'!$D$29:$D$35,MATCH($I7,'Calc Worksheet'!$E$29:$E$35,0)))))),0)</f>
        <v>0</v>
      </c>
      <c r="R7" s="169">
        <f>IFERROR(IF(ISNUMBER(MATCH($H7,'Calc Worksheet'!$D$29:$D$35,0)),VLOOKUP($H7,'Calc Worksheet'!$D$29:$V$35,13,FALSE),INDEX('Calc Worksheet'!P$29:P$35,MATCH($I7,'Calc Worksheet'!$E$29:$E$35,0))+(INDEX('Calc Worksheet'!Q$29:Q$35,MATCH($I7,'Calc Worksheet'!$E$29:$E$35,0))*($H7-(INDEX('Calc Worksheet'!$D$29:$D$35,MATCH($I7,'Calc Worksheet'!$E$29:$E$35,0)))))),0)</f>
        <v>0</v>
      </c>
      <c r="S7" s="233">
        <f>IFERROR(IF(ISNUMBER(MATCH($H7,'Calc Worksheet'!$D$29:$D$35,0)),VLOOKUP($H7,'Calc Worksheet'!$D$29:$V$35,19,FALSE),INDEX('Calc Worksheet'!V$29:V$35,MATCH($I7,'Calc Worksheet'!$E$29:$E$35,0))+(INDEX('Calc Worksheet'!W$29:W$35,MATCH($I7,'Calc Worksheet'!$E$29:$E$35,0))*($H7-(INDEX('Calc Worksheet'!$D$29:$D$35,MATCH($I7,'Calc Worksheet'!$E$29:$E$35,0)))))),0)</f>
        <v>0</v>
      </c>
      <c r="X7" s="234">
        <v>2022</v>
      </c>
      <c r="Y7" s="234">
        <v>1</v>
      </c>
      <c r="Z7" s="234">
        <v>1</v>
      </c>
      <c r="AA7" s="235">
        <v>0.20833333333212067</v>
      </c>
      <c r="AB7" s="236">
        <v>-25.1</v>
      </c>
      <c r="AC7" s="127">
        <f t="shared" si="4"/>
        <v>-25</v>
      </c>
      <c r="AD7" s="237"/>
    </row>
    <row r="8" ht="15.75" customHeight="1" spans="1:30" x14ac:dyDescent="0.25">
      <c r="A8">
        <v>7</v>
      </c>
      <c r="B8" s="178">
        <f>IFERROR(IF(H8&lt;'Calc Worksheet'!$D$4,$K8-$M8,0),0)</f>
        <v>59756.65227471373</v>
      </c>
      <c r="C8" s="178">
        <f t="shared" si="0"/>
        <v>59756.65227471373</v>
      </c>
      <c r="D8" s="178">
        <f t="shared" si="1"/>
        <v>0</v>
      </c>
      <c r="E8" s="178">
        <f>IFERROR(IF(H8&gt;'Calc Worksheet'!$D$5,IF(AND(K8&gt;M8,K8&lt;N8,H8&gt;'Calc Worksheet'!$D$5),J8,0),IF(AND(K8&gt;M8,K8&lt;N8,H8&lt;'Calc Worksheet'!$D$4),J8,0)),0)</f>
        <v>0</v>
      </c>
      <c r="F8" s="178">
        <f>IFERROR(IF(H8&gt;'Calc Worksheet'!$D$5,IF(AND(K8&lt;M8,H8&gt;'Calc Worksheet'!$D$5),J8,0),IF(AND(K8&lt;M8,H8&lt;'Calc Worksheet'!$D$4),J8,0)),0)</f>
        <v>0</v>
      </c>
      <c r="G8" s="178">
        <f t="shared" si="5"/>
        <v>0</v>
      </c>
      <c r="H8" s="178">
        <v>-26</v>
      </c>
      <c r="I8" s="232">
        <f>IFERROR(VLOOKUP(H8,'Calc Worksheet'!$D$27:$T$35,2),0)</f>
        <v>0</v>
      </c>
      <c r="J8" s="178">
        <f t="shared" si="2"/>
        <v>41</v>
      </c>
      <c r="K8" s="232">
        <f>IF(H8&lt;'Calc Worksheet'!$D$4,MAX(_xlfn.FORECAST.LINEAR(H8,'Calc Worksheet'!$E$3:$E$4,'Calc Worksheet'!$D$3:$D$4),0),MAX(_xlfn.FORECAST.LINEAR(H8,'Calc Worksheet'!$E$5:$E$6,'Calc Worksheet'!$D$5:$D$6),0))</f>
        <v>59756.65227471373</v>
      </c>
      <c r="L8" s="178">
        <f t="shared" si="3"/>
        <v>2450022.743263263</v>
      </c>
      <c r="M8" s="232">
        <f>IFERROR(IF(ISNUMBER(MATCH(H8,'Calc Worksheet'!$D$29:$D$35,0)),VLOOKUP(H8,'Calc Worksheet'!$D$29:$V$35,3,FALSE),INDEX('Calc Worksheet'!$F$29:$F$35,MATCH(I8,'Calc Worksheet'!$E$29:$E$35,0))+(INDEX('Calc Worksheet'!$G$29:$G$35,MATCH(I8,'Calc Worksheet'!$E$29:$E$35,0))*(H8-(INDEX('Calc Worksheet'!$D$29:$D$35,MATCH(I8,'Calc Worksheet'!$E$29:$E$35,0)))))),0)</f>
        <v>0</v>
      </c>
      <c r="N8" s="232">
        <f>IFERROR(IF(ISNUMBER(MATCH(H8,'Calc Worksheet'!$D$29:$D$35,0)),VLOOKUP(H8,'Calc Worksheet'!$D$29:$V$35,5,FALSE),INDEX('Calc Worksheet'!$H$29:$H$35,MATCH(I8,'Calc Worksheet'!$E$29:$E$35,0))+(INDEX('Calc Worksheet'!$I$29:$I$35,MATCH(I8,'Calc Worksheet'!$E$29:$E$35,0))*(H8-(INDEX('Calc Worksheet'!$D$29:$D$35,MATCH(I8,'Calc Worksheet'!$E$29:$E$35,0)))))),0)</f>
        <v>0</v>
      </c>
      <c r="O8" s="232">
        <f>IFERROR(IF(ISNUMBER(MATCH($H8,'Calc Worksheet'!$D$29:$D$35,0)),VLOOKUP($H8,'Calc Worksheet'!$D$29:$V$35,7,FALSE),INDEX('Calc Worksheet'!J$29:J$35,MATCH($I8,'Calc Worksheet'!$E$29:$E$35,0))+(INDEX('Calc Worksheet'!K$29:K$35,MATCH($I8,'Calc Worksheet'!$E$29:$E$35,0))*($H8-(INDEX('Calc Worksheet'!$D$29:$D$35,MATCH($I8,'Calc Worksheet'!$E$29:$E$35,0)))))),0)</f>
        <v>0</v>
      </c>
      <c r="P8" s="169">
        <f>IFERROR(IF(ISNUMBER(MATCH($H8,'Calc Worksheet'!$D$29:$D$35,0)),VLOOKUP($H8,'Calc Worksheet'!$D$29:$V$35,9,FALSE),INDEX('Calc Worksheet'!L$29:L$35,MATCH($I8,'Calc Worksheet'!$E$29:$E$35,0))+(INDEX('Calc Worksheet'!M$29:M$35,MATCH($I8,'Calc Worksheet'!$E$29:$E$35,0))*($H8-(INDEX('Calc Worksheet'!$D$29:$D$35,MATCH($I8,'Calc Worksheet'!$E$29:$E$35,0)))))),0)</f>
        <v>0</v>
      </c>
      <c r="Q8" s="169">
        <f>IFERROR(IF(ISNUMBER(MATCH($H8,'Calc Worksheet'!$D$29:$D$35,0)),VLOOKUP($H8,'Calc Worksheet'!$D$29:$V$35,11,FALSE),INDEX('Calc Worksheet'!N$29:N$35,MATCH($I8,'Calc Worksheet'!$E$29:$E$35,0))+(INDEX('Calc Worksheet'!O$29:O$35,MATCH($I8,'Calc Worksheet'!$E$29:$E$35,0))*($H8-(INDEX('Calc Worksheet'!$D$29:$D$35,MATCH($I8,'Calc Worksheet'!$E$29:$E$35,0)))))),0)</f>
        <v>0</v>
      </c>
      <c r="R8" s="169">
        <f>IFERROR(IF(ISNUMBER(MATCH($H8,'Calc Worksheet'!$D$29:$D$35,0)),VLOOKUP($H8,'Calc Worksheet'!$D$29:$V$35,13,FALSE),INDEX('Calc Worksheet'!P$29:P$35,MATCH($I8,'Calc Worksheet'!$E$29:$E$35,0))+(INDEX('Calc Worksheet'!Q$29:Q$35,MATCH($I8,'Calc Worksheet'!$E$29:$E$35,0))*($H8-(INDEX('Calc Worksheet'!$D$29:$D$35,MATCH($I8,'Calc Worksheet'!$E$29:$E$35,0)))))),0)</f>
        <v>0</v>
      </c>
      <c r="S8" s="233">
        <f>IFERROR(IF(ISNUMBER(MATCH($H8,'Calc Worksheet'!$D$29:$D$35,0)),VLOOKUP($H8,'Calc Worksheet'!$D$29:$V$35,19,FALSE),INDEX('Calc Worksheet'!V$29:V$35,MATCH($I8,'Calc Worksheet'!$E$29:$E$35,0))+(INDEX('Calc Worksheet'!W$29:W$35,MATCH($I8,'Calc Worksheet'!$E$29:$E$35,0))*($H8-(INDEX('Calc Worksheet'!$D$29:$D$35,MATCH($I8,'Calc Worksheet'!$E$29:$E$35,0)))))),0)</f>
        <v>0</v>
      </c>
      <c r="X8" s="234">
        <v>2022</v>
      </c>
      <c r="Y8" s="234">
        <v>1</v>
      </c>
      <c r="Z8" s="234">
        <v>1</v>
      </c>
      <c r="AA8" s="235">
        <v>0.25</v>
      </c>
      <c r="AB8" s="236">
        <v>-24.1</v>
      </c>
      <c r="AC8" s="127">
        <f t="shared" si="4"/>
        <v>-24</v>
      </c>
      <c r="AD8" s="237"/>
    </row>
    <row r="9" ht="15.75" customHeight="1" spans="1:30" x14ac:dyDescent="0.25">
      <c r="A9">
        <v>8</v>
      </c>
      <c r="B9" s="178">
        <f>IFERROR(IF(H9&lt;'Calc Worksheet'!$D$4,$K9-$M9,0),0)</f>
        <v>58366.962686929684</v>
      </c>
      <c r="C9" s="178">
        <f t="shared" si="0"/>
        <v>58366.962686929684</v>
      </c>
      <c r="D9" s="178">
        <f t="shared" si="1"/>
        <v>0</v>
      </c>
      <c r="E9" s="178">
        <f>IFERROR(IF(H9&gt;'Calc Worksheet'!$D$5,IF(AND(K9&gt;M9,K9&lt;N9,H9&gt;'Calc Worksheet'!$D$5),J9,0),IF(AND(K9&gt;M9,K9&lt;N9,H9&lt;'Calc Worksheet'!$D$4),J9,0)),0)</f>
        <v>0</v>
      </c>
      <c r="F9" s="178">
        <f>IFERROR(IF(H9&gt;'Calc Worksheet'!$D$5,IF(AND(K9&lt;M9,H9&gt;'Calc Worksheet'!$D$5),J9,0),IF(AND(K9&lt;M9,H9&lt;'Calc Worksheet'!$D$4),J9,0)),0)</f>
        <v>0</v>
      </c>
      <c r="G9" s="178">
        <f t="shared" si="5"/>
        <v>0</v>
      </c>
      <c r="H9" s="178">
        <v>-25</v>
      </c>
      <c r="I9" s="232">
        <f>IFERROR(VLOOKUP(H9,'Calc Worksheet'!$D$27:$T$35,2),0)</f>
        <v>0</v>
      </c>
      <c r="J9" s="178">
        <f t="shared" si="2"/>
        <v>35</v>
      </c>
      <c r="K9" s="232">
        <f>IF(H9&lt;'Calc Worksheet'!$D$4,MAX(_xlfn.FORECAST.LINEAR(H9,'Calc Worksheet'!$E$3:$E$4,'Calc Worksheet'!$D$3:$D$4),0),MAX(_xlfn.FORECAST.LINEAR(H9,'Calc Worksheet'!$E$5:$E$6,'Calc Worksheet'!$D$5:$D$6),0))</f>
        <v>58366.962686929684</v>
      </c>
      <c r="L9" s="178">
        <f t="shared" si="3"/>
        <v>2042843.694042539</v>
      </c>
      <c r="M9" s="232">
        <f>IFERROR(IF(ISNUMBER(MATCH(H9,'Calc Worksheet'!$D$29:$D$35,0)),VLOOKUP(H9,'Calc Worksheet'!$D$29:$V$35,3,FALSE),INDEX('Calc Worksheet'!$F$29:$F$35,MATCH(I9,'Calc Worksheet'!$E$29:$E$35,0))+(INDEX('Calc Worksheet'!$G$29:$G$35,MATCH(I9,'Calc Worksheet'!$E$29:$E$35,0))*(H9-(INDEX('Calc Worksheet'!$D$29:$D$35,MATCH(I9,'Calc Worksheet'!$E$29:$E$35,0)))))),0)</f>
        <v>0</v>
      </c>
      <c r="N9" s="232">
        <f>IFERROR(IF(ISNUMBER(MATCH(H9,'Calc Worksheet'!$D$29:$D$35,0)),VLOOKUP(H9,'Calc Worksheet'!$D$29:$V$35,5,FALSE),INDEX('Calc Worksheet'!$H$29:$H$35,MATCH(I9,'Calc Worksheet'!$E$29:$E$35,0))+(INDEX('Calc Worksheet'!$I$29:$I$35,MATCH(I9,'Calc Worksheet'!$E$29:$E$35,0))*(H9-(INDEX('Calc Worksheet'!$D$29:$D$35,MATCH(I9,'Calc Worksheet'!$E$29:$E$35,0)))))),0)</f>
        <v>0</v>
      </c>
      <c r="O9" s="232">
        <f>IFERROR(IF(ISNUMBER(MATCH($H9,'Calc Worksheet'!$D$29:$D$35,0)),VLOOKUP($H9,'Calc Worksheet'!$D$29:$V$35,7,FALSE),INDEX('Calc Worksheet'!J$29:J$35,MATCH($I9,'Calc Worksheet'!$E$29:$E$35,0))+(INDEX('Calc Worksheet'!K$29:K$35,MATCH($I9,'Calc Worksheet'!$E$29:$E$35,0))*($H9-(INDEX('Calc Worksheet'!$D$29:$D$35,MATCH($I9,'Calc Worksheet'!$E$29:$E$35,0)))))),0)</f>
        <v>0</v>
      </c>
      <c r="P9" s="169">
        <f>IFERROR(IF(ISNUMBER(MATCH($H9,'Calc Worksheet'!$D$29:$D$35,0)),VLOOKUP($H9,'Calc Worksheet'!$D$29:$V$35,9,FALSE),INDEX('Calc Worksheet'!L$29:L$35,MATCH($I9,'Calc Worksheet'!$E$29:$E$35,0))+(INDEX('Calc Worksheet'!M$29:M$35,MATCH($I9,'Calc Worksheet'!$E$29:$E$35,0))*($H9-(INDEX('Calc Worksheet'!$D$29:$D$35,MATCH($I9,'Calc Worksheet'!$E$29:$E$35,0)))))),0)</f>
        <v>0</v>
      </c>
      <c r="Q9" s="169">
        <f>IFERROR(IF(ISNUMBER(MATCH($H9,'Calc Worksheet'!$D$29:$D$35,0)),VLOOKUP($H9,'Calc Worksheet'!$D$29:$V$35,11,FALSE),INDEX('Calc Worksheet'!N$29:N$35,MATCH($I9,'Calc Worksheet'!$E$29:$E$35,0))+(INDEX('Calc Worksheet'!O$29:O$35,MATCH($I9,'Calc Worksheet'!$E$29:$E$35,0))*($H9-(INDEX('Calc Worksheet'!$D$29:$D$35,MATCH($I9,'Calc Worksheet'!$E$29:$E$35,0)))))),0)</f>
        <v>0</v>
      </c>
      <c r="R9" s="169">
        <f>IFERROR(IF(ISNUMBER(MATCH($H9,'Calc Worksheet'!$D$29:$D$35,0)),VLOOKUP($H9,'Calc Worksheet'!$D$29:$V$35,13,FALSE),INDEX('Calc Worksheet'!P$29:P$35,MATCH($I9,'Calc Worksheet'!$E$29:$E$35,0))+(INDEX('Calc Worksheet'!Q$29:Q$35,MATCH($I9,'Calc Worksheet'!$E$29:$E$35,0))*($H9-(INDEX('Calc Worksheet'!$D$29:$D$35,MATCH($I9,'Calc Worksheet'!$E$29:$E$35,0)))))),0)</f>
        <v>0</v>
      </c>
      <c r="S9" s="233">
        <f>IFERROR(IF(ISNUMBER(MATCH($H9,'Calc Worksheet'!$D$29:$D$35,0)),VLOOKUP($H9,'Calc Worksheet'!$D$29:$V$35,19,FALSE),INDEX('Calc Worksheet'!V$29:V$35,MATCH($I9,'Calc Worksheet'!$E$29:$E$35,0))+(INDEX('Calc Worksheet'!W$29:W$35,MATCH($I9,'Calc Worksheet'!$E$29:$E$35,0))*($H9-(INDEX('Calc Worksheet'!$D$29:$D$35,MATCH($I9,'Calc Worksheet'!$E$29:$E$35,0)))))),0)</f>
        <v>0</v>
      </c>
      <c r="X9" s="234">
        <v>2022</v>
      </c>
      <c r="Y9" s="234">
        <v>1</v>
      </c>
      <c r="Z9" s="234">
        <v>1</v>
      </c>
      <c r="AA9" s="235">
        <v>0.2916666666678793</v>
      </c>
      <c r="AB9" s="236">
        <v>-24.7</v>
      </c>
      <c r="AC9" s="127">
        <f t="shared" si="4"/>
        <v>-24</v>
      </c>
      <c r="AD9" s="237"/>
    </row>
    <row r="10" ht="15.75" customHeight="1" spans="1:30" x14ac:dyDescent="0.25">
      <c r="A10">
        <v>9</v>
      </c>
      <c r="B10" s="178">
        <f>IFERROR(IF(H10&lt;'Calc Worksheet'!$D$4,$K10-$M10,0),0)</f>
        <v>56977.27309914565</v>
      </c>
      <c r="C10" s="178">
        <f t="shared" si="0"/>
        <v>56977.27309914565</v>
      </c>
      <c r="D10" s="178">
        <f t="shared" si="1"/>
        <v>0</v>
      </c>
      <c r="E10" s="178">
        <f>IFERROR(IF(H10&gt;'Calc Worksheet'!$D$5,IF(AND(K10&gt;M10,K10&lt;N10,H10&gt;'Calc Worksheet'!$D$5),J10,0),IF(AND(K10&gt;M10,K10&lt;N10,H10&lt;'Calc Worksheet'!$D$4),J10,0)),0)</f>
        <v>0</v>
      </c>
      <c r="F10" s="178">
        <f>IFERROR(IF(H10&gt;'Calc Worksheet'!$D$5,IF(AND(K10&lt;M10,H10&gt;'Calc Worksheet'!$D$5),J10,0),IF(AND(K10&lt;M10,H10&lt;'Calc Worksheet'!$D$4),J10,0)),0)</f>
        <v>0</v>
      </c>
      <c r="G10" s="178">
        <f t="shared" si="5"/>
        <v>0</v>
      </c>
      <c r="H10" s="178">
        <v>-24</v>
      </c>
      <c r="I10" s="232">
        <f>IFERROR(VLOOKUP(H10,'Calc Worksheet'!$D$27:$T$35,2),0)</f>
        <v>0</v>
      </c>
      <c r="J10" s="178">
        <f t="shared" si="2"/>
        <v>69</v>
      </c>
      <c r="K10" s="232">
        <f>IF(H10&lt;'Calc Worksheet'!$D$4,MAX(_xlfn.FORECAST.LINEAR(H10,'Calc Worksheet'!$E$3:$E$4,'Calc Worksheet'!$D$3:$D$4),0),MAX(_xlfn.FORECAST.LINEAR(H10,'Calc Worksheet'!$E$5:$E$6,'Calc Worksheet'!$D$5:$D$6),0))</f>
        <v>56977.27309914565</v>
      </c>
      <c r="L10" s="178">
        <f t="shared" si="3"/>
        <v>3931431.84384105</v>
      </c>
      <c r="M10" s="232">
        <f>IFERROR(IF(ISNUMBER(MATCH(H10,'Calc Worksheet'!$D$29:$D$35,0)),VLOOKUP(H10,'Calc Worksheet'!$D$29:$V$35,3,FALSE),INDEX('Calc Worksheet'!$F$29:$F$35,MATCH(I10,'Calc Worksheet'!$E$29:$E$35,0))+(INDEX('Calc Worksheet'!$G$29:$G$35,MATCH(I10,'Calc Worksheet'!$E$29:$E$35,0))*(H10-(INDEX('Calc Worksheet'!$D$29:$D$35,MATCH(I10,'Calc Worksheet'!$E$29:$E$35,0)))))),0)</f>
        <v>0</v>
      </c>
      <c r="N10" s="232">
        <f>IFERROR(IF(ISNUMBER(MATCH(H10,'Calc Worksheet'!$D$29:$D$35,0)),VLOOKUP(H10,'Calc Worksheet'!$D$29:$V$35,5,FALSE),INDEX('Calc Worksheet'!$H$29:$H$35,MATCH(I10,'Calc Worksheet'!$E$29:$E$35,0))+(INDEX('Calc Worksheet'!$I$29:$I$35,MATCH(I10,'Calc Worksheet'!$E$29:$E$35,0))*(H10-(INDEX('Calc Worksheet'!$D$29:$D$35,MATCH(I10,'Calc Worksheet'!$E$29:$E$35,0)))))),0)</f>
        <v>0</v>
      </c>
      <c r="O10" s="232">
        <f>IFERROR(IF(ISNUMBER(MATCH($H10,'Calc Worksheet'!$D$29:$D$35,0)),VLOOKUP($H10,'Calc Worksheet'!$D$29:$V$35,7,FALSE),INDEX('Calc Worksheet'!J$29:J$35,MATCH($I10,'Calc Worksheet'!$E$29:$E$35,0))+(INDEX('Calc Worksheet'!K$29:K$35,MATCH($I10,'Calc Worksheet'!$E$29:$E$35,0))*($H10-(INDEX('Calc Worksheet'!$D$29:$D$35,MATCH($I10,'Calc Worksheet'!$E$29:$E$35,0)))))),0)</f>
        <v>0</v>
      </c>
      <c r="P10" s="169">
        <f>IFERROR(IF(ISNUMBER(MATCH($H10,'Calc Worksheet'!$D$29:$D$35,0)),VLOOKUP($H10,'Calc Worksheet'!$D$29:$V$35,9,FALSE),INDEX('Calc Worksheet'!L$29:L$35,MATCH($I10,'Calc Worksheet'!$E$29:$E$35,0))+(INDEX('Calc Worksheet'!M$29:M$35,MATCH($I10,'Calc Worksheet'!$E$29:$E$35,0))*($H10-(INDEX('Calc Worksheet'!$D$29:$D$35,MATCH($I10,'Calc Worksheet'!$E$29:$E$35,0)))))),0)</f>
        <v>0</v>
      </c>
      <c r="Q10" s="169">
        <f>IFERROR(IF(ISNUMBER(MATCH($H10,'Calc Worksheet'!$D$29:$D$35,0)),VLOOKUP($H10,'Calc Worksheet'!$D$29:$V$35,11,FALSE),INDEX('Calc Worksheet'!N$29:N$35,MATCH($I10,'Calc Worksheet'!$E$29:$E$35,0))+(INDEX('Calc Worksheet'!O$29:O$35,MATCH($I10,'Calc Worksheet'!$E$29:$E$35,0))*($H10-(INDEX('Calc Worksheet'!$D$29:$D$35,MATCH($I10,'Calc Worksheet'!$E$29:$E$35,0)))))),0)</f>
        <v>0</v>
      </c>
      <c r="R10" s="169">
        <f>IFERROR(IF(ISNUMBER(MATCH($H10,'Calc Worksheet'!$D$29:$D$35,0)),VLOOKUP($H10,'Calc Worksheet'!$D$29:$V$35,13,FALSE),INDEX('Calc Worksheet'!P$29:P$35,MATCH($I10,'Calc Worksheet'!$E$29:$E$35,0))+(INDEX('Calc Worksheet'!Q$29:Q$35,MATCH($I10,'Calc Worksheet'!$E$29:$E$35,0))*($H10-(INDEX('Calc Worksheet'!$D$29:$D$35,MATCH($I10,'Calc Worksheet'!$E$29:$E$35,0)))))),0)</f>
        <v>0</v>
      </c>
      <c r="S10" s="233">
        <f>IFERROR(IF(ISNUMBER(MATCH($H10,'Calc Worksheet'!$D$29:$D$35,0)),VLOOKUP($H10,'Calc Worksheet'!$D$29:$V$35,19,FALSE),INDEX('Calc Worksheet'!V$29:V$35,MATCH($I10,'Calc Worksheet'!$E$29:$E$35,0))+(INDEX('Calc Worksheet'!W$29:W$35,MATCH($I10,'Calc Worksheet'!$E$29:$E$35,0))*($H10-(INDEX('Calc Worksheet'!$D$29:$D$35,MATCH($I10,'Calc Worksheet'!$E$29:$E$35,0)))))),0)</f>
        <v>0</v>
      </c>
      <c r="X10" s="234">
        <v>2022</v>
      </c>
      <c r="Y10" s="234">
        <v>1</v>
      </c>
      <c r="Z10" s="234">
        <v>1</v>
      </c>
      <c r="AA10" s="235">
        <v>0.3333333333321207</v>
      </c>
      <c r="AB10" s="236">
        <v>-23.7</v>
      </c>
      <c r="AC10" s="127">
        <f>ROUND(AB10,0)</f>
        <v>-24</v>
      </c>
      <c r="AD10" s="237"/>
    </row>
    <row r="11" ht="15.75" customHeight="1" spans="1:30" x14ac:dyDescent="0.25">
      <c r="A11">
        <v>10</v>
      </c>
      <c r="B11" s="178">
        <f>IFERROR(IF(H11&lt;'Calc Worksheet'!$D$4,$K11-$M11,0),0)</f>
        <v>55587.583511361605</v>
      </c>
      <c r="C11" s="178">
        <f t="shared" si="0"/>
        <v>55587.583511361605</v>
      </c>
      <c r="D11" s="178">
        <f t="shared" si="1"/>
        <v>0</v>
      </c>
      <c r="E11" s="178">
        <f>IFERROR(IF(H11&gt;'Calc Worksheet'!$D$5,IF(AND(K11&gt;M11,K11&lt;N11,H11&gt;'Calc Worksheet'!$D$5),J11,0),IF(AND(K11&gt;M11,K11&lt;N11,H11&lt;'Calc Worksheet'!$D$4),J11,0)),0)</f>
        <v>0</v>
      </c>
      <c r="F11" s="178">
        <f>IFERROR(IF(H11&gt;'Calc Worksheet'!$D$5,IF(AND(K11&lt;M11,H11&gt;'Calc Worksheet'!$D$5),J11,0),IF(AND(K11&lt;M11,H11&lt;'Calc Worksheet'!$D$4),J11,0)),0)</f>
        <v>0</v>
      </c>
      <c r="G11" s="178">
        <f t="shared" si="5"/>
        <v>0</v>
      </c>
      <c r="H11" s="178">
        <v>-23</v>
      </c>
      <c r="I11" s="232">
        <f>IFERROR(VLOOKUP(H11,'Calc Worksheet'!$D$27:$T$35,2),0)</f>
        <v>0</v>
      </c>
      <c r="J11" s="178">
        <f t="shared" si="2"/>
        <v>52</v>
      </c>
      <c r="K11" s="232">
        <f>IF(H11&lt;'Calc Worksheet'!$D$4,MAX(_xlfn.FORECAST.LINEAR(H11,'Calc Worksheet'!$E$3:$E$4,'Calc Worksheet'!$D$3:$D$4),0),MAX(_xlfn.FORECAST.LINEAR(H11,'Calc Worksheet'!$E$5:$E$6,'Calc Worksheet'!$D$5:$D$6),0))</f>
        <v>55587.583511361605</v>
      </c>
      <c r="L11" s="178">
        <f t="shared" si="3"/>
        <v>2890554.3425908033</v>
      </c>
      <c r="M11" s="232">
        <f>IFERROR(IF(ISNUMBER(MATCH(H11,'Calc Worksheet'!$D$29:$D$35,0)),VLOOKUP(H11,'Calc Worksheet'!$D$29:$V$35,3,FALSE),INDEX('Calc Worksheet'!$F$29:$F$35,MATCH(I11,'Calc Worksheet'!$E$29:$E$35,0))+(INDEX('Calc Worksheet'!$G$29:$G$35,MATCH(I11,'Calc Worksheet'!$E$29:$E$35,0))*(H11-(INDEX('Calc Worksheet'!$D$29:$D$35,MATCH(I11,'Calc Worksheet'!$E$29:$E$35,0)))))),0)</f>
        <v>0</v>
      </c>
      <c r="N11" s="232">
        <f>IFERROR(IF(ISNUMBER(MATCH(H11,'Calc Worksheet'!$D$29:$D$35,0)),VLOOKUP(H11,'Calc Worksheet'!$D$29:$V$35,5,FALSE),INDEX('Calc Worksheet'!$H$29:$H$35,MATCH(I11,'Calc Worksheet'!$E$29:$E$35,0))+(INDEX('Calc Worksheet'!$I$29:$I$35,MATCH(I11,'Calc Worksheet'!$E$29:$E$35,0))*(H11-(INDEX('Calc Worksheet'!$D$29:$D$35,MATCH(I11,'Calc Worksheet'!$E$29:$E$35,0)))))),0)</f>
        <v>0</v>
      </c>
      <c r="O11" s="232">
        <f>IFERROR(IF(ISNUMBER(MATCH($H11,'Calc Worksheet'!$D$29:$D$35,0)),VLOOKUP($H11,'Calc Worksheet'!$D$29:$V$35,7,FALSE),INDEX('Calc Worksheet'!J$29:J$35,MATCH($I11,'Calc Worksheet'!$E$29:$E$35,0))+(INDEX('Calc Worksheet'!K$29:K$35,MATCH($I11,'Calc Worksheet'!$E$29:$E$35,0))*($H11-(INDEX('Calc Worksheet'!$D$29:$D$35,MATCH($I11,'Calc Worksheet'!$E$29:$E$35,0)))))),0)</f>
        <v>0</v>
      </c>
      <c r="P11" s="169">
        <f>IFERROR(IF(ISNUMBER(MATCH($H11,'Calc Worksheet'!$D$29:$D$35,0)),VLOOKUP($H11,'Calc Worksheet'!$D$29:$V$35,9,FALSE),INDEX('Calc Worksheet'!L$29:L$35,MATCH($I11,'Calc Worksheet'!$E$29:$E$35,0))+(INDEX('Calc Worksheet'!M$29:M$35,MATCH($I11,'Calc Worksheet'!$E$29:$E$35,0))*($H11-(INDEX('Calc Worksheet'!$D$29:$D$35,MATCH($I11,'Calc Worksheet'!$E$29:$E$35,0)))))),0)</f>
        <v>0</v>
      </c>
      <c r="Q11" s="169">
        <f>IFERROR(IF(ISNUMBER(MATCH($H11,'Calc Worksheet'!$D$29:$D$35,0)),VLOOKUP($H11,'Calc Worksheet'!$D$29:$V$35,11,FALSE),INDEX('Calc Worksheet'!N$29:N$35,MATCH($I11,'Calc Worksheet'!$E$29:$E$35,0))+(INDEX('Calc Worksheet'!O$29:O$35,MATCH($I11,'Calc Worksheet'!$E$29:$E$35,0))*($H11-(INDEX('Calc Worksheet'!$D$29:$D$35,MATCH($I11,'Calc Worksheet'!$E$29:$E$35,0)))))),0)</f>
        <v>0</v>
      </c>
      <c r="R11" s="169">
        <f>IFERROR(IF(ISNUMBER(MATCH($H11,'Calc Worksheet'!$D$29:$D$35,0)),VLOOKUP($H11,'Calc Worksheet'!$D$29:$V$35,13,FALSE),INDEX('Calc Worksheet'!P$29:P$35,MATCH($I11,'Calc Worksheet'!$E$29:$E$35,0))+(INDEX('Calc Worksheet'!Q$29:Q$35,MATCH($I11,'Calc Worksheet'!$E$29:$E$35,0))*($H11-(INDEX('Calc Worksheet'!$D$29:$D$35,MATCH($I11,'Calc Worksheet'!$E$29:$E$35,0)))))),0)</f>
        <v>0</v>
      </c>
      <c r="S11" s="233">
        <f>IFERROR(IF(ISNUMBER(MATCH($H11,'Calc Worksheet'!$D$29:$D$35,0)),VLOOKUP($H11,'Calc Worksheet'!$D$29:$V$35,19,FALSE),INDEX('Calc Worksheet'!V$29:V$35,MATCH($I11,'Calc Worksheet'!$E$29:$E$35,0))+(INDEX('Calc Worksheet'!W$29:W$35,MATCH($I11,'Calc Worksheet'!$E$29:$E$35,0))*($H11-(INDEX('Calc Worksheet'!$D$29:$D$35,MATCH($I11,'Calc Worksheet'!$E$29:$E$35,0)))))),0)</f>
        <v>0</v>
      </c>
      <c r="X11" s="234">
        <v>2022</v>
      </c>
      <c r="Y11" s="234">
        <v>1</v>
      </c>
      <c r="Z11" s="234">
        <v>1</v>
      </c>
      <c r="AA11" s="235">
        <v>0.375</v>
      </c>
      <c r="AB11" s="236">
        <v>-23.5</v>
      </c>
      <c r="AC11" s="127">
        <f t="shared" ref="AC11:AC74" si="6">ROUND(AB11,0)</f>
        <v>-24</v>
      </c>
      <c r="AD11" s="237"/>
    </row>
    <row r="12" ht="15.75" customHeight="1" spans="1:30" x14ac:dyDescent="0.25">
      <c r="A12">
        <v>11</v>
      </c>
      <c r="B12" s="178">
        <f>IFERROR(IF(H12&lt;'Calc Worksheet'!$D$4,$K12-$M12,0),0)</f>
        <v>54197.89392357756</v>
      </c>
      <c r="C12" s="178">
        <f t="shared" si="0"/>
        <v>54197.89392357756</v>
      </c>
      <c r="D12" s="178">
        <f t="shared" si="1"/>
        <v>0</v>
      </c>
      <c r="E12" s="178">
        <f>IFERROR(IF(H12&gt;'Calc Worksheet'!$D$5,IF(AND(K12&gt;M12,K12&lt;N12,H12&gt;'Calc Worksheet'!$D$5),J12,0),IF(AND(K12&gt;M12,K12&lt;N12,H12&lt;'Calc Worksheet'!$D$4),J12,0)),0)</f>
        <v>0</v>
      </c>
      <c r="F12" s="178">
        <f>IFERROR(IF(H12&gt;'Calc Worksheet'!$D$5,IF(AND(K12&lt;M12,H12&gt;'Calc Worksheet'!$D$5),J12,0),IF(AND(K12&lt;M12,H12&lt;'Calc Worksheet'!$D$4),J12,0)),0)</f>
        <v>0</v>
      </c>
      <c r="G12" s="178">
        <f t="shared" si="5"/>
        <v>0</v>
      </c>
      <c r="H12" s="178">
        <v>-22</v>
      </c>
      <c r="I12" s="232">
        <f>IFERROR(VLOOKUP(H12,'Calc Worksheet'!$D$27:$T$35,2),0)</f>
        <v>0</v>
      </c>
      <c r="J12" s="178">
        <f t="shared" si="2"/>
        <v>46</v>
      </c>
      <c r="K12" s="232">
        <f>IF(H12&lt;'Calc Worksheet'!$D$4,MAX(_xlfn.FORECAST.LINEAR(H12,'Calc Worksheet'!$E$3:$E$4,'Calc Worksheet'!$D$3:$D$4),0),MAX(_xlfn.FORECAST.LINEAR(H12,'Calc Worksheet'!$E$5:$E$6,'Calc Worksheet'!$D$5:$D$6),0))</f>
        <v>54197.89392357756</v>
      </c>
      <c r="L12" s="178">
        <f t="shared" si="3"/>
        <v>2493103.1204845677</v>
      </c>
      <c r="M12" s="232">
        <f>IFERROR(IF(ISNUMBER(MATCH(H12,'Calc Worksheet'!$D$29:$D$35,0)),VLOOKUP(H12,'Calc Worksheet'!$D$29:$V$35,3,FALSE),INDEX('Calc Worksheet'!$F$29:$F$35,MATCH(I12,'Calc Worksheet'!$E$29:$E$35,0))+(INDEX('Calc Worksheet'!$G$29:$G$35,MATCH(I12,'Calc Worksheet'!$E$29:$E$35,0))*(H12-(INDEX('Calc Worksheet'!$D$29:$D$35,MATCH(I12,'Calc Worksheet'!$E$29:$E$35,0)))))),0)</f>
        <v>0</v>
      </c>
      <c r="N12" s="232">
        <f>IFERROR(IF(ISNUMBER(MATCH(H12,'Calc Worksheet'!$D$29:$D$35,0)),VLOOKUP(H12,'Calc Worksheet'!$D$29:$V$35,5,FALSE),INDEX('Calc Worksheet'!$H$29:$H$35,MATCH(I12,'Calc Worksheet'!$E$29:$E$35,0))+(INDEX('Calc Worksheet'!$I$29:$I$35,MATCH(I12,'Calc Worksheet'!$E$29:$E$35,0))*(H12-(INDEX('Calc Worksheet'!$D$29:$D$35,MATCH(I12,'Calc Worksheet'!$E$29:$E$35,0)))))),0)</f>
        <v>0</v>
      </c>
      <c r="O12" s="232">
        <f>IFERROR(IF(ISNUMBER(MATCH($H12,'Calc Worksheet'!$D$29:$D$35,0)),VLOOKUP($H12,'Calc Worksheet'!$D$29:$V$35,7,FALSE),INDEX('Calc Worksheet'!J$29:J$35,MATCH($I12,'Calc Worksheet'!$E$29:$E$35,0))+(INDEX('Calc Worksheet'!K$29:K$35,MATCH($I12,'Calc Worksheet'!$E$29:$E$35,0))*($H12-(INDEX('Calc Worksheet'!$D$29:$D$35,MATCH($I12,'Calc Worksheet'!$E$29:$E$35,0)))))),0)</f>
        <v>0</v>
      </c>
      <c r="P12" s="169">
        <f>IFERROR(IF(ISNUMBER(MATCH($H12,'Calc Worksheet'!$D$29:$D$35,0)),VLOOKUP($H12,'Calc Worksheet'!$D$29:$V$35,9,FALSE),INDEX('Calc Worksheet'!L$29:L$35,MATCH($I12,'Calc Worksheet'!$E$29:$E$35,0))+(INDEX('Calc Worksheet'!M$29:M$35,MATCH($I12,'Calc Worksheet'!$E$29:$E$35,0))*($H12-(INDEX('Calc Worksheet'!$D$29:$D$35,MATCH($I12,'Calc Worksheet'!$E$29:$E$35,0)))))),0)</f>
        <v>0</v>
      </c>
      <c r="Q12" s="169">
        <f>IFERROR(IF(ISNUMBER(MATCH($H12,'Calc Worksheet'!$D$29:$D$35,0)),VLOOKUP($H12,'Calc Worksheet'!$D$29:$V$35,11,FALSE),INDEX('Calc Worksheet'!N$29:N$35,MATCH($I12,'Calc Worksheet'!$E$29:$E$35,0))+(INDEX('Calc Worksheet'!O$29:O$35,MATCH($I12,'Calc Worksheet'!$E$29:$E$35,0))*($H12-(INDEX('Calc Worksheet'!$D$29:$D$35,MATCH($I12,'Calc Worksheet'!$E$29:$E$35,0)))))),0)</f>
        <v>0</v>
      </c>
      <c r="R12" s="169">
        <f>IFERROR(IF(ISNUMBER(MATCH($H12,'Calc Worksheet'!$D$29:$D$35,0)),VLOOKUP($H12,'Calc Worksheet'!$D$29:$V$35,13,FALSE),INDEX('Calc Worksheet'!P$29:P$35,MATCH($I12,'Calc Worksheet'!$E$29:$E$35,0))+(INDEX('Calc Worksheet'!Q$29:Q$35,MATCH($I12,'Calc Worksheet'!$E$29:$E$35,0))*($H12-(INDEX('Calc Worksheet'!$D$29:$D$35,MATCH($I12,'Calc Worksheet'!$E$29:$E$35,0)))))),0)</f>
        <v>0</v>
      </c>
      <c r="S12" s="233">
        <f>IFERROR(IF(ISNUMBER(MATCH($H12,'Calc Worksheet'!$D$29:$D$35,0)),VLOOKUP($H12,'Calc Worksheet'!$D$29:$V$35,19,FALSE),INDEX('Calc Worksheet'!V$29:V$35,MATCH($I12,'Calc Worksheet'!$E$29:$E$35,0))+(INDEX('Calc Worksheet'!W$29:W$35,MATCH($I12,'Calc Worksheet'!$E$29:$E$35,0))*($H12-(INDEX('Calc Worksheet'!$D$29:$D$35,MATCH($I12,'Calc Worksheet'!$E$29:$E$35,0)))))),0)</f>
        <v>0</v>
      </c>
      <c r="X12" s="234">
        <v>2022</v>
      </c>
      <c r="Y12" s="234">
        <v>1</v>
      </c>
      <c r="Z12" s="234">
        <v>1</v>
      </c>
      <c r="AA12" s="235">
        <v>0.4166666666678793</v>
      </c>
      <c r="AB12" s="236">
        <v>-18.9</v>
      </c>
      <c r="AC12" s="127">
        <f t="shared" si="6"/>
        <v>-19</v>
      </c>
      <c r="AD12" s="237"/>
    </row>
    <row r="13" ht="15.75" customHeight="1" spans="1:29" x14ac:dyDescent="0.25">
      <c r="A13">
        <v>12</v>
      </c>
      <c r="B13" s="178">
        <f>IFERROR(IF(H13&lt;'Calc Worksheet'!$D$4,$K13-$M13,0),0)</f>
        <v>52808.204335793525</v>
      </c>
      <c r="C13" s="178">
        <f t="shared" si="0"/>
        <v>52808.204335793525</v>
      </c>
      <c r="D13" s="178">
        <f t="shared" si="1"/>
        <v>0</v>
      </c>
      <c r="E13" s="178">
        <f>IFERROR(IF(H13&gt;'Calc Worksheet'!$D$5,IF(AND(K13&gt;M13,K13&lt;N13,H13&gt;'Calc Worksheet'!$D$5),J13,0),IF(AND(K13&gt;M13,K13&lt;N13,H13&lt;'Calc Worksheet'!$D$4),J13,0)),0)</f>
        <v>0</v>
      </c>
      <c r="F13" s="178">
        <f>IFERROR(IF(H13&gt;'Calc Worksheet'!$D$5,IF(AND(K13&lt;M13,H13&gt;'Calc Worksheet'!$D$5),J13,0),IF(AND(K13&lt;M13,H13&lt;'Calc Worksheet'!$D$4),J13,0)),0)</f>
        <v>0</v>
      </c>
      <c r="G13" s="178">
        <f t="shared" si="5"/>
        <v>0</v>
      </c>
      <c r="H13" s="178">
        <v>-21</v>
      </c>
      <c r="I13" s="232">
        <f>IFERROR(VLOOKUP(H13,'Calc Worksheet'!$D$27:$T$35,2),0)</f>
        <v>0</v>
      </c>
      <c r="J13" s="178">
        <f t="shared" si="2"/>
        <v>70</v>
      </c>
      <c r="K13" s="232">
        <f>IF(H13&lt;'Calc Worksheet'!$D$4,MAX(_xlfn.FORECAST.LINEAR(H13,'Calc Worksheet'!$E$3:$E$4,'Calc Worksheet'!$D$3:$D$4),0),MAX(_xlfn.FORECAST.LINEAR(H13,'Calc Worksheet'!$E$5:$E$6,'Calc Worksheet'!$D$5:$D$6),0))</f>
        <v>52808.204335793525</v>
      </c>
      <c r="L13" s="178">
        <f t="shared" si="3"/>
        <v>3696574.303505547</v>
      </c>
      <c r="M13" s="232">
        <f>IFERROR(IF(ISNUMBER(MATCH(H13,'Calc Worksheet'!$D$29:$D$35,0)),VLOOKUP(H13,'Calc Worksheet'!$D$29:$V$35,3,FALSE),INDEX('Calc Worksheet'!$F$29:$F$35,MATCH(I13,'Calc Worksheet'!$E$29:$E$35,0))+(INDEX('Calc Worksheet'!$G$29:$G$35,MATCH(I13,'Calc Worksheet'!$E$29:$E$35,0))*(H13-(INDEX('Calc Worksheet'!$D$29:$D$35,MATCH(I13,'Calc Worksheet'!$E$29:$E$35,0)))))),0)</f>
        <v>0</v>
      </c>
      <c r="N13" s="232">
        <f>IFERROR(IF(ISNUMBER(MATCH(H13,'Calc Worksheet'!$D$29:$D$35,0)),VLOOKUP(H13,'Calc Worksheet'!$D$29:$V$35,5,FALSE),INDEX('Calc Worksheet'!$H$29:$H$35,MATCH(I13,'Calc Worksheet'!$E$29:$E$35,0))+(INDEX('Calc Worksheet'!$I$29:$I$35,MATCH(I13,'Calc Worksheet'!$E$29:$E$35,0))*(H13-(INDEX('Calc Worksheet'!$D$29:$D$35,MATCH(I13,'Calc Worksheet'!$E$29:$E$35,0)))))),0)</f>
        <v>0</v>
      </c>
      <c r="O13" s="232">
        <f>IFERROR(IF(ISNUMBER(MATCH($H13,'Calc Worksheet'!$D$29:$D$35,0)),VLOOKUP($H13,'Calc Worksheet'!$D$29:$V$35,7,FALSE),INDEX('Calc Worksheet'!J$29:J$35,MATCH($I13,'Calc Worksheet'!$E$29:$E$35,0))+(INDEX('Calc Worksheet'!K$29:K$35,MATCH($I13,'Calc Worksheet'!$E$29:$E$35,0))*($H13-(INDEX('Calc Worksheet'!$D$29:$D$35,MATCH($I13,'Calc Worksheet'!$E$29:$E$35,0)))))),0)</f>
        <v>0</v>
      </c>
      <c r="P13" s="169">
        <f>IFERROR(IF(ISNUMBER(MATCH($H13,'Calc Worksheet'!$D$29:$D$35,0)),VLOOKUP($H13,'Calc Worksheet'!$D$29:$V$35,9,FALSE),INDEX('Calc Worksheet'!L$29:L$35,MATCH($I13,'Calc Worksheet'!$E$29:$E$35,0))+(INDEX('Calc Worksheet'!M$29:M$35,MATCH($I13,'Calc Worksheet'!$E$29:$E$35,0))*($H13-(INDEX('Calc Worksheet'!$D$29:$D$35,MATCH($I13,'Calc Worksheet'!$E$29:$E$35,0)))))),0)</f>
        <v>0</v>
      </c>
      <c r="Q13" s="169">
        <f>IFERROR(IF(ISNUMBER(MATCH($H13,'Calc Worksheet'!$D$29:$D$35,0)),VLOOKUP($H13,'Calc Worksheet'!$D$29:$V$35,11,FALSE),INDEX('Calc Worksheet'!N$29:N$35,MATCH($I13,'Calc Worksheet'!$E$29:$E$35,0))+(INDEX('Calc Worksheet'!O$29:O$35,MATCH($I13,'Calc Worksheet'!$E$29:$E$35,0))*($H13-(INDEX('Calc Worksheet'!$D$29:$D$35,MATCH($I13,'Calc Worksheet'!$E$29:$E$35,0)))))),0)</f>
        <v>0</v>
      </c>
      <c r="R13" s="169">
        <f>IFERROR(IF(ISNUMBER(MATCH($H13,'Calc Worksheet'!$D$29:$D$35,0)),VLOOKUP($H13,'Calc Worksheet'!$D$29:$V$35,13,FALSE),INDEX('Calc Worksheet'!P$29:P$35,MATCH($I13,'Calc Worksheet'!$E$29:$E$35,0))+(INDEX('Calc Worksheet'!Q$29:Q$35,MATCH($I13,'Calc Worksheet'!$E$29:$E$35,0))*($H13-(INDEX('Calc Worksheet'!$D$29:$D$35,MATCH($I13,'Calc Worksheet'!$E$29:$E$35,0)))))),0)</f>
        <v>0</v>
      </c>
      <c r="S13" s="233">
        <f>IFERROR(IF(ISNUMBER(MATCH($H13,'Calc Worksheet'!$D$29:$D$35,0)),VLOOKUP($H13,'Calc Worksheet'!$D$29:$V$35,19,FALSE),INDEX('Calc Worksheet'!V$29:V$35,MATCH($I13,'Calc Worksheet'!$E$29:$E$35,0))+(INDEX('Calc Worksheet'!W$29:W$35,MATCH($I13,'Calc Worksheet'!$E$29:$E$35,0))*($H13-(INDEX('Calc Worksheet'!$D$29:$D$35,MATCH($I13,'Calc Worksheet'!$E$29:$E$35,0)))))),0)</f>
        <v>0</v>
      </c>
      <c r="X13" s="234">
        <v>2022</v>
      </c>
      <c r="Y13" s="234">
        <v>1</v>
      </c>
      <c r="Z13" s="234">
        <v>1</v>
      </c>
      <c r="AA13" s="235">
        <v>0.4583333333321207</v>
      </c>
      <c r="AB13" s="236">
        <v>-15.3</v>
      </c>
      <c r="AC13" s="127">
        <f t="shared" si="6"/>
        <v>-15</v>
      </c>
    </row>
    <row r="14" ht="15.75" customHeight="1" spans="1:29" x14ac:dyDescent="0.25">
      <c r="A14">
        <v>13</v>
      </c>
      <c r="B14" s="178">
        <f>IFERROR(IF(H14&lt;'Calc Worksheet'!$D$4,$K14-$M14,0),0)</f>
        <v>51418.51474800948</v>
      </c>
      <c r="C14" s="178">
        <f t="shared" si="0"/>
        <v>51418.51474800948</v>
      </c>
      <c r="D14" s="178">
        <f t="shared" si="1"/>
        <v>0</v>
      </c>
      <c r="E14" s="178">
        <f>IFERROR(IF(H14&gt;'Calc Worksheet'!$D$5,IF(AND(K14&gt;M14,K14&lt;N14,H14&gt;'Calc Worksheet'!$D$5),J14,0),IF(AND(K14&gt;M14,K14&lt;N14,H14&lt;'Calc Worksheet'!$D$4),J14,0)),0)</f>
        <v>0</v>
      </c>
      <c r="F14" s="178">
        <f>IFERROR(IF(H14&gt;'Calc Worksheet'!$D$5,IF(AND(K14&lt;M14,H14&gt;'Calc Worksheet'!$D$5),J14,0),IF(AND(K14&lt;M14,H14&lt;'Calc Worksheet'!$D$4),J14,0)),0)</f>
        <v>0</v>
      </c>
      <c r="G14" s="178">
        <f t="shared" si="5"/>
        <v>0</v>
      </c>
      <c r="H14" s="178">
        <v>-20</v>
      </c>
      <c r="I14" s="232">
        <f>IFERROR(VLOOKUP(H14,'Calc Worksheet'!$D$27:$T$35,2),0)</f>
        <v>0</v>
      </c>
      <c r="J14" s="178">
        <f t="shared" si="2"/>
        <v>46</v>
      </c>
      <c r="K14" s="232">
        <f>IF(H14&lt;'Calc Worksheet'!$D$4,MAX(_xlfn.FORECAST.LINEAR(H14,'Calc Worksheet'!$E$3:$E$4,'Calc Worksheet'!$D$3:$D$4),0),MAX(_xlfn.FORECAST.LINEAR(H14,'Calc Worksheet'!$E$5:$E$6,'Calc Worksheet'!$D$5:$D$6),0))</f>
        <v>51418.51474800948</v>
      </c>
      <c r="L14" s="178">
        <f t="shared" si="3"/>
        <v>2365251.678408436</v>
      </c>
      <c r="M14" s="232">
        <f>IFERROR(IF(ISNUMBER(MATCH(H14,'Calc Worksheet'!$D$29:$D$35,0)),VLOOKUP(H14,'Calc Worksheet'!$D$29:$V$35,3,FALSE),INDEX('Calc Worksheet'!$F$29:$F$35,MATCH(I14,'Calc Worksheet'!$E$29:$E$35,0))+(INDEX('Calc Worksheet'!$G$29:$G$35,MATCH(I14,'Calc Worksheet'!$E$29:$E$35,0))*(H14-(INDEX('Calc Worksheet'!$D$29:$D$35,MATCH(I14,'Calc Worksheet'!$E$29:$E$35,0)))))),0)</f>
        <v>0</v>
      </c>
      <c r="N14" s="232">
        <f>IFERROR(IF(ISNUMBER(MATCH(H14,'Calc Worksheet'!$D$29:$D$35,0)),VLOOKUP(H14,'Calc Worksheet'!$D$29:$V$35,5,FALSE),INDEX('Calc Worksheet'!$H$29:$H$35,MATCH(I14,'Calc Worksheet'!$E$29:$E$35,0))+(INDEX('Calc Worksheet'!$I$29:$I$35,MATCH(I14,'Calc Worksheet'!$E$29:$E$35,0))*(H14-(INDEX('Calc Worksheet'!$D$29:$D$35,MATCH(I14,'Calc Worksheet'!$E$29:$E$35,0)))))),0)</f>
        <v>0</v>
      </c>
      <c r="O14" s="232">
        <f>IFERROR(IF(ISNUMBER(MATCH($H14,'Calc Worksheet'!$D$29:$D$35,0)),VLOOKUP($H14,'Calc Worksheet'!$D$29:$V$35,7,FALSE),INDEX('Calc Worksheet'!J$29:J$35,MATCH($I14,'Calc Worksheet'!$E$29:$E$35,0))+(INDEX('Calc Worksheet'!K$29:K$35,MATCH($I14,'Calc Worksheet'!$E$29:$E$35,0))*($H14-(INDEX('Calc Worksheet'!$D$29:$D$35,MATCH($I14,'Calc Worksheet'!$E$29:$E$35,0)))))),0)</f>
        <v>0</v>
      </c>
      <c r="P14" s="169">
        <f>IFERROR(IF(ISNUMBER(MATCH($H14,'Calc Worksheet'!$D$29:$D$35,0)),VLOOKUP($H14,'Calc Worksheet'!$D$29:$V$35,9,FALSE),INDEX('Calc Worksheet'!L$29:L$35,MATCH($I14,'Calc Worksheet'!$E$29:$E$35,0))+(INDEX('Calc Worksheet'!M$29:M$35,MATCH($I14,'Calc Worksheet'!$E$29:$E$35,0))*($H14-(INDEX('Calc Worksheet'!$D$29:$D$35,MATCH($I14,'Calc Worksheet'!$E$29:$E$35,0)))))),0)</f>
        <v>0</v>
      </c>
      <c r="Q14" s="169">
        <f>IFERROR(IF(ISNUMBER(MATCH($H14,'Calc Worksheet'!$D$29:$D$35,0)),VLOOKUP($H14,'Calc Worksheet'!$D$29:$V$35,11,FALSE),INDEX('Calc Worksheet'!N$29:N$35,MATCH($I14,'Calc Worksheet'!$E$29:$E$35,0))+(INDEX('Calc Worksheet'!O$29:O$35,MATCH($I14,'Calc Worksheet'!$E$29:$E$35,0))*($H14-(INDEX('Calc Worksheet'!$D$29:$D$35,MATCH($I14,'Calc Worksheet'!$E$29:$E$35,0)))))),0)</f>
        <v>0</v>
      </c>
      <c r="R14" s="169">
        <f>IFERROR(IF(ISNUMBER(MATCH($H14,'Calc Worksheet'!$D$29:$D$35,0)),VLOOKUP($H14,'Calc Worksheet'!$D$29:$V$35,13,FALSE),INDEX('Calc Worksheet'!P$29:P$35,MATCH($I14,'Calc Worksheet'!$E$29:$E$35,0))+(INDEX('Calc Worksheet'!Q$29:Q$35,MATCH($I14,'Calc Worksheet'!$E$29:$E$35,0))*($H14-(INDEX('Calc Worksheet'!$D$29:$D$35,MATCH($I14,'Calc Worksheet'!$E$29:$E$35,0)))))),0)</f>
        <v>0</v>
      </c>
      <c r="S14" s="233">
        <f>IFERROR(IF(ISNUMBER(MATCH($H14,'Calc Worksheet'!$D$29:$D$35,0)),VLOOKUP($H14,'Calc Worksheet'!$D$29:$V$35,19,FALSE),INDEX('Calc Worksheet'!V$29:V$35,MATCH($I14,'Calc Worksheet'!$E$29:$E$35,0))+(INDEX('Calc Worksheet'!W$29:W$35,MATCH($I14,'Calc Worksheet'!$E$29:$E$35,0))*($H14-(INDEX('Calc Worksheet'!$D$29:$D$35,MATCH($I14,'Calc Worksheet'!$E$29:$E$35,0)))))),0)</f>
        <v>0</v>
      </c>
      <c r="X14" s="234">
        <v>2022</v>
      </c>
      <c r="Y14" s="234">
        <v>1</v>
      </c>
      <c r="Z14" s="234">
        <v>1</v>
      </c>
      <c r="AA14" s="235">
        <v>0.5</v>
      </c>
      <c r="AB14" s="236">
        <v>-13</v>
      </c>
      <c r="AC14" s="127">
        <f>ROUND(AB14,0)</f>
        <v>-13</v>
      </c>
    </row>
    <row r="15" ht="15.75" customHeight="1" spans="1:29" x14ac:dyDescent="0.25">
      <c r="A15">
        <v>14</v>
      </c>
      <c r="B15" s="178">
        <f>IFERROR(IF(H15&lt;'Calc Worksheet'!$D$4,$K15-$M15,0),0)</f>
        <v>50028.825160225446</v>
      </c>
      <c r="C15" s="178">
        <f t="shared" si="0"/>
        <v>50028.825160225446</v>
      </c>
      <c r="D15" s="178">
        <f t="shared" si="1"/>
        <v>0</v>
      </c>
      <c r="E15" s="178">
        <f>IFERROR(IF(H15&gt;'Calc Worksheet'!$D$5,IF(AND(K15&gt;M15,K15&lt;N15,H15&gt;'Calc Worksheet'!$D$5),J15,0),IF(AND(K15&gt;M15,K15&lt;N15,H15&lt;'Calc Worksheet'!$D$4),J15,0)),0)</f>
        <v>0</v>
      </c>
      <c r="F15" s="178">
        <f>IFERROR(IF(H15&gt;'Calc Worksheet'!$D$5,IF(AND(K15&lt;M15,H15&gt;'Calc Worksheet'!$D$5),J15,0),IF(AND(K15&lt;M15,H15&lt;'Calc Worksheet'!$D$4),J15,0)),0)</f>
        <v>0</v>
      </c>
      <c r="G15" s="178">
        <f t="shared" si="5"/>
        <v>0</v>
      </c>
      <c r="H15" s="178">
        <v>-19</v>
      </c>
      <c r="I15" s="232">
        <f>IFERROR(VLOOKUP(H15,'Calc Worksheet'!$D$27:$T$35,2),0)</f>
        <v>0</v>
      </c>
      <c r="J15" s="178">
        <f t="shared" si="2"/>
        <v>52</v>
      </c>
      <c r="K15" s="232">
        <f>IF(H15&lt;'Calc Worksheet'!$D$4,MAX(_xlfn.FORECAST.LINEAR(H15,'Calc Worksheet'!$E$3:$E$4,'Calc Worksheet'!$D$3:$D$4),0),MAX(_xlfn.FORECAST.LINEAR(H15,'Calc Worksheet'!$E$5:$E$6,'Calc Worksheet'!$D$5:$D$6),0))</f>
        <v>50028.825160225446</v>
      </c>
      <c r="L15" s="178">
        <f t="shared" si="3"/>
        <v>2601498.908331723</v>
      </c>
      <c r="M15" s="232">
        <f>IFERROR(IF(ISNUMBER(MATCH(H15,'Calc Worksheet'!$D$29:$D$35,0)),VLOOKUP(H15,'Calc Worksheet'!$D$29:$V$35,3,FALSE),INDEX('Calc Worksheet'!$F$29:$F$35,MATCH(I15,'Calc Worksheet'!$E$29:$E$35,0))+(INDEX('Calc Worksheet'!$G$29:$G$35,MATCH(I15,'Calc Worksheet'!$E$29:$E$35,0))*(H15-(INDEX('Calc Worksheet'!$D$29:$D$35,MATCH(I15,'Calc Worksheet'!$E$29:$E$35,0)))))),0)</f>
        <v>0</v>
      </c>
      <c r="N15" s="232">
        <f>IFERROR(IF(ISNUMBER(MATCH(H15,'Calc Worksheet'!$D$29:$D$35,0)),VLOOKUP(H15,'Calc Worksheet'!$D$29:$V$35,5,FALSE),INDEX('Calc Worksheet'!$H$29:$H$35,MATCH(I15,'Calc Worksheet'!$E$29:$E$35,0))+(INDEX('Calc Worksheet'!$I$29:$I$35,MATCH(I15,'Calc Worksheet'!$E$29:$E$35,0))*(H15-(INDEX('Calc Worksheet'!$D$29:$D$35,MATCH(I15,'Calc Worksheet'!$E$29:$E$35,0)))))),0)</f>
        <v>0</v>
      </c>
      <c r="O15" s="232">
        <f>IFERROR(IF(ISNUMBER(MATCH($H15,'Calc Worksheet'!$D$29:$D$35,0)),VLOOKUP($H15,'Calc Worksheet'!$D$29:$V$35,7,FALSE),INDEX('Calc Worksheet'!J$29:J$35,MATCH($I15,'Calc Worksheet'!$E$29:$E$35,0))+(INDEX('Calc Worksheet'!K$29:K$35,MATCH($I15,'Calc Worksheet'!$E$29:$E$35,0))*($H15-(INDEX('Calc Worksheet'!$D$29:$D$35,MATCH($I15,'Calc Worksheet'!$E$29:$E$35,0)))))),0)</f>
        <v>0</v>
      </c>
      <c r="P15" s="169">
        <f>IFERROR(IF(ISNUMBER(MATCH($H15,'Calc Worksheet'!$D$29:$D$35,0)),VLOOKUP($H15,'Calc Worksheet'!$D$29:$V$35,9,FALSE),INDEX('Calc Worksheet'!L$29:L$35,MATCH($I15,'Calc Worksheet'!$E$29:$E$35,0))+(INDEX('Calc Worksheet'!M$29:M$35,MATCH($I15,'Calc Worksheet'!$E$29:$E$35,0))*($H15-(INDEX('Calc Worksheet'!$D$29:$D$35,MATCH($I15,'Calc Worksheet'!$E$29:$E$35,0)))))),0)</f>
        <v>0</v>
      </c>
      <c r="Q15" s="169">
        <f>IFERROR(IF(ISNUMBER(MATCH($H15,'Calc Worksheet'!$D$29:$D$35,0)),VLOOKUP($H15,'Calc Worksheet'!$D$29:$V$35,11,FALSE),INDEX('Calc Worksheet'!N$29:N$35,MATCH($I15,'Calc Worksheet'!$E$29:$E$35,0))+(INDEX('Calc Worksheet'!O$29:O$35,MATCH($I15,'Calc Worksheet'!$E$29:$E$35,0))*($H15-(INDEX('Calc Worksheet'!$D$29:$D$35,MATCH($I15,'Calc Worksheet'!$E$29:$E$35,0)))))),0)</f>
        <v>0</v>
      </c>
      <c r="R15" s="169">
        <f>IFERROR(IF(ISNUMBER(MATCH($H15,'Calc Worksheet'!$D$29:$D$35,0)),VLOOKUP($H15,'Calc Worksheet'!$D$29:$V$35,13,FALSE),INDEX('Calc Worksheet'!P$29:P$35,MATCH($I15,'Calc Worksheet'!$E$29:$E$35,0))+(INDEX('Calc Worksheet'!Q$29:Q$35,MATCH($I15,'Calc Worksheet'!$E$29:$E$35,0))*($H15-(INDEX('Calc Worksheet'!$D$29:$D$35,MATCH($I15,'Calc Worksheet'!$E$29:$E$35,0)))))),0)</f>
        <v>0</v>
      </c>
      <c r="S15" s="233">
        <f>IFERROR(IF(ISNUMBER(MATCH($H15,'Calc Worksheet'!$D$29:$D$35,0)),VLOOKUP($H15,'Calc Worksheet'!$D$29:$V$35,19,FALSE),INDEX('Calc Worksheet'!V$29:V$35,MATCH($I15,'Calc Worksheet'!$E$29:$E$35,0))+(INDEX('Calc Worksheet'!W$29:W$35,MATCH($I15,'Calc Worksheet'!$E$29:$E$35,0))*($H15-(INDEX('Calc Worksheet'!$D$29:$D$35,MATCH($I15,'Calc Worksheet'!$E$29:$E$35,0)))))),0)</f>
        <v>0</v>
      </c>
      <c r="X15" s="234">
        <v>2022</v>
      </c>
      <c r="Y15" s="234">
        <v>1</v>
      </c>
      <c r="Z15" s="234">
        <v>1</v>
      </c>
      <c r="AA15" s="235">
        <v>0.5416666666678793</v>
      </c>
      <c r="AB15" s="236">
        <v>-11.7</v>
      </c>
      <c r="AC15" s="127">
        <f t="shared" si="6"/>
        <v>-12</v>
      </c>
    </row>
    <row r="16" ht="15.75" customHeight="1" spans="1:29" x14ac:dyDescent="0.25">
      <c r="A16">
        <v>15</v>
      </c>
      <c r="B16" s="178">
        <f>IFERROR(IF(H16&lt;'Calc Worksheet'!$D$4,$K16-$M16,0),0)</f>
        <v>48639.1355724414</v>
      </c>
      <c r="C16" s="178">
        <f t="shared" si="0"/>
        <v>48639.1355724414</v>
      </c>
      <c r="D16" s="178">
        <f t="shared" si="1"/>
        <v>0</v>
      </c>
      <c r="E16" s="178">
        <f>IFERROR(IF(H16&gt;'Calc Worksheet'!$D$5,IF(AND(K16&gt;M16,K16&lt;N16,H16&gt;'Calc Worksheet'!$D$5),J16,0),IF(AND(K16&gt;M16,K16&lt;N16,H16&lt;'Calc Worksheet'!$D$4),J16,0)),0)</f>
        <v>0</v>
      </c>
      <c r="F16" s="178">
        <f>IFERROR(IF(H16&gt;'Calc Worksheet'!$D$5,IF(AND(K16&lt;M16,H16&gt;'Calc Worksheet'!$D$5),J16,0),IF(AND(K16&lt;M16,H16&lt;'Calc Worksheet'!$D$4),J16,0)),0)</f>
        <v>0</v>
      </c>
      <c r="G16" s="178">
        <f t="shared" si="5"/>
        <v>0</v>
      </c>
      <c r="H16" s="178">
        <v>-18</v>
      </c>
      <c r="I16" s="232">
        <f>IFERROR(VLOOKUP(H16,'Calc Worksheet'!$D$27:$T$35,2),0)</f>
        <v>0</v>
      </c>
      <c r="J16" s="178">
        <f t="shared" si="2"/>
        <v>73</v>
      </c>
      <c r="K16" s="232">
        <f>IF(H16&lt;'Calc Worksheet'!$D$4,MAX(_xlfn.FORECAST.LINEAR(H16,'Calc Worksheet'!$E$3:$E$4,'Calc Worksheet'!$D$3:$D$4),0),MAX(_xlfn.FORECAST.LINEAR(H16,'Calc Worksheet'!$E$5:$E$6,'Calc Worksheet'!$D$5:$D$6),0))</f>
        <v>48639.1355724414</v>
      </c>
      <c r="L16" s="178">
        <f t="shared" si="3"/>
        <v>3550656.8967882222</v>
      </c>
      <c r="M16" s="232">
        <f>IFERROR(IF(ISNUMBER(MATCH(H16,'Calc Worksheet'!$D$29:$D$35,0)),VLOOKUP(H16,'Calc Worksheet'!$D$29:$V$35,3,FALSE),INDEX('Calc Worksheet'!$F$29:$F$35,MATCH(I16,'Calc Worksheet'!$E$29:$E$35,0))+(INDEX('Calc Worksheet'!$G$29:$G$35,MATCH(I16,'Calc Worksheet'!$E$29:$E$35,0))*(H16-(INDEX('Calc Worksheet'!$D$29:$D$35,MATCH(I16,'Calc Worksheet'!$E$29:$E$35,0)))))),0)</f>
        <v>0</v>
      </c>
      <c r="N16" s="232">
        <f>IFERROR(IF(ISNUMBER(MATCH(H16,'Calc Worksheet'!$D$29:$D$35,0)),VLOOKUP(H16,'Calc Worksheet'!$D$29:$V$35,5,FALSE),INDEX('Calc Worksheet'!$H$29:$H$35,MATCH(I16,'Calc Worksheet'!$E$29:$E$35,0))+(INDEX('Calc Worksheet'!$I$29:$I$35,MATCH(I16,'Calc Worksheet'!$E$29:$E$35,0))*(H16-(INDEX('Calc Worksheet'!$D$29:$D$35,MATCH(I16,'Calc Worksheet'!$E$29:$E$35,0)))))),0)</f>
        <v>0</v>
      </c>
      <c r="O16" s="232">
        <f>IFERROR(IF(ISNUMBER(MATCH($H16,'Calc Worksheet'!$D$29:$D$35,0)),VLOOKUP($H16,'Calc Worksheet'!$D$29:$V$35,7,FALSE),INDEX('Calc Worksheet'!J$29:J$35,MATCH($I16,'Calc Worksheet'!$E$29:$E$35,0))+(INDEX('Calc Worksheet'!K$29:K$35,MATCH($I16,'Calc Worksheet'!$E$29:$E$35,0))*($H16-(INDEX('Calc Worksheet'!$D$29:$D$35,MATCH($I16,'Calc Worksheet'!$E$29:$E$35,0)))))),0)</f>
        <v>0</v>
      </c>
      <c r="P16" s="169">
        <f>IFERROR(IF(ISNUMBER(MATCH($H16,'Calc Worksheet'!$D$29:$D$35,0)),VLOOKUP($H16,'Calc Worksheet'!$D$29:$V$35,9,FALSE),INDEX('Calc Worksheet'!L$29:L$35,MATCH($I16,'Calc Worksheet'!$E$29:$E$35,0))+(INDEX('Calc Worksheet'!M$29:M$35,MATCH($I16,'Calc Worksheet'!$E$29:$E$35,0))*($H16-(INDEX('Calc Worksheet'!$D$29:$D$35,MATCH($I16,'Calc Worksheet'!$E$29:$E$35,0)))))),0)</f>
        <v>0</v>
      </c>
      <c r="Q16" s="169">
        <f>IFERROR(IF(ISNUMBER(MATCH($H16,'Calc Worksheet'!$D$29:$D$35,0)),VLOOKUP($H16,'Calc Worksheet'!$D$29:$V$35,11,FALSE),INDEX('Calc Worksheet'!N$29:N$35,MATCH($I16,'Calc Worksheet'!$E$29:$E$35,0))+(INDEX('Calc Worksheet'!O$29:O$35,MATCH($I16,'Calc Worksheet'!$E$29:$E$35,0))*($H16-(INDEX('Calc Worksheet'!$D$29:$D$35,MATCH($I16,'Calc Worksheet'!$E$29:$E$35,0)))))),0)</f>
        <v>0</v>
      </c>
      <c r="R16" s="169">
        <f>IFERROR(IF(ISNUMBER(MATCH($H16,'Calc Worksheet'!$D$29:$D$35,0)),VLOOKUP($H16,'Calc Worksheet'!$D$29:$V$35,13,FALSE),INDEX('Calc Worksheet'!P$29:P$35,MATCH($I16,'Calc Worksheet'!$E$29:$E$35,0))+(INDEX('Calc Worksheet'!Q$29:Q$35,MATCH($I16,'Calc Worksheet'!$E$29:$E$35,0))*($H16-(INDEX('Calc Worksheet'!$D$29:$D$35,MATCH($I16,'Calc Worksheet'!$E$29:$E$35,0)))))),0)</f>
        <v>0</v>
      </c>
      <c r="S16" s="233">
        <f>IFERROR(IF(ISNUMBER(MATCH($H16,'Calc Worksheet'!$D$29:$D$35,0)),VLOOKUP($H16,'Calc Worksheet'!$D$29:$V$35,19,FALSE),INDEX('Calc Worksheet'!V$29:V$35,MATCH($I16,'Calc Worksheet'!$E$29:$E$35,0))+(INDEX('Calc Worksheet'!W$29:W$35,MATCH($I16,'Calc Worksheet'!$E$29:$E$35,0))*($H16-(INDEX('Calc Worksheet'!$D$29:$D$35,MATCH($I16,'Calc Worksheet'!$E$29:$E$35,0)))))),0)</f>
        <v>0</v>
      </c>
      <c r="X16" s="234">
        <v>2022</v>
      </c>
      <c r="Y16" s="234">
        <v>1</v>
      </c>
      <c r="Z16" s="234">
        <v>1</v>
      </c>
      <c r="AA16" s="235">
        <v>0.5833333333321207</v>
      </c>
      <c r="AB16" s="236">
        <v>-9.8</v>
      </c>
      <c r="AC16" s="127">
        <f t="shared" si="6"/>
        <v>-10</v>
      </c>
    </row>
    <row r="17" ht="15.75" customHeight="1" spans="1:29" x14ac:dyDescent="0.25">
      <c r="A17">
        <v>16</v>
      </c>
      <c r="B17" s="178">
        <f>IFERROR(IF(H17&lt;'Calc Worksheet'!$D$4,$K17-$M17,0),0)</f>
        <v>47249.44598465736</v>
      </c>
      <c r="C17" s="178">
        <f t="shared" si="0"/>
        <v>47249.44598465736</v>
      </c>
      <c r="D17" s="178">
        <f t="shared" si="1"/>
        <v>0</v>
      </c>
      <c r="E17" s="178">
        <f>IFERROR(IF(H17&gt;'Calc Worksheet'!$D$5,IF(AND(K17&gt;M17,K17&lt;N17,H17&gt;'Calc Worksheet'!$D$5),J17,0),IF(AND(K17&gt;M17,K17&lt;N17,H17&lt;'Calc Worksheet'!$D$4),J17,0)),0)</f>
        <v>0</v>
      </c>
      <c r="F17" s="178">
        <f>IFERROR(IF(H17&gt;'Calc Worksheet'!$D$5,IF(AND(K17&lt;M17,H17&gt;'Calc Worksheet'!$D$5),J17,0),IF(AND(K17&lt;M17,H17&lt;'Calc Worksheet'!$D$4),J17,0)),0)</f>
        <v>0</v>
      </c>
      <c r="G17" s="178">
        <f t="shared" si="5"/>
        <v>0</v>
      </c>
      <c r="H17" s="178">
        <v>-17</v>
      </c>
      <c r="I17" s="232">
        <f>IFERROR(VLOOKUP(H17,'Calc Worksheet'!$D$27:$T$35,2),0)</f>
        <v>0</v>
      </c>
      <c r="J17" s="178">
        <f t="shared" si="2"/>
        <v>67</v>
      </c>
      <c r="K17" s="232">
        <f>IF(H17&lt;'Calc Worksheet'!$D$4,MAX(_xlfn.FORECAST.LINEAR(H17,'Calc Worksheet'!$E$3:$E$4,'Calc Worksheet'!$D$3:$D$4),0),MAX(_xlfn.FORECAST.LINEAR(H17,'Calc Worksheet'!$E$5:$E$6,'Calc Worksheet'!$D$5:$D$6),0))</f>
        <v>47249.44598465736</v>
      </c>
      <c r="L17" s="178">
        <f t="shared" si="3"/>
        <v>3165712.880972043</v>
      </c>
      <c r="M17" s="232">
        <f>IFERROR(IF(ISNUMBER(MATCH(H17,'Calc Worksheet'!$D$29:$D$35,0)),VLOOKUP(H17,'Calc Worksheet'!$D$29:$V$35,3,FALSE),INDEX('Calc Worksheet'!$F$29:$F$35,MATCH(I17,'Calc Worksheet'!$E$29:$E$35,0))+(INDEX('Calc Worksheet'!$G$29:$G$35,MATCH(I17,'Calc Worksheet'!$E$29:$E$35,0))*(H17-(INDEX('Calc Worksheet'!$D$29:$D$35,MATCH(I17,'Calc Worksheet'!$E$29:$E$35,0)))))),0)</f>
        <v>0</v>
      </c>
      <c r="N17" s="232">
        <f>IFERROR(IF(ISNUMBER(MATCH(H17,'Calc Worksheet'!$D$29:$D$35,0)),VLOOKUP(H17,'Calc Worksheet'!$D$29:$V$35,5,FALSE),INDEX('Calc Worksheet'!$H$29:$H$35,MATCH(I17,'Calc Worksheet'!$E$29:$E$35,0))+(INDEX('Calc Worksheet'!$I$29:$I$35,MATCH(I17,'Calc Worksheet'!$E$29:$E$35,0))*(H17-(INDEX('Calc Worksheet'!$D$29:$D$35,MATCH(I17,'Calc Worksheet'!$E$29:$E$35,0)))))),0)</f>
        <v>0</v>
      </c>
      <c r="O17" s="232">
        <f>IFERROR(IF(ISNUMBER(MATCH($H17,'Calc Worksheet'!$D$29:$D$35,0)),VLOOKUP($H17,'Calc Worksheet'!$D$29:$V$35,7,FALSE),INDEX('Calc Worksheet'!J$29:J$35,MATCH($I17,'Calc Worksheet'!$E$29:$E$35,0))+(INDEX('Calc Worksheet'!K$29:K$35,MATCH($I17,'Calc Worksheet'!$E$29:$E$35,0))*($H17-(INDEX('Calc Worksheet'!$D$29:$D$35,MATCH($I17,'Calc Worksheet'!$E$29:$E$35,0)))))),0)</f>
        <v>0</v>
      </c>
      <c r="P17" s="169">
        <f>IFERROR(IF(ISNUMBER(MATCH($H17,'Calc Worksheet'!$D$29:$D$35,0)),VLOOKUP($H17,'Calc Worksheet'!$D$29:$V$35,9,FALSE),INDEX('Calc Worksheet'!L$29:L$35,MATCH($I17,'Calc Worksheet'!$E$29:$E$35,0))+(INDEX('Calc Worksheet'!M$29:M$35,MATCH($I17,'Calc Worksheet'!$E$29:$E$35,0))*($H17-(INDEX('Calc Worksheet'!$D$29:$D$35,MATCH($I17,'Calc Worksheet'!$E$29:$E$35,0)))))),0)</f>
        <v>0</v>
      </c>
      <c r="Q17" s="169">
        <f>IFERROR(IF(ISNUMBER(MATCH($H17,'Calc Worksheet'!$D$29:$D$35,0)),VLOOKUP($H17,'Calc Worksheet'!$D$29:$V$35,11,FALSE),INDEX('Calc Worksheet'!N$29:N$35,MATCH($I17,'Calc Worksheet'!$E$29:$E$35,0))+(INDEX('Calc Worksheet'!O$29:O$35,MATCH($I17,'Calc Worksheet'!$E$29:$E$35,0))*($H17-(INDEX('Calc Worksheet'!$D$29:$D$35,MATCH($I17,'Calc Worksheet'!$E$29:$E$35,0)))))),0)</f>
        <v>0</v>
      </c>
      <c r="R17" s="169">
        <f>IFERROR(IF(ISNUMBER(MATCH($H17,'Calc Worksheet'!$D$29:$D$35,0)),VLOOKUP($H17,'Calc Worksheet'!$D$29:$V$35,13,FALSE),INDEX('Calc Worksheet'!P$29:P$35,MATCH($I17,'Calc Worksheet'!$E$29:$E$35,0))+(INDEX('Calc Worksheet'!Q$29:Q$35,MATCH($I17,'Calc Worksheet'!$E$29:$E$35,0))*($H17-(INDEX('Calc Worksheet'!$D$29:$D$35,MATCH($I17,'Calc Worksheet'!$E$29:$E$35,0)))))),0)</f>
        <v>0</v>
      </c>
      <c r="S17" s="233">
        <f>IFERROR(IF(ISNUMBER(MATCH($H17,'Calc Worksheet'!$D$29:$D$35,0)),VLOOKUP($H17,'Calc Worksheet'!$D$29:$V$35,19,FALSE),INDEX('Calc Worksheet'!V$29:V$35,MATCH($I17,'Calc Worksheet'!$E$29:$E$35,0))+(INDEX('Calc Worksheet'!W$29:W$35,MATCH($I17,'Calc Worksheet'!$E$29:$E$35,0))*($H17-(INDEX('Calc Worksheet'!$D$29:$D$35,MATCH($I17,'Calc Worksheet'!$E$29:$E$35,0)))))),0)</f>
        <v>0</v>
      </c>
      <c r="X17" s="234">
        <v>2022</v>
      </c>
      <c r="Y17" s="234">
        <v>1</v>
      </c>
      <c r="Z17" s="234">
        <v>1</v>
      </c>
      <c r="AA17" s="235">
        <v>0.625</v>
      </c>
      <c r="AB17" s="236">
        <v>-8.9</v>
      </c>
      <c r="AC17" s="127">
        <f t="shared" si="6"/>
        <v>-9</v>
      </c>
    </row>
    <row r="18" ht="15.75" customHeight="1" spans="1:29" x14ac:dyDescent="0.25">
      <c r="A18">
        <v>17</v>
      </c>
      <c r="B18" s="178">
        <f>IFERROR(IF(H18&lt;'Calc Worksheet'!$D$4,$K18-$M18,0),0)</f>
        <v>45859.75639687332</v>
      </c>
      <c r="C18" s="178">
        <f t="shared" si="0"/>
        <v>45859.75639687332</v>
      </c>
      <c r="D18" s="178">
        <f t="shared" si="1"/>
        <v>0</v>
      </c>
      <c r="E18" s="178">
        <f>IFERROR(IF(H18&gt;'Calc Worksheet'!$D$5,IF(AND(K18&gt;M18,K18&lt;N18,H18&gt;'Calc Worksheet'!$D$5),J18,0),IF(AND(K18&gt;M18,K18&lt;N18,H18&lt;'Calc Worksheet'!$D$4),J18,0)),0)</f>
        <v>0</v>
      </c>
      <c r="F18" s="178">
        <f>IFERROR(IF(H18&gt;'Calc Worksheet'!$D$5,IF(AND(K18&lt;M18,H18&gt;'Calc Worksheet'!$D$5),J18,0),IF(AND(K18&lt;M18,H18&lt;'Calc Worksheet'!$D$4),J18,0)),0)</f>
        <v>0</v>
      </c>
      <c r="G18" s="178">
        <f t="shared" si="5"/>
        <v>0</v>
      </c>
      <c r="H18" s="178">
        <v>-16</v>
      </c>
      <c r="I18" s="232">
        <f>IFERROR(VLOOKUP(H18,'Calc Worksheet'!$D$27:$T$35,2),0)</f>
        <v>0</v>
      </c>
      <c r="J18" s="178">
        <f t="shared" si="2"/>
        <v>72</v>
      </c>
      <c r="K18" s="232">
        <f>IF(H18&lt;'Calc Worksheet'!$D$4,MAX(_xlfn.FORECAST.LINEAR(H18,'Calc Worksheet'!$E$3:$E$4,'Calc Worksheet'!$D$3:$D$4),0),MAX(_xlfn.FORECAST.LINEAR(H18,'Calc Worksheet'!$E$5:$E$6,'Calc Worksheet'!$D$5:$D$6),0))</f>
        <v>45859.75639687332</v>
      </c>
      <c r="L18" s="178">
        <f t="shared" si="3"/>
        <v>3301902.4605748793</v>
      </c>
      <c r="M18" s="232">
        <f>IFERROR(IF(ISNUMBER(MATCH(H18,'Calc Worksheet'!$D$29:$D$35,0)),VLOOKUP(H18,'Calc Worksheet'!$D$29:$V$35,3,FALSE),INDEX('Calc Worksheet'!$F$29:$F$35,MATCH(I18,'Calc Worksheet'!$E$29:$E$35,0))+(INDEX('Calc Worksheet'!$G$29:$G$35,MATCH(I18,'Calc Worksheet'!$E$29:$E$35,0))*(H18-(INDEX('Calc Worksheet'!$D$29:$D$35,MATCH(I18,'Calc Worksheet'!$E$29:$E$35,0)))))),0)</f>
        <v>0</v>
      </c>
      <c r="N18" s="232">
        <f>IFERROR(IF(ISNUMBER(MATCH(H18,'Calc Worksheet'!$D$29:$D$35,0)),VLOOKUP(H18,'Calc Worksheet'!$D$29:$V$35,5,FALSE),INDEX('Calc Worksheet'!$H$29:$H$35,MATCH(I18,'Calc Worksheet'!$E$29:$E$35,0))+(INDEX('Calc Worksheet'!$I$29:$I$35,MATCH(I18,'Calc Worksheet'!$E$29:$E$35,0))*(H18-(INDEX('Calc Worksheet'!$D$29:$D$35,MATCH(I18,'Calc Worksheet'!$E$29:$E$35,0)))))),0)</f>
        <v>0</v>
      </c>
      <c r="O18" s="232">
        <f>IFERROR(IF(ISNUMBER(MATCH($H18,'Calc Worksheet'!$D$29:$D$35,0)),VLOOKUP($H18,'Calc Worksheet'!$D$29:$V$35,7,FALSE),INDEX('Calc Worksheet'!J$29:J$35,MATCH($I18,'Calc Worksheet'!$E$29:$E$35,0))+(INDEX('Calc Worksheet'!K$29:K$35,MATCH($I18,'Calc Worksheet'!$E$29:$E$35,0))*($H18-(INDEX('Calc Worksheet'!$D$29:$D$35,MATCH($I18,'Calc Worksheet'!$E$29:$E$35,0)))))),0)</f>
        <v>0</v>
      </c>
      <c r="P18" s="169">
        <f>IFERROR(IF(ISNUMBER(MATCH($H18,'Calc Worksheet'!$D$29:$D$35,0)),VLOOKUP($H18,'Calc Worksheet'!$D$29:$V$35,9,FALSE),INDEX('Calc Worksheet'!L$29:L$35,MATCH($I18,'Calc Worksheet'!$E$29:$E$35,0))+(INDEX('Calc Worksheet'!M$29:M$35,MATCH($I18,'Calc Worksheet'!$E$29:$E$35,0))*($H18-(INDEX('Calc Worksheet'!$D$29:$D$35,MATCH($I18,'Calc Worksheet'!$E$29:$E$35,0)))))),0)</f>
        <v>0</v>
      </c>
      <c r="Q18" s="169">
        <f>IFERROR(IF(ISNUMBER(MATCH($H18,'Calc Worksheet'!$D$29:$D$35,0)),VLOOKUP($H18,'Calc Worksheet'!$D$29:$V$35,11,FALSE),INDEX('Calc Worksheet'!N$29:N$35,MATCH($I18,'Calc Worksheet'!$E$29:$E$35,0))+(INDEX('Calc Worksheet'!O$29:O$35,MATCH($I18,'Calc Worksheet'!$E$29:$E$35,0))*($H18-(INDEX('Calc Worksheet'!$D$29:$D$35,MATCH($I18,'Calc Worksheet'!$E$29:$E$35,0)))))),0)</f>
        <v>0</v>
      </c>
      <c r="R18" s="169">
        <f>IFERROR(IF(ISNUMBER(MATCH($H18,'Calc Worksheet'!$D$29:$D$35,0)),VLOOKUP($H18,'Calc Worksheet'!$D$29:$V$35,13,FALSE),INDEX('Calc Worksheet'!P$29:P$35,MATCH($I18,'Calc Worksheet'!$E$29:$E$35,0))+(INDEX('Calc Worksheet'!Q$29:Q$35,MATCH($I18,'Calc Worksheet'!$E$29:$E$35,0))*($H18-(INDEX('Calc Worksheet'!$D$29:$D$35,MATCH($I18,'Calc Worksheet'!$E$29:$E$35,0)))))),0)</f>
        <v>0</v>
      </c>
      <c r="S18" s="233">
        <f>IFERROR(IF(ISNUMBER(MATCH($H18,'Calc Worksheet'!$D$29:$D$35,0)),VLOOKUP($H18,'Calc Worksheet'!$D$29:$V$35,19,FALSE),INDEX('Calc Worksheet'!V$29:V$35,MATCH($I18,'Calc Worksheet'!$E$29:$E$35,0))+(INDEX('Calc Worksheet'!W$29:W$35,MATCH($I18,'Calc Worksheet'!$E$29:$E$35,0))*($H18-(INDEX('Calc Worksheet'!$D$29:$D$35,MATCH($I18,'Calc Worksheet'!$E$29:$E$35,0)))))),0)</f>
        <v>0</v>
      </c>
      <c r="X18" s="234">
        <v>2022</v>
      </c>
      <c r="Y18" s="234">
        <v>1</v>
      </c>
      <c r="Z18" s="234">
        <v>1</v>
      </c>
      <c r="AA18" s="235">
        <v>0.6666666666678793</v>
      </c>
      <c r="AB18" s="236">
        <v>-7.8</v>
      </c>
      <c r="AC18" s="127">
        <f t="shared" si="6"/>
        <v>-8</v>
      </c>
    </row>
    <row r="19" ht="15.75" customHeight="1" spans="1:29" x14ac:dyDescent="0.25">
      <c r="A19">
        <v>18</v>
      </c>
      <c r="B19" s="178">
        <f>IFERROR(IF(H19&lt;'Calc Worksheet'!$D$4,$K19-$M19,0),0)</f>
        <v>24270.066809089287</v>
      </c>
      <c r="C19" s="178">
        <f t="shared" si="0"/>
        <v>31070.066809089287</v>
      </c>
      <c r="D19" s="178">
        <f t="shared" si="1"/>
        <v>0</v>
      </c>
      <c r="E19" s="178">
        <f>IFERROR(IF(H19&gt;'Calc Worksheet'!$D$5,IF(AND(K19&gt;M19,K19&lt;N19,H19&gt;'Calc Worksheet'!$D$5),J19,0),IF(AND(K19&gt;M19,K19&lt;N19,H19&lt;'Calc Worksheet'!$D$4),J19,0)),0)</f>
        <v>0</v>
      </c>
      <c r="F19" s="178">
        <f>IFERROR(IF(H19&gt;'Calc Worksheet'!$D$5,IF(AND(K19&lt;M19,H19&gt;'Calc Worksheet'!$D$5),J19,0),IF(AND(K19&lt;M19,H19&lt;'Calc Worksheet'!$D$4),J19,0)),0)</f>
        <v>0</v>
      </c>
      <c r="G19" s="178">
        <f t="shared" si="5"/>
        <v>0</v>
      </c>
      <c r="H19" s="178">
        <v>-15</v>
      </c>
      <c r="I19" s="232">
        <f>IFERROR(VLOOKUP(H19,'Calc Worksheet'!$D$27:$T$35,2),0)</f>
        <v>1</v>
      </c>
      <c r="J19" s="232">
        <f t="shared" si="2"/>
        <v>52</v>
      </c>
      <c r="K19" s="232">
        <f>IF(H19&lt;'Calc Worksheet'!$D$4,MAX(_xlfn.FORECAST.LINEAR(H19,'Calc Worksheet'!$E$3:$E$4,'Calc Worksheet'!$D$3:$D$4),0),MAX(_xlfn.FORECAST.LINEAR(H19,'Calc Worksheet'!$E$5:$E$6,'Calc Worksheet'!$D$5:$D$6),0))</f>
        <v>44470.06680908929</v>
      </c>
      <c r="L19" s="178">
        <f t="shared" si="3"/>
        <v>2312443.474072643</v>
      </c>
      <c r="M19" s="232">
        <f>IFERROR(IF(ISNUMBER(MATCH(H19,'Calc Worksheet'!$D$29:$D$35,0)),VLOOKUP(H19,'Calc Worksheet'!$D$29:$V$35,3,FALSE),INDEX('Calc Worksheet'!$F$29:$F$35,MATCH(I19,'Calc Worksheet'!$E$29:$E$35,0))+(INDEX('Calc Worksheet'!$G$29:$G$35,MATCH(I19,'Calc Worksheet'!$E$29:$E$35,0))*(H19-(INDEX('Calc Worksheet'!$D$29:$D$35,MATCH(I19,'Calc Worksheet'!$E$29:$E$35,0)))))),0)</f>
        <v>20200</v>
      </c>
      <c r="N19" s="232">
        <f>IFERROR(IF(ISNUMBER(MATCH(H19,'Calc Worksheet'!$D$29:$D$35,0)),VLOOKUP(H19,'Calc Worksheet'!$D$29:$V$35,5,FALSE),INDEX('Calc Worksheet'!$H$29:$H$35,MATCH(I19,'Calc Worksheet'!$E$29:$E$35,0))+(INDEX('Calc Worksheet'!$I$29:$I$35,MATCH(I19,'Calc Worksheet'!$E$29:$E$35,0))*(H19-(INDEX('Calc Worksheet'!$D$29:$D$35,MATCH(I19,'Calc Worksheet'!$E$29:$E$35,0)))))),0)</f>
        <v>13400</v>
      </c>
      <c r="O19" s="232">
        <f>IFERROR(IF(ISNUMBER(MATCH($H19,'Calc Worksheet'!$D$29:$D$35,0)),VLOOKUP($H19,'Calc Worksheet'!$D$29:$V$35,7,FALSE),INDEX('Calc Worksheet'!J$29:J$35,MATCH($I19,'Calc Worksheet'!$E$29:$E$35,0))+(INDEX('Calc Worksheet'!K$29:K$35,MATCH($I19,'Calc Worksheet'!$E$29:$E$35,0))*($H19-(INDEX('Calc Worksheet'!$D$29:$D$35,MATCH($I19,'Calc Worksheet'!$E$29:$E$35,0)))))),0)</f>
        <v>0</v>
      </c>
      <c r="P19" s="169">
        <f>IFERROR(IF(ISNUMBER(MATCH($H19,'Calc Worksheet'!$D$29:$D$35,0)),VLOOKUP($H19,'Calc Worksheet'!$D$29:$V$35,9,FALSE),INDEX('Calc Worksheet'!L$29:L$35,MATCH($I19,'Calc Worksheet'!$E$29:$E$35,0))+(INDEX('Calc Worksheet'!M$29:M$35,MATCH($I19,'Calc Worksheet'!$E$29:$E$35,0))*($H19-(INDEX('Calc Worksheet'!$D$29:$D$35,MATCH($I19,'Calc Worksheet'!$E$29:$E$35,0)))))),0)</f>
        <v>0.76</v>
      </c>
      <c r="Q19" s="169">
        <f>IFERROR(IF(ISNUMBER(MATCH($H19,'Calc Worksheet'!$D$29:$D$35,0)),VLOOKUP($H19,'Calc Worksheet'!$D$29:$V$35,11,FALSE),INDEX('Calc Worksheet'!N$29:N$35,MATCH($I19,'Calc Worksheet'!$E$29:$E$35,0))+(INDEX('Calc Worksheet'!O$29:O$35,MATCH($I19,'Calc Worksheet'!$E$29:$E$35,0))*($H19-(INDEX('Calc Worksheet'!$D$29:$D$35,MATCH($I19,'Calc Worksheet'!$E$29:$E$35,0)))))),0)</f>
        <v>1.64</v>
      </c>
      <c r="R19" s="169">
        <f>IFERROR(IF(ISNUMBER(MATCH($H19,'Calc Worksheet'!$D$29:$D$35,0)),VLOOKUP($H19,'Calc Worksheet'!$D$29:$V$35,13,FALSE),INDEX('Calc Worksheet'!P$29:P$35,MATCH($I19,'Calc Worksheet'!$E$29:$E$35,0))+(INDEX('Calc Worksheet'!Q$29:Q$35,MATCH($I19,'Calc Worksheet'!$E$29:$E$35,0))*($H19-(INDEX('Calc Worksheet'!$D$29:$D$35,MATCH($I19,'Calc Worksheet'!$E$29:$E$35,0)))))),0)</f>
        <v>1.64</v>
      </c>
      <c r="S19" s="233">
        <f>IFERROR(IF(ISNUMBER(MATCH($H19,'Calc Worksheet'!$D$29:$D$35,0)),VLOOKUP($H19,'Calc Worksheet'!$D$29:$V$35,19,FALSE),INDEX('Calc Worksheet'!V$29:V$35,MATCH($I19,'Calc Worksheet'!$E$29:$E$35,0))+(INDEX('Calc Worksheet'!W$29:W$35,MATCH($I19,'Calc Worksheet'!$E$29:$E$35,0))*($H19-(INDEX('Calc Worksheet'!$D$29:$D$35,MATCH($I19,'Calc Worksheet'!$E$29:$E$35,0)))))),0)</f>
        <v>1.89</v>
      </c>
      <c r="X19" s="234">
        <v>2022</v>
      </c>
      <c r="Y19" s="234">
        <v>1</v>
      </c>
      <c r="Z19" s="234">
        <v>1</v>
      </c>
      <c r="AA19" s="235">
        <v>0.7083333333321207</v>
      </c>
      <c r="AB19" s="236">
        <v>-2.6</v>
      </c>
      <c r="AC19" s="127">
        <f t="shared" si="6"/>
        <v>-3</v>
      </c>
    </row>
    <row r="20" ht="15.75" customHeight="1" spans="1:29" x14ac:dyDescent="0.25">
      <c r="A20">
        <v>19</v>
      </c>
      <c r="B20" s="178">
        <f>IFERROR(IF(H20&lt;'Calc Worksheet'!$D$4,$K20-$M20,0),0)</f>
        <v>22366.09150701953</v>
      </c>
      <c r="C20" s="178">
        <f t="shared" si="0"/>
        <v>29166.09150701953</v>
      </c>
      <c r="D20" s="178">
        <f t="shared" si="1"/>
        <v>0</v>
      </c>
      <c r="E20" s="178">
        <f>IFERROR(IF(H20&gt;'Calc Worksheet'!$D$5,IF(AND(K20&gt;M20,K20&lt;N20,H20&gt;'Calc Worksheet'!$D$5),J20,0),IF(AND(K20&gt;M20,K20&lt;N20,H20&lt;'Calc Worksheet'!$D$4),J20,0)),0)</f>
        <v>0</v>
      </c>
      <c r="F20" s="178">
        <f>IFERROR(IF(H20&gt;'Calc Worksheet'!$D$5,IF(AND(K20&lt;M20,H20&gt;'Calc Worksheet'!$D$5),J20,0),IF(AND(K20&lt;M20,H20&lt;'Calc Worksheet'!$D$4),J20,0)),0)</f>
        <v>0</v>
      </c>
      <c r="G20" s="178">
        <f t="shared" si="5"/>
        <v>0</v>
      </c>
      <c r="H20" s="178">
        <v>-14</v>
      </c>
      <c r="I20" s="232">
        <f>IFERROR(VLOOKUP(H20,'Calc Worksheet'!$D$27:$T$35,2),0)</f>
        <v>1</v>
      </c>
      <c r="J20" s="178">
        <f t="shared" si="2"/>
        <v>53</v>
      </c>
      <c r="K20" s="232">
        <f>IF(H20&lt;'Calc Worksheet'!$D$4,MAX(_xlfn.FORECAST.LINEAR(H20,'Calc Worksheet'!$E$3:$E$4,'Calc Worksheet'!$D$3:$D$4),0),MAX(_xlfn.FORECAST.LINEAR(H20,'Calc Worksheet'!$E$5:$E$6,'Calc Worksheet'!$D$5:$D$6),0))</f>
        <v>43080.37722130524</v>
      </c>
      <c r="L20" s="178">
        <f t="shared" si="3"/>
        <v>2283259.9927291777</v>
      </c>
      <c r="M20" s="232">
        <f>IFERROR(IF(ISNUMBER(MATCH(H20,'Calc Worksheet'!$D$29:$D$35,0)),VLOOKUP(H20,'Calc Worksheet'!$D$29:$V$35,3,FALSE),INDEX('Calc Worksheet'!$F$29:$F$35,MATCH(I20,'Calc Worksheet'!$E$29:$E$35,0))+(INDEX('Calc Worksheet'!$G$29:$G$35,MATCH(I20,'Calc Worksheet'!$E$29:$E$35,0))*(H20-(INDEX('Calc Worksheet'!$D$29:$D$35,MATCH(I20,'Calc Worksheet'!$E$29:$E$35,0)))))),0)</f>
        <v>20714.285714285714</v>
      </c>
      <c r="N20" s="232">
        <f>IFERROR(IF(ISNUMBER(MATCH(H20,'Calc Worksheet'!$D$29:$D$35,0)),VLOOKUP(H20,'Calc Worksheet'!$D$29:$V$35,5,FALSE),INDEX('Calc Worksheet'!$H$29:$H$35,MATCH(I20,'Calc Worksheet'!$E$29:$E$35,0))+(INDEX('Calc Worksheet'!$I$29:$I$35,MATCH(I20,'Calc Worksheet'!$E$29:$E$35,0))*(H20-(INDEX('Calc Worksheet'!$D$29:$D$35,MATCH(I20,'Calc Worksheet'!$E$29:$E$35,0)))))),0)</f>
        <v>13914.285714285714</v>
      </c>
      <c r="O20" s="232">
        <f>IFERROR(IF(ISNUMBER(MATCH($H20,'Calc Worksheet'!$D$29:$D$35,0)),VLOOKUP($H20,'Calc Worksheet'!$D$29:$V$35,7,FALSE),INDEX('Calc Worksheet'!J$29:J$35,MATCH($I20,'Calc Worksheet'!$E$29:$E$35,0))+(INDEX('Calc Worksheet'!K$29:K$35,MATCH($I20,'Calc Worksheet'!$E$29:$E$35,0))*($H20-(INDEX('Calc Worksheet'!$D$29:$D$35,MATCH($I20,'Calc Worksheet'!$E$29:$E$35,0)))))),0)</f>
        <v>2042.857142857143</v>
      </c>
      <c r="P20" s="169">
        <f>IFERROR(IF(ISNUMBER(MATCH($H20,'Calc Worksheet'!$D$29:$D$35,0)),VLOOKUP($H20,'Calc Worksheet'!$D$29:$V$35,9,FALSE),INDEX('Calc Worksheet'!L$29:L$35,MATCH($I20,'Calc Worksheet'!$E$29:$E$35,0))+(INDEX('Calc Worksheet'!M$29:M$35,MATCH($I20,'Calc Worksheet'!$E$29:$E$35,0))*($H20-(INDEX('Calc Worksheet'!$D$29:$D$35,MATCH($I20,'Calc Worksheet'!$E$29:$E$35,0)))))),0)</f>
        <v>0.7585714285714286</v>
      </c>
      <c r="Q20" s="169">
        <f>IFERROR(IF(ISNUMBER(MATCH($H20,'Calc Worksheet'!$D$29:$D$35,0)),VLOOKUP($H20,'Calc Worksheet'!$D$29:$V$35,11,FALSE),INDEX('Calc Worksheet'!N$29:N$35,MATCH($I20,'Calc Worksheet'!$E$29:$E$35,0))+(INDEX('Calc Worksheet'!O$29:O$35,MATCH($I20,'Calc Worksheet'!$E$29:$E$35,0))*($H20-(INDEX('Calc Worksheet'!$D$29:$D$35,MATCH($I20,'Calc Worksheet'!$E$29:$E$35,0)))))),0)</f>
        <v>1.627142857142857</v>
      </c>
      <c r="R20" s="169">
        <f>IFERROR(IF(ISNUMBER(MATCH($H20,'Calc Worksheet'!$D$29:$D$35,0)),VLOOKUP($H20,'Calc Worksheet'!$D$29:$V$35,13,FALSE),INDEX('Calc Worksheet'!P$29:P$35,MATCH($I20,'Calc Worksheet'!$E$29:$E$35,0))+(INDEX('Calc Worksheet'!Q$29:Q$35,MATCH($I20,'Calc Worksheet'!$E$29:$E$35,0))*($H20-(INDEX('Calc Worksheet'!$D$29:$D$35,MATCH($I20,'Calc Worksheet'!$E$29:$E$35,0)))))),0)</f>
        <v>1.66</v>
      </c>
      <c r="S20" s="233">
        <f>IFERROR(IF(ISNUMBER(MATCH($H20,'Calc Worksheet'!$D$29:$D$35,0)),VLOOKUP($H20,'Calc Worksheet'!$D$29:$V$35,19,FALSE),INDEX('Calc Worksheet'!V$29:V$35,MATCH($I20,'Calc Worksheet'!$E$29:$E$35,0))+(INDEX('Calc Worksheet'!W$29:W$35,MATCH($I20,'Calc Worksheet'!$E$29:$E$35,0))*($H20-(INDEX('Calc Worksheet'!$D$29:$D$35,MATCH($I20,'Calc Worksheet'!$E$29:$E$35,0)))))),0)</f>
        <v>2.005714285714286</v>
      </c>
      <c r="X20" s="234">
        <v>2022</v>
      </c>
      <c r="Y20" s="234">
        <v>1</v>
      </c>
      <c r="Z20" s="234">
        <v>1</v>
      </c>
      <c r="AA20" s="235">
        <v>0.75</v>
      </c>
      <c r="AB20" s="236">
        <v>-1.5</v>
      </c>
      <c r="AC20" s="127">
        <f t="shared" si="6"/>
        <v>-2</v>
      </c>
    </row>
    <row r="21" ht="15.75" customHeight="1" spans="1:29" x14ac:dyDescent="0.25">
      <c r="A21">
        <v>20</v>
      </c>
      <c r="B21" s="178">
        <f>IFERROR(IF(H21&lt;'Calc Worksheet'!$D$4,$K21-$M21,0),0)</f>
        <v>20462.116204949773</v>
      </c>
      <c r="C21" s="178">
        <f t="shared" si="0"/>
        <v>27262.116204949773</v>
      </c>
      <c r="D21" s="178">
        <f t="shared" si="1"/>
        <v>0</v>
      </c>
      <c r="E21" s="178">
        <f>IFERROR(IF(H21&gt;'Calc Worksheet'!$D$5,IF(AND(K21&gt;M21,K21&lt;N21,H21&gt;'Calc Worksheet'!$D$5),J21,0),IF(AND(K21&gt;M21,K21&lt;N21,H21&lt;'Calc Worksheet'!$D$4),J21,0)),0)</f>
        <v>0</v>
      </c>
      <c r="F21" s="178">
        <f>IFERROR(IF(H21&gt;'Calc Worksheet'!$D$5,IF(AND(K21&lt;M21,H21&gt;'Calc Worksheet'!$D$5),J21,0),IF(AND(K21&lt;M21,H21&lt;'Calc Worksheet'!$D$4),J21,0)),0)</f>
        <v>0</v>
      </c>
      <c r="G21" s="178">
        <f t="shared" si="5"/>
        <v>0</v>
      </c>
      <c r="H21" s="178">
        <v>-13</v>
      </c>
      <c r="I21" s="232">
        <f>IFERROR(VLOOKUP(H21,'Calc Worksheet'!$D$27:$T$35,2),0)</f>
        <v>1</v>
      </c>
      <c r="J21" s="178">
        <f t="shared" si="2"/>
        <v>74</v>
      </c>
      <c r="K21" s="232">
        <f>IF(H21&lt;'Calc Worksheet'!$D$4,MAX(_xlfn.FORECAST.LINEAR(H21,'Calc Worksheet'!$E$3:$E$4,'Calc Worksheet'!$D$3:$D$4),0),MAX(_xlfn.FORECAST.LINEAR(H21,'Calc Worksheet'!$E$5:$E$6,'Calc Worksheet'!$D$5:$D$6),0))</f>
        <v>41690.6876335212</v>
      </c>
      <c r="L21" s="178">
        <f t="shared" si="3"/>
        <v>3085110.884880569</v>
      </c>
      <c r="M21" s="232">
        <f>IFERROR(IF(ISNUMBER(MATCH(H21,'Calc Worksheet'!$D$29:$D$35,0)),VLOOKUP(H21,'Calc Worksheet'!$D$29:$V$35,3,FALSE),INDEX('Calc Worksheet'!$F$29:$F$35,MATCH(I21,'Calc Worksheet'!$E$29:$E$35,0))+(INDEX('Calc Worksheet'!$G$29:$G$35,MATCH(I21,'Calc Worksheet'!$E$29:$E$35,0))*(H21-(INDEX('Calc Worksheet'!$D$29:$D$35,MATCH(I21,'Calc Worksheet'!$E$29:$E$35,0)))))),0)</f>
        <v>21228.571428571428</v>
      </c>
      <c r="N21" s="232">
        <f>IFERROR(IF(ISNUMBER(MATCH(H21,'Calc Worksheet'!$D$29:$D$35,0)),VLOOKUP(H21,'Calc Worksheet'!$D$29:$V$35,5,FALSE),INDEX('Calc Worksheet'!$H$29:$H$35,MATCH(I21,'Calc Worksheet'!$E$29:$E$35,0))+(INDEX('Calc Worksheet'!$I$29:$I$35,MATCH(I21,'Calc Worksheet'!$E$29:$E$35,0))*(H21-(INDEX('Calc Worksheet'!$D$29:$D$35,MATCH(I21,'Calc Worksheet'!$E$29:$E$35,0)))))),0)</f>
        <v>14428.57142857143</v>
      </c>
      <c r="O21" s="232">
        <f>IFERROR(IF(ISNUMBER(MATCH($H21,'Calc Worksheet'!$D$29:$D$35,0)),VLOOKUP($H21,'Calc Worksheet'!$D$29:$V$35,7,FALSE),INDEX('Calc Worksheet'!J$29:J$35,MATCH($I21,'Calc Worksheet'!$E$29:$E$35,0))+(INDEX('Calc Worksheet'!K$29:K$35,MATCH($I21,'Calc Worksheet'!$E$29:$E$35,0))*($H21-(INDEX('Calc Worksheet'!$D$29:$D$35,MATCH($I21,'Calc Worksheet'!$E$29:$E$35,0)))))),0)</f>
        <v>4085.714285714286</v>
      </c>
      <c r="P21" s="169">
        <f>IFERROR(IF(ISNUMBER(MATCH($H21,'Calc Worksheet'!$D$29:$D$35,0)),VLOOKUP($H21,'Calc Worksheet'!$D$29:$V$35,9,FALSE),INDEX('Calc Worksheet'!L$29:L$35,MATCH($I21,'Calc Worksheet'!$E$29:$E$35,0))+(INDEX('Calc Worksheet'!M$29:M$35,MATCH($I21,'Calc Worksheet'!$E$29:$E$35,0))*($H21-(INDEX('Calc Worksheet'!$D$29:$D$35,MATCH($I21,'Calc Worksheet'!$E$29:$E$35,0)))))),0)</f>
        <v>0.7571428571428571</v>
      </c>
      <c r="Q21" s="169">
        <f>IFERROR(IF(ISNUMBER(MATCH($H21,'Calc Worksheet'!$D$29:$D$35,0)),VLOOKUP($H21,'Calc Worksheet'!$D$29:$V$35,11,FALSE),INDEX('Calc Worksheet'!N$29:N$35,MATCH($I21,'Calc Worksheet'!$E$29:$E$35,0))+(INDEX('Calc Worksheet'!O$29:O$35,MATCH($I21,'Calc Worksheet'!$E$29:$E$35,0))*($H21-(INDEX('Calc Worksheet'!$D$29:$D$35,MATCH($I21,'Calc Worksheet'!$E$29:$E$35,0)))))),0)</f>
        <v>1.6142857142857143</v>
      </c>
      <c r="R21" s="169">
        <f>IFERROR(IF(ISNUMBER(MATCH($H21,'Calc Worksheet'!$D$29:$D$35,0)),VLOOKUP($H21,'Calc Worksheet'!$D$29:$V$35,13,FALSE),INDEX('Calc Worksheet'!P$29:P$35,MATCH($I21,'Calc Worksheet'!$E$29:$E$35,0))+(INDEX('Calc Worksheet'!Q$29:Q$35,MATCH($I21,'Calc Worksheet'!$E$29:$E$35,0))*($H21-(INDEX('Calc Worksheet'!$D$29:$D$35,MATCH($I21,'Calc Worksheet'!$E$29:$E$35,0)))))),0)</f>
        <v>1.68</v>
      </c>
      <c r="S21" s="233">
        <f>IFERROR(IF(ISNUMBER(MATCH($H21,'Calc Worksheet'!$D$29:$D$35,0)),VLOOKUP($H21,'Calc Worksheet'!$D$29:$V$35,19,FALSE),INDEX('Calc Worksheet'!V$29:V$35,MATCH($I21,'Calc Worksheet'!$E$29:$E$35,0))+(INDEX('Calc Worksheet'!W$29:W$35,MATCH($I21,'Calc Worksheet'!$E$29:$E$35,0))*($H21-(INDEX('Calc Worksheet'!$D$29:$D$35,MATCH($I21,'Calc Worksheet'!$E$29:$E$35,0)))))),0)</f>
        <v>2.1214285714285714</v>
      </c>
      <c r="X21" s="234">
        <v>2022</v>
      </c>
      <c r="Y21" s="234">
        <v>1</v>
      </c>
      <c r="Z21" s="234">
        <v>1</v>
      </c>
      <c r="AA21" s="235">
        <v>0.7916666666678793</v>
      </c>
      <c r="AB21" s="236">
        <v>-1.9</v>
      </c>
      <c r="AC21" s="127">
        <f t="shared" si="6"/>
        <v>-2</v>
      </c>
    </row>
    <row r="22" ht="15.75" customHeight="1" spans="1:29" x14ac:dyDescent="0.25">
      <c r="A22">
        <v>21</v>
      </c>
      <c r="B22" s="178">
        <f>IFERROR(IF(H22&lt;'Calc Worksheet'!$D$4,$K22-$M22,0),0)</f>
        <v>18558.14090288002</v>
      </c>
      <c r="C22" s="178">
        <f t="shared" si="0"/>
        <v>25358.14090288002</v>
      </c>
      <c r="D22" s="178">
        <f t="shared" si="1"/>
        <v>0</v>
      </c>
      <c r="E22" s="178">
        <f>IFERROR(IF(H22&gt;'Calc Worksheet'!$D$5,IF(AND(K22&gt;M22,K22&lt;N22,H22&gt;'Calc Worksheet'!$D$5),J22,0),IF(AND(K22&gt;M22,K22&lt;N22,H22&lt;'Calc Worksheet'!$D$4),J22,0)),0)</f>
        <v>0</v>
      </c>
      <c r="F22" s="178">
        <f>IFERROR(IF(H22&gt;'Calc Worksheet'!$D$5,IF(AND(K22&lt;M22,H22&gt;'Calc Worksheet'!$D$5),J22,0),IF(AND(K22&lt;M22,H22&lt;'Calc Worksheet'!$D$4),J22,0)),0)</f>
        <v>0</v>
      </c>
      <c r="G22" s="178">
        <f t="shared" si="5"/>
        <v>0</v>
      </c>
      <c r="H22" s="178">
        <v>-12</v>
      </c>
      <c r="I22" s="232">
        <f>IFERROR(VLOOKUP(H22,'Calc Worksheet'!$D$27:$T$35,2),0)</f>
        <v>1</v>
      </c>
      <c r="J22" s="178">
        <f t="shared" si="2"/>
        <v>61</v>
      </c>
      <c r="K22" s="232">
        <f>IF(H22&lt;'Calc Worksheet'!$D$4,MAX(_xlfn.FORECAST.LINEAR(H22,'Calc Worksheet'!$E$3:$E$4,'Calc Worksheet'!$D$3:$D$4),0),MAX(_xlfn.FORECAST.LINEAR(H22,'Calc Worksheet'!$E$5:$E$6,'Calc Worksheet'!$D$5:$D$6),0))</f>
        <v>40300.998045737164</v>
      </c>
      <c r="L22" s="178">
        <f t="shared" si="3"/>
        <v>2458360.880789967</v>
      </c>
      <c r="M22" s="232">
        <f>IFERROR(IF(ISNUMBER(MATCH(H22,'Calc Worksheet'!$D$29:$D$35,0)),VLOOKUP(H22,'Calc Worksheet'!$D$29:$V$35,3,FALSE),INDEX('Calc Worksheet'!$F$29:$F$35,MATCH(I22,'Calc Worksheet'!$E$29:$E$35,0))+(INDEX('Calc Worksheet'!$G$29:$G$35,MATCH(I22,'Calc Worksheet'!$E$29:$E$35,0))*(H22-(INDEX('Calc Worksheet'!$D$29:$D$35,MATCH(I22,'Calc Worksheet'!$E$29:$E$35,0)))))),0)</f>
        <v>21742.857142857145</v>
      </c>
      <c r="N22" s="232">
        <f>IFERROR(IF(ISNUMBER(MATCH(H22,'Calc Worksheet'!$D$29:$D$35,0)),VLOOKUP(H22,'Calc Worksheet'!$D$29:$V$35,5,FALSE),INDEX('Calc Worksheet'!$H$29:$H$35,MATCH(I22,'Calc Worksheet'!$E$29:$E$35,0))+(INDEX('Calc Worksheet'!$I$29:$I$35,MATCH(I22,'Calc Worksheet'!$E$29:$E$35,0))*(H22-(INDEX('Calc Worksheet'!$D$29:$D$35,MATCH(I22,'Calc Worksheet'!$E$29:$E$35,0)))))),0)</f>
        <v>14942.857142857143</v>
      </c>
      <c r="O22" s="232">
        <f>IFERROR(IF(ISNUMBER(MATCH($H22,'Calc Worksheet'!$D$29:$D$35,0)),VLOOKUP($H22,'Calc Worksheet'!$D$29:$V$35,7,FALSE),INDEX('Calc Worksheet'!J$29:J$35,MATCH($I22,'Calc Worksheet'!$E$29:$E$35,0))+(INDEX('Calc Worksheet'!K$29:K$35,MATCH($I22,'Calc Worksheet'!$E$29:$E$35,0))*($H22-(INDEX('Calc Worksheet'!$D$29:$D$35,MATCH($I22,'Calc Worksheet'!$E$29:$E$35,0)))))),0)</f>
        <v>6128.571428571428</v>
      </c>
      <c r="P22" s="169">
        <f>IFERROR(IF(ISNUMBER(MATCH($H22,'Calc Worksheet'!$D$29:$D$35,0)),VLOOKUP($H22,'Calc Worksheet'!$D$29:$V$35,9,FALSE),INDEX('Calc Worksheet'!L$29:L$35,MATCH($I22,'Calc Worksheet'!$E$29:$E$35,0))+(INDEX('Calc Worksheet'!M$29:M$35,MATCH($I22,'Calc Worksheet'!$E$29:$E$35,0))*($H22-(INDEX('Calc Worksheet'!$D$29:$D$35,MATCH($I22,'Calc Worksheet'!$E$29:$E$35,0)))))),0)</f>
        <v>0.7557142857142857</v>
      </c>
      <c r="Q22" s="169">
        <f>IFERROR(IF(ISNUMBER(MATCH($H22,'Calc Worksheet'!$D$29:$D$35,0)),VLOOKUP($H22,'Calc Worksheet'!$D$29:$V$35,11,FALSE),INDEX('Calc Worksheet'!N$29:N$35,MATCH($I22,'Calc Worksheet'!$E$29:$E$35,0))+(INDEX('Calc Worksheet'!O$29:O$35,MATCH($I22,'Calc Worksheet'!$E$29:$E$35,0))*($H22-(INDEX('Calc Worksheet'!$D$29:$D$35,MATCH($I22,'Calc Worksheet'!$E$29:$E$35,0)))))),0)</f>
        <v>1.6014285714285714</v>
      </c>
      <c r="R22" s="169">
        <f>IFERROR(IF(ISNUMBER(MATCH($H22,'Calc Worksheet'!$D$29:$D$35,0)),VLOOKUP($H22,'Calc Worksheet'!$D$29:$V$35,13,FALSE),INDEX('Calc Worksheet'!P$29:P$35,MATCH($I22,'Calc Worksheet'!$E$29:$E$35,0))+(INDEX('Calc Worksheet'!Q$29:Q$35,MATCH($I22,'Calc Worksheet'!$E$29:$E$35,0))*($H22-(INDEX('Calc Worksheet'!$D$29:$D$35,MATCH($I22,'Calc Worksheet'!$E$29:$E$35,0)))))),0)</f>
        <v>1.7</v>
      </c>
      <c r="S22" s="233">
        <f>IFERROR(IF(ISNUMBER(MATCH($H22,'Calc Worksheet'!$D$29:$D$35,0)),VLOOKUP($H22,'Calc Worksheet'!$D$29:$V$35,19,FALSE),INDEX('Calc Worksheet'!V$29:V$35,MATCH($I22,'Calc Worksheet'!$E$29:$E$35,0))+(INDEX('Calc Worksheet'!W$29:W$35,MATCH($I22,'Calc Worksheet'!$E$29:$E$35,0))*($H22-(INDEX('Calc Worksheet'!$D$29:$D$35,MATCH($I22,'Calc Worksheet'!$E$29:$E$35,0)))))),0)</f>
        <v>2.237142857142857</v>
      </c>
      <c r="X22" s="234">
        <v>2022</v>
      </c>
      <c r="Y22" s="234">
        <v>1</v>
      </c>
      <c r="Z22" s="234">
        <v>1</v>
      </c>
      <c r="AA22" s="235">
        <v>0.8333333333321207</v>
      </c>
      <c r="AB22" s="236">
        <v>-1.6</v>
      </c>
      <c r="AC22" s="127">
        <f t="shared" si="6"/>
        <v>-2</v>
      </c>
    </row>
    <row r="23" ht="15.75" customHeight="1" spans="1:29" x14ac:dyDescent="0.25">
      <c r="A23">
        <v>22</v>
      </c>
      <c r="B23" s="178">
        <f>IFERROR(IF(H23&lt;'Calc Worksheet'!$D$4,$K23-$M23,0),0)</f>
        <v>16654.165600810262</v>
      </c>
      <c r="C23" s="178">
        <f t="shared" si="0"/>
        <v>23454.165600810265</v>
      </c>
      <c r="D23" s="178">
        <f t="shared" si="1"/>
        <v>0</v>
      </c>
      <c r="E23" s="178">
        <f>IFERROR(IF(H23&gt;'Calc Worksheet'!$D$5,IF(AND(K23&gt;M23,K23&lt;N23,H23&gt;'Calc Worksheet'!$D$5),J23,0),IF(AND(K23&gt;M23,K23&lt;N23,H23&lt;'Calc Worksheet'!$D$4),J23,0)),0)</f>
        <v>0</v>
      </c>
      <c r="F23" s="178">
        <f>IFERROR(IF(H23&gt;'Calc Worksheet'!$D$5,IF(AND(K23&lt;M23,H23&gt;'Calc Worksheet'!$D$5),J23,0),IF(AND(K23&lt;M23,H23&lt;'Calc Worksheet'!$D$4),J23,0)),0)</f>
        <v>0</v>
      </c>
      <c r="G23" s="178">
        <f t="shared" si="5"/>
        <v>0</v>
      </c>
      <c r="H23" s="178">
        <v>-11</v>
      </c>
      <c r="I23" s="232">
        <f>IFERROR(VLOOKUP(H23,'Calc Worksheet'!$D$27:$T$35,2),0)</f>
        <v>1</v>
      </c>
      <c r="J23" s="178">
        <f t="shared" si="2"/>
        <v>93</v>
      </c>
      <c r="K23" s="232">
        <f>IF(H23&lt;'Calc Worksheet'!$D$4,MAX(_xlfn.FORECAST.LINEAR(H23,'Calc Worksheet'!$E$3:$E$4,'Calc Worksheet'!$D$3:$D$4),0),MAX(_xlfn.FORECAST.LINEAR(H23,'Calc Worksheet'!$E$5:$E$6,'Calc Worksheet'!$D$5:$D$6),0))</f>
        <v>38911.30845795312</v>
      </c>
      <c r="L23" s="178">
        <f t="shared" si="3"/>
        <v>3618751.68658964</v>
      </c>
      <c r="M23" s="232">
        <f>IFERROR(IF(ISNUMBER(MATCH(H23,'Calc Worksheet'!$D$29:$D$35,0)),VLOOKUP(H23,'Calc Worksheet'!$D$29:$V$35,3,FALSE),INDEX('Calc Worksheet'!$F$29:$F$35,MATCH(I23,'Calc Worksheet'!$E$29:$E$35,0))+(INDEX('Calc Worksheet'!$G$29:$G$35,MATCH(I23,'Calc Worksheet'!$E$29:$E$35,0))*(H23-(INDEX('Calc Worksheet'!$D$29:$D$35,MATCH(I23,'Calc Worksheet'!$E$29:$E$35,0)))))),0)</f>
        <v>22257.14285714286</v>
      </c>
      <c r="N23" s="232">
        <f>IFERROR(IF(ISNUMBER(MATCH(H23,'Calc Worksheet'!$D$29:$D$35,0)),VLOOKUP(H23,'Calc Worksheet'!$D$29:$V$35,5,FALSE),INDEX('Calc Worksheet'!$H$29:$H$35,MATCH(I23,'Calc Worksheet'!$E$29:$E$35,0))+(INDEX('Calc Worksheet'!$I$29:$I$35,MATCH(I23,'Calc Worksheet'!$E$29:$E$35,0))*(H23-(INDEX('Calc Worksheet'!$D$29:$D$35,MATCH(I23,'Calc Worksheet'!$E$29:$E$35,0)))))),0)</f>
        <v>15457.142857142857</v>
      </c>
      <c r="O23" s="232">
        <f>IFERROR(IF(ISNUMBER(MATCH($H23,'Calc Worksheet'!$D$29:$D$35,0)),VLOOKUP($H23,'Calc Worksheet'!$D$29:$V$35,7,FALSE),INDEX('Calc Worksheet'!J$29:J$35,MATCH($I23,'Calc Worksheet'!$E$29:$E$35,0))+(INDEX('Calc Worksheet'!K$29:K$35,MATCH($I23,'Calc Worksheet'!$E$29:$E$35,0))*($H23-(INDEX('Calc Worksheet'!$D$29:$D$35,MATCH($I23,'Calc Worksheet'!$E$29:$E$35,0)))))),0)</f>
        <v>8171.428571428572</v>
      </c>
      <c r="P23" s="169">
        <f>IFERROR(IF(ISNUMBER(MATCH($H23,'Calc Worksheet'!$D$29:$D$35,0)),VLOOKUP($H23,'Calc Worksheet'!$D$29:$V$35,9,FALSE),INDEX('Calc Worksheet'!L$29:L$35,MATCH($I23,'Calc Worksheet'!$E$29:$E$35,0))+(INDEX('Calc Worksheet'!M$29:M$35,MATCH($I23,'Calc Worksheet'!$E$29:$E$35,0))*($H23-(INDEX('Calc Worksheet'!$D$29:$D$35,MATCH($I23,'Calc Worksheet'!$E$29:$E$35,0)))))),0)</f>
        <v>0.7542857142857143</v>
      </c>
      <c r="Q23" s="169">
        <f>IFERROR(IF(ISNUMBER(MATCH($H23,'Calc Worksheet'!$D$29:$D$35,0)),VLOOKUP($H23,'Calc Worksheet'!$D$29:$V$35,11,FALSE),INDEX('Calc Worksheet'!N$29:N$35,MATCH($I23,'Calc Worksheet'!$E$29:$E$35,0))+(INDEX('Calc Worksheet'!O$29:O$35,MATCH($I23,'Calc Worksheet'!$E$29:$E$35,0))*($H23-(INDEX('Calc Worksheet'!$D$29:$D$35,MATCH($I23,'Calc Worksheet'!$E$29:$E$35,0)))))),0)</f>
        <v>1.5885714285714285</v>
      </c>
      <c r="R23" s="169">
        <f>IFERROR(IF(ISNUMBER(MATCH($H23,'Calc Worksheet'!$D$29:$D$35,0)),VLOOKUP($H23,'Calc Worksheet'!$D$29:$V$35,13,FALSE),INDEX('Calc Worksheet'!P$29:P$35,MATCH($I23,'Calc Worksheet'!$E$29:$E$35,0))+(INDEX('Calc Worksheet'!Q$29:Q$35,MATCH($I23,'Calc Worksheet'!$E$29:$E$35,0))*($H23-(INDEX('Calc Worksheet'!$D$29:$D$35,MATCH($I23,'Calc Worksheet'!$E$29:$E$35,0)))))),0)</f>
        <v>1.72</v>
      </c>
      <c r="S23" s="233">
        <f>IFERROR(IF(ISNUMBER(MATCH($H23,'Calc Worksheet'!$D$29:$D$35,0)),VLOOKUP($H23,'Calc Worksheet'!$D$29:$V$35,19,FALSE),INDEX('Calc Worksheet'!V$29:V$35,MATCH($I23,'Calc Worksheet'!$E$29:$E$35,0))+(INDEX('Calc Worksheet'!W$29:W$35,MATCH($I23,'Calc Worksheet'!$E$29:$E$35,0))*($H23-(INDEX('Calc Worksheet'!$D$29:$D$35,MATCH($I23,'Calc Worksheet'!$E$29:$E$35,0)))))),0)</f>
        <v>2.3528571428571428</v>
      </c>
      <c r="X23" s="234">
        <v>2022</v>
      </c>
      <c r="Y23" s="234">
        <v>1</v>
      </c>
      <c r="Z23" s="234">
        <v>1</v>
      </c>
      <c r="AA23" s="235">
        <v>0.875</v>
      </c>
      <c r="AB23" s="236">
        <v>-2.4</v>
      </c>
      <c r="AC23" s="127">
        <f t="shared" si="6"/>
        <v>-2</v>
      </c>
    </row>
    <row r="24" ht="15.75" customHeight="1" spans="1:29" x14ac:dyDescent="0.25">
      <c r="A24">
        <v>23</v>
      </c>
      <c r="B24" s="178">
        <f>IFERROR(IF(H24&lt;'Calc Worksheet'!$D$4,$K24-$M24,0),0)</f>
        <v>14750.190298740512</v>
      </c>
      <c r="C24" s="178">
        <f t="shared" si="0"/>
        <v>21550.190298740512</v>
      </c>
      <c r="D24" s="178">
        <f t="shared" si="1"/>
        <v>0</v>
      </c>
      <c r="E24" s="178">
        <f>IFERROR(IF(H24&gt;'Calc Worksheet'!$D$5,IF(AND(K24&gt;M24,K24&lt;N24,H24&gt;'Calc Worksheet'!$D$5),J24,0),IF(AND(K24&gt;M24,K24&lt;N24,H24&lt;'Calc Worksheet'!$D$4),J24,0)),0)</f>
        <v>0</v>
      </c>
      <c r="F24" s="178">
        <f>IFERROR(IF(H24&gt;'Calc Worksheet'!$D$5,IF(AND(K24&lt;M24,H24&gt;'Calc Worksheet'!$D$5),J24,0),IF(AND(K24&lt;M24,H24&lt;'Calc Worksheet'!$D$4),J24,0)),0)</f>
        <v>0</v>
      </c>
      <c r="G24" s="178">
        <f t="shared" si="5"/>
        <v>0</v>
      </c>
      <c r="H24" s="178">
        <v>-10</v>
      </c>
      <c r="I24" s="232">
        <f>IFERROR(VLOOKUP(H24,'Calc Worksheet'!$D$27:$T$35,2),0)</f>
        <v>1</v>
      </c>
      <c r="J24" s="178">
        <f t="shared" si="2"/>
        <v>94</v>
      </c>
      <c r="K24" s="232">
        <f>IF(H24&lt;'Calc Worksheet'!$D$4,MAX(_xlfn.FORECAST.LINEAR(H24,'Calc Worksheet'!$E$3:$E$4,'Calc Worksheet'!$D$3:$D$4),0),MAX(_xlfn.FORECAST.LINEAR(H24,'Calc Worksheet'!$E$5:$E$6,'Calc Worksheet'!$D$5:$D$6),0))</f>
        <v>37521.618870169084</v>
      </c>
      <c r="L24" s="178">
        <f t="shared" si="3"/>
        <v>3527032.173795894</v>
      </c>
      <c r="M24" s="232">
        <f>IFERROR(IF(ISNUMBER(MATCH(H24,'Calc Worksheet'!$D$29:$D$35,0)),VLOOKUP(H24,'Calc Worksheet'!$D$29:$V$35,3,FALSE),INDEX('Calc Worksheet'!$F$29:$F$35,MATCH(I24,'Calc Worksheet'!$E$29:$E$35,0))+(INDEX('Calc Worksheet'!$G$29:$G$35,MATCH(I24,'Calc Worksheet'!$E$29:$E$35,0))*(H24-(INDEX('Calc Worksheet'!$D$29:$D$35,MATCH(I24,'Calc Worksheet'!$E$29:$E$35,0)))))),0)</f>
        <v>22771.428571428572</v>
      </c>
      <c r="N24" s="232">
        <f>IFERROR(IF(ISNUMBER(MATCH(H24,'Calc Worksheet'!$D$29:$D$35,0)),VLOOKUP(H24,'Calc Worksheet'!$D$29:$V$35,5,FALSE),INDEX('Calc Worksheet'!$H$29:$H$35,MATCH(I24,'Calc Worksheet'!$E$29:$E$35,0))+(INDEX('Calc Worksheet'!$I$29:$I$35,MATCH(I24,'Calc Worksheet'!$E$29:$E$35,0))*(H24-(INDEX('Calc Worksheet'!$D$29:$D$35,MATCH(I24,'Calc Worksheet'!$E$29:$E$35,0)))))),0)</f>
        <v>15971.428571428572</v>
      </c>
      <c r="O24" s="232">
        <f>IFERROR(IF(ISNUMBER(MATCH($H24,'Calc Worksheet'!$D$29:$D$35,0)),VLOOKUP($H24,'Calc Worksheet'!$D$29:$V$35,7,FALSE),INDEX('Calc Worksheet'!J$29:J$35,MATCH($I24,'Calc Worksheet'!$E$29:$E$35,0))+(INDEX('Calc Worksheet'!K$29:K$35,MATCH($I24,'Calc Worksheet'!$E$29:$E$35,0))*($H24-(INDEX('Calc Worksheet'!$D$29:$D$35,MATCH($I24,'Calc Worksheet'!$E$29:$E$35,0)))))),0)</f>
        <v>10214.285714285714</v>
      </c>
      <c r="P24" s="169">
        <f>IFERROR(IF(ISNUMBER(MATCH($H24,'Calc Worksheet'!$D$29:$D$35,0)),VLOOKUP($H24,'Calc Worksheet'!$D$29:$V$35,9,FALSE),INDEX('Calc Worksheet'!L$29:L$35,MATCH($I24,'Calc Worksheet'!$E$29:$E$35,0))+(INDEX('Calc Worksheet'!M$29:M$35,MATCH($I24,'Calc Worksheet'!$E$29:$E$35,0))*($H24-(INDEX('Calc Worksheet'!$D$29:$D$35,MATCH($I24,'Calc Worksheet'!$E$29:$E$35,0)))))),0)</f>
        <v>0.7528571428571429</v>
      </c>
      <c r="Q24" s="169">
        <f>IFERROR(IF(ISNUMBER(MATCH($H24,'Calc Worksheet'!$D$29:$D$35,0)),VLOOKUP($H24,'Calc Worksheet'!$D$29:$V$35,11,FALSE),INDEX('Calc Worksheet'!N$29:N$35,MATCH($I24,'Calc Worksheet'!$E$29:$E$35,0))+(INDEX('Calc Worksheet'!O$29:O$35,MATCH($I24,'Calc Worksheet'!$E$29:$E$35,0))*($H24-(INDEX('Calc Worksheet'!$D$29:$D$35,MATCH($I24,'Calc Worksheet'!$E$29:$E$35,0)))))),0)</f>
        <v>1.5757142857142856</v>
      </c>
      <c r="R24" s="169">
        <f>IFERROR(IF(ISNUMBER(MATCH($H24,'Calc Worksheet'!$D$29:$D$35,0)),VLOOKUP($H24,'Calc Worksheet'!$D$29:$V$35,13,FALSE),INDEX('Calc Worksheet'!P$29:P$35,MATCH($I24,'Calc Worksheet'!$E$29:$E$35,0))+(INDEX('Calc Worksheet'!Q$29:Q$35,MATCH($I24,'Calc Worksheet'!$E$29:$E$35,0))*($H24-(INDEX('Calc Worksheet'!$D$29:$D$35,MATCH($I24,'Calc Worksheet'!$E$29:$E$35,0)))))),0)</f>
        <v>1.74</v>
      </c>
      <c r="S24" s="233">
        <f>IFERROR(IF(ISNUMBER(MATCH($H24,'Calc Worksheet'!$D$29:$D$35,0)),VLOOKUP($H24,'Calc Worksheet'!$D$29:$V$35,19,FALSE),INDEX('Calc Worksheet'!V$29:V$35,MATCH($I24,'Calc Worksheet'!$E$29:$E$35,0))+(INDEX('Calc Worksheet'!W$29:W$35,MATCH($I24,'Calc Worksheet'!$E$29:$E$35,0))*($H24-(INDEX('Calc Worksheet'!$D$29:$D$35,MATCH($I24,'Calc Worksheet'!$E$29:$E$35,0)))))),0)</f>
        <v>2.468571428571429</v>
      </c>
      <c r="X24" s="234">
        <v>2022</v>
      </c>
      <c r="Y24" s="234">
        <v>1</v>
      </c>
      <c r="Z24" s="234">
        <v>1</v>
      </c>
      <c r="AA24" s="235">
        <v>0.9166666666678793</v>
      </c>
      <c r="AB24" s="236">
        <v>-0.4</v>
      </c>
      <c r="AC24" s="127">
        <f t="shared" si="6"/>
        <v>0</v>
      </c>
    </row>
    <row r="25" ht="15.75" customHeight="1" spans="1:29" x14ac:dyDescent="0.25">
      <c r="A25">
        <v>24</v>
      </c>
      <c r="B25" s="178">
        <f>IFERROR(IF(H25&lt;'Calc Worksheet'!$D$4,$K25-$M25,0),0)</f>
        <v>12846.214996670755</v>
      </c>
      <c r="C25" s="178">
        <f t="shared" si="0"/>
        <v>19646.214996670755</v>
      </c>
      <c r="D25" s="178">
        <f t="shared" si="1"/>
        <v>0</v>
      </c>
      <c r="E25" s="178">
        <f>IFERROR(IF(H25&gt;'Calc Worksheet'!$D$5,IF(AND(K25&gt;M25,K25&lt;N25,H25&gt;'Calc Worksheet'!$D$5),J25,0),IF(AND(K25&gt;M25,K25&lt;N25,H25&lt;'Calc Worksheet'!$D$4),J25,0)),0)</f>
        <v>0</v>
      </c>
      <c r="F25" s="178">
        <f>IFERROR(IF(H25&gt;'Calc Worksheet'!$D$5,IF(AND(K25&lt;M25,H25&gt;'Calc Worksheet'!$D$5),J25,0),IF(AND(K25&lt;M25,H25&lt;'Calc Worksheet'!$D$4),J25,0)),0)</f>
        <v>0</v>
      </c>
      <c r="G25" s="178">
        <f>E25+F25</f>
        <v>0</v>
      </c>
      <c r="H25" s="178">
        <v>-9</v>
      </c>
      <c r="I25" s="232">
        <f>IFERROR(VLOOKUP(H25,'Calc Worksheet'!$D$27:$T$35,2),0)</f>
        <v>1</v>
      </c>
      <c r="J25" s="178">
        <f t="shared" si="2"/>
        <v>113</v>
      </c>
      <c r="K25" s="232">
        <f>IF(H25&lt;'Calc Worksheet'!$D$4,MAX(_xlfn.FORECAST.LINEAR(H25,'Calc Worksheet'!$E$3:$E$4,'Calc Worksheet'!$D$3:$D$4),0),MAX(_xlfn.FORECAST.LINEAR(H25,'Calc Worksheet'!$E$5:$E$6,'Calc Worksheet'!$D$5:$D$6),0))</f>
        <v>36131.92928238504</v>
      </c>
      <c r="L25" s="178">
        <f t="shared" si="3"/>
        <v>4082908.0089095095</v>
      </c>
      <c r="M25" s="232">
        <f>IFERROR(IF(ISNUMBER(MATCH(H25,'Calc Worksheet'!$D$29:$D$35,0)),VLOOKUP(H25,'Calc Worksheet'!$D$29:$V$35,3,FALSE),INDEX('Calc Worksheet'!$F$29:$F$35,MATCH(I25,'Calc Worksheet'!$E$29:$E$35,0))+(INDEX('Calc Worksheet'!$G$29:$G$35,MATCH(I25,'Calc Worksheet'!$E$29:$E$35,0))*(H25-(INDEX('Calc Worksheet'!$D$29:$D$35,MATCH(I25,'Calc Worksheet'!$E$29:$E$35,0)))))),0)</f>
        <v>23285.714285714286</v>
      </c>
      <c r="N25" s="232">
        <f>IFERROR(IF(ISNUMBER(MATCH(H25,'Calc Worksheet'!$D$29:$D$35,0)),VLOOKUP(H25,'Calc Worksheet'!$D$29:$V$35,5,FALSE),INDEX('Calc Worksheet'!$H$29:$H$35,MATCH(I25,'Calc Worksheet'!$E$29:$E$35,0))+(INDEX('Calc Worksheet'!$I$29:$I$35,MATCH(I25,'Calc Worksheet'!$E$29:$E$35,0))*(H25-(INDEX('Calc Worksheet'!$D$29:$D$35,MATCH(I25,'Calc Worksheet'!$E$29:$E$35,0)))))),0)</f>
        <v>16485.714285714286</v>
      </c>
      <c r="O25" s="232">
        <f>IFERROR(IF(ISNUMBER(MATCH($H25,'Calc Worksheet'!$D$29:$D$35,0)),VLOOKUP($H25,'Calc Worksheet'!$D$29:$V$35,7,FALSE),INDEX('Calc Worksheet'!J$29:J$35,MATCH($I25,'Calc Worksheet'!$E$29:$E$35,0))+(INDEX('Calc Worksheet'!K$29:K$35,MATCH($I25,'Calc Worksheet'!$E$29:$E$35,0))*($H25-(INDEX('Calc Worksheet'!$D$29:$D$35,MATCH($I25,'Calc Worksheet'!$E$29:$E$35,0)))))),0)</f>
        <v>12257.142857142857</v>
      </c>
      <c r="P25" s="169">
        <f>IFERROR(IF(ISNUMBER(MATCH($H25,'Calc Worksheet'!$D$29:$D$35,0)),VLOOKUP($H25,'Calc Worksheet'!$D$29:$V$35,9,FALSE),INDEX('Calc Worksheet'!L$29:L$35,MATCH($I25,'Calc Worksheet'!$E$29:$E$35,0))+(INDEX('Calc Worksheet'!M$29:M$35,MATCH($I25,'Calc Worksheet'!$E$29:$E$35,0))*($H25-(INDEX('Calc Worksheet'!$D$29:$D$35,MATCH($I25,'Calc Worksheet'!$E$29:$E$35,0)))))),0)</f>
        <v>0.7514285714285714</v>
      </c>
      <c r="Q25" s="169">
        <f>IFERROR(IF(ISNUMBER(MATCH($H25,'Calc Worksheet'!$D$29:$D$35,0)),VLOOKUP($H25,'Calc Worksheet'!$D$29:$V$35,11,FALSE),INDEX('Calc Worksheet'!N$29:N$35,MATCH($I25,'Calc Worksheet'!$E$29:$E$35,0))+(INDEX('Calc Worksheet'!O$29:O$35,MATCH($I25,'Calc Worksheet'!$E$29:$E$35,0))*($H25-(INDEX('Calc Worksheet'!$D$29:$D$35,MATCH($I25,'Calc Worksheet'!$E$29:$E$35,0)))))),0)</f>
        <v>1.562857142857143</v>
      </c>
      <c r="R25" s="169">
        <f>IFERROR(IF(ISNUMBER(MATCH($H25,'Calc Worksheet'!$D$29:$D$35,0)),VLOOKUP($H25,'Calc Worksheet'!$D$29:$V$35,13,FALSE),INDEX('Calc Worksheet'!P$29:P$35,MATCH($I25,'Calc Worksheet'!$E$29:$E$35,0))+(INDEX('Calc Worksheet'!Q$29:Q$35,MATCH($I25,'Calc Worksheet'!$E$29:$E$35,0))*($H25-(INDEX('Calc Worksheet'!$D$29:$D$35,MATCH($I25,'Calc Worksheet'!$E$29:$E$35,0)))))),0)</f>
        <v>1.76</v>
      </c>
      <c r="S25" s="233">
        <f>IFERROR(IF(ISNUMBER(MATCH($H25,'Calc Worksheet'!$D$29:$D$35,0)),VLOOKUP($H25,'Calc Worksheet'!$D$29:$V$35,19,FALSE),INDEX('Calc Worksheet'!V$29:V$35,MATCH($I25,'Calc Worksheet'!$E$29:$E$35,0))+(INDEX('Calc Worksheet'!W$29:W$35,MATCH($I25,'Calc Worksheet'!$E$29:$E$35,0))*($H25-(INDEX('Calc Worksheet'!$D$29:$D$35,MATCH($I25,'Calc Worksheet'!$E$29:$E$35,0)))))),0)</f>
        <v>2.5842857142857145</v>
      </c>
      <c r="X25" s="234">
        <v>2022</v>
      </c>
      <c r="Y25" s="234">
        <v>1</v>
      </c>
      <c r="Z25" s="234">
        <v>1</v>
      </c>
      <c r="AA25" s="235">
        <v>0.9583333333321207</v>
      </c>
      <c r="AB25" s="236">
        <v>-2.8</v>
      </c>
      <c r="AC25" s="127">
        <f t="shared" si="6"/>
        <v>-3</v>
      </c>
    </row>
    <row r="26" ht="15.75" customHeight="1" spans="1:29" x14ac:dyDescent="0.25">
      <c r="A26">
        <v>25</v>
      </c>
      <c r="B26" s="178">
        <f>IFERROR(IF(H26&lt;'Calc Worksheet'!$D$4,$K26-$M26,0),0)</f>
        <v>10942.239694600998</v>
      </c>
      <c r="C26" s="178">
        <f t="shared" si="0"/>
        <v>17742.239694600998</v>
      </c>
      <c r="D26" s="178">
        <f t="shared" si="1"/>
        <v>0</v>
      </c>
      <c r="E26" s="178">
        <f>IFERROR(IF(H26&gt;'Calc Worksheet'!$D$5,IF(AND(K26&gt;M26,K26&lt;N26,H26&gt;'Calc Worksheet'!$D$5),J26,0),IF(AND(K26&gt;M26,K26&lt;N26,H26&lt;'Calc Worksheet'!$D$4),J26,0)),0)</f>
        <v>0</v>
      </c>
      <c r="F26" s="178">
        <f>IFERROR(IF(H26&gt;'Calc Worksheet'!$D$5,IF(AND(K26&lt;M26,H26&gt;'Calc Worksheet'!$D$5),J26,0),IF(AND(K26&lt;M26,H26&lt;'Calc Worksheet'!$D$4),J26,0)),0)</f>
        <v>0</v>
      </c>
      <c r="G26" s="178">
        <f>E26+F26</f>
        <v>0</v>
      </c>
      <c r="H26" s="178">
        <v>-8</v>
      </c>
      <c r="I26" s="232">
        <f>IFERROR(VLOOKUP(H26,'Calc Worksheet'!$D$27:$T$35,2),0)</f>
        <v>2</v>
      </c>
      <c r="J26" s="232">
        <f t="shared" si="2"/>
        <v>124</v>
      </c>
      <c r="K26" s="232">
        <f>IF(H26&lt;'Calc Worksheet'!$D$4,MAX(_xlfn.FORECAST.LINEAR(H26,'Calc Worksheet'!$E$3:$E$4,'Calc Worksheet'!$D$3:$D$4),0),MAX(_xlfn.FORECAST.LINEAR(H26,'Calc Worksheet'!$E$5:$E$6,'Calc Worksheet'!$D$5:$D$6),0))</f>
        <v>34742.239694601</v>
      </c>
      <c r="L26" s="178">
        <f t="shared" si="3"/>
        <v>4308037.722130524</v>
      </c>
      <c r="M26" s="232">
        <f>IFERROR(IF(ISNUMBER(MATCH(H26,'Calc Worksheet'!$D$29:$D$35,0)),VLOOKUP(H26,'Calc Worksheet'!$D$29:$V$35,3,FALSE),INDEX('Calc Worksheet'!$F$29:$F$35,MATCH(I26,'Calc Worksheet'!$E$29:$E$35,0))+(INDEX('Calc Worksheet'!$G$29:$G$35,MATCH(I26,'Calc Worksheet'!$E$29:$E$35,0))*(H26-(INDEX('Calc Worksheet'!$D$29:$D$35,MATCH(I26,'Calc Worksheet'!$E$29:$E$35,0)))))),0)</f>
        <v>23800</v>
      </c>
      <c r="N26" s="232">
        <f>IFERROR(IF(ISNUMBER(MATCH(H26,'Calc Worksheet'!$D$29:$D$35,0)),VLOOKUP(H26,'Calc Worksheet'!$D$29:$V$35,5,FALSE),INDEX('Calc Worksheet'!$H$29:$H$35,MATCH(I26,'Calc Worksheet'!$E$29:$E$35,0))+(INDEX('Calc Worksheet'!$I$29:$I$35,MATCH(I26,'Calc Worksheet'!$E$29:$E$35,0))*(H26-(INDEX('Calc Worksheet'!$D$29:$D$35,MATCH(I26,'Calc Worksheet'!$E$29:$E$35,0)))))),0)</f>
        <v>17000</v>
      </c>
      <c r="O26" s="232">
        <f>IFERROR(IF(ISNUMBER(MATCH($H26,'Calc Worksheet'!$D$29:$D$35,0)),VLOOKUP($H26,'Calc Worksheet'!$D$29:$V$35,7,FALSE),INDEX('Calc Worksheet'!J$29:J$35,MATCH($I26,'Calc Worksheet'!$E$29:$E$35,0))+(INDEX('Calc Worksheet'!K$29:K$35,MATCH($I26,'Calc Worksheet'!$E$29:$E$35,0))*($H26-(INDEX('Calc Worksheet'!$D$29:$D$35,MATCH($I26,'Calc Worksheet'!$E$29:$E$35,0)))))),0)</f>
        <v>14300</v>
      </c>
      <c r="P26" s="169">
        <f>IFERROR(IF(ISNUMBER(MATCH($H26,'Calc Worksheet'!$D$29:$D$35,0)),VLOOKUP($H26,'Calc Worksheet'!$D$29:$V$35,9,FALSE),INDEX('Calc Worksheet'!L$29:L$35,MATCH($I26,'Calc Worksheet'!$E$29:$E$35,0))+(INDEX('Calc Worksheet'!M$29:M$35,MATCH($I26,'Calc Worksheet'!$E$29:$E$35,0))*($H26-(INDEX('Calc Worksheet'!$D$29:$D$35,MATCH($I26,'Calc Worksheet'!$E$29:$E$35,0)))))),0)</f>
        <v>0.75</v>
      </c>
      <c r="Q26" s="169">
        <f>IFERROR(IF(ISNUMBER(MATCH($H26,'Calc Worksheet'!$D$29:$D$35,0)),VLOOKUP($H26,'Calc Worksheet'!$D$29:$V$35,11,FALSE),INDEX('Calc Worksheet'!N$29:N$35,MATCH($I26,'Calc Worksheet'!$E$29:$E$35,0))+(INDEX('Calc Worksheet'!O$29:O$35,MATCH($I26,'Calc Worksheet'!$E$29:$E$35,0))*($H26-(INDEX('Calc Worksheet'!$D$29:$D$35,MATCH($I26,'Calc Worksheet'!$E$29:$E$35,0)))))),0)</f>
        <v>1.55</v>
      </c>
      <c r="R26" s="169">
        <f>IFERROR(IF(ISNUMBER(MATCH($H26,'Calc Worksheet'!$D$29:$D$35,0)),VLOOKUP($H26,'Calc Worksheet'!$D$29:$V$35,13,FALSE),INDEX('Calc Worksheet'!P$29:P$35,MATCH($I26,'Calc Worksheet'!$E$29:$E$35,0))+(INDEX('Calc Worksheet'!Q$29:Q$35,MATCH($I26,'Calc Worksheet'!$E$29:$E$35,0))*($H26-(INDEX('Calc Worksheet'!$D$29:$D$35,MATCH($I26,'Calc Worksheet'!$E$29:$E$35,0)))))),0)</f>
        <v>1.78</v>
      </c>
      <c r="S26" s="233">
        <f>IFERROR(IF(ISNUMBER(MATCH($H26,'Calc Worksheet'!$D$29:$D$35,0)),VLOOKUP($H26,'Calc Worksheet'!$D$29:$V$35,19,FALSE),INDEX('Calc Worksheet'!V$29:V$35,MATCH($I26,'Calc Worksheet'!$E$29:$E$35,0))+(INDEX('Calc Worksheet'!W$29:W$35,MATCH($I26,'Calc Worksheet'!$E$29:$E$35,0))*($H26-(INDEX('Calc Worksheet'!$D$29:$D$35,MATCH($I26,'Calc Worksheet'!$E$29:$E$35,0)))))),0)</f>
        <v>2.7</v>
      </c>
      <c r="X26" s="234">
        <v>2022</v>
      </c>
      <c r="Y26" s="234">
        <v>1</v>
      </c>
      <c r="Z26" s="234">
        <v>2</v>
      </c>
      <c r="AA26" s="235">
        <v>0</v>
      </c>
      <c r="AB26" s="236">
        <v>-0.6</v>
      </c>
      <c r="AC26" s="127">
        <f t="shared" si="6"/>
        <v>-1</v>
      </c>
    </row>
    <row r="27" ht="15.75" customHeight="1" spans="1:29" x14ac:dyDescent="0.25">
      <c r="A27">
        <v>26</v>
      </c>
      <c r="B27" s="178">
        <f>IFERROR(IF(H27&lt;'Calc Worksheet'!$D$4,$K27-$M27,0),0)</f>
        <v>10683.800106816961</v>
      </c>
      <c r="C27" s="178">
        <f t="shared" si="0"/>
        <v>15990.050106816961</v>
      </c>
      <c r="D27" s="178">
        <f t="shared" si="1"/>
        <v>0</v>
      </c>
      <c r="E27" s="178">
        <f>IFERROR(IF(H27&gt;'Calc Worksheet'!$D$5,IF(AND(K27&gt;M27,K27&lt;N27,H27&gt;'Calc Worksheet'!$D$5),J27,0),IF(AND(K27&gt;M27,K27&lt;N27,H27&lt;'Calc Worksheet'!$D$4),J27,0)),0)</f>
        <v>0</v>
      </c>
      <c r="F27" s="178">
        <f>IFERROR(IF(H27&gt;'Calc Worksheet'!$D$5,IF(AND(K27&lt;M27,H27&gt;'Calc Worksheet'!$D$5),J27,0),IF(AND(K27&lt;M27,H27&lt;'Calc Worksheet'!$D$4),J27,0)),0)</f>
        <v>0</v>
      </c>
      <c r="G27" s="178">
        <f t="shared" si="5"/>
        <v>0</v>
      </c>
      <c r="H27" s="178">
        <v>-7</v>
      </c>
      <c r="I27" s="232">
        <f>IFERROR(VLOOKUP(H27,'Calc Worksheet'!$D$27:$T$35,2),0)</f>
        <v>2</v>
      </c>
      <c r="J27" s="178">
        <f t="shared" si="2"/>
        <v>137</v>
      </c>
      <c r="K27" s="232">
        <f>IF(H27&lt;'Calc Worksheet'!$D$4,MAX(_xlfn.FORECAST.LINEAR(H27,'Calc Worksheet'!$E$3:$E$4,'Calc Worksheet'!$D$3:$D$4),0),MAX(_xlfn.FORECAST.LINEAR(H27,'Calc Worksheet'!$E$5:$E$6,'Calc Worksheet'!$D$5:$D$6),0))</f>
        <v>33352.55010681696</v>
      </c>
      <c r="L27" s="178">
        <f t="shared" si="3"/>
        <v>4569299.364633923</v>
      </c>
      <c r="M27" s="232">
        <f>IFERROR(IF(ISNUMBER(MATCH(H27,'Calc Worksheet'!$D$29:$D$35,0)),VLOOKUP(H27,'Calc Worksheet'!$D$29:$V$35,3,FALSE),INDEX('Calc Worksheet'!$F$29:$F$35,MATCH(I27,'Calc Worksheet'!$E$29:$E$35,0))+(INDEX('Calc Worksheet'!$G$29:$G$35,MATCH(I27,'Calc Worksheet'!$E$29:$E$35,0))*(H27-(INDEX('Calc Worksheet'!$D$29:$D$35,MATCH(I27,'Calc Worksheet'!$E$29:$E$35,0)))))),0)</f>
        <v>22668.75</v>
      </c>
      <c r="N27" s="232">
        <f>IFERROR(IF(ISNUMBER(MATCH(H27,'Calc Worksheet'!$D$29:$D$35,0)),VLOOKUP(H27,'Calc Worksheet'!$D$29:$V$35,5,FALSE),INDEX('Calc Worksheet'!$H$29:$H$35,MATCH(I27,'Calc Worksheet'!$E$29:$E$35,0))+(INDEX('Calc Worksheet'!$I$29:$I$35,MATCH(I27,'Calc Worksheet'!$E$29:$E$35,0))*(H27-(INDEX('Calc Worksheet'!$D$29:$D$35,MATCH(I27,'Calc Worksheet'!$E$29:$E$35,0)))))),0)</f>
        <v>17362.5</v>
      </c>
      <c r="O27" s="232">
        <f>IFERROR(IF(ISNUMBER(MATCH($H27,'Calc Worksheet'!$D$29:$D$35,0)),VLOOKUP($H27,'Calc Worksheet'!$D$29:$V$35,7,FALSE),INDEX('Calc Worksheet'!J$29:J$35,MATCH($I27,'Calc Worksheet'!$E$29:$E$35,0))+(INDEX('Calc Worksheet'!K$29:K$35,MATCH($I27,'Calc Worksheet'!$E$29:$E$35,0))*($H27-(INDEX('Calc Worksheet'!$D$29:$D$35,MATCH($I27,'Calc Worksheet'!$E$29:$E$35,0)))))),0)</f>
        <v>14831.25</v>
      </c>
      <c r="P27" s="169">
        <f>IFERROR(IF(ISNUMBER(MATCH($H27,'Calc Worksheet'!$D$29:$D$35,0)),VLOOKUP($H27,'Calc Worksheet'!$D$29:$V$35,9,FALSE),INDEX('Calc Worksheet'!L$29:L$35,MATCH($I27,'Calc Worksheet'!$E$29:$E$35,0))+(INDEX('Calc Worksheet'!M$29:M$35,MATCH($I27,'Calc Worksheet'!$E$29:$E$35,0))*($H27-(INDEX('Calc Worksheet'!$D$29:$D$35,MATCH($I27,'Calc Worksheet'!$E$29:$E$35,0)))))),0)</f>
        <v>0.726875</v>
      </c>
      <c r="Q27" s="169">
        <f>IFERROR(IF(ISNUMBER(MATCH($H27,'Calc Worksheet'!$D$29:$D$35,0)),VLOOKUP($H27,'Calc Worksheet'!$D$29:$V$35,11,FALSE),INDEX('Calc Worksheet'!N$29:N$35,MATCH($I27,'Calc Worksheet'!$E$29:$E$35,0))+(INDEX('Calc Worksheet'!O$29:O$35,MATCH($I27,'Calc Worksheet'!$E$29:$E$35,0))*($H27-(INDEX('Calc Worksheet'!$D$29:$D$35,MATCH($I27,'Calc Worksheet'!$E$29:$E$35,0)))))),0)</f>
        <v>1.563125</v>
      </c>
      <c r="R27" s="169">
        <f>IFERROR(IF(ISNUMBER(MATCH($H27,'Calc Worksheet'!$D$29:$D$35,0)),VLOOKUP($H27,'Calc Worksheet'!$D$29:$V$35,13,FALSE),INDEX('Calc Worksheet'!P$29:P$35,MATCH($I27,'Calc Worksheet'!$E$29:$E$35,0))+(INDEX('Calc Worksheet'!Q$29:Q$35,MATCH($I27,'Calc Worksheet'!$E$29:$E$35,0))*($H27-(INDEX('Calc Worksheet'!$D$29:$D$35,MATCH($I27,'Calc Worksheet'!$E$29:$E$35,0)))))),0)</f>
        <v>1.77875</v>
      </c>
      <c r="S27" s="233">
        <f>IFERROR(IF(ISNUMBER(MATCH($H27,'Calc Worksheet'!$D$29:$D$35,0)),VLOOKUP($H27,'Calc Worksheet'!$D$29:$V$35,19,FALSE),INDEX('Calc Worksheet'!V$29:V$35,MATCH($I27,'Calc Worksheet'!$E$29:$E$35,0))+(INDEX('Calc Worksheet'!W$29:W$35,MATCH($I27,'Calc Worksheet'!$E$29:$E$35,0))*($H27-(INDEX('Calc Worksheet'!$D$29:$D$35,MATCH($I27,'Calc Worksheet'!$E$29:$E$35,0)))))),0)</f>
        <v>2.7687500000000003</v>
      </c>
      <c r="X27" s="234">
        <v>2022</v>
      </c>
      <c r="Y27" s="234">
        <v>1</v>
      </c>
      <c r="Z27" s="234">
        <v>2</v>
      </c>
      <c r="AA27" s="235">
        <v>0.041666666667879326</v>
      </c>
      <c r="AB27" s="236">
        <v>0.2</v>
      </c>
      <c r="AC27" s="127">
        <f t="shared" si="6"/>
        <v>0</v>
      </c>
    </row>
    <row r="28" ht="15.75" customHeight="1" spans="1:29" x14ac:dyDescent="0.25">
      <c r="A28">
        <v>27</v>
      </c>
      <c r="B28" s="178">
        <f>IFERROR(IF(H28&lt;'Calc Worksheet'!$D$4,$K28-$M28,0),0)</f>
        <v>10425.360519032922</v>
      </c>
      <c r="C28" s="178">
        <f t="shared" si="0"/>
        <v>14237.860519032922</v>
      </c>
      <c r="D28" s="178">
        <f t="shared" si="1"/>
        <v>0</v>
      </c>
      <c r="E28" s="178">
        <f>IFERROR(IF(H28&gt;'Calc Worksheet'!$D$5,IF(AND(K28&gt;M28,K28&lt;N28,H28&gt;'Calc Worksheet'!$D$5),J28,0),IF(AND(K28&gt;M28,K28&lt;N28,H28&lt;'Calc Worksheet'!$D$4),J28,0)),0)</f>
        <v>0</v>
      </c>
      <c r="F28" s="178">
        <f>IFERROR(IF(H28&gt;'Calc Worksheet'!$D$5,IF(AND(K28&lt;M28,H28&gt;'Calc Worksheet'!$D$5),J28,0),IF(AND(K28&lt;M28,H28&lt;'Calc Worksheet'!$D$4),J28,0)),0)</f>
        <v>0</v>
      </c>
      <c r="G28" s="178">
        <f t="shared" si="5"/>
        <v>0</v>
      </c>
      <c r="H28" s="178">
        <v>-6</v>
      </c>
      <c r="I28" s="232">
        <f>IFERROR(VLOOKUP(H28,'Calc Worksheet'!$D$27:$T$35,2),0)</f>
        <v>2</v>
      </c>
      <c r="J28" s="178">
        <f t="shared" si="2"/>
        <v>135</v>
      </c>
      <c r="K28" s="232">
        <f>IF(H28&lt;'Calc Worksheet'!$D$4,MAX(_xlfn.FORECAST.LINEAR(H28,'Calc Worksheet'!$E$3:$E$4,'Calc Worksheet'!$D$3:$D$4),0),MAX(_xlfn.FORECAST.LINEAR(H28,'Calc Worksheet'!$E$5:$E$6,'Calc Worksheet'!$D$5:$D$6),0))</f>
        <v>31962.86051903292</v>
      </c>
      <c r="L28" s="178">
        <f t="shared" si="3"/>
        <v>4314986.170069444</v>
      </c>
      <c r="M28" s="232">
        <f>IFERROR(IF(ISNUMBER(MATCH(H28,'Calc Worksheet'!$D$29:$D$35,0)),VLOOKUP(H28,'Calc Worksheet'!$D$29:$V$35,3,FALSE),INDEX('Calc Worksheet'!$F$29:$F$35,MATCH(I28,'Calc Worksheet'!$E$29:$E$35,0))+(INDEX('Calc Worksheet'!$G$29:$G$35,MATCH(I28,'Calc Worksheet'!$E$29:$E$35,0))*(H28-(INDEX('Calc Worksheet'!$D$29:$D$35,MATCH(I28,'Calc Worksheet'!$E$29:$E$35,0)))))),0)</f>
        <v>21537.5</v>
      </c>
      <c r="N28" s="232">
        <f>IFERROR(IF(ISNUMBER(MATCH(H28,'Calc Worksheet'!$D$29:$D$35,0)),VLOOKUP(H28,'Calc Worksheet'!$D$29:$V$35,5,FALSE),INDEX('Calc Worksheet'!$H$29:$H$35,MATCH(I28,'Calc Worksheet'!$E$29:$E$35,0))+(INDEX('Calc Worksheet'!$I$29:$I$35,MATCH(I28,'Calc Worksheet'!$E$29:$E$35,0))*(H28-(INDEX('Calc Worksheet'!$D$29:$D$35,MATCH(I28,'Calc Worksheet'!$E$29:$E$35,0)))))),0)</f>
        <v>17725</v>
      </c>
      <c r="O28" s="232">
        <f>IFERROR(IF(ISNUMBER(MATCH($H28,'Calc Worksheet'!$D$29:$D$35,0)),VLOOKUP($H28,'Calc Worksheet'!$D$29:$V$35,7,FALSE),INDEX('Calc Worksheet'!J$29:J$35,MATCH($I28,'Calc Worksheet'!$E$29:$E$35,0))+(INDEX('Calc Worksheet'!K$29:K$35,MATCH($I28,'Calc Worksheet'!$E$29:$E$35,0))*($H28-(INDEX('Calc Worksheet'!$D$29:$D$35,MATCH($I28,'Calc Worksheet'!$E$29:$E$35,0)))))),0)</f>
        <v>15362.5</v>
      </c>
      <c r="P28" s="169">
        <f>IFERROR(IF(ISNUMBER(MATCH($H28,'Calc Worksheet'!$D$29:$D$35,0)),VLOOKUP($H28,'Calc Worksheet'!$D$29:$V$35,9,FALSE),INDEX('Calc Worksheet'!L$29:L$35,MATCH($I28,'Calc Worksheet'!$E$29:$E$35,0))+(INDEX('Calc Worksheet'!M$29:M$35,MATCH($I28,'Calc Worksheet'!$E$29:$E$35,0))*($H28-(INDEX('Calc Worksheet'!$D$29:$D$35,MATCH($I28,'Calc Worksheet'!$E$29:$E$35,0)))))),0)</f>
        <v>0.70375</v>
      </c>
      <c r="Q28" s="169">
        <f>IFERROR(IF(ISNUMBER(MATCH($H28,'Calc Worksheet'!$D$29:$D$35,0)),VLOOKUP($H28,'Calc Worksheet'!$D$29:$V$35,11,FALSE),INDEX('Calc Worksheet'!N$29:N$35,MATCH($I28,'Calc Worksheet'!$E$29:$E$35,0))+(INDEX('Calc Worksheet'!O$29:O$35,MATCH($I28,'Calc Worksheet'!$E$29:$E$35,0))*($H28-(INDEX('Calc Worksheet'!$D$29:$D$35,MATCH($I28,'Calc Worksheet'!$E$29:$E$35,0)))))),0)</f>
        <v>1.57625</v>
      </c>
      <c r="R28" s="169">
        <f>IFERROR(IF(ISNUMBER(MATCH($H28,'Calc Worksheet'!$D$29:$D$35,0)),VLOOKUP($H28,'Calc Worksheet'!$D$29:$V$35,13,FALSE),INDEX('Calc Worksheet'!P$29:P$35,MATCH($I28,'Calc Worksheet'!$E$29:$E$35,0))+(INDEX('Calc Worksheet'!Q$29:Q$35,MATCH($I28,'Calc Worksheet'!$E$29:$E$35,0))*($H28-(INDEX('Calc Worksheet'!$D$29:$D$35,MATCH($I28,'Calc Worksheet'!$E$29:$E$35,0)))))),0)</f>
        <v>1.7775</v>
      </c>
      <c r="S28" s="233">
        <f>IFERROR(IF(ISNUMBER(MATCH($H28,'Calc Worksheet'!$D$29:$D$35,0)),VLOOKUP($H28,'Calc Worksheet'!$D$29:$V$35,19,FALSE),INDEX('Calc Worksheet'!V$29:V$35,MATCH($I28,'Calc Worksheet'!$E$29:$E$35,0))+(INDEX('Calc Worksheet'!W$29:W$35,MATCH($I28,'Calc Worksheet'!$E$29:$E$35,0))*($H28-(INDEX('Calc Worksheet'!$D$29:$D$35,MATCH($I28,'Calc Worksheet'!$E$29:$E$35,0)))))),0)</f>
        <v>2.8375000000000004</v>
      </c>
      <c r="X28" s="234">
        <v>2022</v>
      </c>
      <c r="Y28" s="234">
        <v>1</v>
      </c>
      <c r="Z28" s="234">
        <v>2</v>
      </c>
      <c r="AA28" s="235">
        <v>0.08333333333212067</v>
      </c>
      <c r="AB28" s="236">
        <v>-0.2</v>
      </c>
      <c r="AC28" s="127">
        <f t="shared" si="6"/>
        <v>0</v>
      </c>
    </row>
    <row r="29" ht="15.75" customHeight="1" spans="1:29" x14ac:dyDescent="0.25">
      <c r="A29">
        <v>28</v>
      </c>
      <c r="B29" s="178">
        <f>IFERROR(IF(H29&lt;'Calc Worksheet'!$D$4,$K29-$M29,0),0)</f>
        <v>10166.920931248882</v>
      </c>
      <c r="C29" s="178">
        <f t="shared" si="0"/>
        <v>12485.670931248882</v>
      </c>
      <c r="D29" s="178">
        <f t="shared" si="1"/>
        <v>0</v>
      </c>
      <c r="E29" s="178">
        <f>IFERROR(IF(H29&gt;'Calc Worksheet'!$D$5,IF(AND(K29&gt;M29,K29&lt;N29,H29&gt;'Calc Worksheet'!$D$5),J29,0),IF(AND(K29&gt;M29,K29&lt;N29,H29&lt;'Calc Worksheet'!$D$4),J29,0)),0)</f>
        <v>0</v>
      </c>
      <c r="F29" s="178">
        <f>IFERROR(IF(H29&gt;'Calc Worksheet'!$D$5,IF(AND(K29&lt;M29,H29&gt;'Calc Worksheet'!$D$5),J29,0),IF(AND(K29&lt;M29,H29&lt;'Calc Worksheet'!$D$4),J29,0)),0)</f>
        <v>0</v>
      </c>
      <c r="G29" s="178">
        <f t="shared" si="5"/>
        <v>0</v>
      </c>
      <c r="H29" s="178">
        <v>-5</v>
      </c>
      <c r="I29" s="232">
        <f>IFERROR(VLOOKUP(H29,'Calc Worksheet'!$D$27:$T$35,2),0)</f>
        <v>2</v>
      </c>
      <c r="J29" s="178">
        <f t="shared" si="2"/>
        <v>123</v>
      </c>
      <c r="K29" s="232">
        <f>IF(H29&lt;'Calc Worksheet'!$D$4,MAX(_xlfn.FORECAST.LINEAR(H29,'Calc Worksheet'!$E$3:$E$4,'Calc Worksheet'!$D$3:$D$4),0),MAX(_xlfn.FORECAST.LINEAR(H29,'Calc Worksheet'!$E$5:$E$6,'Calc Worksheet'!$D$5:$D$6),0))</f>
        <v>30573.170931248882</v>
      </c>
      <c r="L29" s="178">
        <f t="shared" si="3"/>
        <v>3760500.0245436123</v>
      </c>
      <c r="M29" s="232">
        <f>IFERROR(IF(ISNUMBER(MATCH(H29,'Calc Worksheet'!$D$29:$D$35,0)),VLOOKUP(H29,'Calc Worksheet'!$D$29:$V$35,3,FALSE),INDEX('Calc Worksheet'!$F$29:$F$35,MATCH(I29,'Calc Worksheet'!$E$29:$E$35,0))+(INDEX('Calc Worksheet'!$G$29:$G$35,MATCH(I29,'Calc Worksheet'!$E$29:$E$35,0))*(H29-(INDEX('Calc Worksheet'!$D$29:$D$35,MATCH(I29,'Calc Worksheet'!$E$29:$E$35,0)))))),0)</f>
        <v>20406.25</v>
      </c>
      <c r="N29" s="232">
        <f>IFERROR(IF(ISNUMBER(MATCH(H29,'Calc Worksheet'!$D$29:$D$35,0)),VLOOKUP(H29,'Calc Worksheet'!$D$29:$V$35,5,FALSE),INDEX('Calc Worksheet'!$H$29:$H$35,MATCH(I29,'Calc Worksheet'!$E$29:$E$35,0))+(INDEX('Calc Worksheet'!$I$29:$I$35,MATCH(I29,'Calc Worksheet'!$E$29:$E$35,0))*(H29-(INDEX('Calc Worksheet'!$D$29:$D$35,MATCH(I29,'Calc Worksheet'!$E$29:$E$35,0)))))),0)</f>
        <v>18087.5</v>
      </c>
      <c r="O29" s="232">
        <f>IFERROR(IF(ISNUMBER(MATCH($H29,'Calc Worksheet'!$D$29:$D$35,0)),VLOOKUP($H29,'Calc Worksheet'!$D$29:$V$35,7,FALSE),INDEX('Calc Worksheet'!J$29:J$35,MATCH($I29,'Calc Worksheet'!$E$29:$E$35,0))+(INDEX('Calc Worksheet'!K$29:K$35,MATCH($I29,'Calc Worksheet'!$E$29:$E$35,0))*($H29-(INDEX('Calc Worksheet'!$D$29:$D$35,MATCH($I29,'Calc Worksheet'!$E$29:$E$35,0)))))),0)</f>
        <v>15893.75</v>
      </c>
      <c r="P29" s="169">
        <f>IFERROR(IF(ISNUMBER(MATCH($H29,'Calc Worksheet'!$D$29:$D$35,0)),VLOOKUP($H29,'Calc Worksheet'!$D$29:$V$35,9,FALSE),INDEX('Calc Worksheet'!L$29:L$35,MATCH($I29,'Calc Worksheet'!$E$29:$E$35,0))+(INDEX('Calc Worksheet'!M$29:M$35,MATCH($I29,'Calc Worksheet'!$E$29:$E$35,0))*($H29-(INDEX('Calc Worksheet'!$D$29:$D$35,MATCH($I29,'Calc Worksheet'!$E$29:$E$35,0)))))),0)</f>
        <v>0.680625</v>
      </c>
      <c r="Q29" s="169">
        <f>IFERROR(IF(ISNUMBER(MATCH($H29,'Calc Worksheet'!$D$29:$D$35,0)),VLOOKUP($H29,'Calc Worksheet'!$D$29:$V$35,11,FALSE),INDEX('Calc Worksheet'!N$29:N$35,MATCH($I29,'Calc Worksheet'!$E$29:$E$35,0))+(INDEX('Calc Worksheet'!O$29:O$35,MATCH($I29,'Calc Worksheet'!$E$29:$E$35,0))*($H29-(INDEX('Calc Worksheet'!$D$29:$D$35,MATCH($I29,'Calc Worksheet'!$E$29:$E$35,0)))))),0)</f>
        <v>1.589375</v>
      </c>
      <c r="R29" s="169">
        <f>IFERROR(IF(ISNUMBER(MATCH($H29,'Calc Worksheet'!$D$29:$D$35,0)),VLOOKUP($H29,'Calc Worksheet'!$D$29:$V$35,13,FALSE),INDEX('Calc Worksheet'!P$29:P$35,MATCH($I29,'Calc Worksheet'!$E$29:$E$35,0))+(INDEX('Calc Worksheet'!Q$29:Q$35,MATCH($I29,'Calc Worksheet'!$E$29:$E$35,0))*($H29-(INDEX('Calc Worksheet'!$D$29:$D$35,MATCH($I29,'Calc Worksheet'!$E$29:$E$35,0)))))),0)</f>
        <v>1.77625</v>
      </c>
      <c r="S29" s="233">
        <f>IFERROR(IF(ISNUMBER(MATCH($H29,'Calc Worksheet'!$D$29:$D$35,0)),VLOOKUP($H29,'Calc Worksheet'!$D$29:$V$35,19,FALSE),INDEX('Calc Worksheet'!V$29:V$35,MATCH($I29,'Calc Worksheet'!$E$29:$E$35,0))+(INDEX('Calc Worksheet'!W$29:W$35,MATCH($I29,'Calc Worksheet'!$E$29:$E$35,0))*($H29-(INDEX('Calc Worksheet'!$D$29:$D$35,MATCH($I29,'Calc Worksheet'!$E$29:$E$35,0)))))),0)</f>
        <v>2.90625</v>
      </c>
      <c r="X29" s="234">
        <v>2022</v>
      </c>
      <c r="Y29" s="234">
        <v>1</v>
      </c>
      <c r="Z29" s="234">
        <v>2</v>
      </c>
      <c r="AA29" s="235">
        <v>0.125</v>
      </c>
      <c r="AB29" s="236">
        <v>0.4</v>
      </c>
      <c r="AC29" s="127">
        <f t="shared" si="6"/>
        <v>0</v>
      </c>
    </row>
    <row r="30" ht="15.75" customHeight="1" spans="1:29" x14ac:dyDescent="0.25">
      <c r="A30">
        <v>29</v>
      </c>
      <c r="B30" s="178">
        <f>IFERROR(IF(H30&lt;'Calc Worksheet'!$D$4,$K30-$M30,0),0)</f>
        <v>9908.481343464839</v>
      </c>
      <c r="C30" s="178">
        <f t="shared" si="0"/>
        <v>10733.481343464839</v>
      </c>
      <c r="D30" s="178">
        <f t="shared" si="1"/>
        <v>0</v>
      </c>
      <c r="E30" s="178">
        <f>IFERROR(IF(H30&gt;'Calc Worksheet'!$D$5,IF(AND(K30&gt;M30,K30&lt;N30,H30&gt;'Calc Worksheet'!$D$5),J30,0),IF(AND(K30&gt;M30,K30&lt;N30,H30&lt;'Calc Worksheet'!$D$4),J30,0)),0)</f>
        <v>0</v>
      </c>
      <c r="F30" s="178">
        <f>IFERROR(IF(H30&gt;'Calc Worksheet'!$D$5,IF(AND(K30&lt;M30,H30&gt;'Calc Worksheet'!$D$5),J30,0),IF(AND(K30&lt;M30,H30&lt;'Calc Worksheet'!$D$4),J30,0)),0)</f>
        <v>0</v>
      </c>
      <c r="G30" s="178">
        <f t="shared" si="5"/>
        <v>0</v>
      </c>
      <c r="H30" s="178">
        <v>-4</v>
      </c>
      <c r="I30" s="232">
        <f>IFERROR(VLOOKUP(H30,'Calc Worksheet'!$D$27:$T$35,2),0)</f>
        <v>2</v>
      </c>
      <c r="J30" s="178">
        <f t="shared" si="2"/>
        <v>136</v>
      </c>
      <c r="K30" s="232">
        <f>IF(H30&lt;'Calc Worksheet'!$D$4,MAX(_xlfn.FORECAST.LINEAR(H30,'Calc Worksheet'!$E$3:$E$4,'Calc Worksheet'!$D$3:$D$4),0),MAX(_xlfn.FORECAST.LINEAR(H30,'Calc Worksheet'!$E$5:$E$6,'Calc Worksheet'!$D$5:$D$6),0))</f>
        <v>29183.48134346484</v>
      </c>
      <c r="L30" s="178">
        <f t="shared" si="3"/>
        <v>3968953.462711218</v>
      </c>
      <c r="M30" s="232">
        <f>IFERROR(IF(ISNUMBER(MATCH(H30,'Calc Worksheet'!$D$29:$D$35,0)),VLOOKUP(H30,'Calc Worksheet'!$D$29:$V$35,3,FALSE),INDEX('Calc Worksheet'!$F$29:$F$35,MATCH(I30,'Calc Worksheet'!$E$29:$E$35,0))+(INDEX('Calc Worksheet'!$G$29:$G$35,MATCH(I30,'Calc Worksheet'!$E$29:$E$35,0))*(H30-(INDEX('Calc Worksheet'!$D$29:$D$35,MATCH(I30,'Calc Worksheet'!$E$29:$E$35,0)))))),0)</f>
        <v>19275</v>
      </c>
      <c r="N30" s="232">
        <f>IFERROR(IF(ISNUMBER(MATCH(H30,'Calc Worksheet'!$D$29:$D$35,0)),VLOOKUP(H30,'Calc Worksheet'!$D$29:$V$35,5,FALSE),INDEX('Calc Worksheet'!$H$29:$H$35,MATCH(I30,'Calc Worksheet'!$E$29:$E$35,0))+(INDEX('Calc Worksheet'!$I$29:$I$35,MATCH(I30,'Calc Worksheet'!$E$29:$E$35,0))*(H30-(INDEX('Calc Worksheet'!$D$29:$D$35,MATCH(I30,'Calc Worksheet'!$E$29:$E$35,0)))))),0)</f>
        <v>18450</v>
      </c>
      <c r="O30" s="232">
        <f>IFERROR(IF(ISNUMBER(MATCH($H30,'Calc Worksheet'!$D$29:$D$35,0)),VLOOKUP($H30,'Calc Worksheet'!$D$29:$V$35,7,FALSE),INDEX('Calc Worksheet'!J$29:J$35,MATCH($I30,'Calc Worksheet'!$E$29:$E$35,0))+(INDEX('Calc Worksheet'!K$29:K$35,MATCH($I30,'Calc Worksheet'!$E$29:$E$35,0))*($H30-(INDEX('Calc Worksheet'!$D$29:$D$35,MATCH($I30,'Calc Worksheet'!$E$29:$E$35,0)))))),0)</f>
        <v>16425</v>
      </c>
      <c r="P30" s="169">
        <f>IFERROR(IF(ISNUMBER(MATCH($H30,'Calc Worksheet'!$D$29:$D$35,0)),VLOOKUP($H30,'Calc Worksheet'!$D$29:$V$35,9,FALSE),INDEX('Calc Worksheet'!L$29:L$35,MATCH($I30,'Calc Worksheet'!$E$29:$E$35,0))+(INDEX('Calc Worksheet'!M$29:M$35,MATCH($I30,'Calc Worksheet'!$E$29:$E$35,0))*($H30-(INDEX('Calc Worksheet'!$D$29:$D$35,MATCH($I30,'Calc Worksheet'!$E$29:$E$35,0)))))),0)</f>
        <v>0.6575</v>
      </c>
      <c r="Q30" s="169">
        <f>IFERROR(IF(ISNUMBER(MATCH($H30,'Calc Worksheet'!$D$29:$D$35,0)),VLOOKUP($H30,'Calc Worksheet'!$D$29:$V$35,11,FALSE),INDEX('Calc Worksheet'!N$29:N$35,MATCH($I30,'Calc Worksheet'!$E$29:$E$35,0))+(INDEX('Calc Worksheet'!O$29:O$35,MATCH($I30,'Calc Worksheet'!$E$29:$E$35,0))*($H30-(INDEX('Calc Worksheet'!$D$29:$D$35,MATCH($I30,'Calc Worksheet'!$E$29:$E$35,0)))))),0)</f>
        <v>1.6025</v>
      </c>
      <c r="R30" s="169">
        <f>IFERROR(IF(ISNUMBER(MATCH($H30,'Calc Worksheet'!$D$29:$D$35,0)),VLOOKUP($H30,'Calc Worksheet'!$D$29:$V$35,13,FALSE),INDEX('Calc Worksheet'!P$29:P$35,MATCH($I30,'Calc Worksheet'!$E$29:$E$35,0))+(INDEX('Calc Worksheet'!Q$29:Q$35,MATCH($I30,'Calc Worksheet'!$E$29:$E$35,0))*($H30-(INDEX('Calc Worksheet'!$D$29:$D$35,MATCH($I30,'Calc Worksheet'!$E$29:$E$35,0)))))),0)</f>
        <v>1.775</v>
      </c>
      <c r="S30" s="233">
        <f>IFERROR(IF(ISNUMBER(MATCH($H30,'Calc Worksheet'!$D$29:$D$35,0)),VLOOKUP($H30,'Calc Worksheet'!$D$29:$V$35,19,FALSE),INDEX('Calc Worksheet'!V$29:V$35,MATCH($I30,'Calc Worksheet'!$E$29:$E$35,0))+(INDEX('Calc Worksheet'!W$29:W$35,MATCH($I30,'Calc Worksheet'!$E$29:$E$35,0))*($H30-(INDEX('Calc Worksheet'!$D$29:$D$35,MATCH($I30,'Calc Worksheet'!$E$29:$E$35,0)))))),0)</f>
        <v>2.975</v>
      </c>
      <c r="X30" s="234">
        <v>2022</v>
      </c>
      <c r="Y30" s="234">
        <v>1</v>
      </c>
      <c r="Z30" s="234">
        <v>2</v>
      </c>
      <c r="AA30" s="235">
        <v>0.16666666666787933</v>
      </c>
      <c r="AB30" s="236">
        <v>0.1</v>
      </c>
      <c r="AC30" s="127">
        <f t="shared" si="6"/>
        <v>0</v>
      </c>
    </row>
    <row r="31" ht="15.75" customHeight="1" spans="1:29" x14ac:dyDescent="0.25">
      <c r="A31">
        <v>30</v>
      </c>
      <c r="B31" s="178">
        <f>IFERROR(IF(H31&lt;'Calc Worksheet'!$D$4,$K31-$M31,0),0)</f>
        <v>9650.041755680802</v>
      </c>
      <c r="C31" s="178">
        <f t="shared" si="0"/>
        <v>8981.291755680802</v>
      </c>
      <c r="D31" s="178">
        <f t="shared" si="1"/>
        <v>0</v>
      </c>
      <c r="E31" s="178">
        <f>IFERROR(IF(H31&gt;'Calc Worksheet'!$D$5,IF(AND(K31&gt;M31,K31&lt;N31,H31&gt;'Calc Worksheet'!$D$5),J31,0),IF(AND(K31&gt;M31,K31&lt;N31,H31&lt;'Calc Worksheet'!$D$4),J31,0)),0)</f>
        <v>0</v>
      </c>
      <c r="F31" s="178">
        <f>IFERROR(IF(H31&gt;'Calc Worksheet'!$D$5,IF(AND(K31&lt;M31,H31&gt;'Calc Worksheet'!$D$5),J31,0),IF(AND(K31&lt;M31,H31&lt;'Calc Worksheet'!$D$4),J31,0)),0)</f>
        <v>0</v>
      </c>
      <c r="G31" s="178">
        <f t="shared" si="5"/>
        <v>0</v>
      </c>
      <c r="H31" s="178">
        <v>-3</v>
      </c>
      <c r="I31" s="232">
        <f>IFERROR(VLOOKUP(H31,'Calc Worksheet'!$D$27:$T$35,2),0)</f>
        <v>2</v>
      </c>
      <c r="J31" s="178">
        <f t="shared" si="2"/>
        <v>174</v>
      </c>
      <c r="K31" s="232">
        <f>IF(H31&lt;'Calc Worksheet'!$D$4,MAX(_xlfn.FORECAST.LINEAR(H31,'Calc Worksheet'!$E$3:$E$4,'Calc Worksheet'!$D$3:$D$4),0),MAX(_xlfn.FORECAST.LINEAR(H31,'Calc Worksheet'!$E$5:$E$6,'Calc Worksheet'!$D$5:$D$6),0))</f>
        <v>27793.791755680802</v>
      </c>
      <c r="L31" s="178">
        <f t="shared" si="3"/>
        <v>4836119.76548846</v>
      </c>
      <c r="M31" s="232">
        <f>IFERROR(IF(ISNUMBER(MATCH(H31,'Calc Worksheet'!$D$29:$D$35,0)),VLOOKUP(H31,'Calc Worksheet'!$D$29:$V$35,3,FALSE),INDEX('Calc Worksheet'!$F$29:$F$35,MATCH(I31,'Calc Worksheet'!$E$29:$E$35,0))+(INDEX('Calc Worksheet'!$G$29:$G$35,MATCH(I31,'Calc Worksheet'!$E$29:$E$35,0))*(H31-(INDEX('Calc Worksheet'!$D$29:$D$35,MATCH(I31,'Calc Worksheet'!$E$29:$E$35,0)))))),0)</f>
        <v>18143.75</v>
      </c>
      <c r="N31" s="232">
        <f>IFERROR(IF(ISNUMBER(MATCH(H31,'Calc Worksheet'!$D$29:$D$35,0)),VLOOKUP(H31,'Calc Worksheet'!$D$29:$V$35,5,FALSE),INDEX('Calc Worksheet'!$H$29:$H$35,MATCH(I31,'Calc Worksheet'!$E$29:$E$35,0))+(INDEX('Calc Worksheet'!$I$29:$I$35,MATCH(I31,'Calc Worksheet'!$E$29:$E$35,0))*(H31-(INDEX('Calc Worksheet'!$D$29:$D$35,MATCH(I31,'Calc Worksheet'!$E$29:$E$35,0)))))),0)</f>
        <v>18812.5</v>
      </c>
      <c r="O31" s="232">
        <f>IFERROR(IF(ISNUMBER(MATCH($H31,'Calc Worksheet'!$D$29:$D$35,0)),VLOOKUP($H31,'Calc Worksheet'!$D$29:$V$35,7,FALSE),INDEX('Calc Worksheet'!J$29:J$35,MATCH($I31,'Calc Worksheet'!$E$29:$E$35,0))+(INDEX('Calc Worksheet'!K$29:K$35,MATCH($I31,'Calc Worksheet'!$E$29:$E$35,0))*($H31-(INDEX('Calc Worksheet'!$D$29:$D$35,MATCH($I31,'Calc Worksheet'!$E$29:$E$35,0)))))),0)</f>
        <v>16956.25</v>
      </c>
      <c r="P31" s="169">
        <f>IFERROR(IF(ISNUMBER(MATCH($H31,'Calc Worksheet'!$D$29:$D$35,0)),VLOOKUP($H31,'Calc Worksheet'!$D$29:$V$35,9,FALSE),INDEX('Calc Worksheet'!L$29:L$35,MATCH($I31,'Calc Worksheet'!$E$29:$E$35,0))+(INDEX('Calc Worksheet'!M$29:M$35,MATCH($I31,'Calc Worksheet'!$E$29:$E$35,0))*($H31-(INDEX('Calc Worksheet'!$D$29:$D$35,MATCH($I31,'Calc Worksheet'!$E$29:$E$35,0)))))),0)</f>
        <v>0.634375</v>
      </c>
      <c r="Q31" s="169">
        <f>IFERROR(IF(ISNUMBER(MATCH($H31,'Calc Worksheet'!$D$29:$D$35,0)),VLOOKUP($H31,'Calc Worksheet'!$D$29:$V$35,11,FALSE),INDEX('Calc Worksheet'!N$29:N$35,MATCH($I31,'Calc Worksheet'!$E$29:$E$35,0))+(INDEX('Calc Worksheet'!O$29:O$35,MATCH($I31,'Calc Worksheet'!$E$29:$E$35,0))*($H31-(INDEX('Calc Worksheet'!$D$29:$D$35,MATCH($I31,'Calc Worksheet'!$E$29:$E$35,0)))))),0)</f>
        <v>1.615625</v>
      </c>
      <c r="R31" s="169">
        <f>IFERROR(IF(ISNUMBER(MATCH($H31,'Calc Worksheet'!$D$29:$D$35,0)),VLOOKUP($H31,'Calc Worksheet'!$D$29:$V$35,13,FALSE),INDEX('Calc Worksheet'!P$29:P$35,MATCH($I31,'Calc Worksheet'!$E$29:$E$35,0))+(INDEX('Calc Worksheet'!Q$29:Q$35,MATCH($I31,'Calc Worksheet'!$E$29:$E$35,0))*($H31-(INDEX('Calc Worksheet'!$D$29:$D$35,MATCH($I31,'Calc Worksheet'!$E$29:$E$35,0)))))),0)</f>
        <v>1.77375</v>
      </c>
      <c r="S31" s="233">
        <f>IFERROR(IF(ISNUMBER(MATCH($H31,'Calc Worksheet'!$D$29:$D$35,0)),VLOOKUP($H31,'Calc Worksheet'!$D$29:$V$35,19,FALSE),INDEX('Calc Worksheet'!V$29:V$35,MATCH($I31,'Calc Worksheet'!$E$29:$E$35,0))+(INDEX('Calc Worksheet'!W$29:W$35,MATCH($I31,'Calc Worksheet'!$E$29:$E$35,0))*($H31-(INDEX('Calc Worksheet'!$D$29:$D$35,MATCH($I31,'Calc Worksheet'!$E$29:$E$35,0)))))),0)</f>
        <v>3.04375</v>
      </c>
      <c r="X31" s="234">
        <v>2022</v>
      </c>
      <c r="Y31" s="234">
        <v>1</v>
      </c>
      <c r="Z31" s="234">
        <v>2</v>
      </c>
      <c r="AA31" s="235">
        <v>0.20833333333212067</v>
      </c>
      <c r="AB31" s="236">
        <v>-0.3</v>
      </c>
      <c r="AC31" s="127">
        <f t="shared" si="6"/>
        <v>0</v>
      </c>
    </row>
    <row r="32" ht="15.75" customHeight="1" spans="1:29" x14ac:dyDescent="0.25">
      <c r="A32">
        <v>31</v>
      </c>
      <c r="B32" s="178">
        <f>IFERROR(IF(H32&lt;'Calc Worksheet'!$D$4,$K32-$M32,0),0)</f>
        <v>9391.602167896759</v>
      </c>
      <c r="C32" s="178">
        <f t="shared" si="0"/>
        <v>7229.102167896759</v>
      </c>
      <c r="D32" s="178">
        <f t="shared" si="1"/>
        <v>0</v>
      </c>
      <c r="E32" s="178">
        <f>IFERROR(IF(H32&gt;'Calc Worksheet'!$D$5,IF(AND(K32&gt;M32,K32&lt;N32,H32&gt;'Calc Worksheet'!$D$5),J32,0),IF(AND(K32&gt;M32,K32&lt;N32,H32&lt;'Calc Worksheet'!$D$4),J32,0)),0)</f>
        <v>0</v>
      </c>
      <c r="F32" s="178">
        <f>IFERROR(IF(H32&gt;'Calc Worksheet'!$D$5,IF(AND(K32&lt;M32,H32&gt;'Calc Worksheet'!$D$5),J32,0),IF(AND(K32&lt;M32,H32&lt;'Calc Worksheet'!$D$4),J32,0)),0)</f>
        <v>0</v>
      </c>
      <c r="G32" s="178">
        <f t="shared" si="5"/>
        <v>0</v>
      </c>
      <c r="H32" s="178">
        <v>-2</v>
      </c>
      <c r="I32" s="232">
        <f>IFERROR(VLOOKUP(H32,'Calc Worksheet'!$D$27:$T$35,2),0)</f>
        <v>2</v>
      </c>
      <c r="J32" s="178">
        <f t="shared" si="2"/>
        <v>226</v>
      </c>
      <c r="K32" s="232">
        <f>IF(H32&lt;'Calc Worksheet'!$D$4,MAX(_xlfn.FORECAST.LINEAR(H32,'Calc Worksheet'!$E$3:$E$4,'Calc Worksheet'!$D$3:$D$4),0),MAX(_xlfn.FORECAST.LINEAR(H32,'Calc Worksheet'!$E$5:$E$6,'Calc Worksheet'!$D$5:$D$6),0))</f>
        <v>26404.10216789676</v>
      </c>
      <c r="L32" s="178">
        <f t="shared" si="3"/>
        <v>5967327.089944667</v>
      </c>
      <c r="M32" s="232">
        <f>IFERROR(IF(ISNUMBER(MATCH(H32,'Calc Worksheet'!$D$29:$D$35,0)),VLOOKUP(H32,'Calc Worksheet'!$D$29:$V$35,3,FALSE),INDEX('Calc Worksheet'!$F$29:$F$35,MATCH(I32,'Calc Worksheet'!$E$29:$E$35,0))+(INDEX('Calc Worksheet'!$G$29:$G$35,MATCH(I32,'Calc Worksheet'!$E$29:$E$35,0))*(H32-(INDEX('Calc Worksheet'!$D$29:$D$35,MATCH(I32,'Calc Worksheet'!$E$29:$E$35,0)))))),0)</f>
        <v>17012.5</v>
      </c>
      <c r="N32" s="232">
        <f>IFERROR(IF(ISNUMBER(MATCH(H32,'Calc Worksheet'!$D$29:$D$35,0)),VLOOKUP(H32,'Calc Worksheet'!$D$29:$V$35,5,FALSE),INDEX('Calc Worksheet'!$H$29:$H$35,MATCH(I32,'Calc Worksheet'!$E$29:$E$35,0))+(INDEX('Calc Worksheet'!$I$29:$I$35,MATCH(I32,'Calc Worksheet'!$E$29:$E$35,0))*(H32-(INDEX('Calc Worksheet'!$D$29:$D$35,MATCH(I32,'Calc Worksheet'!$E$29:$E$35,0)))))),0)</f>
        <v>19175</v>
      </c>
      <c r="O32" s="232">
        <f>IFERROR(IF(ISNUMBER(MATCH($H32,'Calc Worksheet'!$D$29:$D$35,0)),VLOOKUP($H32,'Calc Worksheet'!$D$29:$V$35,7,FALSE),INDEX('Calc Worksheet'!J$29:J$35,MATCH($I32,'Calc Worksheet'!$E$29:$E$35,0))+(INDEX('Calc Worksheet'!K$29:K$35,MATCH($I32,'Calc Worksheet'!$E$29:$E$35,0))*($H32-(INDEX('Calc Worksheet'!$D$29:$D$35,MATCH($I32,'Calc Worksheet'!$E$29:$E$35,0)))))),0)</f>
        <v>17487.5</v>
      </c>
      <c r="P32" s="169">
        <f>IFERROR(IF(ISNUMBER(MATCH($H32,'Calc Worksheet'!$D$29:$D$35,0)),VLOOKUP($H32,'Calc Worksheet'!$D$29:$V$35,9,FALSE),INDEX('Calc Worksheet'!L$29:L$35,MATCH($I32,'Calc Worksheet'!$E$29:$E$35,0))+(INDEX('Calc Worksheet'!M$29:M$35,MATCH($I32,'Calc Worksheet'!$E$29:$E$35,0))*($H32-(INDEX('Calc Worksheet'!$D$29:$D$35,MATCH($I32,'Calc Worksheet'!$E$29:$E$35,0)))))),0)</f>
        <v>0.6112500000000001</v>
      </c>
      <c r="Q32" s="169">
        <f>IFERROR(IF(ISNUMBER(MATCH($H32,'Calc Worksheet'!$D$29:$D$35,0)),VLOOKUP($H32,'Calc Worksheet'!$D$29:$V$35,11,FALSE),INDEX('Calc Worksheet'!N$29:N$35,MATCH($I32,'Calc Worksheet'!$E$29:$E$35,0))+(INDEX('Calc Worksheet'!O$29:O$35,MATCH($I32,'Calc Worksheet'!$E$29:$E$35,0))*($H32-(INDEX('Calc Worksheet'!$D$29:$D$35,MATCH($I32,'Calc Worksheet'!$E$29:$E$35,0)))))),0)</f>
        <v>1.6287500000000001</v>
      </c>
      <c r="R32" s="169">
        <f>IFERROR(IF(ISNUMBER(MATCH($H32,'Calc Worksheet'!$D$29:$D$35,0)),VLOOKUP($H32,'Calc Worksheet'!$D$29:$V$35,13,FALSE),INDEX('Calc Worksheet'!P$29:P$35,MATCH($I32,'Calc Worksheet'!$E$29:$E$35,0))+(INDEX('Calc Worksheet'!Q$29:Q$35,MATCH($I32,'Calc Worksheet'!$E$29:$E$35,0))*($H32-(INDEX('Calc Worksheet'!$D$29:$D$35,MATCH($I32,'Calc Worksheet'!$E$29:$E$35,0)))))),0)</f>
        <v>1.7725</v>
      </c>
      <c r="S32" s="233">
        <f>IFERROR(IF(ISNUMBER(MATCH($H32,'Calc Worksheet'!$D$29:$D$35,0)),VLOOKUP($H32,'Calc Worksheet'!$D$29:$V$35,19,FALSE),INDEX('Calc Worksheet'!V$29:V$35,MATCH($I32,'Calc Worksheet'!$E$29:$E$35,0))+(INDEX('Calc Worksheet'!W$29:W$35,MATCH($I32,'Calc Worksheet'!$E$29:$E$35,0))*($H32-(INDEX('Calc Worksheet'!$D$29:$D$35,MATCH($I32,'Calc Worksheet'!$E$29:$E$35,0)))))),0)</f>
        <v>3.1125</v>
      </c>
      <c r="X32" s="234">
        <v>2022</v>
      </c>
      <c r="Y32" s="234">
        <v>1</v>
      </c>
      <c r="Z32" s="234">
        <v>2</v>
      </c>
      <c r="AA32" s="235">
        <v>0.25</v>
      </c>
      <c r="AB32" s="236">
        <v>-1.8</v>
      </c>
      <c r="AC32" s="127">
        <f t="shared" si="6"/>
        <v>-2</v>
      </c>
    </row>
    <row r="33" ht="15.75" customHeight="1" spans="1:29" x14ac:dyDescent="0.25">
      <c r="A33">
        <v>32</v>
      </c>
      <c r="B33" s="178">
        <f>IFERROR(IF(H33&lt;'Calc Worksheet'!$D$4,$K33-$M33,0),0)</f>
        <v>9133.16258011272</v>
      </c>
      <c r="C33" s="178">
        <f t="shared" si="0"/>
        <v>5476.912580112719</v>
      </c>
      <c r="D33" s="178">
        <f t="shared" si="1"/>
        <v>0</v>
      </c>
      <c r="E33" s="178">
        <f>IFERROR(IF(H33&gt;'Calc Worksheet'!$D$5,IF(AND(K33&gt;M33,K33&lt;N33,H33&gt;'Calc Worksheet'!$D$5),J33,0),IF(AND(K33&gt;M33,K33&lt;N33,H33&lt;'Calc Worksheet'!$D$4),J33,0)),0)</f>
        <v>0</v>
      </c>
      <c r="F33" s="178">
        <f>IFERROR(IF(H33&gt;'Calc Worksheet'!$D$5,IF(AND(K33&lt;M33,H33&gt;'Calc Worksheet'!$D$5),J33,0),IF(AND(K33&lt;M33,H33&lt;'Calc Worksheet'!$D$4),J33,0)),0)</f>
        <v>0</v>
      </c>
      <c r="G33" s="178">
        <f t="shared" si="5"/>
        <v>0</v>
      </c>
      <c r="H33" s="178">
        <v>-1</v>
      </c>
      <c r="I33" s="232">
        <f>IFERROR(VLOOKUP(H33,'Calc Worksheet'!$D$27:$T$35,2),0)</f>
        <v>2</v>
      </c>
      <c r="J33" s="178">
        <f t="shared" si="2"/>
        <v>217</v>
      </c>
      <c r="K33" s="232">
        <f>IF(H33&lt;'Calc Worksheet'!$D$4,MAX(_xlfn.FORECAST.LINEAR(H33,'Calc Worksheet'!$E$3:$E$4,'Calc Worksheet'!$D$3:$D$4),0),MAX(_xlfn.FORECAST.LINEAR(H33,'Calc Worksheet'!$E$5:$E$6,'Calc Worksheet'!$D$5:$D$6),0))</f>
        <v>25014.41258011272</v>
      </c>
      <c r="L33" s="178">
        <f t="shared" si="3"/>
        <v>5428127.52988446</v>
      </c>
      <c r="M33" s="232">
        <f>IFERROR(IF(ISNUMBER(MATCH(H33,'Calc Worksheet'!$D$29:$D$35,0)),VLOOKUP(H33,'Calc Worksheet'!$D$29:$V$35,3,FALSE),INDEX('Calc Worksheet'!$F$29:$F$35,MATCH(I33,'Calc Worksheet'!$E$29:$E$35,0))+(INDEX('Calc Worksheet'!$G$29:$G$35,MATCH(I33,'Calc Worksheet'!$E$29:$E$35,0))*(H33-(INDEX('Calc Worksheet'!$D$29:$D$35,MATCH(I33,'Calc Worksheet'!$E$29:$E$35,0)))))),0)</f>
        <v>15881.25</v>
      </c>
      <c r="N33" s="232">
        <f>IFERROR(IF(ISNUMBER(MATCH(H33,'Calc Worksheet'!$D$29:$D$35,0)),VLOOKUP(H33,'Calc Worksheet'!$D$29:$V$35,5,FALSE),INDEX('Calc Worksheet'!$H$29:$H$35,MATCH(I33,'Calc Worksheet'!$E$29:$E$35,0))+(INDEX('Calc Worksheet'!$I$29:$I$35,MATCH(I33,'Calc Worksheet'!$E$29:$E$35,0))*(H33-(INDEX('Calc Worksheet'!$D$29:$D$35,MATCH(I33,'Calc Worksheet'!$E$29:$E$35,0)))))),0)</f>
        <v>19537.5</v>
      </c>
      <c r="O33" s="232">
        <f>IFERROR(IF(ISNUMBER(MATCH($H33,'Calc Worksheet'!$D$29:$D$35,0)),VLOOKUP($H33,'Calc Worksheet'!$D$29:$V$35,7,FALSE),INDEX('Calc Worksheet'!J$29:J$35,MATCH($I33,'Calc Worksheet'!$E$29:$E$35,0))+(INDEX('Calc Worksheet'!K$29:K$35,MATCH($I33,'Calc Worksheet'!$E$29:$E$35,0))*($H33-(INDEX('Calc Worksheet'!$D$29:$D$35,MATCH($I33,'Calc Worksheet'!$E$29:$E$35,0)))))),0)</f>
        <v>18018.75</v>
      </c>
      <c r="P33" s="169">
        <f>IFERROR(IF(ISNUMBER(MATCH($H33,'Calc Worksheet'!$D$29:$D$35,0)),VLOOKUP($H33,'Calc Worksheet'!$D$29:$V$35,9,FALSE),INDEX('Calc Worksheet'!L$29:L$35,MATCH($I33,'Calc Worksheet'!$E$29:$E$35,0))+(INDEX('Calc Worksheet'!M$29:M$35,MATCH($I33,'Calc Worksheet'!$E$29:$E$35,0))*($H33-(INDEX('Calc Worksheet'!$D$29:$D$35,MATCH($I33,'Calc Worksheet'!$E$29:$E$35,0)))))),0)</f>
        <v>0.588125</v>
      </c>
      <c r="Q33" s="169">
        <f>IFERROR(IF(ISNUMBER(MATCH($H33,'Calc Worksheet'!$D$29:$D$35,0)),VLOOKUP($H33,'Calc Worksheet'!$D$29:$V$35,11,FALSE),INDEX('Calc Worksheet'!N$29:N$35,MATCH($I33,'Calc Worksheet'!$E$29:$E$35,0))+(INDEX('Calc Worksheet'!O$29:O$35,MATCH($I33,'Calc Worksheet'!$E$29:$E$35,0))*($H33-(INDEX('Calc Worksheet'!$D$29:$D$35,MATCH($I33,'Calc Worksheet'!$E$29:$E$35,0)))))),0)</f>
        <v>1.641875</v>
      </c>
      <c r="R33" s="169">
        <f>IFERROR(IF(ISNUMBER(MATCH($H33,'Calc Worksheet'!$D$29:$D$35,0)),VLOOKUP($H33,'Calc Worksheet'!$D$29:$V$35,13,FALSE),INDEX('Calc Worksheet'!P$29:P$35,MATCH($I33,'Calc Worksheet'!$E$29:$E$35,0))+(INDEX('Calc Worksheet'!Q$29:Q$35,MATCH($I33,'Calc Worksheet'!$E$29:$E$35,0))*($H33-(INDEX('Calc Worksheet'!$D$29:$D$35,MATCH($I33,'Calc Worksheet'!$E$29:$E$35,0)))))),0)</f>
        <v>1.77125</v>
      </c>
      <c r="S33" s="233">
        <f>IFERROR(IF(ISNUMBER(MATCH($H33,'Calc Worksheet'!$D$29:$D$35,0)),VLOOKUP($H33,'Calc Worksheet'!$D$29:$V$35,19,FALSE),INDEX('Calc Worksheet'!V$29:V$35,MATCH($I33,'Calc Worksheet'!$E$29:$E$35,0))+(INDEX('Calc Worksheet'!W$29:W$35,MATCH($I33,'Calc Worksheet'!$E$29:$E$35,0))*($H33-(INDEX('Calc Worksheet'!$D$29:$D$35,MATCH($I33,'Calc Worksheet'!$E$29:$E$35,0)))))),0)</f>
        <v>3.18125</v>
      </c>
      <c r="X33" s="234">
        <v>2022</v>
      </c>
      <c r="Y33" s="234">
        <v>1</v>
      </c>
      <c r="Z33" s="234">
        <v>2</v>
      </c>
      <c r="AA33" s="235">
        <v>0.2916666666678793</v>
      </c>
      <c r="AB33" s="236">
        <v>-2.1</v>
      </c>
      <c r="AC33" s="127">
        <f t="shared" si="6"/>
        <v>-2</v>
      </c>
    </row>
    <row r="34" ht="15.75" customHeight="1" spans="1:29" x14ac:dyDescent="0.25">
      <c r="A34">
        <v>33</v>
      </c>
      <c r="B34" s="178">
        <f>IFERROR(IF(H34&lt;'Calc Worksheet'!$D$4,$K34-$M34,0),0)</f>
        <v>8874.72299232868</v>
      </c>
      <c r="C34" s="178">
        <f t="shared" ref="C34:C65" si="7">K34-N34</f>
        <v>3724.7229923286795</v>
      </c>
      <c r="D34" s="178">
        <f t="shared" ref="D34:D65" si="8">IFERROR((K34/N34)*Q34*G34,0)</f>
        <v>0</v>
      </c>
      <c r="E34" s="178">
        <f>IFERROR(IF(H34&gt;'Calc Worksheet'!$D$5,IF(AND(K34&gt;M34,K34&lt;N34,H34&gt;'Calc Worksheet'!$D$5),J34,0),IF(AND(K34&gt;M34,K34&lt;N34,H34&lt;'Calc Worksheet'!$D$4),J34,0)),0)</f>
        <v>0</v>
      </c>
      <c r="F34" s="178">
        <f>IFERROR(IF(H34&gt;'Calc Worksheet'!$D$5,IF(AND(K34&lt;M34,H34&gt;'Calc Worksheet'!$D$5),J34,0),IF(AND(K34&lt;M34,H34&lt;'Calc Worksheet'!$D$4),J34,0)),0)</f>
        <v>0</v>
      </c>
      <c r="G34" s="178">
        <f t="shared" si="5"/>
        <v>0</v>
      </c>
      <c r="H34" s="178">
        <v>0</v>
      </c>
      <c r="I34" s="232">
        <f>IFERROR(VLOOKUP(H34,'Calc Worksheet'!$D$27:$T$35,2),0)</f>
        <v>2</v>
      </c>
      <c r="J34" s="178">
        <f t="shared" ref="J34:J65" si="9">COUNTIF($AC$2:$AC$8761,H34)</f>
        <v>278</v>
      </c>
      <c r="K34" s="232">
        <f>IF(H34&lt;'Calc Worksheet'!$D$4,MAX(_xlfn.FORECAST.LINEAR(H34,'Calc Worksheet'!$E$3:$E$4,'Calc Worksheet'!$D$3:$D$4),0),MAX(_xlfn.FORECAST.LINEAR(H34,'Calc Worksheet'!$E$5:$E$6,'Calc Worksheet'!$D$5:$D$6),0))</f>
        <v>23624.72299232868</v>
      </c>
      <c r="L34" s="178">
        <f t="shared" ref="L34:L65" si="10">J34*K34</f>
        <v>6567672.991867373</v>
      </c>
      <c r="M34" s="232">
        <f>IFERROR(IF(ISNUMBER(MATCH(H34,'Calc Worksheet'!$D$29:$D$35,0)),VLOOKUP(H34,'Calc Worksheet'!$D$29:$V$35,3,FALSE),INDEX('Calc Worksheet'!$F$29:$F$35,MATCH(I34,'Calc Worksheet'!$E$29:$E$35,0))+(INDEX('Calc Worksheet'!$G$29:$G$35,MATCH(I34,'Calc Worksheet'!$E$29:$E$35,0))*(H34-(INDEX('Calc Worksheet'!$D$29:$D$35,MATCH(I34,'Calc Worksheet'!$E$29:$E$35,0)))))),0)</f>
        <v>14750</v>
      </c>
      <c r="N34" s="232">
        <f>IFERROR(IF(ISNUMBER(MATCH(H34,'Calc Worksheet'!$D$29:$D$35,0)),VLOOKUP(H34,'Calc Worksheet'!$D$29:$V$35,5,FALSE),INDEX('Calc Worksheet'!$H$29:$H$35,MATCH(I34,'Calc Worksheet'!$E$29:$E$35,0))+(INDEX('Calc Worksheet'!$I$29:$I$35,MATCH(I34,'Calc Worksheet'!$E$29:$E$35,0))*(H34-(INDEX('Calc Worksheet'!$D$29:$D$35,MATCH(I34,'Calc Worksheet'!$E$29:$E$35,0)))))),0)</f>
        <v>19900</v>
      </c>
      <c r="O34" s="232">
        <f>IFERROR(IF(ISNUMBER(MATCH($H34,'Calc Worksheet'!$D$29:$D$35,0)),VLOOKUP($H34,'Calc Worksheet'!$D$29:$V$35,7,FALSE),INDEX('Calc Worksheet'!J$29:J$35,MATCH($I34,'Calc Worksheet'!$E$29:$E$35,0))+(INDEX('Calc Worksheet'!K$29:K$35,MATCH($I34,'Calc Worksheet'!$E$29:$E$35,0))*($H34-(INDEX('Calc Worksheet'!$D$29:$D$35,MATCH($I34,'Calc Worksheet'!$E$29:$E$35,0)))))),0)</f>
        <v>18550</v>
      </c>
      <c r="P34" s="169">
        <f>IFERROR(IF(ISNUMBER(MATCH($H34,'Calc Worksheet'!$D$29:$D$35,0)),VLOOKUP($H34,'Calc Worksheet'!$D$29:$V$35,9,FALSE),INDEX('Calc Worksheet'!L$29:L$35,MATCH($I34,'Calc Worksheet'!$E$29:$E$35,0))+(INDEX('Calc Worksheet'!M$29:M$35,MATCH($I34,'Calc Worksheet'!$E$29:$E$35,0))*($H34-(INDEX('Calc Worksheet'!$D$29:$D$35,MATCH($I34,'Calc Worksheet'!$E$29:$E$35,0)))))),0)</f>
        <v>0.565</v>
      </c>
      <c r="Q34" s="169">
        <f>IFERROR(IF(ISNUMBER(MATCH($H34,'Calc Worksheet'!$D$29:$D$35,0)),VLOOKUP($H34,'Calc Worksheet'!$D$29:$V$35,11,FALSE),INDEX('Calc Worksheet'!N$29:N$35,MATCH($I34,'Calc Worksheet'!$E$29:$E$35,0))+(INDEX('Calc Worksheet'!O$29:O$35,MATCH($I34,'Calc Worksheet'!$E$29:$E$35,0))*($H34-(INDEX('Calc Worksheet'!$D$29:$D$35,MATCH($I34,'Calc Worksheet'!$E$29:$E$35,0)))))),0)</f>
        <v>1.655</v>
      </c>
      <c r="R34" s="169">
        <f>IFERROR(IF(ISNUMBER(MATCH($H34,'Calc Worksheet'!$D$29:$D$35,0)),VLOOKUP($H34,'Calc Worksheet'!$D$29:$V$35,13,FALSE),INDEX('Calc Worksheet'!P$29:P$35,MATCH($I34,'Calc Worksheet'!$E$29:$E$35,0))+(INDEX('Calc Worksheet'!Q$29:Q$35,MATCH($I34,'Calc Worksheet'!$E$29:$E$35,0))*($H34-(INDEX('Calc Worksheet'!$D$29:$D$35,MATCH($I34,'Calc Worksheet'!$E$29:$E$35,0)))))),0)</f>
        <v>1.77</v>
      </c>
      <c r="S34" s="233">
        <f>IFERROR(IF(ISNUMBER(MATCH($H34,'Calc Worksheet'!$D$29:$D$35,0)),VLOOKUP($H34,'Calc Worksheet'!$D$29:$V$35,19,FALSE),INDEX('Calc Worksheet'!V$29:V$35,MATCH($I34,'Calc Worksheet'!$E$29:$E$35,0))+(INDEX('Calc Worksheet'!W$29:W$35,MATCH($I34,'Calc Worksheet'!$E$29:$E$35,0))*($H34-(INDEX('Calc Worksheet'!$D$29:$D$35,MATCH($I34,'Calc Worksheet'!$E$29:$E$35,0)))))),0)</f>
        <v>3.25</v>
      </c>
      <c r="X34" s="234">
        <v>2022</v>
      </c>
      <c r="Y34" s="234">
        <v>1</v>
      </c>
      <c r="Z34" s="234">
        <v>2</v>
      </c>
      <c r="AA34" s="235">
        <v>0.3333333333321207</v>
      </c>
      <c r="AB34" s="236">
        <v>-1.8</v>
      </c>
      <c r="AC34" s="127">
        <f t="shared" si="6"/>
        <v>-2</v>
      </c>
    </row>
    <row r="35" ht="15.75" customHeight="1" spans="1:29" x14ac:dyDescent="0.25">
      <c r="A35">
        <v>34</v>
      </c>
      <c r="B35" s="178">
        <f>IFERROR(IF(H35&lt;'Calc Worksheet'!$D$4,$K35-$M35,0),0)</f>
        <v>8616.28340454464</v>
      </c>
      <c r="C35" s="178">
        <f t="shared" si="7"/>
        <v>1972.5334045446398</v>
      </c>
      <c r="D35" s="178">
        <f t="shared" si="8"/>
        <v>0</v>
      </c>
      <c r="E35" s="178">
        <f>IFERROR(IF(H35&gt;'Calc Worksheet'!$D$5,IF(AND(K35&gt;M35,K35&lt;N35,H35&gt;'Calc Worksheet'!$D$5),J35,0),IF(AND(K35&gt;M35,K35&lt;N35,H35&lt;'Calc Worksheet'!$D$4),J35,0)),0)</f>
        <v>0</v>
      </c>
      <c r="F35" s="178">
        <f>IFERROR(IF(H35&gt;'Calc Worksheet'!$D$5,IF(AND(K35&lt;M35,H35&gt;'Calc Worksheet'!$D$5),J35,0),IF(AND(K35&lt;M35,H35&lt;'Calc Worksheet'!$D$4),J35,0)),0)</f>
        <v>0</v>
      </c>
      <c r="G35" s="178">
        <f t="shared" si="5"/>
        <v>0</v>
      </c>
      <c r="H35" s="178">
        <v>1</v>
      </c>
      <c r="I35" s="232">
        <f>IFERROR(VLOOKUP(H35,'Calc Worksheet'!$D$27:$T$35,2),0)</f>
        <v>2</v>
      </c>
      <c r="J35" s="178">
        <f t="shared" si="9"/>
        <v>301</v>
      </c>
      <c r="K35" s="232">
        <f>IF(H35&lt;'Calc Worksheet'!$D$4,MAX(_xlfn.FORECAST.LINEAR(H35,'Calc Worksheet'!$E$3:$E$4,'Calc Worksheet'!$D$3:$D$4),0),MAX(_xlfn.FORECAST.LINEAR(H35,'Calc Worksheet'!$E$5:$E$6,'Calc Worksheet'!$D$5:$D$6),0))</f>
        <v>22235.03340454464</v>
      </c>
      <c r="L35" s="178">
        <f t="shared" si="10"/>
        <v>6692745.0547679365</v>
      </c>
      <c r="M35" s="232">
        <f>IFERROR(IF(ISNUMBER(MATCH(H35,'Calc Worksheet'!$D$29:$D$35,0)),VLOOKUP(H35,'Calc Worksheet'!$D$29:$V$35,3,FALSE),INDEX('Calc Worksheet'!$F$29:$F$35,MATCH(I35,'Calc Worksheet'!$E$29:$E$35,0))+(INDEX('Calc Worksheet'!$G$29:$G$35,MATCH(I35,'Calc Worksheet'!$E$29:$E$35,0))*(H35-(INDEX('Calc Worksheet'!$D$29:$D$35,MATCH(I35,'Calc Worksheet'!$E$29:$E$35,0)))))),0)</f>
        <v>13618.75</v>
      </c>
      <c r="N35" s="232">
        <f>IFERROR(IF(ISNUMBER(MATCH(H35,'Calc Worksheet'!$D$29:$D$35,0)),VLOOKUP(H35,'Calc Worksheet'!$D$29:$V$35,5,FALSE),INDEX('Calc Worksheet'!$H$29:$H$35,MATCH(I35,'Calc Worksheet'!$E$29:$E$35,0))+(INDEX('Calc Worksheet'!$I$29:$I$35,MATCH(I35,'Calc Worksheet'!$E$29:$E$35,0))*(H35-(INDEX('Calc Worksheet'!$D$29:$D$35,MATCH(I35,'Calc Worksheet'!$E$29:$E$35,0)))))),0)</f>
        <v>20262.5</v>
      </c>
      <c r="O35" s="232">
        <f>IFERROR(IF(ISNUMBER(MATCH($H35,'Calc Worksheet'!$D$29:$D$35,0)),VLOOKUP($H35,'Calc Worksheet'!$D$29:$V$35,7,FALSE),INDEX('Calc Worksheet'!J$29:J$35,MATCH($I35,'Calc Worksheet'!$E$29:$E$35,0))+(INDEX('Calc Worksheet'!K$29:K$35,MATCH($I35,'Calc Worksheet'!$E$29:$E$35,0))*($H35-(INDEX('Calc Worksheet'!$D$29:$D$35,MATCH($I35,'Calc Worksheet'!$E$29:$E$35,0)))))),0)</f>
        <v>19081.25</v>
      </c>
      <c r="P35" s="169">
        <f>IFERROR(IF(ISNUMBER(MATCH($H35,'Calc Worksheet'!$D$29:$D$35,0)),VLOOKUP($H35,'Calc Worksheet'!$D$29:$V$35,9,FALSE),INDEX('Calc Worksheet'!L$29:L$35,MATCH($I35,'Calc Worksheet'!$E$29:$E$35,0))+(INDEX('Calc Worksheet'!M$29:M$35,MATCH($I35,'Calc Worksheet'!$E$29:$E$35,0))*($H35-(INDEX('Calc Worksheet'!$D$29:$D$35,MATCH($I35,'Calc Worksheet'!$E$29:$E$35,0)))))),0)</f>
        <v>0.541875</v>
      </c>
      <c r="Q35" s="169">
        <f>IFERROR(IF(ISNUMBER(MATCH($H35,'Calc Worksheet'!$D$29:$D$35,0)),VLOOKUP($H35,'Calc Worksheet'!$D$29:$V$35,11,FALSE),INDEX('Calc Worksheet'!N$29:N$35,MATCH($I35,'Calc Worksheet'!$E$29:$E$35,0))+(INDEX('Calc Worksheet'!O$29:O$35,MATCH($I35,'Calc Worksheet'!$E$29:$E$35,0))*($H35-(INDEX('Calc Worksheet'!$D$29:$D$35,MATCH($I35,'Calc Worksheet'!$E$29:$E$35,0)))))),0)</f>
        <v>1.668125</v>
      </c>
      <c r="R35" s="169">
        <f>IFERROR(IF(ISNUMBER(MATCH($H35,'Calc Worksheet'!$D$29:$D$35,0)),VLOOKUP($H35,'Calc Worksheet'!$D$29:$V$35,13,FALSE),INDEX('Calc Worksheet'!P$29:P$35,MATCH($I35,'Calc Worksheet'!$E$29:$E$35,0))+(INDEX('Calc Worksheet'!Q$29:Q$35,MATCH($I35,'Calc Worksheet'!$E$29:$E$35,0))*($H35-(INDEX('Calc Worksheet'!$D$29:$D$35,MATCH($I35,'Calc Worksheet'!$E$29:$E$35,0)))))),0)</f>
        <v>1.76875</v>
      </c>
      <c r="S35" s="233">
        <f>IFERROR(IF(ISNUMBER(MATCH($H35,'Calc Worksheet'!$D$29:$D$35,0)),VLOOKUP($H35,'Calc Worksheet'!$D$29:$V$35,19,FALSE),INDEX('Calc Worksheet'!V$29:V$35,MATCH($I35,'Calc Worksheet'!$E$29:$E$35,0))+(INDEX('Calc Worksheet'!W$29:W$35,MATCH($I35,'Calc Worksheet'!$E$29:$E$35,0))*($H35-(INDEX('Calc Worksheet'!$D$29:$D$35,MATCH($I35,'Calc Worksheet'!$E$29:$E$35,0)))))),0)</f>
        <v>3.31875</v>
      </c>
      <c r="X35" s="234">
        <v>2022</v>
      </c>
      <c r="Y35" s="234">
        <v>1</v>
      </c>
      <c r="Z35" s="234">
        <v>2</v>
      </c>
      <c r="AA35" s="235">
        <v>0.375</v>
      </c>
      <c r="AB35" s="236">
        <v>-0.7</v>
      </c>
      <c r="AC35" s="127">
        <f t="shared" si="6"/>
        <v>-1</v>
      </c>
    </row>
    <row r="36" ht="15.75" customHeight="1" spans="1:29" x14ac:dyDescent="0.25">
      <c r="A36">
        <v>35</v>
      </c>
      <c r="B36" s="178">
        <f>IFERROR(IF(H36&lt;'Calc Worksheet'!$D$4,$K36-$M36,0),0)</f>
        <v>8357.8438167606</v>
      </c>
      <c r="C36" s="178">
        <f t="shared" si="7"/>
        <v>220.34381676060002</v>
      </c>
      <c r="D36" s="178">
        <f t="shared" si="8"/>
        <v>0</v>
      </c>
      <c r="E36" s="178">
        <f>IFERROR(IF(H36&gt;'Calc Worksheet'!$D$5,IF(AND(K36&gt;M36,K36&lt;N36,H36&gt;'Calc Worksheet'!$D$5),J36,0),IF(AND(K36&gt;M36,K36&lt;N36,H36&lt;'Calc Worksheet'!$D$4),J36,0)),0)</f>
        <v>0</v>
      </c>
      <c r="F36" s="178">
        <f>IFERROR(IF(H36&gt;'Calc Worksheet'!$D$5,IF(AND(K36&lt;M36,H36&gt;'Calc Worksheet'!$D$5),J36,0),IF(AND(K36&lt;M36,H36&lt;'Calc Worksheet'!$D$4),J36,0)),0)</f>
        <v>0</v>
      </c>
      <c r="G36" s="178">
        <f t="shared" si="5"/>
        <v>0</v>
      </c>
      <c r="H36" s="178">
        <v>2</v>
      </c>
      <c r="I36" s="232">
        <f>IFERROR(VLOOKUP(H36,'Calc Worksheet'!$D$27:$T$35,2),0)</f>
        <v>2</v>
      </c>
      <c r="J36" s="178">
        <f t="shared" si="9"/>
        <v>251</v>
      </c>
      <c r="K36" s="232">
        <f>IF(H36&lt;'Calc Worksheet'!$D$4,MAX(_xlfn.FORECAST.LINEAR(H36,'Calc Worksheet'!$E$3:$E$4,'Calc Worksheet'!$D$3:$D$4),0),MAX(_xlfn.FORECAST.LINEAR(H36,'Calc Worksheet'!$E$5:$E$6,'Calc Worksheet'!$D$5:$D$6),0))</f>
        <v>20845.3438167606</v>
      </c>
      <c r="L36" s="178">
        <f t="shared" si="10"/>
        <v>5232181.298006911</v>
      </c>
      <c r="M36" s="232">
        <f>IFERROR(IF(ISNUMBER(MATCH(H36,'Calc Worksheet'!$D$29:$D$35,0)),VLOOKUP(H36,'Calc Worksheet'!$D$29:$V$35,3,FALSE),INDEX('Calc Worksheet'!$F$29:$F$35,MATCH(I36,'Calc Worksheet'!$E$29:$E$35,0))+(INDEX('Calc Worksheet'!$G$29:$G$35,MATCH(I36,'Calc Worksheet'!$E$29:$E$35,0))*(H36-(INDEX('Calc Worksheet'!$D$29:$D$35,MATCH(I36,'Calc Worksheet'!$E$29:$E$35,0)))))),0)</f>
        <v>12487.5</v>
      </c>
      <c r="N36" s="232">
        <f>IFERROR(IF(ISNUMBER(MATCH(H36,'Calc Worksheet'!$D$29:$D$35,0)),VLOOKUP(H36,'Calc Worksheet'!$D$29:$V$35,5,FALSE),INDEX('Calc Worksheet'!$H$29:$H$35,MATCH(I36,'Calc Worksheet'!$E$29:$E$35,0))+(INDEX('Calc Worksheet'!$I$29:$I$35,MATCH(I36,'Calc Worksheet'!$E$29:$E$35,0))*(H36-(INDEX('Calc Worksheet'!$D$29:$D$35,MATCH(I36,'Calc Worksheet'!$E$29:$E$35,0)))))),0)</f>
        <v>20625</v>
      </c>
      <c r="O36" s="232">
        <f>IFERROR(IF(ISNUMBER(MATCH($H36,'Calc Worksheet'!$D$29:$D$35,0)),VLOOKUP($H36,'Calc Worksheet'!$D$29:$V$35,7,FALSE),INDEX('Calc Worksheet'!J$29:J$35,MATCH($I36,'Calc Worksheet'!$E$29:$E$35,0))+(INDEX('Calc Worksheet'!K$29:K$35,MATCH($I36,'Calc Worksheet'!$E$29:$E$35,0))*($H36-(INDEX('Calc Worksheet'!$D$29:$D$35,MATCH($I36,'Calc Worksheet'!$E$29:$E$35,0)))))),0)</f>
        <v>19612.5</v>
      </c>
      <c r="P36" s="169">
        <f>IFERROR(IF(ISNUMBER(MATCH($H36,'Calc Worksheet'!$D$29:$D$35,0)),VLOOKUP($H36,'Calc Worksheet'!$D$29:$V$35,9,FALSE),INDEX('Calc Worksheet'!L$29:L$35,MATCH($I36,'Calc Worksheet'!$E$29:$E$35,0))+(INDEX('Calc Worksheet'!M$29:M$35,MATCH($I36,'Calc Worksheet'!$E$29:$E$35,0))*($H36-(INDEX('Calc Worksheet'!$D$29:$D$35,MATCH($I36,'Calc Worksheet'!$E$29:$E$35,0)))))),0)</f>
        <v>0.51875</v>
      </c>
      <c r="Q36" s="169">
        <f>IFERROR(IF(ISNUMBER(MATCH($H36,'Calc Worksheet'!$D$29:$D$35,0)),VLOOKUP($H36,'Calc Worksheet'!$D$29:$V$35,11,FALSE),INDEX('Calc Worksheet'!N$29:N$35,MATCH($I36,'Calc Worksheet'!$E$29:$E$35,0))+(INDEX('Calc Worksheet'!O$29:O$35,MATCH($I36,'Calc Worksheet'!$E$29:$E$35,0))*($H36-(INDEX('Calc Worksheet'!$D$29:$D$35,MATCH($I36,'Calc Worksheet'!$E$29:$E$35,0)))))),0)</f>
        <v>1.68125</v>
      </c>
      <c r="R36" s="169">
        <f>IFERROR(IF(ISNUMBER(MATCH($H36,'Calc Worksheet'!$D$29:$D$35,0)),VLOOKUP($H36,'Calc Worksheet'!$D$29:$V$35,13,FALSE),INDEX('Calc Worksheet'!P$29:P$35,MATCH($I36,'Calc Worksheet'!$E$29:$E$35,0))+(INDEX('Calc Worksheet'!Q$29:Q$35,MATCH($I36,'Calc Worksheet'!$E$29:$E$35,0))*($H36-(INDEX('Calc Worksheet'!$D$29:$D$35,MATCH($I36,'Calc Worksheet'!$E$29:$E$35,0)))))),0)</f>
        <v>1.7675</v>
      </c>
      <c r="S36" s="233">
        <f>IFERROR(IF(ISNUMBER(MATCH($H36,'Calc Worksheet'!$D$29:$D$35,0)),VLOOKUP($H36,'Calc Worksheet'!$D$29:$V$35,19,FALSE),INDEX('Calc Worksheet'!V$29:V$35,MATCH($I36,'Calc Worksheet'!$E$29:$E$35,0))+(INDEX('Calc Worksheet'!W$29:W$35,MATCH($I36,'Calc Worksheet'!$E$29:$E$35,0))*($H36-(INDEX('Calc Worksheet'!$D$29:$D$35,MATCH($I36,'Calc Worksheet'!$E$29:$E$35,0)))))),0)</f>
        <v>3.3875</v>
      </c>
      <c r="X36" s="234">
        <v>2022</v>
      </c>
      <c r="Y36" s="234">
        <v>1</v>
      </c>
      <c r="Z36" s="234">
        <v>2</v>
      </c>
      <c r="AA36" s="235">
        <v>0.4166666666678793</v>
      </c>
      <c r="AB36" s="236">
        <v>-0.4</v>
      </c>
      <c r="AC36" s="127">
        <f t="shared" si="6"/>
        <v>0</v>
      </c>
    </row>
    <row r="37" ht="15.75" customHeight="1" spans="1:29" x14ac:dyDescent="0.25">
      <c r="A37">
        <v>36</v>
      </c>
      <c r="B37" s="178">
        <f>IFERROR(IF(H37&lt;'Calc Worksheet'!$D$4,$K37-$M37,0),0)</f>
        <v>8099.404228976557</v>
      </c>
      <c r="C37" s="178">
        <f t="shared" si="7"/>
        <v>-1531.8457710234434</v>
      </c>
      <c r="D37" s="178">
        <f t="shared" si="8"/>
        <v>405.2419262241485</v>
      </c>
      <c r="E37" s="178">
        <f>IFERROR(IF(H37&gt;'Calc Worksheet'!$D$5,IF(AND(K37&gt;M37,K37&lt;N37,H37&gt;'Calc Worksheet'!$D$5),J37,0),IF(AND(K37&gt;M37,K37&lt;N37,H37&lt;'Calc Worksheet'!$D$4),J37,0)),0)</f>
        <v>258</v>
      </c>
      <c r="F37" s="178">
        <f>IFERROR(IF(H37&gt;'Calc Worksheet'!$D$5,IF(AND(K37&lt;M37,H37&gt;'Calc Worksheet'!$D$5),J37,0),IF(AND(K37&lt;M37,H37&lt;'Calc Worksheet'!$D$4),J37,0)),0)</f>
        <v>0</v>
      </c>
      <c r="G37" s="178">
        <f t="shared" si="5"/>
        <v>258</v>
      </c>
      <c r="H37" s="178">
        <v>3</v>
      </c>
      <c r="I37" s="232">
        <f>IFERROR(VLOOKUP(H37,'Calc Worksheet'!$D$27:$T$35,2),0)</f>
        <v>2</v>
      </c>
      <c r="J37" s="178">
        <f t="shared" si="9"/>
        <v>258</v>
      </c>
      <c r="K37" s="232">
        <f>IF(H37&lt;'Calc Worksheet'!$D$4,MAX(_xlfn.FORECAST.LINEAR(H37,'Calc Worksheet'!$E$3:$E$4,'Calc Worksheet'!$D$3:$D$4),0),MAX(_xlfn.FORECAST.LINEAR(H37,'Calc Worksheet'!$E$5:$E$6,'Calc Worksheet'!$D$5:$D$6),0))</f>
        <v>19455.654228976557</v>
      </c>
      <c r="L37" s="178">
        <f t="shared" si="10"/>
        <v>5019558.791075951</v>
      </c>
      <c r="M37" s="232">
        <f>IFERROR(IF(ISNUMBER(MATCH(H37,'Calc Worksheet'!$D$29:$D$35,0)),VLOOKUP(H37,'Calc Worksheet'!$D$29:$V$35,3,FALSE),INDEX('Calc Worksheet'!$F$29:$F$35,MATCH(I37,'Calc Worksheet'!$E$29:$E$35,0))+(INDEX('Calc Worksheet'!$G$29:$G$35,MATCH(I37,'Calc Worksheet'!$E$29:$E$35,0))*(H37-(INDEX('Calc Worksheet'!$D$29:$D$35,MATCH(I37,'Calc Worksheet'!$E$29:$E$35,0)))))),0)</f>
        <v>11356.25</v>
      </c>
      <c r="N37" s="232">
        <f>IFERROR(IF(ISNUMBER(MATCH(H37,'Calc Worksheet'!$D$29:$D$35,0)),VLOOKUP(H37,'Calc Worksheet'!$D$29:$V$35,5,FALSE),INDEX('Calc Worksheet'!$H$29:$H$35,MATCH(I37,'Calc Worksheet'!$E$29:$E$35,0))+(INDEX('Calc Worksheet'!$I$29:$I$35,MATCH(I37,'Calc Worksheet'!$E$29:$E$35,0))*(H37-(INDEX('Calc Worksheet'!$D$29:$D$35,MATCH(I37,'Calc Worksheet'!$E$29:$E$35,0)))))),0)</f>
        <v>20987.5</v>
      </c>
      <c r="O37" s="232">
        <f>IFERROR(IF(ISNUMBER(MATCH($H37,'Calc Worksheet'!$D$29:$D$35,0)),VLOOKUP($H37,'Calc Worksheet'!$D$29:$V$35,7,FALSE),INDEX('Calc Worksheet'!J$29:J$35,MATCH($I37,'Calc Worksheet'!$E$29:$E$35,0))+(INDEX('Calc Worksheet'!K$29:K$35,MATCH($I37,'Calc Worksheet'!$E$29:$E$35,0))*($H37-(INDEX('Calc Worksheet'!$D$29:$D$35,MATCH($I37,'Calc Worksheet'!$E$29:$E$35,0)))))),0)</f>
        <v>20143.75</v>
      </c>
      <c r="P37" s="169">
        <f>IFERROR(IF(ISNUMBER(MATCH($H37,'Calc Worksheet'!$D$29:$D$35,0)),VLOOKUP($H37,'Calc Worksheet'!$D$29:$V$35,9,FALSE),INDEX('Calc Worksheet'!L$29:L$35,MATCH($I37,'Calc Worksheet'!$E$29:$E$35,0))+(INDEX('Calc Worksheet'!M$29:M$35,MATCH($I37,'Calc Worksheet'!$E$29:$E$35,0))*($H37-(INDEX('Calc Worksheet'!$D$29:$D$35,MATCH($I37,'Calc Worksheet'!$E$29:$E$35,0)))))),0)</f>
        <v>0.495625</v>
      </c>
      <c r="Q37" s="169">
        <f>IFERROR(IF(ISNUMBER(MATCH($H37,'Calc Worksheet'!$D$29:$D$35,0)),VLOOKUP($H37,'Calc Worksheet'!$D$29:$V$35,11,FALSE),INDEX('Calc Worksheet'!N$29:N$35,MATCH($I37,'Calc Worksheet'!$E$29:$E$35,0))+(INDEX('Calc Worksheet'!O$29:O$35,MATCH($I37,'Calc Worksheet'!$E$29:$E$35,0))*($H37-(INDEX('Calc Worksheet'!$D$29:$D$35,MATCH($I37,'Calc Worksheet'!$E$29:$E$35,0)))))),0)</f>
        <v>1.694375</v>
      </c>
      <c r="R37" s="169">
        <f>IFERROR(IF(ISNUMBER(MATCH($H37,'Calc Worksheet'!$D$29:$D$35,0)),VLOOKUP($H37,'Calc Worksheet'!$D$29:$V$35,13,FALSE),INDEX('Calc Worksheet'!P$29:P$35,MATCH($I37,'Calc Worksheet'!$E$29:$E$35,0))+(INDEX('Calc Worksheet'!Q$29:Q$35,MATCH($I37,'Calc Worksheet'!$E$29:$E$35,0))*($H37-(INDEX('Calc Worksheet'!$D$29:$D$35,MATCH($I37,'Calc Worksheet'!$E$29:$E$35,0)))))),0)</f>
        <v>1.76625</v>
      </c>
      <c r="S37" s="233">
        <f>IFERROR(IF(ISNUMBER(MATCH($H37,'Calc Worksheet'!$D$29:$D$35,0)),VLOOKUP($H37,'Calc Worksheet'!$D$29:$V$35,19,FALSE),INDEX('Calc Worksheet'!V$29:V$35,MATCH($I37,'Calc Worksheet'!$E$29:$E$35,0))+(INDEX('Calc Worksheet'!W$29:W$35,MATCH($I37,'Calc Worksheet'!$E$29:$E$35,0))*($H37-(INDEX('Calc Worksheet'!$D$29:$D$35,MATCH($I37,'Calc Worksheet'!$E$29:$E$35,0)))))),0)</f>
        <v>3.45625</v>
      </c>
      <c r="X37" s="234">
        <v>2022</v>
      </c>
      <c r="Y37" s="234">
        <v>1</v>
      </c>
      <c r="Z37" s="234">
        <v>2</v>
      </c>
      <c r="AA37" s="235">
        <v>0.4583333333321207</v>
      </c>
      <c r="AB37" s="236">
        <v>0</v>
      </c>
      <c r="AC37" s="127">
        <f t="shared" si="6"/>
        <v>0</v>
      </c>
    </row>
    <row r="38" ht="14.5" customHeight="1" spans="1:29" x14ac:dyDescent="0.25">
      <c r="A38">
        <v>37</v>
      </c>
      <c r="B38" s="178">
        <f>IFERROR(IF(H38&lt;'Calc Worksheet'!$D$4,$K38-$M38,0),0)</f>
        <v>7840.9646411925205</v>
      </c>
      <c r="C38" s="178">
        <f t="shared" si="7"/>
        <v>-3284.0353588074795</v>
      </c>
      <c r="D38" s="178">
        <f t="shared" si="8"/>
        <v>358.3238120355684</v>
      </c>
      <c r="E38" s="178">
        <f>IFERROR(IF(H38&gt;'Calc Worksheet'!$D$5,IF(AND(K38&gt;M38,K38&lt;N38,H38&gt;'Calc Worksheet'!$D$5),J38,0),IF(AND(K38&gt;M38,K38&lt;N38,H38&lt;'Calc Worksheet'!$D$4),J38,0)),0)</f>
        <v>248</v>
      </c>
      <c r="F38" s="178">
        <f>IFERROR(IF(H38&gt;'Calc Worksheet'!$D$5,IF(AND(K38&lt;M38,H38&gt;'Calc Worksheet'!$D$5),J38,0),IF(AND(K38&lt;M38,H38&lt;'Calc Worksheet'!$D$4),J38,0)),0)</f>
        <v>0</v>
      </c>
      <c r="G38" s="178">
        <f t="shared" si="5"/>
        <v>248</v>
      </c>
      <c r="H38" s="178">
        <v>4</v>
      </c>
      <c r="I38" s="232">
        <f>IFERROR(VLOOKUP(H38,'Calc Worksheet'!$D$27:$T$35,2),0)</f>
        <v>2</v>
      </c>
      <c r="J38" s="178">
        <f t="shared" si="9"/>
        <v>248</v>
      </c>
      <c r="K38" s="232">
        <f>IF(H38&lt;'Calc Worksheet'!$D$4,MAX(_xlfn.FORECAST.LINEAR(H38,'Calc Worksheet'!$E$3:$E$4,'Calc Worksheet'!$D$3:$D$4),0),MAX(_xlfn.FORECAST.LINEAR(H38,'Calc Worksheet'!$E$5:$E$6,'Calc Worksheet'!$D$5:$D$6),0))</f>
        <v>18065.96464119252</v>
      </c>
      <c r="L38" s="178">
        <f t="shared" si="10"/>
        <v>4480359.231015746</v>
      </c>
      <c r="M38" s="232">
        <f>IFERROR(IF(ISNUMBER(MATCH(H38,'Calc Worksheet'!$D$29:$D$35,0)),VLOOKUP(H38,'Calc Worksheet'!$D$29:$V$35,3,FALSE),INDEX('Calc Worksheet'!$F$29:$F$35,MATCH(I38,'Calc Worksheet'!$E$29:$E$35,0))+(INDEX('Calc Worksheet'!$G$29:$G$35,MATCH(I38,'Calc Worksheet'!$E$29:$E$35,0))*(H38-(INDEX('Calc Worksheet'!$D$29:$D$35,MATCH(I38,'Calc Worksheet'!$E$29:$E$35,0)))))),0)</f>
        <v>10225</v>
      </c>
      <c r="N38" s="232">
        <f>IFERROR(IF(ISNUMBER(MATCH(H38,'Calc Worksheet'!$D$29:$D$35,0)),VLOOKUP(H38,'Calc Worksheet'!$D$29:$V$35,5,FALSE),INDEX('Calc Worksheet'!$H$29:$H$35,MATCH(I38,'Calc Worksheet'!$E$29:$E$35,0))+(INDEX('Calc Worksheet'!$I$29:$I$35,MATCH(I38,'Calc Worksheet'!$E$29:$E$35,0))*(H38-(INDEX('Calc Worksheet'!$D$29:$D$35,MATCH(I38,'Calc Worksheet'!$E$29:$E$35,0)))))),0)</f>
        <v>21350</v>
      </c>
      <c r="O38" s="232">
        <f>IFERROR(IF(ISNUMBER(MATCH($H38,'Calc Worksheet'!$D$29:$D$35,0)),VLOOKUP($H38,'Calc Worksheet'!$D$29:$V$35,7,FALSE),INDEX('Calc Worksheet'!J$29:J$35,MATCH($I38,'Calc Worksheet'!$E$29:$E$35,0))+(INDEX('Calc Worksheet'!K$29:K$35,MATCH($I38,'Calc Worksheet'!$E$29:$E$35,0))*($H38-(INDEX('Calc Worksheet'!$D$29:$D$35,MATCH($I38,'Calc Worksheet'!$E$29:$E$35,0)))))),0)</f>
        <v>20675</v>
      </c>
      <c r="P38" s="169">
        <f>IFERROR(IF(ISNUMBER(MATCH($H38,'Calc Worksheet'!$D$29:$D$35,0)),VLOOKUP($H38,'Calc Worksheet'!$D$29:$V$35,9,FALSE),INDEX('Calc Worksheet'!L$29:L$35,MATCH($I38,'Calc Worksheet'!$E$29:$E$35,0))+(INDEX('Calc Worksheet'!M$29:M$35,MATCH($I38,'Calc Worksheet'!$E$29:$E$35,0))*($H38-(INDEX('Calc Worksheet'!$D$29:$D$35,MATCH($I38,'Calc Worksheet'!$E$29:$E$35,0)))))),0)</f>
        <v>0.47250000000000003</v>
      </c>
      <c r="Q38" s="169">
        <f>IFERROR(IF(ISNUMBER(MATCH($H38,'Calc Worksheet'!$D$29:$D$35,0)),VLOOKUP($H38,'Calc Worksheet'!$D$29:$V$35,11,FALSE),INDEX('Calc Worksheet'!N$29:N$35,MATCH($I38,'Calc Worksheet'!$E$29:$E$35,0))+(INDEX('Calc Worksheet'!O$29:O$35,MATCH($I38,'Calc Worksheet'!$E$29:$E$35,0))*($H38-(INDEX('Calc Worksheet'!$D$29:$D$35,MATCH($I38,'Calc Worksheet'!$E$29:$E$35,0)))))),0)</f>
        <v>1.7075</v>
      </c>
      <c r="R38" s="169">
        <f>IFERROR(IF(ISNUMBER(MATCH($H38,'Calc Worksheet'!$D$29:$D$35,0)),VLOOKUP($H38,'Calc Worksheet'!$D$29:$V$35,13,FALSE),INDEX('Calc Worksheet'!P$29:P$35,MATCH($I38,'Calc Worksheet'!$E$29:$E$35,0))+(INDEX('Calc Worksheet'!Q$29:Q$35,MATCH($I38,'Calc Worksheet'!$E$29:$E$35,0))*($H38-(INDEX('Calc Worksheet'!$D$29:$D$35,MATCH($I38,'Calc Worksheet'!$E$29:$E$35,0)))))),0)</f>
        <v>1.7650000000000001</v>
      </c>
      <c r="S38" s="233">
        <f>IFERROR(IF(ISNUMBER(MATCH($H38,'Calc Worksheet'!$D$29:$D$35,0)),VLOOKUP($H38,'Calc Worksheet'!$D$29:$V$35,19,FALSE),INDEX('Calc Worksheet'!V$29:V$35,MATCH($I38,'Calc Worksheet'!$E$29:$E$35,0))+(INDEX('Calc Worksheet'!W$29:W$35,MATCH($I38,'Calc Worksheet'!$E$29:$E$35,0))*($H38-(INDEX('Calc Worksheet'!$D$29:$D$35,MATCH($I38,'Calc Worksheet'!$E$29:$E$35,0)))))),0)</f>
        <v>3.525</v>
      </c>
      <c r="X38" s="234">
        <v>2022</v>
      </c>
      <c r="Y38" s="234">
        <v>1</v>
      </c>
      <c r="Z38" s="234">
        <v>2</v>
      </c>
      <c r="AA38" s="235">
        <v>0.5</v>
      </c>
      <c r="AB38" s="236">
        <v>-0.7</v>
      </c>
      <c r="AC38" s="127">
        <f t="shared" si="6"/>
        <v>-1</v>
      </c>
    </row>
    <row r="39" ht="14.5" customHeight="1" spans="1:29" x14ac:dyDescent="0.25">
      <c r="A39">
        <v>38</v>
      </c>
      <c r="B39" s="178">
        <f>IFERROR(IF(H39&lt;'Calc Worksheet'!$D$4,$K39-$M39,0),0)</f>
        <v>7582.525053408477</v>
      </c>
      <c r="C39" s="178">
        <f t="shared" si="7"/>
        <v>-5036.224946591523</v>
      </c>
      <c r="D39" s="178">
        <f t="shared" si="8"/>
        <v>359.45485263077495</v>
      </c>
      <c r="E39" s="178">
        <f>IFERROR(IF(H39&gt;'Calc Worksheet'!$D$5,IF(AND(K39&gt;M39,K39&lt;N39,H39&gt;'Calc Worksheet'!$D$5),J39,0),IF(AND(K39&gt;M39,K39&lt;N39,H39&lt;'Calc Worksheet'!$D$4),J39,0)),0)</f>
        <v>272</v>
      </c>
      <c r="F39" s="178">
        <f>IFERROR(IF(H39&gt;'Calc Worksheet'!$D$5,IF(AND(K39&lt;M39,H39&gt;'Calc Worksheet'!$D$5),J39,0),IF(AND(K39&lt;M39,H39&lt;'Calc Worksheet'!$D$4),J39,0)),0)</f>
        <v>0</v>
      </c>
      <c r="G39" s="178">
        <f t="shared" si="5"/>
        <v>272</v>
      </c>
      <c r="H39" s="178">
        <v>5</v>
      </c>
      <c r="I39" s="232">
        <f>IFERROR(VLOOKUP(H39,'Calc Worksheet'!$D$27:$T$35,2),0)</f>
        <v>2</v>
      </c>
      <c r="J39" s="178">
        <f t="shared" si="9"/>
        <v>272</v>
      </c>
      <c r="K39" s="232">
        <f>IF(H39&lt;'Calc Worksheet'!$D$4,MAX(_xlfn.FORECAST.LINEAR(H39,'Calc Worksheet'!$E$3:$E$4,'Calc Worksheet'!$D$3:$D$4),0),MAX(_xlfn.FORECAST.LINEAR(H39,'Calc Worksheet'!$E$5:$E$6,'Calc Worksheet'!$D$5:$D$6),0))</f>
        <v>16676.275053408477</v>
      </c>
      <c r="L39" s="178">
        <f t="shared" si="10"/>
        <v>4535946.814527106</v>
      </c>
      <c r="M39" s="232">
        <f>IFERROR(IF(ISNUMBER(MATCH(H39,'Calc Worksheet'!$D$29:$D$35,0)),VLOOKUP(H39,'Calc Worksheet'!$D$29:$V$35,3,FALSE),INDEX('Calc Worksheet'!$F$29:$F$35,MATCH(I39,'Calc Worksheet'!$E$29:$E$35,0))+(INDEX('Calc Worksheet'!$G$29:$G$35,MATCH(I39,'Calc Worksheet'!$E$29:$E$35,0))*(H39-(INDEX('Calc Worksheet'!$D$29:$D$35,MATCH(I39,'Calc Worksheet'!$E$29:$E$35,0)))))),0)</f>
        <v>9093.75</v>
      </c>
      <c r="N39" s="232">
        <f>IFERROR(IF(ISNUMBER(MATCH(H39,'Calc Worksheet'!$D$29:$D$35,0)),VLOOKUP(H39,'Calc Worksheet'!$D$29:$V$35,5,FALSE),INDEX('Calc Worksheet'!$H$29:$H$35,MATCH(I39,'Calc Worksheet'!$E$29:$E$35,0))+(INDEX('Calc Worksheet'!$I$29:$I$35,MATCH(I39,'Calc Worksheet'!$E$29:$E$35,0))*(H39-(INDEX('Calc Worksheet'!$D$29:$D$35,MATCH(I39,'Calc Worksheet'!$E$29:$E$35,0)))))),0)</f>
        <v>21712.5</v>
      </c>
      <c r="O39" s="232">
        <f>IFERROR(IF(ISNUMBER(MATCH($H39,'Calc Worksheet'!$D$29:$D$35,0)),VLOOKUP($H39,'Calc Worksheet'!$D$29:$V$35,7,FALSE),INDEX('Calc Worksheet'!J$29:J$35,MATCH($I39,'Calc Worksheet'!$E$29:$E$35,0))+(INDEX('Calc Worksheet'!K$29:K$35,MATCH($I39,'Calc Worksheet'!$E$29:$E$35,0))*($H39-(INDEX('Calc Worksheet'!$D$29:$D$35,MATCH($I39,'Calc Worksheet'!$E$29:$E$35,0)))))),0)</f>
        <v>21206.25</v>
      </c>
      <c r="P39" s="169">
        <f>IFERROR(IF(ISNUMBER(MATCH($H39,'Calc Worksheet'!$D$29:$D$35,0)),VLOOKUP($H39,'Calc Worksheet'!$D$29:$V$35,9,FALSE),INDEX('Calc Worksheet'!L$29:L$35,MATCH($I39,'Calc Worksheet'!$E$29:$E$35,0))+(INDEX('Calc Worksheet'!M$29:M$35,MATCH($I39,'Calc Worksheet'!$E$29:$E$35,0))*($H39-(INDEX('Calc Worksheet'!$D$29:$D$35,MATCH($I39,'Calc Worksheet'!$E$29:$E$35,0)))))),0)</f>
        <v>0.449375</v>
      </c>
      <c r="Q39" s="169">
        <f>IFERROR(IF(ISNUMBER(MATCH($H39,'Calc Worksheet'!$D$29:$D$35,0)),VLOOKUP($H39,'Calc Worksheet'!$D$29:$V$35,11,FALSE),INDEX('Calc Worksheet'!N$29:N$35,MATCH($I39,'Calc Worksheet'!$E$29:$E$35,0))+(INDEX('Calc Worksheet'!O$29:O$35,MATCH($I39,'Calc Worksheet'!$E$29:$E$35,0))*($H39-(INDEX('Calc Worksheet'!$D$29:$D$35,MATCH($I39,'Calc Worksheet'!$E$29:$E$35,0)))))),0)</f>
        <v>1.720625</v>
      </c>
      <c r="R39" s="169">
        <f>IFERROR(IF(ISNUMBER(MATCH($H39,'Calc Worksheet'!$D$29:$D$35,0)),VLOOKUP($H39,'Calc Worksheet'!$D$29:$V$35,13,FALSE),INDEX('Calc Worksheet'!P$29:P$35,MATCH($I39,'Calc Worksheet'!$E$29:$E$35,0))+(INDEX('Calc Worksheet'!Q$29:Q$35,MATCH($I39,'Calc Worksheet'!$E$29:$E$35,0))*($H39-(INDEX('Calc Worksheet'!$D$29:$D$35,MATCH($I39,'Calc Worksheet'!$E$29:$E$35,0)))))),0)</f>
        <v>1.76375</v>
      </c>
      <c r="S39" s="233">
        <f>IFERROR(IF(ISNUMBER(MATCH($H39,'Calc Worksheet'!$D$29:$D$35,0)),VLOOKUP($H39,'Calc Worksheet'!$D$29:$V$35,19,FALSE),INDEX('Calc Worksheet'!V$29:V$35,MATCH($I39,'Calc Worksheet'!$E$29:$E$35,0))+(INDEX('Calc Worksheet'!W$29:W$35,MATCH($I39,'Calc Worksheet'!$E$29:$E$35,0))*($H39-(INDEX('Calc Worksheet'!$D$29:$D$35,MATCH($I39,'Calc Worksheet'!$E$29:$E$35,0)))))),0)</f>
        <v>3.59375</v>
      </c>
      <c r="X39" s="234">
        <v>2022</v>
      </c>
      <c r="Y39" s="234">
        <v>1</v>
      </c>
      <c r="Z39" s="234">
        <v>2</v>
      </c>
      <c r="AA39" s="235">
        <v>0.5416666666678793</v>
      </c>
      <c r="AB39" s="236">
        <v>0.7</v>
      </c>
      <c r="AC39" s="127">
        <f t="shared" si="6"/>
        <v>1</v>
      </c>
    </row>
    <row r="40" ht="14.5" customHeight="1" spans="1:29" x14ac:dyDescent="0.25">
      <c r="A40">
        <v>39</v>
      </c>
      <c r="B40" s="178">
        <f>IFERROR(IF(H40&lt;'Calc Worksheet'!$D$4,$K40-$M40,0),0)</f>
        <v>7324.085465624437</v>
      </c>
      <c r="C40" s="178">
        <f t="shared" si="7"/>
        <v>-6788.414534375563</v>
      </c>
      <c r="D40" s="178">
        <f t="shared" si="8"/>
        <v>276.13667210582406</v>
      </c>
      <c r="E40" s="178">
        <f>IFERROR(IF(H40&gt;'Calc Worksheet'!$D$5,IF(AND(K40&gt;M40,K40&lt;N40,H40&gt;'Calc Worksheet'!$D$5),J40,0),IF(AND(K40&gt;M40,K40&lt;N40,H40&lt;'Calc Worksheet'!$D$4),J40,0)),0)</f>
        <v>230</v>
      </c>
      <c r="F40" s="178">
        <f>IFERROR(IF(H40&gt;'Calc Worksheet'!$D$5,IF(AND(K40&lt;M40,H40&gt;'Calc Worksheet'!$D$5),J40,0),IF(AND(K40&lt;M40,H40&lt;'Calc Worksheet'!$D$4),J40,0)),0)</f>
        <v>0</v>
      </c>
      <c r="G40" s="178">
        <f t="shared" si="5"/>
        <v>230</v>
      </c>
      <c r="H40" s="178">
        <v>6</v>
      </c>
      <c r="I40" s="232">
        <f>IFERROR(VLOOKUP(H40,'Calc Worksheet'!$D$27:$T$35,2),0)</f>
        <v>2</v>
      </c>
      <c r="J40" s="178">
        <f t="shared" si="9"/>
        <v>230</v>
      </c>
      <c r="K40" s="232">
        <f>IF(H40&lt;'Calc Worksheet'!$D$4,MAX(_xlfn.FORECAST.LINEAR(H40,'Calc Worksheet'!$E$3:$E$4,'Calc Worksheet'!$D$3:$D$4),0),MAX(_xlfn.FORECAST.LINEAR(H40,'Calc Worksheet'!$E$5:$E$6,'Calc Worksheet'!$D$5:$D$6),0))</f>
        <v>15286.585465624437</v>
      </c>
      <c r="L40" s="178">
        <f t="shared" si="10"/>
        <v>3515914.6570936204</v>
      </c>
      <c r="M40" s="232">
        <f>IFERROR(IF(ISNUMBER(MATCH(H40,'Calc Worksheet'!$D$29:$D$35,0)),VLOOKUP(H40,'Calc Worksheet'!$D$29:$V$35,3,FALSE),INDEX('Calc Worksheet'!$F$29:$F$35,MATCH(I40,'Calc Worksheet'!$E$29:$E$35,0))+(INDEX('Calc Worksheet'!$G$29:$G$35,MATCH(I40,'Calc Worksheet'!$E$29:$E$35,0))*(H40-(INDEX('Calc Worksheet'!$D$29:$D$35,MATCH(I40,'Calc Worksheet'!$E$29:$E$35,0)))))),0)</f>
        <v>7962.5</v>
      </c>
      <c r="N40" s="232">
        <f>IFERROR(IF(ISNUMBER(MATCH(H40,'Calc Worksheet'!$D$29:$D$35,0)),VLOOKUP(H40,'Calc Worksheet'!$D$29:$V$35,5,FALSE),INDEX('Calc Worksheet'!$H$29:$H$35,MATCH(I40,'Calc Worksheet'!$E$29:$E$35,0))+(INDEX('Calc Worksheet'!$I$29:$I$35,MATCH(I40,'Calc Worksheet'!$E$29:$E$35,0))*(H40-(INDEX('Calc Worksheet'!$D$29:$D$35,MATCH(I40,'Calc Worksheet'!$E$29:$E$35,0)))))),0)</f>
        <v>22075</v>
      </c>
      <c r="O40" s="232">
        <f>IFERROR(IF(ISNUMBER(MATCH($H40,'Calc Worksheet'!$D$29:$D$35,0)),VLOOKUP($H40,'Calc Worksheet'!$D$29:$V$35,7,FALSE),INDEX('Calc Worksheet'!J$29:J$35,MATCH($I40,'Calc Worksheet'!$E$29:$E$35,0))+(INDEX('Calc Worksheet'!K$29:K$35,MATCH($I40,'Calc Worksheet'!$E$29:$E$35,0))*($H40-(INDEX('Calc Worksheet'!$D$29:$D$35,MATCH($I40,'Calc Worksheet'!$E$29:$E$35,0)))))),0)</f>
        <v>21737.5</v>
      </c>
      <c r="P40" s="169">
        <f>IFERROR(IF(ISNUMBER(MATCH($H40,'Calc Worksheet'!$D$29:$D$35,0)),VLOOKUP($H40,'Calc Worksheet'!$D$29:$V$35,9,FALSE),INDEX('Calc Worksheet'!L$29:L$35,MATCH($I40,'Calc Worksheet'!$E$29:$E$35,0))+(INDEX('Calc Worksheet'!M$29:M$35,MATCH($I40,'Calc Worksheet'!$E$29:$E$35,0))*($H40-(INDEX('Calc Worksheet'!$D$29:$D$35,MATCH($I40,'Calc Worksheet'!$E$29:$E$35,0)))))),0)</f>
        <v>0.42625</v>
      </c>
      <c r="Q40" s="169">
        <f>IFERROR(IF(ISNUMBER(MATCH($H40,'Calc Worksheet'!$D$29:$D$35,0)),VLOOKUP($H40,'Calc Worksheet'!$D$29:$V$35,11,FALSE),INDEX('Calc Worksheet'!N$29:N$35,MATCH($I40,'Calc Worksheet'!$E$29:$E$35,0))+(INDEX('Calc Worksheet'!O$29:O$35,MATCH($I40,'Calc Worksheet'!$E$29:$E$35,0))*($H40-(INDEX('Calc Worksheet'!$D$29:$D$35,MATCH($I40,'Calc Worksheet'!$E$29:$E$35,0)))))),0)</f>
        <v>1.7337500000000001</v>
      </c>
      <c r="R40" s="169">
        <f>IFERROR(IF(ISNUMBER(MATCH($H40,'Calc Worksheet'!$D$29:$D$35,0)),VLOOKUP($H40,'Calc Worksheet'!$D$29:$V$35,13,FALSE),INDEX('Calc Worksheet'!P$29:P$35,MATCH($I40,'Calc Worksheet'!$E$29:$E$35,0))+(INDEX('Calc Worksheet'!Q$29:Q$35,MATCH($I40,'Calc Worksheet'!$E$29:$E$35,0))*($H40-(INDEX('Calc Worksheet'!$D$29:$D$35,MATCH($I40,'Calc Worksheet'!$E$29:$E$35,0)))))),0)</f>
        <v>1.7625</v>
      </c>
      <c r="S40" s="233">
        <f>IFERROR(IF(ISNUMBER(MATCH($H40,'Calc Worksheet'!$D$29:$D$35,0)),VLOOKUP($H40,'Calc Worksheet'!$D$29:$V$35,19,FALSE),INDEX('Calc Worksheet'!V$29:V$35,MATCH($I40,'Calc Worksheet'!$E$29:$E$35,0))+(INDEX('Calc Worksheet'!W$29:W$35,MATCH($I40,'Calc Worksheet'!$E$29:$E$35,0))*($H40-(INDEX('Calc Worksheet'!$D$29:$D$35,MATCH($I40,'Calc Worksheet'!$E$29:$E$35,0)))))),0)</f>
        <v>3.6624999999999996</v>
      </c>
      <c r="X40" s="234">
        <v>2022</v>
      </c>
      <c r="Y40" s="234">
        <v>1</v>
      </c>
      <c r="Z40" s="234">
        <v>2</v>
      </c>
      <c r="AA40" s="235">
        <v>0.5833333333321207</v>
      </c>
      <c r="AB40" s="236">
        <v>-0.6</v>
      </c>
      <c r="AC40" s="127">
        <f t="shared" si="6"/>
        <v>-1</v>
      </c>
    </row>
    <row r="41" ht="14.5" customHeight="1" spans="1:29" x14ac:dyDescent="0.25">
      <c r="A41">
        <v>40</v>
      </c>
      <c r="B41" s="178">
        <f>IFERROR(IF(H41&lt;'Calc Worksheet'!$D$4,$K41-$M41,0),0)</f>
        <v>7065.645877840398</v>
      </c>
      <c r="C41" s="178">
        <f t="shared" si="7"/>
        <v>-8540.604122159602</v>
      </c>
      <c r="D41" s="178">
        <f t="shared" si="8"/>
        <v>308.35431292174695</v>
      </c>
      <c r="E41" s="178">
        <f>IFERROR(IF(H41&gt;'Calc Worksheet'!$D$5,IF(AND(K41&gt;M41,K41&lt;N41,H41&gt;'Calc Worksheet'!$D$5),J41,0),IF(AND(K41&gt;M41,K41&lt;N41,H41&lt;'Calc Worksheet'!$D$4),J41,0)),0)</f>
        <v>285</v>
      </c>
      <c r="F41" s="178">
        <f>IFERROR(IF(H41&gt;'Calc Worksheet'!$D$5,IF(AND(K41&lt;M41,H41&gt;'Calc Worksheet'!$D$5),J41,0),IF(AND(K41&lt;M41,H41&lt;'Calc Worksheet'!$D$4),J41,0)),0)</f>
        <v>0</v>
      </c>
      <c r="G41" s="178">
        <f t="shared" si="5"/>
        <v>285</v>
      </c>
      <c r="H41" s="178">
        <v>7</v>
      </c>
      <c r="I41" s="232">
        <f>IFERROR(VLOOKUP(H41,'Calc Worksheet'!$D$27:$T$35,2),0)</f>
        <v>2</v>
      </c>
      <c r="J41" s="178">
        <f t="shared" si="9"/>
        <v>285</v>
      </c>
      <c r="K41" s="232">
        <f>IF(H41&lt;'Calc Worksheet'!$D$4,MAX(_xlfn.FORECAST.LINEAR(H41,'Calc Worksheet'!$E$3:$E$4,'Calc Worksheet'!$D$3:$D$4),0),MAX(_xlfn.FORECAST.LINEAR(H41,'Calc Worksheet'!$E$5:$E$6,'Calc Worksheet'!$D$5:$D$6),0))</f>
        <v>13896.895877840398</v>
      </c>
      <c r="L41" s="178">
        <f t="shared" si="10"/>
        <v>3960615.3251845133</v>
      </c>
      <c r="M41" s="232">
        <f>IFERROR(IF(ISNUMBER(MATCH(H41,'Calc Worksheet'!$D$29:$D$35,0)),VLOOKUP(H41,'Calc Worksheet'!$D$29:$V$35,3,FALSE),INDEX('Calc Worksheet'!$F$29:$F$35,MATCH(I41,'Calc Worksheet'!$E$29:$E$35,0))+(INDEX('Calc Worksheet'!$G$29:$G$35,MATCH(I41,'Calc Worksheet'!$E$29:$E$35,0))*(H41-(INDEX('Calc Worksheet'!$D$29:$D$35,MATCH(I41,'Calc Worksheet'!$E$29:$E$35,0)))))),0)</f>
        <v>6831.25</v>
      </c>
      <c r="N41" s="232">
        <f>IFERROR(IF(ISNUMBER(MATCH(H41,'Calc Worksheet'!$D$29:$D$35,0)),VLOOKUP(H41,'Calc Worksheet'!$D$29:$V$35,5,FALSE),INDEX('Calc Worksheet'!$H$29:$H$35,MATCH(I41,'Calc Worksheet'!$E$29:$E$35,0))+(INDEX('Calc Worksheet'!$I$29:$I$35,MATCH(I41,'Calc Worksheet'!$E$29:$E$35,0))*(H41-(INDEX('Calc Worksheet'!$D$29:$D$35,MATCH(I41,'Calc Worksheet'!$E$29:$E$35,0)))))),0)</f>
        <v>22437.5</v>
      </c>
      <c r="O41" s="232">
        <f>IFERROR(IF(ISNUMBER(MATCH($H41,'Calc Worksheet'!$D$29:$D$35,0)),VLOOKUP($H41,'Calc Worksheet'!$D$29:$V$35,7,FALSE),INDEX('Calc Worksheet'!J$29:J$35,MATCH($I41,'Calc Worksheet'!$E$29:$E$35,0))+(INDEX('Calc Worksheet'!K$29:K$35,MATCH($I41,'Calc Worksheet'!$E$29:$E$35,0))*($H41-(INDEX('Calc Worksheet'!$D$29:$D$35,MATCH($I41,'Calc Worksheet'!$E$29:$E$35,0)))))),0)</f>
        <v>22268.75</v>
      </c>
      <c r="P41" s="169">
        <f>IFERROR(IF(ISNUMBER(MATCH($H41,'Calc Worksheet'!$D$29:$D$35,0)),VLOOKUP($H41,'Calc Worksheet'!$D$29:$V$35,9,FALSE),INDEX('Calc Worksheet'!L$29:L$35,MATCH($I41,'Calc Worksheet'!$E$29:$E$35,0))+(INDEX('Calc Worksheet'!M$29:M$35,MATCH($I41,'Calc Worksheet'!$E$29:$E$35,0))*($H41-(INDEX('Calc Worksheet'!$D$29:$D$35,MATCH($I41,'Calc Worksheet'!$E$29:$E$35,0)))))),0)</f>
        <v>0.403125</v>
      </c>
      <c r="Q41" s="169">
        <f>IFERROR(IF(ISNUMBER(MATCH($H41,'Calc Worksheet'!$D$29:$D$35,0)),VLOOKUP($H41,'Calc Worksheet'!$D$29:$V$35,11,FALSE),INDEX('Calc Worksheet'!N$29:N$35,MATCH($I41,'Calc Worksheet'!$E$29:$E$35,0))+(INDEX('Calc Worksheet'!O$29:O$35,MATCH($I41,'Calc Worksheet'!$E$29:$E$35,0))*($H41-(INDEX('Calc Worksheet'!$D$29:$D$35,MATCH($I41,'Calc Worksheet'!$E$29:$E$35,0)))))),0)</f>
        <v>1.746875</v>
      </c>
      <c r="R41" s="169">
        <f>IFERROR(IF(ISNUMBER(MATCH($H41,'Calc Worksheet'!$D$29:$D$35,0)),VLOOKUP($H41,'Calc Worksheet'!$D$29:$V$35,13,FALSE),INDEX('Calc Worksheet'!P$29:P$35,MATCH($I41,'Calc Worksheet'!$E$29:$E$35,0))+(INDEX('Calc Worksheet'!Q$29:Q$35,MATCH($I41,'Calc Worksheet'!$E$29:$E$35,0))*($H41-(INDEX('Calc Worksheet'!$D$29:$D$35,MATCH($I41,'Calc Worksheet'!$E$29:$E$35,0)))))),0)</f>
        <v>1.76125</v>
      </c>
      <c r="S41" s="233">
        <f>IFERROR(IF(ISNUMBER(MATCH($H41,'Calc Worksheet'!$D$29:$D$35,0)),VLOOKUP($H41,'Calc Worksheet'!$D$29:$V$35,19,FALSE),INDEX('Calc Worksheet'!V$29:V$35,MATCH($I41,'Calc Worksheet'!$E$29:$E$35,0))+(INDEX('Calc Worksheet'!W$29:W$35,MATCH($I41,'Calc Worksheet'!$E$29:$E$35,0))*($H41-(INDEX('Calc Worksheet'!$D$29:$D$35,MATCH($I41,'Calc Worksheet'!$E$29:$E$35,0)))))),0)</f>
        <v>3.7312499999999997</v>
      </c>
      <c r="X41" s="234">
        <v>2022</v>
      </c>
      <c r="Y41" s="234">
        <v>1</v>
      </c>
      <c r="Z41" s="234">
        <v>2</v>
      </c>
      <c r="AA41" s="235">
        <v>0.625</v>
      </c>
      <c r="AB41" s="236">
        <v>-1.1</v>
      </c>
      <c r="AC41" s="127">
        <f t="shared" si="6"/>
        <v>-1</v>
      </c>
    </row>
    <row r="42" ht="14.5" customHeight="1" spans="1:29" x14ac:dyDescent="0.25">
      <c r="A42">
        <v>41</v>
      </c>
      <c r="B42" s="178">
        <f>IFERROR(IF(H42&lt;'Calc Worksheet'!$D$4,$K42-$M42,0),0)</f>
        <v>6807.206290056358</v>
      </c>
      <c r="C42" s="178">
        <f t="shared" si="7"/>
        <v>-10292.793709943642</v>
      </c>
      <c r="D42" s="178">
        <f t="shared" si="8"/>
        <v>267.4347899354506</v>
      </c>
      <c r="E42" s="178">
        <f>IFERROR(IF(H42&gt;'Calc Worksheet'!$D$5,IF(AND(K42&gt;M42,K42&lt;N42,H42&gt;'Calc Worksheet'!$D$5),J42,0),IF(AND(K42&gt;M42,K42&lt;N42,H42&lt;'Calc Worksheet'!$D$4),J42,0)),0)</f>
        <v>277</v>
      </c>
      <c r="F42" s="178">
        <f>IFERROR(IF(H42&gt;'Calc Worksheet'!$D$5,IF(AND(K42&lt;M42,H42&gt;'Calc Worksheet'!$D$5),J42,0),IF(AND(K42&lt;M42,H42&lt;'Calc Worksheet'!$D$4),J42,0)),0)</f>
        <v>0</v>
      </c>
      <c r="G42" s="178">
        <f t="shared" si="5"/>
        <v>277</v>
      </c>
      <c r="H42" s="178">
        <v>8</v>
      </c>
      <c r="I42" s="232">
        <f>IFERROR(VLOOKUP(H42,'Calc Worksheet'!$D$27:$T$35,2),0)</f>
        <v>3</v>
      </c>
      <c r="J42" s="232">
        <f t="shared" si="9"/>
        <v>277</v>
      </c>
      <c r="K42" s="232">
        <f>IF(H42&lt;'Calc Worksheet'!$D$4,MAX(_xlfn.FORECAST.LINEAR(H42,'Calc Worksheet'!$E$3:$E$4,'Calc Worksheet'!$D$3:$D$4),0),MAX(_xlfn.FORECAST.LINEAR(H42,'Calc Worksheet'!$E$5:$E$6,'Calc Worksheet'!$D$5:$D$6),0))</f>
        <v>12507.206290056358</v>
      </c>
      <c r="L42" s="178">
        <f t="shared" si="10"/>
        <v>3464496.142345611</v>
      </c>
      <c r="M42" s="232">
        <f>IFERROR(IF(ISNUMBER(MATCH(H42,'Calc Worksheet'!$D$29:$D$35,0)),VLOOKUP(H42,'Calc Worksheet'!$D$29:$V$35,3,FALSE),INDEX('Calc Worksheet'!$F$29:$F$35,MATCH(I42,'Calc Worksheet'!$E$29:$E$35,0))+(INDEX('Calc Worksheet'!$G$29:$G$35,MATCH(I42,'Calc Worksheet'!$E$29:$E$35,0))*(H42-(INDEX('Calc Worksheet'!$D$29:$D$35,MATCH(I42,'Calc Worksheet'!$E$29:$E$35,0)))))),0)</f>
        <v>5700</v>
      </c>
      <c r="N42" s="232">
        <f>IFERROR(IF(ISNUMBER(MATCH(H42,'Calc Worksheet'!$D$29:$D$35,0)),VLOOKUP(H42,'Calc Worksheet'!$D$29:$V$35,5,FALSE),INDEX('Calc Worksheet'!$H$29:$H$35,MATCH(I42,'Calc Worksheet'!$E$29:$E$35,0))+(INDEX('Calc Worksheet'!$I$29:$I$35,MATCH(I42,'Calc Worksheet'!$E$29:$E$35,0))*(H42-(INDEX('Calc Worksheet'!$D$29:$D$35,MATCH(I42,'Calc Worksheet'!$E$29:$E$35,0)))))),0)</f>
        <v>22800</v>
      </c>
      <c r="O42" s="232">
        <f>IFERROR(IF(ISNUMBER(MATCH($H42,'Calc Worksheet'!$D$29:$D$35,0)),VLOOKUP($H42,'Calc Worksheet'!$D$29:$V$35,7,FALSE),INDEX('Calc Worksheet'!J$29:J$35,MATCH($I42,'Calc Worksheet'!$E$29:$E$35,0))+(INDEX('Calc Worksheet'!K$29:K$35,MATCH($I42,'Calc Worksheet'!$E$29:$E$35,0))*($H42-(INDEX('Calc Worksheet'!$D$29:$D$35,MATCH($I42,'Calc Worksheet'!$E$29:$E$35,0)))))),0)</f>
        <v>22800</v>
      </c>
      <c r="P42" s="169">
        <f>IFERROR(IF(ISNUMBER(MATCH($H42,'Calc Worksheet'!$D$29:$D$35,0)),VLOOKUP($H42,'Calc Worksheet'!$D$29:$V$35,9,FALSE),INDEX('Calc Worksheet'!L$29:L$35,MATCH($I42,'Calc Worksheet'!$E$29:$E$35,0))+(INDEX('Calc Worksheet'!M$29:M$35,MATCH($I42,'Calc Worksheet'!$E$29:$E$35,0))*($H42-(INDEX('Calc Worksheet'!$D$29:$D$35,MATCH($I42,'Calc Worksheet'!$E$29:$E$35,0)))))),0)</f>
        <v>0.38</v>
      </c>
      <c r="Q42" s="169">
        <f>IFERROR(IF(ISNUMBER(MATCH($H42,'Calc Worksheet'!$D$29:$D$35,0)),VLOOKUP($H42,'Calc Worksheet'!$D$29:$V$35,11,FALSE),INDEX('Calc Worksheet'!N$29:N$35,MATCH($I42,'Calc Worksheet'!$E$29:$E$35,0))+(INDEX('Calc Worksheet'!O$29:O$35,MATCH($I42,'Calc Worksheet'!$E$29:$E$35,0))*($H42-(INDEX('Calc Worksheet'!$D$29:$D$35,MATCH($I42,'Calc Worksheet'!$E$29:$E$35,0)))))),0)</f>
        <v>1.76</v>
      </c>
      <c r="R42" s="169">
        <f>IFERROR(IF(ISNUMBER(MATCH($H42,'Calc Worksheet'!$D$29:$D$35,0)),VLOOKUP($H42,'Calc Worksheet'!$D$29:$V$35,13,FALSE),INDEX('Calc Worksheet'!P$29:P$35,MATCH($I42,'Calc Worksheet'!$E$29:$E$35,0))+(INDEX('Calc Worksheet'!Q$29:Q$35,MATCH($I42,'Calc Worksheet'!$E$29:$E$35,0))*($H42-(INDEX('Calc Worksheet'!$D$29:$D$35,MATCH($I42,'Calc Worksheet'!$E$29:$E$35,0)))))),0)</f>
        <v>1.76</v>
      </c>
      <c r="S42" s="233">
        <f>IFERROR(IF(ISNUMBER(MATCH($H42,'Calc Worksheet'!$D$29:$D$35,0)),VLOOKUP($H42,'Calc Worksheet'!$D$29:$V$35,19,FALSE),INDEX('Calc Worksheet'!V$29:V$35,MATCH($I42,'Calc Worksheet'!$E$29:$E$35,0))+(INDEX('Calc Worksheet'!W$29:W$35,MATCH($I42,'Calc Worksheet'!$E$29:$E$35,0))*($H42-(INDEX('Calc Worksheet'!$D$29:$D$35,MATCH($I42,'Calc Worksheet'!$E$29:$E$35,0)))))),0)</f>
        <v>3.8</v>
      </c>
      <c r="X42" s="234">
        <v>2022</v>
      </c>
      <c r="Y42" s="234">
        <v>1</v>
      </c>
      <c r="Z42" s="234">
        <v>2</v>
      </c>
      <c r="AA42" s="235">
        <v>0.6666666666678793</v>
      </c>
      <c r="AB42" s="236">
        <v>-1.9</v>
      </c>
      <c r="AC42" s="127">
        <f t="shared" si="6"/>
        <v>-2</v>
      </c>
    </row>
    <row r="43" ht="14.5" customHeight="1" spans="1:29" x14ac:dyDescent="0.25">
      <c r="A43">
        <v>42</v>
      </c>
      <c r="B43" s="178">
        <f>IFERROR(IF(H43&lt;'Calc Worksheet'!$D$4,$K43-$M43,0),0)</f>
        <v>5217.516702272318</v>
      </c>
      <c r="C43" s="178">
        <f t="shared" si="7"/>
        <v>-11815.816631061014</v>
      </c>
      <c r="D43" s="178">
        <f t="shared" si="8"/>
        <v>235.0385231655397</v>
      </c>
      <c r="E43" s="178">
        <f>IFERROR(IF(H43&gt;'Calc Worksheet'!$D$5,IF(AND(K43&gt;M43,K43&lt;N43,H43&gt;'Calc Worksheet'!$D$5),J43,0),IF(AND(K43&gt;M43,K43&lt;N43,H43&lt;'Calc Worksheet'!$D$4),J43,0)),0)</f>
        <v>276</v>
      </c>
      <c r="F43" s="178">
        <f>IFERROR(IF(H43&gt;'Calc Worksheet'!$D$5,IF(AND(K43&lt;M43,H43&gt;'Calc Worksheet'!$D$5),J43,0),IF(AND(K43&lt;M43,H43&lt;'Calc Worksheet'!$D$4),J43,0)),0)</f>
        <v>0</v>
      </c>
      <c r="G43" s="178">
        <f t="shared" si="5"/>
        <v>276</v>
      </c>
      <c r="H43" s="178">
        <v>9</v>
      </c>
      <c r="I43" s="232">
        <f>IFERROR(VLOOKUP(H43,'Calc Worksheet'!$D$27:$T$35,2),0)</f>
        <v>3</v>
      </c>
      <c r="J43" s="178">
        <f t="shared" si="9"/>
        <v>276</v>
      </c>
      <c r="K43" s="232">
        <f>IF(H43&lt;'Calc Worksheet'!$D$4,MAX(_xlfn.FORECAST.LINEAR(H43,'Calc Worksheet'!$E$3:$E$4,'Calc Worksheet'!$D$3:$D$4),0),MAX(_xlfn.FORECAST.LINEAR(H43,'Calc Worksheet'!$E$5:$E$6,'Calc Worksheet'!$D$5:$D$6),0))</f>
        <v>11117.516702272318</v>
      </c>
      <c r="L43" s="178">
        <f t="shared" si="10"/>
        <v>3068434.60982716</v>
      </c>
      <c r="M43" s="232">
        <f>IFERROR(IF(ISNUMBER(MATCH(H43,'Calc Worksheet'!$D$29:$D$35,0)),VLOOKUP(H43,'Calc Worksheet'!$D$29:$V$35,3,FALSE),INDEX('Calc Worksheet'!$F$29:$F$35,MATCH(I43,'Calc Worksheet'!$E$29:$E$35,0))+(INDEX('Calc Worksheet'!$G$29:$G$35,MATCH(I43,'Calc Worksheet'!$E$29:$E$35,0))*(H43-(INDEX('Calc Worksheet'!$D$29:$D$35,MATCH(I43,'Calc Worksheet'!$E$29:$E$35,0)))))),0)</f>
        <v>5900</v>
      </c>
      <c r="N43" s="232">
        <f>IFERROR(IF(ISNUMBER(MATCH(H43,'Calc Worksheet'!$D$29:$D$35,0)),VLOOKUP(H43,'Calc Worksheet'!$D$29:$V$35,5,FALSE),INDEX('Calc Worksheet'!$H$29:$H$35,MATCH(I43,'Calc Worksheet'!$E$29:$E$35,0))+(INDEX('Calc Worksheet'!$I$29:$I$35,MATCH(I43,'Calc Worksheet'!$E$29:$E$35,0))*(H43-(INDEX('Calc Worksheet'!$D$29:$D$35,MATCH(I43,'Calc Worksheet'!$E$29:$E$35,0)))))),0)</f>
        <v>22933.333333333332</v>
      </c>
      <c r="O43" s="232">
        <f>IFERROR(IF(ISNUMBER(MATCH($H43,'Calc Worksheet'!$D$29:$D$35,0)),VLOOKUP($H43,'Calc Worksheet'!$D$29:$V$35,7,FALSE),INDEX('Calc Worksheet'!J$29:J$35,MATCH($I43,'Calc Worksheet'!$E$29:$E$35,0))+(INDEX('Calc Worksheet'!K$29:K$35,MATCH($I43,'Calc Worksheet'!$E$29:$E$35,0))*($H43-(INDEX('Calc Worksheet'!$D$29:$D$35,MATCH($I43,'Calc Worksheet'!$E$29:$E$35,0)))))),0)</f>
        <v>22800</v>
      </c>
      <c r="P43" s="169">
        <f>IFERROR(IF(ISNUMBER(MATCH($H43,'Calc Worksheet'!$D$29:$D$35,0)),VLOOKUP($H43,'Calc Worksheet'!$D$29:$V$35,9,FALSE),INDEX('Calc Worksheet'!L$29:L$35,MATCH($I43,'Calc Worksheet'!$E$29:$E$35,0))+(INDEX('Calc Worksheet'!M$29:M$35,MATCH($I43,'Calc Worksheet'!$E$29:$E$35,0))*($H43-(INDEX('Calc Worksheet'!$D$29:$D$35,MATCH($I43,'Calc Worksheet'!$E$29:$E$35,0)))))),0)</f>
        <v>0.3711111111111111</v>
      </c>
      <c r="Q43" s="169">
        <f>IFERROR(IF(ISNUMBER(MATCH($H43,'Calc Worksheet'!$D$29:$D$35,0)),VLOOKUP($H43,'Calc Worksheet'!$D$29:$V$35,11,FALSE),INDEX('Calc Worksheet'!N$29:N$35,MATCH($I43,'Calc Worksheet'!$E$29:$E$35,0))+(INDEX('Calc Worksheet'!O$29:O$35,MATCH($I43,'Calc Worksheet'!$E$29:$E$35,0))*($H43-(INDEX('Calc Worksheet'!$D$29:$D$35,MATCH($I43,'Calc Worksheet'!$E$29:$E$35,0)))))),0)</f>
        <v>1.7566666666666666</v>
      </c>
      <c r="R43" s="169">
        <f>IFERROR(IF(ISNUMBER(MATCH($H43,'Calc Worksheet'!$D$29:$D$35,0)),VLOOKUP($H43,'Calc Worksheet'!$D$29:$V$35,13,FALSE),INDEX('Calc Worksheet'!P$29:P$35,MATCH($I43,'Calc Worksheet'!$E$29:$E$35,0))+(INDEX('Calc Worksheet'!Q$29:Q$35,MATCH($I43,'Calc Worksheet'!$E$29:$E$35,0))*($H43-(INDEX('Calc Worksheet'!$D$29:$D$35,MATCH($I43,'Calc Worksheet'!$E$29:$E$35,0)))))),0)</f>
        <v>1.7566666666666666</v>
      </c>
      <c r="S43" s="233">
        <f>IFERROR(IF(ISNUMBER(MATCH($H43,'Calc Worksheet'!$D$29:$D$35,0)),VLOOKUP($H43,'Calc Worksheet'!$D$29:$V$35,19,FALSE),INDEX('Calc Worksheet'!V$29:V$35,MATCH($I43,'Calc Worksheet'!$E$29:$E$35,0))+(INDEX('Calc Worksheet'!W$29:W$35,MATCH($I43,'Calc Worksheet'!$E$29:$E$35,0))*($H43-(INDEX('Calc Worksheet'!$D$29:$D$35,MATCH($I43,'Calc Worksheet'!$E$29:$E$35,0)))))),0)</f>
        <v>3.83</v>
      </c>
      <c r="X43" s="234">
        <v>2022</v>
      </c>
      <c r="Y43" s="234">
        <v>1</v>
      </c>
      <c r="Z43" s="234">
        <v>2</v>
      </c>
      <c r="AA43" s="235">
        <v>0.7083333333321207</v>
      </c>
      <c r="AB43" s="236">
        <v>-5</v>
      </c>
      <c r="AC43" s="127">
        <f t="shared" si="6"/>
        <v>-5</v>
      </c>
    </row>
    <row r="44" ht="14.5" customHeight="1" spans="1:29" x14ac:dyDescent="0.25">
      <c r="A44">
        <v>43</v>
      </c>
      <c r="B44" s="178">
        <f>IFERROR(IF(H44&lt;'Calc Worksheet'!$D$4,$K44-$M44,0),0)</f>
        <v>3627.8271144882783</v>
      </c>
      <c r="C44" s="178">
        <f t="shared" si="7"/>
        <v>-13338.83955217839</v>
      </c>
      <c r="D44" s="178">
        <f t="shared" si="8"/>
        <v>210.73678652210083</v>
      </c>
      <c r="E44" s="178">
        <f>IFERROR(IF(H44&gt;'Calc Worksheet'!$D$5,IF(AND(K44&gt;M44,K44&lt;N44,H44&gt;'Calc Worksheet'!$D$5),J44,0),IF(AND(K44&gt;M44,K44&lt;N44,H44&lt;'Calc Worksheet'!$D$4),J44,0)),0)</f>
        <v>285</v>
      </c>
      <c r="F44" s="178">
        <f>IFERROR(IF(H44&gt;'Calc Worksheet'!$D$5,IF(AND(K44&lt;M44,H44&gt;'Calc Worksheet'!$D$5),J44,0),IF(AND(K44&lt;M44,H44&lt;'Calc Worksheet'!$D$4),J44,0)),0)</f>
        <v>0</v>
      </c>
      <c r="G44" s="178">
        <f t="shared" si="5"/>
        <v>285</v>
      </c>
      <c r="H44" s="178">
        <v>10</v>
      </c>
      <c r="I44" s="232">
        <f>IFERROR(VLOOKUP(H44,'Calc Worksheet'!$D$27:$T$35,2),0)</f>
        <v>3</v>
      </c>
      <c r="J44" s="178">
        <f t="shared" si="9"/>
        <v>285</v>
      </c>
      <c r="K44" s="232">
        <f>IF(H44&lt;'Calc Worksheet'!$D$4,MAX(_xlfn.FORECAST.LINEAR(H44,'Calc Worksheet'!$E$3:$E$4,'Calc Worksheet'!$D$3:$D$4),0),MAX(_xlfn.FORECAST.LINEAR(H44,'Calc Worksheet'!$E$5:$E$6,'Calc Worksheet'!$D$5:$D$6),0))</f>
        <v>9727.827114488278</v>
      </c>
      <c r="L44" s="178">
        <f t="shared" si="10"/>
        <v>2772430.727629159</v>
      </c>
      <c r="M44" s="232">
        <f>IFERROR(IF(ISNUMBER(MATCH(H44,'Calc Worksheet'!$D$29:$D$35,0)),VLOOKUP(H44,'Calc Worksheet'!$D$29:$V$35,3,FALSE),INDEX('Calc Worksheet'!$F$29:$F$35,MATCH(I44,'Calc Worksheet'!$E$29:$E$35,0))+(INDEX('Calc Worksheet'!$G$29:$G$35,MATCH(I44,'Calc Worksheet'!$E$29:$E$35,0))*(H44-(INDEX('Calc Worksheet'!$D$29:$D$35,MATCH(I44,'Calc Worksheet'!$E$29:$E$35,0)))))),0)</f>
        <v>6100</v>
      </c>
      <c r="N44" s="232">
        <f>IFERROR(IF(ISNUMBER(MATCH(H44,'Calc Worksheet'!$D$29:$D$35,0)),VLOOKUP(H44,'Calc Worksheet'!$D$29:$V$35,5,FALSE),INDEX('Calc Worksheet'!$H$29:$H$35,MATCH(I44,'Calc Worksheet'!$E$29:$E$35,0))+(INDEX('Calc Worksheet'!$I$29:$I$35,MATCH(I44,'Calc Worksheet'!$E$29:$E$35,0))*(H44-(INDEX('Calc Worksheet'!$D$29:$D$35,MATCH(I44,'Calc Worksheet'!$E$29:$E$35,0)))))),0)</f>
        <v>23066.666666666668</v>
      </c>
      <c r="O44" s="232">
        <f>IFERROR(IF(ISNUMBER(MATCH($H44,'Calc Worksheet'!$D$29:$D$35,0)),VLOOKUP($H44,'Calc Worksheet'!$D$29:$V$35,7,FALSE),INDEX('Calc Worksheet'!J$29:J$35,MATCH($I44,'Calc Worksheet'!$E$29:$E$35,0))+(INDEX('Calc Worksheet'!K$29:K$35,MATCH($I44,'Calc Worksheet'!$E$29:$E$35,0))*($H44-(INDEX('Calc Worksheet'!$D$29:$D$35,MATCH($I44,'Calc Worksheet'!$E$29:$E$35,0)))))),0)</f>
        <v>22800</v>
      </c>
      <c r="P44" s="169">
        <f>IFERROR(IF(ISNUMBER(MATCH($H44,'Calc Worksheet'!$D$29:$D$35,0)),VLOOKUP($H44,'Calc Worksheet'!$D$29:$V$35,9,FALSE),INDEX('Calc Worksheet'!L$29:L$35,MATCH($I44,'Calc Worksheet'!$E$29:$E$35,0))+(INDEX('Calc Worksheet'!M$29:M$35,MATCH($I44,'Calc Worksheet'!$E$29:$E$35,0))*($H44-(INDEX('Calc Worksheet'!$D$29:$D$35,MATCH($I44,'Calc Worksheet'!$E$29:$E$35,0)))))),0)</f>
        <v>0.3622222222222222</v>
      </c>
      <c r="Q44" s="169">
        <f>IFERROR(IF(ISNUMBER(MATCH($H44,'Calc Worksheet'!$D$29:$D$35,0)),VLOOKUP($H44,'Calc Worksheet'!$D$29:$V$35,11,FALSE),INDEX('Calc Worksheet'!N$29:N$35,MATCH($I44,'Calc Worksheet'!$E$29:$E$35,0))+(INDEX('Calc Worksheet'!O$29:O$35,MATCH($I44,'Calc Worksheet'!$E$29:$E$35,0))*($H44-(INDEX('Calc Worksheet'!$D$29:$D$35,MATCH($I44,'Calc Worksheet'!$E$29:$E$35,0)))))),0)</f>
        <v>1.7533333333333334</v>
      </c>
      <c r="R44" s="169">
        <f>IFERROR(IF(ISNUMBER(MATCH($H44,'Calc Worksheet'!$D$29:$D$35,0)),VLOOKUP($H44,'Calc Worksheet'!$D$29:$V$35,13,FALSE),INDEX('Calc Worksheet'!P$29:P$35,MATCH($I44,'Calc Worksheet'!$E$29:$E$35,0))+(INDEX('Calc Worksheet'!Q$29:Q$35,MATCH($I44,'Calc Worksheet'!$E$29:$E$35,0))*($H44-(INDEX('Calc Worksheet'!$D$29:$D$35,MATCH($I44,'Calc Worksheet'!$E$29:$E$35,0)))))),0)</f>
        <v>1.7533333333333334</v>
      </c>
      <c r="S44" s="233">
        <f>IFERROR(IF(ISNUMBER(MATCH($H44,'Calc Worksheet'!$D$29:$D$35,0)),VLOOKUP($H44,'Calc Worksheet'!$D$29:$V$35,19,FALSE),INDEX('Calc Worksheet'!V$29:V$35,MATCH($I44,'Calc Worksheet'!$E$29:$E$35,0))+(INDEX('Calc Worksheet'!W$29:W$35,MATCH($I44,'Calc Worksheet'!$E$29:$E$35,0))*($H44-(INDEX('Calc Worksheet'!$D$29:$D$35,MATCH($I44,'Calc Worksheet'!$E$29:$E$35,0)))))),0)</f>
        <v>3.86</v>
      </c>
      <c r="X44" s="234">
        <v>2022</v>
      </c>
      <c r="Y44" s="234">
        <v>1</v>
      </c>
      <c r="Z44" s="234">
        <v>2</v>
      </c>
      <c r="AA44" s="235">
        <v>0.75</v>
      </c>
      <c r="AB44" s="236">
        <v>-4.5</v>
      </c>
      <c r="AC44" s="127">
        <f t="shared" si="6"/>
        <v>-5</v>
      </c>
    </row>
    <row r="45" ht="14.5" customHeight="1" spans="1:29" x14ac:dyDescent="0.25">
      <c r="A45">
        <v>44</v>
      </c>
      <c r="B45" s="178">
        <f>IFERROR(IF(H45&lt;'Calc Worksheet'!$D$4,$K45-$M45,0),0)</f>
        <v>2038.1375267042367</v>
      </c>
      <c r="C45" s="178">
        <f t="shared" si="7"/>
        <v>-14861.862473295763</v>
      </c>
      <c r="D45" s="178">
        <f t="shared" si="8"/>
        <v>181.76780405735636</v>
      </c>
      <c r="E45" s="178">
        <f>IFERROR(IF(H45&gt;'Calc Worksheet'!$D$5,IF(AND(K45&gt;M45,K45&lt;N45,H45&gt;'Calc Worksheet'!$D$5),J45,0),IF(AND(K45&gt;M45,K45&lt;N45,H45&lt;'Calc Worksheet'!$D$4),J45,0)),0)</f>
        <v>289</v>
      </c>
      <c r="F45" s="178">
        <f>IFERROR(IF(H45&gt;'Calc Worksheet'!$D$5,IF(AND(K45&lt;M45,H45&gt;'Calc Worksheet'!$D$5),J45,0),IF(AND(K45&lt;M45,H45&lt;'Calc Worksheet'!$D$4),J45,0)),0)</f>
        <v>0</v>
      </c>
      <c r="G45" s="178">
        <f t="shared" si="5"/>
        <v>289</v>
      </c>
      <c r="H45" s="178">
        <v>11</v>
      </c>
      <c r="I45" s="232">
        <f>IFERROR(VLOOKUP(H45,'Calc Worksheet'!$D$27:$T$35,2),0)</f>
        <v>3</v>
      </c>
      <c r="J45" s="178">
        <f t="shared" si="9"/>
        <v>289</v>
      </c>
      <c r="K45" s="232">
        <f>IF(H45&lt;'Calc Worksheet'!$D$4,MAX(_xlfn.FORECAST.LINEAR(H45,'Calc Worksheet'!$E$3:$E$4,'Calc Worksheet'!$D$3:$D$4),0),MAX(_xlfn.FORECAST.LINEAR(H45,'Calc Worksheet'!$E$5:$E$6,'Calc Worksheet'!$D$5:$D$6),0))</f>
        <v>8338.137526704237</v>
      </c>
      <c r="L45" s="178">
        <f t="shared" si="10"/>
        <v>2409721.7452175245</v>
      </c>
      <c r="M45" s="232">
        <f>IFERROR(IF(ISNUMBER(MATCH(H45,'Calc Worksheet'!$D$29:$D$35,0)),VLOOKUP(H45,'Calc Worksheet'!$D$29:$V$35,3,FALSE),INDEX('Calc Worksheet'!$F$29:$F$35,MATCH(I45,'Calc Worksheet'!$E$29:$E$35,0))+(INDEX('Calc Worksheet'!$G$29:$G$35,MATCH(I45,'Calc Worksheet'!$E$29:$E$35,0))*(H45-(INDEX('Calc Worksheet'!$D$29:$D$35,MATCH(I45,'Calc Worksheet'!$E$29:$E$35,0)))))),0)</f>
        <v>6300</v>
      </c>
      <c r="N45" s="232">
        <f>IFERROR(IF(ISNUMBER(MATCH(H45,'Calc Worksheet'!$D$29:$D$35,0)),VLOOKUP(H45,'Calc Worksheet'!$D$29:$V$35,5,FALSE),INDEX('Calc Worksheet'!$H$29:$H$35,MATCH(I45,'Calc Worksheet'!$E$29:$E$35,0))+(INDEX('Calc Worksheet'!$I$29:$I$35,MATCH(I45,'Calc Worksheet'!$E$29:$E$35,0))*(H45-(INDEX('Calc Worksheet'!$D$29:$D$35,MATCH(I45,'Calc Worksheet'!$E$29:$E$35,0)))))),0)</f>
        <v>23200</v>
      </c>
      <c r="O45" s="232">
        <f>IFERROR(IF(ISNUMBER(MATCH($H45,'Calc Worksheet'!$D$29:$D$35,0)),VLOOKUP($H45,'Calc Worksheet'!$D$29:$V$35,7,FALSE),INDEX('Calc Worksheet'!J$29:J$35,MATCH($I45,'Calc Worksheet'!$E$29:$E$35,0))+(INDEX('Calc Worksheet'!K$29:K$35,MATCH($I45,'Calc Worksheet'!$E$29:$E$35,0))*($H45-(INDEX('Calc Worksheet'!$D$29:$D$35,MATCH($I45,'Calc Worksheet'!$E$29:$E$35,0)))))),0)</f>
        <v>22800</v>
      </c>
      <c r="P45" s="169">
        <f>IFERROR(IF(ISNUMBER(MATCH($H45,'Calc Worksheet'!$D$29:$D$35,0)),VLOOKUP($H45,'Calc Worksheet'!$D$29:$V$35,9,FALSE),INDEX('Calc Worksheet'!L$29:L$35,MATCH($I45,'Calc Worksheet'!$E$29:$E$35,0))+(INDEX('Calc Worksheet'!M$29:M$35,MATCH($I45,'Calc Worksheet'!$E$29:$E$35,0))*($H45-(INDEX('Calc Worksheet'!$D$29:$D$35,MATCH($I45,'Calc Worksheet'!$E$29:$E$35,0)))))),0)</f>
        <v>0.35333333333333333</v>
      </c>
      <c r="Q45" s="169">
        <f>IFERROR(IF(ISNUMBER(MATCH($H45,'Calc Worksheet'!$D$29:$D$35,0)),VLOOKUP($H45,'Calc Worksheet'!$D$29:$V$35,11,FALSE),INDEX('Calc Worksheet'!N$29:N$35,MATCH($I45,'Calc Worksheet'!$E$29:$E$35,0))+(INDEX('Calc Worksheet'!O$29:O$35,MATCH($I45,'Calc Worksheet'!$E$29:$E$35,0))*($H45-(INDEX('Calc Worksheet'!$D$29:$D$35,MATCH($I45,'Calc Worksheet'!$E$29:$E$35,0)))))),0)</f>
        <v>1.75</v>
      </c>
      <c r="R45" s="169">
        <f>IFERROR(IF(ISNUMBER(MATCH($H45,'Calc Worksheet'!$D$29:$D$35,0)),VLOOKUP($H45,'Calc Worksheet'!$D$29:$V$35,13,FALSE),INDEX('Calc Worksheet'!P$29:P$35,MATCH($I45,'Calc Worksheet'!$E$29:$E$35,0))+(INDEX('Calc Worksheet'!Q$29:Q$35,MATCH($I45,'Calc Worksheet'!$E$29:$E$35,0))*($H45-(INDEX('Calc Worksheet'!$D$29:$D$35,MATCH($I45,'Calc Worksheet'!$E$29:$E$35,0)))))),0)</f>
        <v>1.75</v>
      </c>
      <c r="S45" s="233">
        <f>IFERROR(IF(ISNUMBER(MATCH($H45,'Calc Worksheet'!$D$29:$D$35,0)),VLOOKUP($H45,'Calc Worksheet'!$D$29:$V$35,19,FALSE),INDEX('Calc Worksheet'!V$29:V$35,MATCH($I45,'Calc Worksheet'!$E$29:$E$35,0))+(INDEX('Calc Worksheet'!W$29:W$35,MATCH($I45,'Calc Worksheet'!$E$29:$E$35,0))*($H45-(INDEX('Calc Worksheet'!$D$29:$D$35,MATCH($I45,'Calc Worksheet'!$E$29:$E$35,0)))))),0)</f>
        <v>3.89</v>
      </c>
      <c r="X45" s="234">
        <v>2022</v>
      </c>
      <c r="Y45" s="234">
        <v>1</v>
      </c>
      <c r="Z45" s="234">
        <v>2</v>
      </c>
      <c r="AA45" s="235">
        <v>0.7916666666678793</v>
      </c>
      <c r="AB45" s="236">
        <v>-9.6</v>
      </c>
      <c r="AC45" s="127">
        <f t="shared" si="6"/>
        <v>-10</v>
      </c>
    </row>
    <row r="46" ht="14.5" customHeight="1" spans="1:29" x14ac:dyDescent="0.25">
      <c r="A46">
        <v>45</v>
      </c>
      <c r="B46" s="178">
        <f>IFERROR(IF(H46&lt;'Calc Worksheet'!$D$4,$K46-$M46,0),0)</f>
        <v>448.44793892019516</v>
      </c>
      <c r="C46" s="178">
        <f t="shared" si="7"/>
        <v>-16384.885394413137</v>
      </c>
      <c r="D46" s="178">
        <f t="shared" si="8"/>
        <v>149.80059647976066</v>
      </c>
      <c r="E46" s="178">
        <f>IFERROR(IF(H46&gt;'Calc Worksheet'!$D$5,IF(AND(K46&gt;M46,K46&lt;N46,H46&gt;'Calc Worksheet'!$D$5),J46,0),IF(AND(K46&gt;M46,K46&lt;N46,H46&lt;'Calc Worksheet'!$D$4),J46,0)),0)</f>
        <v>288</v>
      </c>
      <c r="F46" s="178">
        <f>IFERROR(IF(H46&gt;'Calc Worksheet'!$D$5,IF(AND(K46&lt;M46,H46&gt;'Calc Worksheet'!$D$5),J46,0),IF(AND(K46&lt;M46,H46&lt;'Calc Worksheet'!$D$4),J46,0)),0)</f>
        <v>0</v>
      </c>
      <c r="G46" s="178">
        <f t="shared" si="5"/>
        <v>288</v>
      </c>
      <c r="H46" s="178">
        <v>12</v>
      </c>
      <c r="I46" s="232">
        <f>IFERROR(VLOOKUP(H46,'Calc Worksheet'!$D$27:$T$35,2),0)</f>
        <v>3</v>
      </c>
      <c r="J46" s="178">
        <f t="shared" si="9"/>
        <v>288</v>
      </c>
      <c r="K46" s="232">
        <f>IF(H46&lt;'Calc Worksheet'!$D$4,MAX(_xlfn.FORECAST.LINEAR(H46,'Calc Worksheet'!$E$3:$E$4,'Calc Worksheet'!$D$3:$D$4),0),MAX(_xlfn.FORECAST.LINEAR(H46,'Calc Worksheet'!$E$5:$E$6,'Calc Worksheet'!$D$5:$D$6),0))</f>
        <v>6948.447938920195</v>
      </c>
      <c r="L46" s="178">
        <f t="shared" si="10"/>
        <v>2001153.0064090162</v>
      </c>
      <c r="M46" s="232">
        <f>IFERROR(IF(ISNUMBER(MATCH(H46,'Calc Worksheet'!$D$29:$D$35,0)),VLOOKUP(H46,'Calc Worksheet'!$D$29:$V$35,3,FALSE),INDEX('Calc Worksheet'!$F$29:$F$35,MATCH(I46,'Calc Worksheet'!$E$29:$E$35,0))+(INDEX('Calc Worksheet'!$G$29:$G$35,MATCH(I46,'Calc Worksheet'!$E$29:$E$35,0))*(H46-(INDEX('Calc Worksheet'!$D$29:$D$35,MATCH(I46,'Calc Worksheet'!$E$29:$E$35,0)))))),0)</f>
        <v>6500</v>
      </c>
      <c r="N46" s="232">
        <f>IFERROR(IF(ISNUMBER(MATCH(H46,'Calc Worksheet'!$D$29:$D$35,0)),VLOOKUP(H46,'Calc Worksheet'!$D$29:$V$35,5,FALSE),INDEX('Calc Worksheet'!$H$29:$H$35,MATCH(I46,'Calc Worksheet'!$E$29:$E$35,0))+(INDEX('Calc Worksheet'!$I$29:$I$35,MATCH(I46,'Calc Worksheet'!$E$29:$E$35,0))*(H46-(INDEX('Calc Worksheet'!$D$29:$D$35,MATCH(I46,'Calc Worksheet'!$E$29:$E$35,0)))))),0)</f>
        <v>23333.333333333332</v>
      </c>
      <c r="O46" s="232">
        <f>IFERROR(IF(ISNUMBER(MATCH($H46,'Calc Worksheet'!$D$29:$D$35,0)),VLOOKUP($H46,'Calc Worksheet'!$D$29:$V$35,7,FALSE),INDEX('Calc Worksheet'!J$29:J$35,MATCH($I46,'Calc Worksheet'!$E$29:$E$35,0))+(INDEX('Calc Worksheet'!K$29:K$35,MATCH($I46,'Calc Worksheet'!$E$29:$E$35,0))*($H46-(INDEX('Calc Worksheet'!$D$29:$D$35,MATCH($I46,'Calc Worksheet'!$E$29:$E$35,0)))))),0)</f>
        <v>22800</v>
      </c>
      <c r="P46" s="169">
        <f>IFERROR(IF(ISNUMBER(MATCH($H46,'Calc Worksheet'!$D$29:$D$35,0)),VLOOKUP($H46,'Calc Worksheet'!$D$29:$V$35,9,FALSE),INDEX('Calc Worksheet'!L$29:L$35,MATCH($I46,'Calc Worksheet'!$E$29:$E$35,0))+(INDEX('Calc Worksheet'!M$29:M$35,MATCH($I46,'Calc Worksheet'!$E$29:$E$35,0))*($H46-(INDEX('Calc Worksheet'!$D$29:$D$35,MATCH($I46,'Calc Worksheet'!$E$29:$E$35,0)))))),0)</f>
        <v>0.34444444444444444</v>
      </c>
      <c r="Q46" s="169">
        <f>IFERROR(IF(ISNUMBER(MATCH($H46,'Calc Worksheet'!$D$29:$D$35,0)),VLOOKUP($H46,'Calc Worksheet'!$D$29:$V$35,11,FALSE),INDEX('Calc Worksheet'!N$29:N$35,MATCH($I46,'Calc Worksheet'!$E$29:$E$35,0))+(INDEX('Calc Worksheet'!O$29:O$35,MATCH($I46,'Calc Worksheet'!$E$29:$E$35,0))*($H46-(INDEX('Calc Worksheet'!$D$29:$D$35,MATCH($I46,'Calc Worksheet'!$E$29:$E$35,0)))))),0)</f>
        <v>1.7466666666666666</v>
      </c>
      <c r="R46" s="169">
        <f>IFERROR(IF(ISNUMBER(MATCH($H46,'Calc Worksheet'!$D$29:$D$35,0)),VLOOKUP($H46,'Calc Worksheet'!$D$29:$V$35,13,FALSE),INDEX('Calc Worksheet'!P$29:P$35,MATCH($I46,'Calc Worksheet'!$E$29:$E$35,0))+(INDEX('Calc Worksheet'!Q$29:Q$35,MATCH($I46,'Calc Worksheet'!$E$29:$E$35,0))*($H46-(INDEX('Calc Worksheet'!$D$29:$D$35,MATCH($I46,'Calc Worksheet'!$E$29:$E$35,0)))))),0)</f>
        <v>1.7466666666666666</v>
      </c>
      <c r="S46" s="233">
        <f>IFERROR(IF(ISNUMBER(MATCH($H46,'Calc Worksheet'!$D$29:$D$35,0)),VLOOKUP($H46,'Calc Worksheet'!$D$29:$V$35,19,FALSE),INDEX('Calc Worksheet'!V$29:V$35,MATCH($I46,'Calc Worksheet'!$E$29:$E$35,0))+(INDEX('Calc Worksheet'!W$29:W$35,MATCH($I46,'Calc Worksheet'!$E$29:$E$35,0))*($H46-(INDEX('Calc Worksheet'!$D$29:$D$35,MATCH($I46,'Calc Worksheet'!$E$29:$E$35,0)))))),0)</f>
        <v>3.92</v>
      </c>
      <c r="X46" s="234">
        <v>2022</v>
      </c>
      <c r="Y46" s="234">
        <v>1</v>
      </c>
      <c r="Z46" s="234">
        <v>2</v>
      </c>
      <c r="AA46" s="235">
        <v>0.8333333333321207</v>
      </c>
      <c r="AB46" s="236">
        <v>-11.3</v>
      </c>
      <c r="AC46" s="127">
        <f t="shared" si="6"/>
        <v>-11</v>
      </c>
    </row>
    <row r="47" ht="14.5" customHeight="1" spans="1:29" x14ac:dyDescent="0.25">
      <c r="A47">
        <v>46</v>
      </c>
      <c r="B47" s="178">
        <f>IFERROR(IF(H47&lt;'Calc Worksheet'!$D$4,$K47-$M47,0),0)</f>
        <v>-1141.2416488638446</v>
      </c>
      <c r="C47" s="178">
        <f t="shared" si="7"/>
        <v>-17907.908315530512</v>
      </c>
      <c r="D47" s="178">
        <f t="shared" si="8"/>
        <v>117.69328494724428</v>
      </c>
      <c r="E47" s="178">
        <f>IFERROR(IF(H47&gt;'Calc Worksheet'!$D$5,IF(AND(K47&gt;M47,K47&lt;N47,H47&gt;'Calc Worksheet'!$D$5),J47,0),IF(AND(K47&gt;M47,K47&lt;N47,H47&lt;'Calc Worksheet'!$D$4),J47,0)),0)</f>
        <v>0</v>
      </c>
      <c r="F47" s="178">
        <f>IFERROR(IF(H47&gt;'Calc Worksheet'!$D$5,IF(AND(K47&lt;M47,H47&gt;'Calc Worksheet'!$D$5),J47,0),IF(AND(K47&lt;M47,H47&lt;'Calc Worksheet'!$D$4),J47,0)),0)</f>
        <v>285</v>
      </c>
      <c r="G47" s="178">
        <f t="shared" si="5"/>
        <v>285</v>
      </c>
      <c r="H47" s="178">
        <v>13</v>
      </c>
      <c r="I47" s="232">
        <f>IFERROR(VLOOKUP(H47,'Calc Worksheet'!$D$27:$T$35,2),0)</f>
        <v>3</v>
      </c>
      <c r="J47" s="178">
        <f t="shared" si="9"/>
        <v>285</v>
      </c>
      <c r="K47" s="232">
        <f>IF(H47&lt;'Calc Worksheet'!$D$4,MAX(_xlfn.FORECAST.LINEAR(H47,'Calc Worksheet'!$E$3:$E$4,'Calc Worksheet'!$D$3:$D$4),0),MAX(_xlfn.FORECAST.LINEAR(H47,'Calc Worksheet'!$E$5:$E$6,'Calc Worksheet'!$D$5:$D$6),0))</f>
        <v>5558.758351136155</v>
      </c>
      <c r="L47" s="178">
        <f t="shared" si="10"/>
        <v>1584246.1300738042</v>
      </c>
      <c r="M47" s="232">
        <f>IFERROR(IF(ISNUMBER(MATCH(H47,'Calc Worksheet'!$D$29:$D$35,0)),VLOOKUP(H47,'Calc Worksheet'!$D$29:$V$35,3,FALSE),INDEX('Calc Worksheet'!$F$29:$F$35,MATCH(I47,'Calc Worksheet'!$E$29:$E$35,0))+(INDEX('Calc Worksheet'!$G$29:$G$35,MATCH(I47,'Calc Worksheet'!$E$29:$E$35,0))*(H47-(INDEX('Calc Worksheet'!$D$29:$D$35,MATCH(I47,'Calc Worksheet'!$E$29:$E$35,0)))))),0)</f>
        <v>6700</v>
      </c>
      <c r="N47" s="232">
        <f>IFERROR(IF(ISNUMBER(MATCH(H47,'Calc Worksheet'!$D$29:$D$35,0)),VLOOKUP(H47,'Calc Worksheet'!$D$29:$V$35,5,FALSE),INDEX('Calc Worksheet'!$H$29:$H$35,MATCH(I47,'Calc Worksheet'!$E$29:$E$35,0))+(INDEX('Calc Worksheet'!$I$29:$I$35,MATCH(I47,'Calc Worksheet'!$E$29:$E$35,0))*(H47-(INDEX('Calc Worksheet'!$D$29:$D$35,MATCH(I47,'Calc Worksheet'!$E$29:$E$35,0)))))),0)</f>
        <v>23466.666666666668</v>
      </c>
      <c r="O47" s="232">
        <f>IFERROR(IF(ISNUMBER(MATCH($H47,'Calc Worksheet'!$D$29:$D$35,0)),VLOOKUP($H47,'Calc Worksheet'!$D$29:$V$35,7,FALSE),INDEX('Calc Worksheet'!J$29:J$35,MATCH($I47,'Calc Worksheet'!$E$29:$E$35,0))+(INDEX('Calc Worksheet'!K$29:K$35,MATCH($I47,'Calc Worksheet'!$E$29:$E$35,0))*($H47-(INDEX('Calc Worksheet'!$D$29:$D$35,MATCH($I47,'Calc Worksheet'!$E$29:$E$35,0)))))),0)</f>
        <v>22800</v>
      </c>
      <c r="P47" s="169">
        <f>IFERROR(IF(ISNUMBER(MATCH($H47,'Calc Worksheet'!$D$29:$D$35,0)),VLOOKUP($H47,'Calc Worksheet'!$D$29:$V$35,9,FALSE),INDEX('Calc Worksheet'!L$29:L$35,MATCH($I47,'Calc Worksheet'!$E$29:$E$35,0))+(INDEX('Calc Worksheet'!M$29:M$35,MATCH($I47,'Calc Worksheet'!$E$29:$E$35,0))*($H47-(INDEX('Calc Worksheet'!$D$29:$D$35,MATCH($I47,'Calc Worksheet'!$E$29:$E$35,0)))))),0)</f>
        <v>0.33555555555555555</v>
      </c>
      <c r="Q47" s="169">
        <f>IFERROR(IF(ISNUMBER(MATCH($H47,'Calc Worksheet'!$D$29:$D$35,0)),VLOOKUP($H47,'Calc Worksheet'!$D$29:$V$35,11,FALSE),INDEX('Calc Worksheet'!N$29:N$35,MATCH($I47,'Calc Worksheet'!$E$29:$E$35,0))+(INDEX('Calc Worksheet'!O$29:O$35,MATCH($I47,'Calc Worksheet'!$E$29:$E$35,0))*($H47-(INDEX('Calc Worksheet'!$D$29:$D$35,MATCH($I47,'Calc Worksheet'!$E$29:$E$35,0)))))),0)</f>
        <v>1.7433333333333334</v>
      </c>
      <c r="R47" s="169">
        <f>IFERROR(IF(ISNUMBER(MATCH($H47,'Calc Worksheet'!$D$29:$D$35,0)),VLOOKUP($H47,'Calc Worksheet'!$D$29:$V$35,13,FALSE),INDEX('Calc Worksheet'!P$29:P$35,MATCH($I47,'Calc Worksheet'!$E$29:$E$35,0))+(INDEX('Calc Worksheet'!Q$29:Q$35,MATCH($I47,'Calc Worksheet'!$E$29:$E$35,0))*($H47-(INDEX('Calc Worksheet'!$D$29:$D$35,MATCH($I47,'Calc Worksheet'!$E$29:$E$35,0)))))),0)</f>
        <v>1.7433333333333334</v>
      </c>
      <c r="S47" s="233">
        <f>IFERROR(IF(ISNUMBER(MATCH($H47,'Calc Worksheet'!$D$29:$D$35,0)),VLOOKUP($H47,'Calc Worksheet'!$D$29:$V$35,19,FALSE),INDEX('Calc Worksheet'!V$29:V$35,MATCH($I47,'Calc Worksheet'!$E$29:$E$35,0))+(INDEX('Calc Worksheet'!W$29:W$35,MATCH($I47,'Calc Worksheet'!$E$29:$E$35,0))*($H47-(INDEX('Calc Worksheet'!$D$29:$D$35,MATCH($I47,'Calc Worksheet'!$E$29:$E$35,0)))))),0)</f>
        <v>3.95</v>
      </c>
      <c r="X47" s="234">
        <v>2022</v>
      </c>
      <c r="Y47" s="234">
        <v>1</v>
      </c>
      <c r="Z47" s="234">
        <v>2</v>
      </c>
      <c r="AA47" s="235">
        <v>0.875</v>
      </c>
      <c r="AB47" s="236">
        <v>-12.2</v>
      </c>
      <c r="AC47" s="127">
        <f t="shared" si="6"/>
        <v>-12</v>
      </c>
    </row>
    <row r="48" ht="14.5" customHeight="1" spans="1:29" x14ac:dyDescent="0.25">
      <c r="A48">
        <v>47</v>
      </c>
      <c r="B48" s="178">
        <f>IFERROR(IF(H48&lt;'Calc Worksheet'!$D$4,$K48-$M48,0),0)</f>
        <v>-2730.9312366478844</v>
      </c>
      <c r="C48" s="178">
        <f t="shared" si="7"/>
        <v>-19430.931236647884</v>
      </c>
      <c r="D48" s="178">
        <f t="shared" si="8"/>
        <v>82.37797227654062</v>
      </c>
      <c r="E48" s="178">
        <f>IFERROR(IF(H48&gt;'Calc Worksheet'!$D$5,IF(AND(K48&gt;M48,K48&lt;N48,H48&gt;'Calc Worksheet'!$D$5),J48,0),IF(AND(K48&gt;M48,K48&lt;N48,H48&lt;'Calc Worksheet'!$D$4),J48,0)),0)</f>
        <v>0</v>
      </c>
      <c r="F48" s="178">
        <f>IFERROR(IF(H48&gt;'Calc Worksheet'!$D$5,IF(AND(K48&lt;M48,H48&gt;'Calc Worksheet'!$D$5),J48,0),IF(AND(K48&lt;M48,H48&lt;'Calc Worksheet'!$D$4),J48,0)),0)</f>
        <v>268</v>
      </c>
      <c r="G48" s="178">
        <f t="shared" si="5"/>
        <v>268</v>
      </c>
      <c r="H48" s="178">
        <v>14</v>
      </c>
      <c r="I48" s="232">
        <f>IFERROR(VLOOKUP(H48,'Calc Worksheet'!$D$27:$T$35,2),0)</f>
        <v>3</v>
      </c>
      <c r="J48" s="178">
        <f t="shared" si="9"/>
        <v>268</v>
      </c>
      <c r="K48" s="232">
        <f>IF(H48&lt;'Calc Worksheet'!$D$4,MAX(_xlfn.FORECAST.LINEAR(H48,'Calc Worksheet'!$E$3:$E$4,'Calc Worksheet'!$D$3:$D$4),0),MAX(_xlfn.FORECAST.LINEAR(H48,'Calc Worksheet'!$E$5:$E$6,'Calc Worksheet'!$D$5:$D$6),0))</f>
        <v>4169.068763352116</v>
      </c>
      <c r="L48" s="178">
        <f t="shared" si="10"/>
        <v>1117310.428578367</v>
      </c>
      <c r="M48" s="232">
        <f>IFERROR(IF(ISNUMBER(MATCH(H48,'Calc Worksheet'!$D$29:$D$35,0)),VLOOKUP(H48,'Calc Worksheet'!$D$29:$V$35,3,FALSE),INDEX('Calc Worksheet'!$F$29:$F$35,MATCH(I48,'Calc Worksheet'!$E$29:$E$35,0))+(INDEX('Calc Worksheet'!$G$29:$G$35,MATCH(I48,'Calc Worksheet'!$E$29:$E$35,0))*(H48-(INDEX('Calc Worksheet'!$D$29:$D$35,MATCH(I48,'Calc Worksheet'!$E$29:$E$35,0)))))),0)</f>
        <v>6900</v>
      </c>
      <c r="N48" s="232">
        <f>IFERROR(IF(ISNUMBER(MATCH(H48,'Calc Worksheet'!$D$29:$D$35,0)),VLOOKUP(H48,'Calc Worksheet'!$D$29:$V$35,5,FALSE),INDEX('Calc Worksheet'!$H$29:$H$35,MATCH(I48,'Calc Worksheet'!$E$29:$E$35,0))+(INDEX('Calc Worksheet'!$I$29:$I$35,MATCH(I48,'Calc Worksheet'!$E$29:$E$35,0))*(H48-(INDEX('Calc Worksheet'!$D$29:$D$35,MATCH(I48,'Calc Worksheet'!$E$29:$E$35,0)))))),0)</f>
        <v>23600</v>
      </c>
      <c r="O48" s="232">
        <f>IFERROR(IF(ISNUMBER(MATCH($H48,'Calc Worksheet'!$D$29:$D$35,0)),VLOOKUP($H48,'Calc Worksheet'!$D$29:$V$35,7,FALSE),INDEX('Calc Worksheet'!J$29:J$35,MATCH($I48,'Calc Worksheet'!$E$29:$E$35,0))+(INDEX('Calc Worksheet'!K$29:K$35,MATCH($I48,'Calc Worksheet'!$E$29:$E$35,0))*($H48-(INDEX('Calc Worksheet'!$D$29:$D$35,MATCH($I48,'Calc Worksheet'!$E$29:$E$35,0)))))),0)</f>
        <v>22800</v>
      </c>
      <c r="P48" s="169">
        <f>IFERROR(IF(ISNUMBER(MATCH($H48,'Calc Worksheet'!$D$29:$D$35,0)),VLOOKUP($H48,'Calc Worksheet'!$D$29:$V$35,9,FALSE),INDEX('Calc Worksheet'!L$29:L$35,MATCH($I48,'Calc Worksheet'!$E$29:$E$35,0))+(INDEX('Calc Worksheet'!M$29:M$35,MATCH($I48,'Calc Worksheet'!$E$29:$E$35,0))*($H48-(INDEX('Calc Worksheet'!$D$29:$D$35,MATCH($I48,'Calc Worksheet'!$E$29:$E$35,0)))))),0)</f>
        <v>0.32666666666666666</v>
      </c>
      <c r="Q48" s="169">
        <f>IFERROR(IF(ISNUMBER(MATCH($H48,'Calc Worksheet'!$D$29:$D$35,0)),VLOOKUP($H48,'Calc Worksheet'!$D$29:$V$35,11,FALSE),INDEX('Calc Worksheet'!N$29:N$35,MATCH($I48,'Calc Worksheet'!$E$29:$E$35,0))+(INDEX('Calc Worksheet'!O$29:O$35,MATCH($I48,'Calc Worksheet'!$E$29:$E$35,0))*($H48-(INDEX('Calc Worksheet'!$D$29:$D$35,MATCH($I48,'Calc Worksheet'!$E$29:$E$35,0)))))),0)</f>
        <v>1.74</v>
      </c>
      <c r="R48" s="169">
        <f>IFERROR(IF(ISNUMBER(MATCH($H48,'Calc Worksheet'!$D$29:$D$35,0)),VLOOKUP($H48,'Calc Worksheet'!$D$29:$V$35,13,FALSE),INDEX('Calc Worksheet'!P$29:P$35,MATCH($I48,'Calc Worksheet'!$E$29:$E$35,0))+(INDEX('Calc Worksheet'!Q$29:Q$35,MATCH($I48,'Calc Worksheet'!$E$29:$E$35,0))*($H48-(INDEX('Calc Worksheet'!$D$29:$D$35,MATCH($I48,'Calc Worksheet'!$E$29:$E$35,0)))))),0)</f>
        <v>1.74</v>
      </c>
      <c r="S48" s="233">
        <f>IFERROR(IF(ISNUMBER(MATCH($H48,'Calc Worksheet'!$D$29:$D$35,0)),VLOOKUP($H48,'Calc Worksheet'!$D$29:$V$35,19,FALSE),INDEX('Calc Worksheet'!V$29:V$35,MATCH($I48,'Calc Worksheet'!$E$29:$E$35,0))+(INDEX('Calc Worksheet'!W$29:W$35,MATCH($I48,'Calc Worksheet'!$E$29:$E$35,0))*($H48-(INDEX('Calc Worksheet'!$D$29:$D$35,MATCH($I48,'Calc Worksheet'!$E$29:$E$35,0)))))),0)</f>
        <v>3.98</v>
      </c>
      <c r="X48" s="234">
        <v>2022</v>
      </c>
      <c r="Y48" s="234">
        <v>1</v>
      </c>
      <c r="Z48" s="234">
        <v>2</v>
      </c>
      <c r="AA48" s="235">
        <v>0.9166666666678793</v>
      </c>
      <c r="AB48" s="236">
        <v>-14</v>
      </c>
      <c r="AC48" s="127">
        <f t="shared" si="6"/>
        <v>-14</v>
      </c>
    </row>
    <row r="49" ht="14.5" customHeight="1" spans="1:29" x14ac:dyDescent="0.25">
      <c r="A49">
        <v>48</v>
      </c>
      <c r="B49" s="178">
        <f>IFERROR(IF(H49&lt;'Calc Worksheet'!$D$4,$K49-$M49,0),0)</f>
        <v>-4320.620824431924</v>
      </c>
      <c r="C49" s="178">
        <f t="shared" si="7"/>
        <v>-20953.954157765256</v>
      </c>
      <c r="D49" s="178">
        <f t="shared" si="8"/>
        <v>60.40348251262322</v>
      </c>
      <c r="E49" s="178">
        <f>IFERROR(IF(H49&gt;'Calc Worksheet'!$D$5,IF(AND(K49&gt;M49,K49&lt;N49,H49&gt;'Calc Worksheet'!$D$5),J49,0),IF(AND(K49&gt;M49,K49&lt;N49,H49&lt;'Calc Worksheet'!$D$4),J49,0)),0)</f>
        <v>0</v>
      </c>
      <c r="F49" s="178">
        <f>IFERROR(IF(H49&gt;'Calc Worksheet'!$D$5,IF(AND(K49&lt;M49,H49&gt;'Calc Worksheet'!$D$5),J49,0),IF(AND(K49&lt;M49,H49&lt;'Calc Worksheet'!$D$4),J49,0)),0)</f>
        <v>297</v>
      </c>
      <c r="G49" s="178">
        <f t="shared" si="5"/>
        <v>297</v>
      </c>
      <c r="H49" s="178">
        <v>15</v>
      </c>
      <c r="I49" s="232">
        <f>IFERROR(VLOOKUP(H49,'Calc Worksheet'!$D$27:$T$35,2),0)</f>
        <v>3</v>
      </c>
      <c r="J49" s="178">
        <f t="shared" si="9"/>
        <v>297</v>
      </c>
      <c r="K49" s="232">
        <f>IF(H49&lt;'Calc Worksheet'!$D$4,MAX(_xlfn.FORECAST.LINEAR(H49,'Calc Worksheet'!$E$3:$E$4,'Calc Worksheet'!$D$3:$D$4),0),MAX(_xlfn.FORECAST.LINEAR(H49,'Calc Worksheet'!$E$5:$E$6,'Calc Worksheet'!$D$5:$D$6),0))</f>
        <v>2779.379175568076</v>
      </c>
      <c r="L49" s="178">
        <f t="shared" si="10"/>
        <v>825475.6151437185</v>
      </c>
      <c r="M49" s="232">
        <f>IFERROR(IF(ISNUMBER(MATCH(H49,'Calc Worksheet'!$D$29:$D$35,0)),VLOOKUP(H49,'Calc Worksheet'!$D$29:$V$35,3,FALSE),INDEX('Calc Worksheet'!$F$29:$F$35,MATCH(I49,'Calc Worksheet'!$E$29:$E$35,0))+(INDEX('Calc Worksheet'!$G$29:$G$35,MATCH(I49,'Calc Worksheet'!$E$29:$E$35,0))*(H49-(INDEX('Calc Worksheet'!$D$29:$D$35,MATCH(I49,'Calc Worksheet'!$E$29:$E$35,0)))))),0)</f>
        <v>7100</v>
      </c>
      <c r="N49" s="232">
        <f>IFERROR(IF(ISNUMBER(MATCH(H49,'Calc Worksheet'!$D$29:$D$35,0)),VLOOKUP(H49,'Calc Worksheet'!$D$29:$V$35,5,FALSE),INDEX('Calc Worksheet'!$H$29:$H$35,MATCH(I49,'Calc Worksheet'!$E$29:$E$35,0))+(INDEX('Calc Worksheet'!$I$29:$I$35,MATCH(I49,'Calc Worksheet'!$E$29:$E$35,0))*(H49-(INDEX('Calc Worksheet'!$D$29:$D$35,MATCH(I49,'Calc Worksheet'!$E$29:$E$35,0)))))),0)</f>
        <v>23733.333333333332</v>
      </c>
      <c r="O49" s="232">
        <f>IFERROR(IF(ISNUMBER(MATCH($H49,'Calc Worksheet'!$D$29:$D$35,0)),VLOOKUP($H49,'Calc Worksheet'!$D$29:$V$35,7,FALSE),INDEX('Calc Worksheet'!J$29:J$35,MATCH($I49,'Calc Worksheet'!$E$29:$E$35,0))+(INDEX('Calc Worksheet'!K$29:K$35,MATCH($I49,'Calc Worksheet'!$E$29:$E$35,0))*($H49-(INDEX('Calc Worksheet'!$D$29:$D$35,MATCH($I49,'Calc Worksheet'!$E$29:$E$35,0)))))),0)</f>
        <v>22800</v>
      </c>
      <c r="P49" s="169">
        <f>IFERROR(IF(ISNUMBER(MATCH($H49,'Calc Worksheet'!$D$29:$D$35,0)),VLOOKUP($H49,'Calc Worksheet'!$D$29:$V$35,9,FALSE),INDEX('Calc Worksheet'!L$29:L$35,MATCH($I49,'Calc Worksheet'!$E$29:$E$35,0))+(INDEX('Calc Worksheet'!M$29:M$35,MATCH($I49,'Calc Worksheet'!$E$29:$E$35,0))*($H49-(INDEX('Calc Worksheet'!$D$29:$D$35,MATCH($I49,'Calc Worksheet'!$E$29:$E$35,0)))))),0)</f>
        <v>0.31777777777777777</v>
      </c>
      <c r="Q49" s="169">
        <f>IFERROR(IF(ISNUMBER(MATCH($H49,'Calc Worksheet'!$D$29:$D$35,0)),VLOOKUP($H49,'Calc Worksheet'!$D$29:$V$35,11,FALSE),INDEX('Calc Worksheet'!N$29:N$35,MATCH($I49,'Calc Worksheet'!$E$29:$E$35,0))+(INDEX('Calc Worksheet'!O$29:O$35,MATCH($I49,'Calc Worksheet'!$E$29:$E$35,0))*($H49-(INDEX('Calc Worksheet'!$D$29:$D$35,MATCH($I49,'Calc Worksheet'!$E$29:$E$35,0)))))),0)</f>
        <v>1.7366666666666666</v>
      </c>
      <c r="R49" s="169">
        <f>IFERROR(IF(ISNUMBER(MATCH($H49,'Calc Worksheet'!$D$29:$D$35,0)),VLOOKUP($H49,'Calc Worksheet'!$D$29:$V$35,13,FALSE),INDEX('Calc Worksheet'!P$29:P$35,MATCH($I49,'Calc Worksheet'!$E$29:$E$35,0))+(INDEX('Calc Worksheet'!Q$29:Q$35,MATCH($I49,'Calc Worksheet'!$E$29:$E$35,0))*($H49-(INDEX('Calc Worksheet'!$D$29:$D$35,MATCH($I49,'Calc Worksheet'!$E$29:$E$35,0)))))),0)</f>
        <v>1.7366666666666666</v>
      </c>
      <c r="S49" s="233">
        <f>IFERROR(IF(ISNUMBER(MATCH($H49,'Calc Worksheet'!$D$29:$D$35,0)),VLOOKUP($H49,'Calc Worksheet'!$D$29:$V$35,19,FALSE),INDEX('Calc Worksheet'!V$29:V$35,MATCH($I49,'Calc Worksheet'!$E$29:$E$35,0))+(INDEX('Calc Worksheet'!W$29:W$35,MATCH($I49,'Calc Worksheet'!$E$29:$E$35,0))*($H49-(INDEX('Calc Worksheet'!$D$29:$D$35,MATCH($I49,'Calc Worksheet'!$E$29:$E$35,0)))))),0)</f>
        <v>4.01</v>
      </c>
      <c r="X49" s="234">
        <v>2022</v>
      </c>
      <c r="Y49" s="234">
        <v>1</v>
      </c>
      <c r="Z49" s="234">
        <v>2</v>
      </c>
      <c r="AA49" s="235">
        <v>0.9583333333321207</v>
      </c>
      <c r="AB49" s="236">
        <v>-14.9</v>
      </c>
      <c r="AC49" s="127">
        <f t="shared" si="6"/>
        <v>-15</v>
      </c>
    </row>
    <row r="50" ht="14.5" customHeight="1" spans="1:29" x14ac:dyDescent="0.25">
      <c r="A50">
        <v>49</v>
      </c>
      <c r="B50" s="178">
        <f>IFERROR(IF(H50&lt;'Calc Worksheet'!$D$4,$K50-$M50,0),0)</f>
        <v>-5910.310412215964</v>
      </c>
      <c r="C50" s="178">
        <f t="shared" si="7"/>
        <v>-22476.97707888263</v>
      </c>
      <c r="D50" s="178">
        <f t="shared" si="8"/>
        <v>27.149410550171925</v>
      </c>
      <c r="E50" s="178">
        <f>IFERROR(IF(H50&gt;'Calc Worksheet'!$D$5,IF(AND(K50&gt;M50,K50&lt;N50,H50&gt;'Calc Worksheet'!$D$5),J50,0),IF(AND(K50&gt;M50,K50&lt;N50,H50&lt;'Calc Worksheet'!$D$4),J50,0)),0)</f>
        <v>0</v>
      </c>
      <c r="F50" s="178">
        <f>IFERROR(IF(H50&gt;'Calc Worksheet'!$D$5,IF(AND(K50&lt;M50,H50&gt;'Calc Worksheet'!$D$5),J50,0),IF(AND(K50&lt;M50,H50&lt;'Calc Worksheet'!$D$4),J50,0)),0)</f>
        <v>269</v>
      </c>
      <c r="G50" s="178">
        <f t="shared" si="5"/>
        <v>269</v>
      </c>
      <c r="H50" s="178">
        <v>16</v>
      </c>
      <c r="I50" s="232">
        <f>IFERROR(VLOOKUP(H50,'Calc Worksheet'!$D$27:$T$35,2),0)</f>
        <v>3</v>
      </c>
      <c r="J50" s="178">
        <f t="shared" si="9"/>
        <v>269</v>
      </c>
      <c r="K50" s="232">
        <f>IF(H50&lt;'Calc Worksheet'!$D$4,MAX(_xlfn.FORECAST.LINEAR(H50,'Calc Worksheet'!$E$3:$E$4,'Calc Worksheet'!$D$3:$D$4),0),MAX(_xlfn.FORECAST.LINEAR(H50,'Calc Worksheet'!$E$5:$E$6,'Calc Worksheet'!$D$5:$D$6),0))</f>
        <v>1389.6895877840361</v>
      </c>
      <c r="L50" s="178">
        <f t="shared" si="10"/>
        <v>373826.4991139057</v>
      </c>
      <c r="M50" s="232">
        <f>IFERROR(IF(ISNUMBER(MATCH(H50,'Calc Worksheet'!$D$29:$D$35,0)),VLOOKUP(H50,'Calc Worksheet'!$D$29:$V$35,3,FALSE),INDEX('Calc Worksheet'!$F$29:$F$35,MATCH(I50,'Calc Worksheet'!$E$29:$E$35,0))+(INDEX('Calc Worksheet'!$G$29:$G$35,MATCH(I50,'Calc Worksheet'!$E$29:$E$35,0))*(H50-(INDEX('Calc Worksheet'!$D$29:$D$35,MATCH(I50,'Calc Worksheet'!$E$29:$E$35,0)))))),0)</f>
        <v>7300</v>
      </c>
      <c r="N50" s="232">
        <f>IFERROR(IF(ISNUMBER(MATCH(H50,'Calc Worksheet'!$D$29:$D$35,0)),VLOOKUP(H50,'Calc Worksheet'!$D$29:$V$35,5,FALSE),INDEX('Calc Worksheet'!$H$29:$H$35,MATCH(I50,'Calc Worksheet'!$E$29:$E$35,0))+(INDEX('Calc Worksheet'!$I$29:$I$35,MATCH(I50,'Calc Worksheet'!$E$29:$E$35,0))*(H50-(INDEX('Calc Worksheet'!$D$29:$D$35,MATCH(I50,'Calc Worksheet'!$E$29:$E$35,0)))))),0)</f>
        <v>23866.666666666668</v>
      </c>
      <c r="O50" s="232">
        <f>IFERROR(IF(ISNUMBER(MATCH($H50,'Calc Worksheet'!$D$29:$D$35,0)),VLOOKUP($H50,'Calc Worksheet'!$D$29:$V$35,7,FALSE),INDEX('Calc Worksheet'!J$29:J$35,MATCH($I50,'Calc Worksheet'!$E$29:$E$35,0))+(INDEX('Calc Worksheet'!K$29:K$35,MATCH($I50,'Calc Worksheet'!$E$29:$E$35,0))*($H50-(INDEX('Calc Worksheet'!$D$29:$D$35,MATCH($I50,'Calc Worksheet'!$E$29:$E$35,0)))))),0)</f>
        <v>22800</v>
      </c>
      <c r="P50" s="169">
        <f>IFERROR(IF(ISNUMBER(MATCH($H50,'Calc Worksheet'!$D$29:$D$35,0)),VLOOKUP($H50,'Calc Worksheet'!$D$29:$V$35,9,FALSE),INDEX('Calc Worksheet'!L$29:L$35,MATCH($I50,'Calc Worksheet'!$E$29:$E$35,0))+(INDEX('Calc Worksheet'!M$29:M$35,MATCH($I50,'Calc Worksheet'!$E$29:$E$35,0))*($H50-(INDEX('Calc Worksheet'!$D$29:$D$35,MATCH($I50,'Calc Worksheet'!$E$29:$E$35,0)))))),0)</f>
        <v>0.3088888888888889</v>
      </c>
      <c r="Q50" s="169">
        <f>IFERROR(IF(ISNUMBER(MATCH($H50,'Calc Worksheet'!$D$29:$D$35,0)),VLOOKUP($H50,'Calc Worksheet'!$D$29:$V$35,11,FALSE),INDEX('Calc Worksheet'!N$29:N$35,MATCH($I50,'Calc Worksheet'!$E$29:$E$35,0))+(INDEX('Calc Worksheet'!O$29:O$35,MATCH($I50,'Calc Worksheet'!$E$29:$E$35,0))*($H50-(INDEX('Calc Worksheet'!$D$29:$D$35,MATCH($I50,'Calc Worksheet'!$E$29:$E$35,0)))))),0)</f>
        <v>1.7333333333333334</v>
      </c>
      <c r="R50" s="169">
        <f>IFERROR(IF(ISNUMBER(MATCH($H50,'Calc Worksheet'!$D$29:$D$35,0)),VLOOKUP($H50,'Calc Worksheet'!$D$29:$V$35,13,FALSE),INDEX('Calc Worksheet'!P$29:P$35,MATCH($I50,'Calc Worksheet'!$E$29:$E$35,0))+(INDEX('Calc Worksheet'!Q$29:Q$35,MATCH($I50,'Calc Worksheet'!$E$29:$E$35,0))*($H50-(INDEX('Calc Worksheet'!$D$29:$D$35,MATCH($I50,'Calc Worksheet'!$E$29:$E$35,0)))))),0)</f>
        <v>1.7333333333333334</v>
      </c>
      <c r="S50" s="233">
        <f>IFERROR(IF(ISNUMBER(MATCH($H50,'Calc Worksheet'!$D$29:$D$35,0)),VLOOKUP($H50,'Calc Worksheet'!$D$29:$V$35,19,FALSE),INDEX('Calc Worksheet'!V$29:V$35,MATCH($I50,'Calc Worksheet'!$E$29:$E$35,0))+(INDEX('Calc Worksheet'!W$29:W$35,MATCH($I50,'Calc Worksheet'!$E$29:$E$35,0))*($H50-(INDEX('Calc Worksheet'!$D$29:$D$35,MATCH($I50,'Calc Worksheet'!$E$29:$E$35,0)))))),0)</f>
        <v>4.04</v>
      </c>
      <c r="X50" s="234">
        <v>2022</v>
      </c>
      <c r="Y50" s="234">
        <v>1</v>
      </c>
      <c r="Z50" s="234">
        <v>3</v>
      </c>
      <c r="AA50" s="235">
        <v>0</v>
      </c>
      <c r="AB50" s="236">
        <v>-15.6</v>
      </c>
      <c r="AC50" s="127">
        <f t="shared" si="6"/>
        <v>-16</v>
      </c>
    </row>
    <row r="51" ht="14.5" customHeight="1" spans="1:29" x14ac:dyDescent="0.25">
      <c r="A51" s="37">
        <v>50</v>
      </c>
      <c r="B51" s="239">
        <f>IFERROR(IF(H51&lt;'Calc Worksheet'!$D$4,$K51-$M51,0),0)</f>
        <v>0</v>
      </c>
      <c r="C51" s="239">
        <f t="shared" si="7"/>
        <v>-24000</v>
      </c>
      <c r="D51" s="239">
        <f t="shared" si="8"/>
        <v>0</v>
      </c>
      <c r="E51" s="239">
        <f>IFERROR(IF(H51&gt;'Calc Worksheet'!$D$5,IF(AND(K51&gt;M51,K51&lt;N51,H51&gt;'Calc Worksheet'!$D$5),J51,0),IF(AND(K51&gt;M51,K51&lt;N51,H51&lt;'Calc Worksheet'!$D$4),J51,0)),0)</f>
        <v>0</v>
      </c>
      <c r="F51" s="239">
        <f>IFERROR(IF(H51&gt;'Calc Worksheet'!$D$5,IF(AND(K51&lt;M51,H51&gt;'Calc Worksheet'!$D$5),J51,0),IF(AND(K51&lt;M51,H51&lt;'Calc Worksheet'!$D$4),J51,0)),0)</f>
        <v>0</v>
      </c>
      <c r="G51" s="239">
        <f t="shared" si="5"/>
        <v>0</v>
      </c>
      <c r="H51" s="239">
        <v>17</v>
      </c>
      <c r="I51" s="240">
        <f>IFERROR(VLOOKUP(H51,'Calc Worksheet'!$D$27:$T$35,2),0)</f>
        <v>4</v>
      </c>
      <c r="J51" s="239">
        <f t="shared" si="9"/>
        <v>229</v>
      </c>
      <c r="K51" s="240">
        <f>IF(H51&lt;'Calc Worksheet'!$D$4,MAX(_xlfn.FORECAST.LINEAR(H51,'Calc Worksheet'!$E$3:$E$4,'Calc Worksheet'!$D$3:$D$4),0),MAX(_xlfn.FORECAST.LINEAR(H51,'Calc Worksheet'!$E$5:$E$6,'Calc Worksheet'!$D$5:$D$6),0))</f>
        <v>0</v>
      </c>
      <c r="L51" s="239">
        <f t="shared" si="10"/>
        <v>0</v>
      </c>
      <c r="M51" s="240">
        <f>IFERROR(IF(ISNUMBER(MATCH(H51,'Calc Worksheet'!$D$29:$D$35,0)),VLOOKUP(H51,'Calc Worksheet'!$D$29:$V$35,3,FALSE),INDEX('Calc Worksheet'!$F$29:$F$35,MATCH(I51,'Calc Worksheet'!$E$29:$E$35,0))+(INDEX('Calc Worksheet'!$G$29:$G$35,MATCH(I51,'Calc Worksheet'!$E$29:$E$35,0))*(H51-(INDEX('Calc Worksheet'!$D$29:$D$35,MATCH(I51,'Calc Worksheet'!$E$29:$E$35,0)))))),0)</f>
        <v>7500</v>
      </c>
      <c r="N51" s="240">
        <f>IFERROR(IF(ISNUMBER(MATCH(H51,'Calc Worksheet'!$D$29:$D$35,0)),VLOOKUP(H51,'Calc Worksheet'!$D$29:$V$35,5,FALSE),INDEX('Calc Worksheet'!$H$29:$H$35,MATCH(I51,'Calc Worksheet'!$E$29:$E$35,0))+(INDEX('Calc Worksheet'!$I$29:$I$35,MATCH(I51,'Calc Worksheet'!$E$29:$E$35,0))*(H51-(INDEX('Calc Worksheet'!$D$29:$D$35,MATCH(I51,'Calc Worksheet'!$E$29:$E$35,0)))))),0)</f>
        <v>24000</v>
      </c>
      <c r="O51" s="240">
        <f>IFERROR(IF(ISNUMBER(MATCH($H51,'Calc Worksheet'!$D$29:$D$35,0)),VLOOKUP($H51,'Calc Worksheet'!$D$29:$V$35,7,FALSE),INDEX('Calc Worksheet'!J$29:J$35,MATCH($I51,'Calc Worksheet'!$E$29:$E$35,0))+(INDEX('Calc Worksheet'!K$29:K$35,MATCH($I51,'Calc Worksheet'!$E$29:$E$35,0))*($H51-(INDEX('Calc Worksheet'!$D$29:$D$35,MATCH($I51,'Calc Worksheet'!$E$29:$E$35,0)))))),0)</f>
        <v>22800</v>
      </c>
      <c r="P51" s="241">
        <f>IFERROR(IF(ISNUMBER(MATCH($H51,'Calc Worksheet'!$D$29:$D$35,0)),VLOOKUP($H51,'Calc Worksheet'!$D$29:$V$35,9,FALSE),INDEX('Calc Worksheet'!L$29:L$35,MATCH($I51,'Calc Worksheet'!$E$29:$E$35,0))+(INDEX('Calc Worksheet'!M$29:M$35,MATCH($I51,'Calc Worksheet'!$E$29:$E$35,0))*($H51-(INDEX('Calc Worksheet'!$D$29:$D$35,MATCH($I51,'Calc Worksheet'!$E$29:$E$35,0)))))),0)</f>
        <v>0.3</v>
      </c>
      <c r="Q51" s="241">
        <f>IFERROR(IF(ISNUMBER(MATCH($H51,'Calc Worksheet'!$D$29:$D$35,0)),VLOOKUP($H51,'Calc Worksheet'!$D$29:$V$35,11,FALSE),INDEX('Calc Worksheet'!N$29:N$35,MATCH($I51,'Calc Worksheet'!$E$29:$E$35,0))+(INDEX('Calc Worksheet'!O$29:O$35,MATCH($I51,'Calc Worksheet'!$E$29:$E$35,0))*($H51-(INDEX('Calc Worksheet'!$D$29:$D$35,MATCH($I51,'Calc Worksheet'!$E$29:$E$35,0)))))),0)</f>
        <v>1.73</v>
      </c>
      <c r="R51" s="241">
        <f>IFERROR(IF(ISNUMBER(MATCH($H51,'Calc Worksheet'!$D$29:$D$35,0)),VLOOKUP($H51,'Calc Worksheet'!$D$29:$V$35,13,FALSE),INDEX('Calc Worksheet'!P$29:P$35,MATCH($I51,'Calc Worksheet'!$E$29:$E$35,0))+(INDEX('Calc Worksheet'!Q$29:Q$35,MATCH($I51,'Calc Worksheet'!$E$29:$E$35,0))*($H51-(INDEX('Calc Worksheet'!$D$29:$D$35,MATCH($I51,'Calc Worksheet'!$E$29:$E$35,0)))))),0)</f>
        <v>1.73</v>
      </c>
      <c r="S51" s="242">
        <f>IFERROR(IF(ISNUMBER(MATCH($H51,'Calc Worksheet'!$D$29:$D$35,0)),VLOOKUP($H51,'Calc Worksheet'!$D$29:$V$35,19,FALSE),INDEX('Calc Worksheet'!V$29:V$35,MATCH($I51,'Calc Worksheet'!$E$29:$E$35,0))+(INDEX('Calc Worksheet'!W$29:W$35,MATCH($I51,'Calc Worksheet'!$E$29:$E$35,0))*($H51-(INDEX('Calc Worksheet'!$D$29:$D$35,MATCH($I51,'Calc Worksheet'!$E$29:$E$35,0)))))),0)</f>
        <v>4.07</v>
      </c>
      <c r="X51" s="234">
        <v>2022</v>
      </c>
      <c r="Y51" s="234">
        <v>1</v>
      </c>
      <c r="Z51" s="234">
        <v>3</v>
      </c>
      <c r="AA51" s="235">
        <v>0.041666666667879326</v>
      </c>
      <c r="AB51" s="236">
        <v>-16.6</v>
      </c>
      <c r="AC51" s="127">
        <f t="shared" si="6"/>
        <v>-17</v>
      </c>
    </row>
    <row r="52" ht="14.5" customHeight="1" spans="1:29" x14ac:dyDescent="0.25">
      <c r="A52" s="37">
        <v>51</v>
      </c>
      <c r="B52" s="239">
        <f>IFERROR(IF(H52&lt;'Calc Worksheet'!$D$4,$K52-$M52,0),0)</f>
        <v>0</v>
      </c>
      <c r="C52" s="239">
        <f t="shared" si="7"/>
        <v>-24000</v>
      </c>
      <c r="D52" s="239">
        <f t="shared" si="8"/>
        <v>0</v>
      </c>
      <c r="E52" s="239">
        <f>IFERROR(IF(H52&gt;'Calc Worksheet'!$D$5,IF(AND(K52&gt;M52,K52&lt;N52,H52&gt;'Calc Worksheet'!$D$5),J52,0),IF(AND(K52&gt;M52,K52&lt;N52,H52&lt;'Calc Worksheet'!$D$4),J52,0)),0)</f>
        <v>0</v>
      </c>
      <c r="F52" s="239">
        <f>IFERROR(IF(H52&gt;'Calc Worksheet'!$D$5,IF(AND(K52&lt;M52,H52&gt;'Calc Worksheet'!$D$5),J52,0),IF(AND(K52&lt;M52,H52&lt;'Calc Worksheet'!$D$4),J52,0)),0)</f>
        <v>0</v>
      </c>
      <c r="G52" s="239">
        <f>E52+F52</f>
        <v>0</v>
      </c>
      <c r="H52" s="239">
        <v>18</v>
      </c>
      <c r="I52" s="240">
        <f>IFERROR(VLOOKUP(H52,'Calc Worksheet'!$D$27:$T$35,2),0)</f>
        <v>4</v>
      </c>
      <c r="J52" s="239">
        <f t="shared" si="9"/>
        <v>178</v>
      </c>
      <c r="K52" s="240">
        <f>IF(H52&lt;'Calc Worksheet'!$D$4,MAX(_xlfn.FORECAST.LINEAR(H52,'Calc Worksheet'!$E$3:$E$4,'Calc Worksheet'!$D$3:$D$4),0),MAX(_xlfn.FORECAST.LINEAR(H52,'Calc Worksheet'!$E$5:$E$6,'Calc Worksheet'!$D$5:$D$6),0))</f>
        <v>0</v>
      </c>
      <c r="L52" s="239">
        <f t="shared" si="10"/>
        <v>0</v>
      </c>
      <c r="M52" s="240">
        <f>IFERROR(IF(ISNUMBER(MATCH(H52,'Calc Worksheet'!$D$29:$D$35,0)),VLOOKUP(H52,'Calc Worksheet'!$D$29:$V$35,3,FALSE),INDEX('Calc Worksheet'!$F$29:$F$35,MATCH(I52,'Calc Worksheet'!$E$29:$E$35,0))+(INDEX('Calc Worksheet'!$G$29:$G$35,MATCH(I52,'Calc Worksheet'!$E$29:$E$35,0))*(H52-(INDEX('Calc Worksheet'!$D$29:$D$35,MATCH(I52,'Calc Worksheet'!$E$29:$E$35,0)))))),0)</f>
        <v>7500</v>
      </c>
      <c r="N52" s="240">
        <f>IFERROR(IF(ISNUMBER(MATCH(H52,'Calc Worksheet'!$D$29:$D$35,0)),VLOOKUP(H52,'Calc Worksheet'!$D$29:$V$35,5,FALSE),INDEX('Calc Worksheet'!$H$29:$H$35,MATCH(I52,'Calc Worksheet'!$E$29:$E$35,0))+(INDEX('Calc Worksheet'!$I$29:$I$35,MATCH(I52,'Calc Worksheet'!$E$29:$E$35,0))*(H52-(INDEX('Calc Worksheet'!$D$29:$D$35,MATCH(I52,'Calc Worksheet'!$E$29:$E$35,0)))))),0)</f>
        <v>24000</v>
      </c>
      <c r="O52" s="240">
        <f>IFERROR(IF(ISNUMBER(MATCH($H52,'Calc Worksheet'!$D$29:$D$35,0)),VLOOKUP($H52,'Calc Worksheet'!$D$29:$V$35,7,FALSE),INDEX('Calc Worksheet'!J$29:J$35,MATCH($I52,'Calc Worksheet'!$E$29:$E$35,0))+(INDEX('Calc Worksheet'!K$29:K$35,MATCH($I52,'Calc Worksheet'!$E$29:$E$35,0))*($H52-(INDEX('Calc Worksheet'!$D$29:$D$35,MATCH($I52,'Calc Worksheet'!$E$29:$E$35,0)))))),0)</f>
        <v>22800</v>
      </c>
      <c r="P52" s="241">
        <f>IFERROR(IF(ISNUMBER(MATCH($H52,'Calc Worksheet'!$D$29:$D$35,0)),VLOOKUP($H52,'Calc Worksheet'!$D$29:$V$35,9,FALSE),INDEX('Calc Worksheet'!L$29:L$35,MATCH($I52,'Calc Worksheet'!$E$29:$E$35,0))+(INDEX('Calc Worksheet'!M$29:M$35,MATCH($I52,'Calc Worksheet'!$E$29:$E$35,0))*($H52-(INDEX('Calc Worksheet'!$D$29:$D$35,MATCH($I52,'Calc Worksheet'!$E$29:$E$35,0)))))),0)</f>
        <v>3.3</v>
      </c>
      <c r="Q52" s="241">
        <f>IFERROR(IF(ISNUMBER(MATCH($H52,'Calc Worksheet'!$D$29:$D$35,0)),VLOOKUP($H52,'Calc Worksheet'!$D$29:$V$35,11,FALSE),INDEX('Calc Worksheet'!N$29:N$35,MATCH($I52,'Calc Worksheet'!$E$29:$E$35,0))+(INDEX('Calc Worksheet'!O$29:O$35,MATCH($I52,'Calc Worksheet'!$E$29:$E$35,0))*($H52-(INDEX('Calc Worksheet'!$D$29:$D$35,MATCH($I52,'Calc Worksheet'!$E$29:$E$35,0)))))),0)</f>
        <v>1.73</v>
      </c>
      <c r="R52" s="241">
        <f>IFERROR(IF(ISNUMBER(MATCH($H52,'Calc Worksheet'!$D$29:$D$35,0)),VLOOKUP($H52,'Calc Worksheet'!$D$29:$V$35,13,FALSE),INDEX('Calc Worksheet'!P$29:P$35,MATCH($I52,'Calc Worksheet'!$E$29:$E$35,0))+(INDEX('Calc Worksheet'!Q$29:Q$35,MATCH($I52,'Calc Worksheet'!$E$29:$E$35,0))*($H52-(INDEX('Calc Worksheet'!$D$29:$D$35,MATCH($I52,'Calc Worksheet'!$E$29:$E$35,0)))))),0)</f>
        <v>1.73</v>
      </c>
      <c r="S52" s="242">
        <f>IFERROR(IF(ISNUMBER(MATCH($H52,'Calc Worksheet'!$D$29:$D$35,0)),VLOOKUP($H52,'Calc Worksheet'!$D$29:$V$35,19,FALSE),INDEX('Calc Worksheet'!V$29:V$35,MATCH($I52,'Calc Worksheet'!$E$29:$E$35,0))+(INDEX('Calc Worksheet'!W$29:W$35,MATCH($I52,'Calc Worksheet'!$E$29:$E$35,0))*($H52-(INDEX('Calc Worksheet'!$D$29:$D$35,MATCH($I52,'Calc Worksheet'!$E$29:$E$35,0)))))),0)</f>
        <v>4.07</v>
      </c>
      <c r="X52" s="234">
        <v>2022</v>
      </c>
      <c r="Y52" s="234">
        <v>1</v>
      </c>
      <c r="Z52" s="234">
        <v>3</v>
      </c>
      <c r="AA52" s="235">
        <v>0.08333333333212067</v>
      </c>
      <c r="AB52" s="236">
        <v>-18.1</v>
      </c>
      <c r="AC52" s="127">
        <f t="shared" si="6"/>
        <v>-18</v>
      </c>
    </row>
    <row r="53" ht="14.5" customHeight="1" spans="1:29" x14ac:dyDescent="0.25">
      <c r="A53" s="37">
        <v>52</v>
      </c>
      <c r="B53" s="239">
        <f>IFERROR(IF(H53&lt;'Calc Worksheet'!$D$4,$K53-$M53,0),0)</f>
        <v>0</v>
      </c>
      <c r="C53" s="239">
        <f t="shared" si="7"/>
        <v>-24000</v>
      </c>
      <c r="D53" s="239">
        <f t="shared" si="8"/>
        <v>0</v>
      </c>
      <c r="E53" s="239">
        <f>IFERROR(IF(H53&gt;'Calc Worksheet'!$D$5,IF(AND(K53&gt;M53,K53&lt;N53,H53&gt;'Calc Worksheet'!$D$5),J53,0),IF(AND(K53&gt;M53,K53&lt;N53,H53&lt;'Calc Worksheet'!$D$4),J53,0)),0)</f>
        <v>0</v>
      </c>
      <c r="F53" s="239">
        <f>IFERROR(IF(H53&gt;'Calc Worksheet'!$D$5,IF(AND(K53&lt;M53,H53&gt;'Calc Worksheet'!$D$5),J53,0),IF(AND(K53&lt;M53,H53&lt;'Calc Worksheet'!$D$4),J53,0)),0)</f>
        <v>0</v>
      </c>
      <c r="G53" s="239">
        <f t="shared" si="5"/>
        <v>0</v>
      </c>
      <c r="H53" s="239">
        <v>19</v>
      </c>
      <c r="I53" s="240">
        <f>IFERROR(VLOOKUP(H53,'Calc Worksheet'!$D$27:$T$35,2),0)</f>
        <v>4</v>
      </c>
      <c r="J53" s="239">
        <f t="shared" si="9"/>
        <v>196</v>
      </c>
      <c r="K53" s="240">
        <f>IF(H53&lt;'Calc Worksheet'!$D$4,MAX(_xlfn.FORECAST.LINEAR(H53,'Calc Worksheet'!$E$3:$E$4,'Calc Worksheet'!$D$3:$D$4),0),MAX(_xlfn.FORECAST.LINEAR(H53,'Calc Worksheet'!$E$5:$E$6,'Calc Worksheet'!$D$5:$D$6),0))</f>
        <v>0</v>
      </c>
      <c r="L53" s="239">
        <f t="shared" si="10"/>
        <v>0</v>
      </c>
      <c r="M53" s="240">
        <f>IFERROR(IF(ISNUMBER(MATCH(H53,'Calc Worksheet'!$D$29:$D$35,0)),VLOOKUP(H53,'Calc Worksheet'!$D$29:$V$35,3,FALSE),INDEX('Calc Worksheet'!$F$29:$F$35,MATCH(I53,'Calc Worksheet'!$E$29:$E$35,0))+(INDEX('Calc Worksheet'!$G$29:$G$35,MATCH(I53,'Calc Worksheet'!$E$29:$E$35,0))*(H53-(INDEX('Calc Worksheet'!$D$29:$D$35,MATCH(I53,'Calc Worksheet'!$E$29:$E$35,0)))))),0)</f>
        <v>7500</v>
      </c>
      <c r="N53" s="240">
        <f>IFERROR(IF(ISNUMBER(MATCH(H53,'Calc Worksheet'!$D$29:$D$35,0)),VLOOKUP(H53,'Calc Worksheet'!$D$29:$V$35,5,FALSE),INDEX('Calc Worksheet'!$H$29:$H$35,MATCH(I53,'Calc Worksheet'!$E$29:$E$35,0))+(INDEX('Calc Worksheet'!$I$29:$I$35,MATCH(I53,'Calc Worksheet'!$E$29:$E$35,0))*(H53-(INDEX('Calc Worksheet'!$D$29:$D$35,MATCH(I53,'Calc Worksheet'!$E$29:$E$35,0)))))),0)</f>
        <v>24000</v>
      </c>
      <c r="O53" s="240">
        <f>IFERROR(IF(ISNUMBER(MATCH($H53,'Calc Worksheet'!$D$29:$D$35,0)),VLOOKUP($H53,'Calc Worksheet'!$D$29:$V$35,7,FALSE),INDEX('Calc Worksheet'!J$29:J$35,MATCH($I53,'Calc Worksheet'!$E$29:$E$35,0))+(INDEX('Calc Worksheet'!K$29:K$35,MATCH($I53,'Calc Worksheet'!$E$29:$E$35,0))*($H53-(INDEX('Calc Worksheet'!$D$29:$D$35,MATCH($I53,'Calc Worksheet'!$E$29:$E$35,0)))))),0)</f>
        <v>22800</v>
      </c>
      <c r="P53" s="241">
        <f>IFERROR(IF(ISNUMBER(MATCH($H53,'Calc Worksheet'!$D$29:$D$35,0)),VLOOKUP($H53,'Calc Worksheet'!$D$29:$V$35,9,FALSE),INDEX('Calc Worksheet'!L$29:L$35,MATCH($I53,'Calc Worksheet'!$E$29:$E$35,0))+(INDEX('Calc Worksheet'!M$29:M$35,MATCH($I53,'Calc Worksheet'!$E$29:$E$35,0))*($H53-(INDEX('Calc Worksheet'!$D$29:$D$35,MATCH($I53,'Calc Worksheet'!$E$29:$E$35,0)))))),0)</f>
        <v>6.3</v>
      </c>
      <c r="Q53" s="241">
        <f>IFERROR(IF(ISNUMBER(MATCH($H53,'Calc Worksheet'!$D$29:$D$35,0)),VLOOKUP($H53,'Calc Worksheet'!$D$29:$V$35,11,FALSE),INDEX('Calc Worksheet'!N$29:N$35,MATCH($I53,'Calc Worksheet'!$E$29:$E$35,0))+(INDEX('Calc Worksheet'!O$29:O$35,MATCH($I53,'Calc Worksheet'!$E$29:$E$35,0))*($H53-(INDEX('Calc Worksheet'!$D$29:$D$35,MATCH($I53,'Calc Worksheet'!$E$29:$E$35,0)))))),0)</f>
        <v>1.73</v>
      </c>
      <c r="R53" s="241">
        <f>IFERROR(IF(ISNUMBER(MATCH($H53,'Calc Worksheet'!$D$29:$D$35,0)),VLOOKUP($H53,'Calc Worksheet'!$D$29:$V$35,13,FALSE),INDEX('Calc Worksheet'!P$29:P$35,MATCH($I53,'Calc Worksheet'!$E$29:$E$35,0))+(INDEX('Calc Worksheet'!Q$29:Q$35,MATCH($I53,'Calc Worksheet'!$E$29:$E$35,0))*($H53-(INDEX('Calc Worksheet'!$D$29:$D$35,MATCH($I53,'Calc Worksheet'!$E$29:$E$35,0)))))),0)</f>
        <v>1.73</v>
      </c>
      <c r="S53" s="242">
        <f>IFERROR(IF(ISNUMBER(MATCH($H53,'Calc Worksheet'!$D$29:$D$35,0)),VLOOKUP($H53,'Calc Worksheet'!$D$29:$V$35,19,FALSE),INDEX('Calc Worksheet'!V$29:V$35,MATCH($I53,'Calc Worksheet'!$E$29:$E$35,0))+(INDEX('Calc Worksheet'!W$29:W$35,MATCH($I53,'Calc Worksheet'!$E$29:$E$35,0))*($H53-(INDEX('Calc Worksheet'!$D$29:$D$35,MATCH($I53,'Calc Worksheet'!$E$29:$E$35,0)))))),0)</f>
        <v>4.07</v>
      </c>
      <c r="X53" s="234">
        <v>2022</v>
      </c>
      <c r="Y53" s="234">
        <v>1</v>
      </c>
      <c r="Z53" s="234">
        <v>3</v>
      </c>
      <c r="AA53" s="235">
        <v>0.125</v>
      </c>
      <c r="AB53" s="236">
        <v>-19.2</v>
      </c>
      <c r="AC53" s="127">
        <f t="shared" si="6"/>
        <v>-19</v>
      </c>
    </row>
    <row r="54" ht="14.5" customHeight="1" spans="1:29" x14ac:dyDescent="0.25">
      <c r="A54" s="37">
        <v>53</v>
      </c>
      <c r="B54" s="239">
        <f>IFERROR(IF(H54&lt;'Calc Worksheet'!$D$4,$K54-$M54,0),0)</f>
        <v>0</v>
      </c>
      <c r="C54" s="239">
        <f t="shared" si="7"/>
        <v>-24000</v>
      </c>
      <c r="D54" s="239">
        <f t="shared" si="8"/>
        <v>0</v>
      </c>
      <c r="E54" s="239">
        <f>IFERROR(IF(H54&gt;'Calc Worksheet'!$D$5,IF(AND(K54&gt;M54,K54&lt;N54,H54&gt;'Calc Worksheet'!$D$5),J54,0),IF(AND(K54&gt;M54,K54&lt;N54,H54&lt;'Calc Worksheet'!$D$4),J54,0)),0)</f>
        <v>0</v>
      </c>
      <c r="F54" s="239">
        <f>IFERROR(IF(H54&gt;'Calc Worksheet'!$D$5,IF(AND(K54&lt;M54,H54&gt;'Calc Worksheet'!$D$5),J54,0),IF(AND(K54&lt;M54,H54&lt;'Calc Worksheet'!$D$4),J54,0)),0)</f>
        <v>0</v>
      </c>
      <c r="G54" s="239">
        <f t="shared" si="5"/>
        <v>0</v>
      </c>
      <c r="H54" s="239">
        <v>20</v>
      </c>
      <c r="I54" s="240">
        <f>IFERROR(VLOOKUP(H54,'Calc Worksheet'!$D$27:$T$35,2),0)</f>
        <v>4</v>
      </c>
      <c r="J54" s="239">
        <f t="shared" si="9"/>
        <v>132</v>
      </c>
      <c r="K54" s="240">
        <f>IF(H54&lt;'Calc Worksheet'!$D$4,MAX(_xlfn.FORECAST.LINEAR(H54,'Calc Worksheet'!$E$3:$E$4,'Calc Worksheet'!$D$3:$D$4),0),MAX(_xlfn.FORECAST.LINEAR(H54,'Calc Worksheet'!$E$5:$E$6,'Calc Worksheet'!$D$5:$D$6),0))</f>
        <v>0</v>
      </c>
      <c r="L54" s="239">
        <f t="shared" si="10"/>
        <v>0</v>
      </c>
      <c r="M54" s="240">
        <f>IFERROR(IF(ISNUMBER(MATCH(H54,'Calc Worksheet'!$D$29:$D$35,0)),VLOOKUP(H54,'Calc Worksheet'!$D$29:$V$35,3,FALSE),INDEX('Calc Worksheet'!$F$29:$F$35,MATCH(I54,'Calc Worksheet'!$E$29:$E$35,0))+(INDEX('Calc Worksheet'!$G$29:$G$35,MATCH(I54,'Calc Worksheet'!$E$29:$E$35,0))*(H54-(INDEX('Calc Worksheet'!$D$29:$D$35,MATCH(I54,'Calc Worksheet'!$E$29:$E$35,0)))))),0)</f>
        <v>7500</v>
      </c>
      <c r="N54" s="240">
        <f>IFERROR(IF(ISNUMBER(MATCH(H54,'Calc Worksheet'!$D$29:$D$35,0)),VLOOKUP(H54,'Calc Worksheet'!$D$29:$V$35,5,FALSE),INDEX('Calc Worksheet'!$H$29:$H$35,MATCH(I54,'Calc Worksheet'!$E$29:$E$35,0))+(INDEX('Calc Worksheet'!$I$29:$I$35,MATCH(I54,'Calc Worksheet'!$E$29:$E$35,0))*(H54-(INDEX('Calc Worksheet'!$D$29:$D$35,MATCH(I54,'Calc Worksheet'!$E$29:$E$35,0)))))),0)</f>
        <v>24000</v>
      </c>
      <c r="O54" s="240">
        <f>IFERROR(IF(ISNUMBER(MATCH($H54,'Calc Worksheet'!$D$29:$D$35,0)),VLOOKUP($H54,'Calc Worksheet'!$D$29:$V$35,7,FALSE),INDEX('Calc Worksheet'!J$29:J$35,MATCH($I54,'Calc Worksheet'!$E$29:$E$35,0))+(INDEX('Calc Worksheet'!K$29:K$35,MATCH($I54,'Calc Worksheet'!$E$29:$E$35,0))*($H54-(INDEX('Calc Worksheet'!$D$29:$D$35,MATCH($I54,'Calc Worksheet'!$E$29:$E$35,0)))))),0)</f>
        <v>22800</v>
      </c>
      <c r="P54" s="241">
        <f>IFERROR(IF(ISNUMBER(MATCH($H54,'Calc Worksheet'!$D$29:$D$35,0)),VLOOKUP($H54,'Calc Worksheet'!$D$29:$V$35,9,FALSE),INDEX('Calc Worksheet'!L$29:L$35,MATCH($I54,'Calc Worksheet'!$E$29:$E$35,0))+(INDEX('Calc Worksheet'!M$29:M$35,MATCH($I54,'Calc Worksheet'!$E$29:$E$35,0))*($H54-(INDEX('Calc Worksheet'!$D$29:$D$35,MATCH($I54,'Calc Worksheet'!$E$29:$E$35,0)))))),0)</f>
        <v>9.3</v>
      </c>
      <c r="Q54" s="241">
        <f>IFERROR(IF(ISNUMBER(MATCH($H54,'Calc Worksheet'!$D$29:$D$35,0)),VLOOKUP($H54,'Calc Worksheet'!$D$29:$V$35,11,FALSE),INDEX('Calc Worksheet'!N$29:N$35,MATCH($I54,'Calc Worksheet'!$E$29:$E$35,0))+(INDEX('Calc Worksheet'!O$29:O$35,MATCH($I54,'Calc Worksheet'!$E$29:$E$35,0))*($H54-(INDEX('Calc Worksheet'!$D$29:$D$35,MATCH($I54,'Calc Worksheet'!$E$29:$E$35,0)))))),0)</f>
        <v>1.73</v>
      </c>
      <c r="R54" s="241">
        <f>IFERROR(IF(ISNUMBER(MATCH($H54,'Calc Worksheet'!$D$29:$D$35,0)),VLOOKUP($H54,'Calc Worksheet'!$D$29:$V$35,13,FALSE),INDEX('Calc Worksheet'!P$29:P$35,MATCH($I54,'Calc Worksheet'!$E$29:$E$35,0))+(INDEX('Calc Worksheet'!Q$29:Q$35,MATCH($I54,'Calc Worksheet'!$E$29:$E$35,0))*($H54-(INDEX('Calc Worksheet'!$D$29:$D$35,MATCH($I54,'Calc Worksheet'!$E$29:$E$35,0)))))),0)</f>
        <v>1.73</v>
      </c>
      <c r="S54" s="242">
        <f>IFERROR(IF(ISNUMBER(MATCH($H54,'Calc Worksheet'!$D$29:$D$35,0)),VLOOKUP($H54,'Calc Worksheet'!$D$29:$V$35,19,FALSE),INDEX('Calc Worksheet'!V$29:V$35,MATCH($I54,'Calc Worksheet'!$E$29:$E$35,0))+(INDEX('Calc Worksheet'!W$29:W$35,MATCH($I54,'Calc Worksheet'!$E$29:$E$35,0))*($H54-(INDEX('Calc Worksheet'!$D$29:$D$35,MATCH($I54,'Calc Worksheet'!$E$29:$E$35,0)))))),0)</f>
        <v>4.07</v>
      </c>
      <c r="X54" s="234">
        <v>2022</v>
      </c>
      <c r="Y54" s="234">
        <v>1</v>
      </c>
      <c r="Z54" s="234">
        <v>3</v>
      </c>
      <c r="AA54" s="235">
        <v>0.16666666666787933</v>
      </c>
      <c r="AB54" s="236">
        <v>-19.6</v>
      </c>
      <c r="AC54" s="127">
        <f t="shared" si="6"/>
        <v>-20</v>
      </c>
    </row>
    <row r="55" ht="14.5" customHeight="1" spans="1:29" x14ac:dyDescent="0.25">
      <c r="A55" s="37">
        <v>54</v>
      </c>
      <c r="B55" s="239">
        <f>IFERROR(IF(H55&lt;'Calc Worksheet'!$D$4,$K55-$M55,0),0)</f>
        <v>0</v>
      </c>
      <c r="C55" s="239">
        <f t="shared" si="7"/>
        <v>-24000</v>
      </c>
      <c r="D55" s="239">
        <f t="shared" si="8"/>
        <v>0</v>
      </c>
      <c r="E55" s="239">
        <f>IFERROR(IF(H55&gt;'Calc Worksheet'!$D$5,IF(AND(K55&gt;M55,K55&lt;N55,H55&gt;'Calc Worksheet'!$D$5),J55,0),IF(AND(K55&gt;M55,K55&lt;N55,H55&lt;'Calc Worksheet'!$D$4),J55,0)),0)</f>
        <v>0</v>
      </c>
      <c r="F55" s="239">
        <f>IFERROR(IF(H55&gt;'Calc Worksheet'!$D$5,IF(AND(K55&lt;M55,H55&gt;'Calc Worksheet'!$D$5),J55,0),IF(AND(K55&lt;M55,H55&lt;'Calc Worksheet'!$D$4),J55,0)),0)</f>
        <v>0</v>
      </c>
      <c r="G55" s="239">
        <f t="shared" si="5"/>
        <v>0</v>
      </c>
      <c r="H55" s="239">
        <v>21</v>
      </c>
      <c r="I55" s="240">
        <f>IFERROR(VLOOKUP(H55,'Calc Worksheet'!$D$27:$T$35,2),0)</f>
        <v>4</v>
      </c>
      <c r="J55" s="239">
        <f t="shared" si="9"/>
        <v>144</v>
      </c>
      <c r="K55" s="240">
        <f>IF(H55&lt;'Calc Worksheet'!$D$4,MAX(_xlfn.FORECAST.LINEAR(H55,'Calc Worksheet'!$E$3:$E$4,'Calc Worksheet'!$D$3:$D$4),0),MAX(_xlfn.FORECAST.LINEAR(H55,'Calc Worksheet'!$E$5:$E$6,'Calc Worksheet'!$D$5:$D$6),0))</f>
        <v>0</v>
      </c>
      <c r="L55" s="239">
        <f t="shared" si="10"/>
        <v>0</v>
      </c>
      <c r="M55" s="240">
        <f>IFERROR(IF(ISNUMBER(MATCH(H55,'Calc Worksheet'!$D$29:$D$35,0)),VLOOKUP(H55,'Calc Worksheet'!$D$29:$V$35,3,FALSE),INDEX('Calc Worksheet'!$F$29:$F$35,MATCH(I55,'Calc Worksheet'!$E$29:$E$35,0))+(INDEX('Calc Worksheet'!$G$29:$G$35,MATCH(I55,'Calc Worksheet'!$E$29:$E$35,0))*(H55-(INDEX('Calc Worksheet'!$D$29:$D$35,MATCH(I55,'Calc Worksheet'!$E$29:$E$35,0)))))),0)</f>
        <v>7500</v>
      </c>
      <c r="N55" s="240">
        <f>IFERROR(IF(ISNUMBER(MATCH(H55,'Calc Worksheet'!$D$29:$D$35,0)),VLOOKUP(H55,'Calc Worksheet'!$D$29:$V$35,5,FALSE),INDEX('Calc Worksheet'!$H$29:$H$35,MATCH(I55,'Calc Worksheet'!$E$29:$E$35,0))+(INDEX('Calc Worksheet'!$I$29:$I$35,MATCH(I55,'Calc Worksheet'!$E$29:$E$35,0))*(H55-(INDEX('Calc Worksheet'!$D$29:$D$35,MATCH(I55,'Calc Worksheet'!$E$29:$E$35,0)))))),0)</f>
        <v>24000</v>
      </c>
      <c r="O55" s="240">
        <f>IFERROR(IF(ISNUMBER(MATCH($H55,'Calc Worksheet'!$D$29:$D$35,0)),VLOOKUP($H55,'Calc Worksheet'!$D$29:$V$35,7,FALSE),INDEX('Calc Worksheet'!J$29:J$35,MATCH($I55,'Calc Worksheet'!$E$29:$E$35,0))+(INDEX('Calc Worksheet'!K$29:K$35,MATCH($I55,'Calc Worksheet'!$E$29:$E$35,0))*($H55-(INDEX('Calc Worksheet'!$D$29:$D$35,MATCH($I55,'Calc Worksheet'!$E$29:$E$35,0)))))),0)</f>
        <v>22800</v>
      </c>
      <c r="P55" s="241">
        <f>IFERROR(IF(ISNUMBER(MATCH($H55,'Calc Worksheet'!$D$29:$D$35,0)),VLOOKUP($H55,'Calc Worksheet'!$D$29:$V$35,9,FALSE),INDEX('Calc Worksheet'!L$29:L$35,MATCH($I55,'Calc Worksheet'!$E$29:$E$35,0))+(INDEX('Calc Worksheet'!M$29:M$35,MATCH($I55,'Calc Worksheet'!$E$29:$E$35,0))*($H55-(INDEX('Calc Worksheet'!$D$29:$D$35,MATCH($I55,'Calc Worksheet'!$E$29:$E$35,0)))))),0)</f>
        <v>12.3</v>
      </c>
      <c r="Q55" s="241">
        <f>IFERROR(IF(ISNUMBER(MATCH($H55,'Calc Worksheet'!$D$29:$D$35,0)),VLOOKUP($H55,'Calc Worksheet'!$D$29:$V$35,11,FALSE),INDEX('Calc Worksheet'!N$29:N$35,MATCH($I55,'Calc Worksheet'!$E$29:$E$35,0))+(INDEX('Calc Worksheet'!O$29:O$35,MATCH($I55,'Calc Worksheet'!$E$29:$E$35,0))*($H55-(INDEX('Calc Worksheet'!$D$29:$D$35,MATCH($I55,'Calc Worksheet'!$E$29:$E$35,0)))))),0)</f>
        <v>1.73</v>
      </c>
      <c r="R55" s="241">
        <f>IFERROR(IF(ISNUMBER(MATCH($H55,'Calc Worksheet'!$D$29:$D$35,0)),VLOOKUP($H55,'Calc Worksheet'!$D$29:$V$35,13,FALSE),INDEX('Calc Worksheet'!P$29:P$35,MATCH($I55,'Calc Worksheet'!$E$29:$E$35,0))+(INDEX('Calc Worksheet'!Q$29:Q$35,MATCH($I55,'Calc Worksheet'!$E$29:$E$35,0))*($H55-(INDEX('Calc Worksheet'!$D$29:$D$35,MATCH($I55,'Calc Worksheet'!$E$29:$E$35,0)))))),0)</f>
        <v>1.73</v>
      </c>
      <c r="S55" s="242">
        <f>IFERROR(IF(ISNUMBER(MATCH($H55,'Calc Worksheet'!$D$29:$D$35,0)),VLOOKUP($H55,'Calc Worksheet'!$D$29:$V$35,19,FALSE),INDEX('Calc Worksheet'!V$29:V$35,MATCH($I55,'Calc Worksheet'!$E$29:$E$35,0))+(INDEX('Calc Worksheet'!W$29:W$35,MATCH($I55,'Calc Worksheet'!$E$29:$E$35,0))*($H55-(INDEX('Calc Worksheet'!$D$29:$D$35,MATCH($I55,'Calc Worksheet'!$E$29:$E$35,0)))))),0)</f>
        <v>4.07</v>
      </c>
      <c r="X55" s="234">
        <v>2022</v>
      </c>
      <c r="Y55" s="234">
        <v>1</v>
      </c>
      <c r="Z55" s="234">
        <v>3</v>
      </c>
      <c r="AA55" s="235">
        <v>0.20833333333212067</v>
      </c>
      <c r="AB55" s="236">
        <v>-20</v>
      </c>
      <c r="AC55" s="127">
        <f t="shared" si="6"/>
        <v>-20</v>
      </c>
    </row>
    <row r="56" ht="14.5" customHeight="1" spans="1:29" x14ac:dyDescent="0.25">
      <c r="A56" s="37">
        <v>55</v>
      </c>
      <c r="B56" s="239">
        <f>IFERROR(IF(H56&lt;'Calc Worksheet'!$D$4,$K56-$M56,0),0)</f>
        <v>0</v>
      </c>
      <c r="C56" s="239">
        <f t="shared" si="7"/>
        <v>-24000</v>
      </c>
      <c r="D56" s="239">
        <f t="shared" si="8"/>
        <v>0</v>
      </c>
      <c r="E56" s="239">
        <f>IFERROR(IF(H56&gt;'Calc Worksheet'!$D$5,IF(AND(K56&gt;M56,K56&lt;N56,H56&gt;'Calc Worksheet'!$D$5),J56,0),IF(AND(K56&gt;M56,K56&lt;N56,H56&lt;'Calc Worksheet'!$D$4),J56,0)),0)</f>
        <v>0</v>
      </c>
      <c r="F56" s="239">
        <f>IFERROR(IF(H56&gt;'Calc Worksheet'!$D$5,IF(AND(K56&lt;M56,H56&gt;'Calc Worksheet'!$D$5),J56,0),IF(AND(K56&lt;M56,H56&lt;'Calc Worksheet'!$D$4),J56,0)),0)</f>
        <v>0</v>
      </c>
      <c r="G56" s="239">
        <f>E56+F56</f>
        <v>0</v>
      </c>
      <c r="H56" s="239">
        <v>22</v>
      </c>
      <c r="I56" s="240">
        <f>IFERROR(VLOOKUP(H56,'Calc Worksheet'!$D$27:$T$35,2),0)</f>
        <v>4</v>
      </c>
      <c r="J56" s="239">
        <f t="shared" si="9"/>
        <v>123</v>
      </c>
      <c r="K56" s="240">
        <f>IF(H56&lt;'Calc Worksheet'!$D$4,MAX(_xlfn.FORECAST.LINEAR(H56,'Calc Worksheet'!$E$3:$E$4,'Calc Worksheet'!$D$3:$D$4),0),MAX(_xlfn.FORECAST.LINEAR(H56,'Calc Worksheet'!$E$5:$E$6,'Calc Worksheet'!$D$5:$D$6),0))</f>
        <v>0</v>
      </c>
      <c r="L56" s="239">
        <f t="shared" si="10"/>
        <v>0</v>
      </c>
      <c r="M56" s="240">
        <f>IFERROR(IF(ISNUMBER(MATCH(H56,'Calc Worksheet'!$D$29:$D$35,0)),VLOOKUP(H56,'Calc Worksheet'!$D$29:$V$35,3,FALSE),INDEX('Calc Worksheet'!$F$29:$F$35,MATCH(I56,'Calc Worksheet'!$E$29:$E$35,0))+(INDEX('Calc Worksheet'!$G$29:$G$35,MATCH(I56,'Calc Worksheet'!$E$29:$E$35,0))*(H56-(INDEX('Calc Worksheet'!$D$29:$D$35,MATCH(I56,'Calc Worksheet'!$E$29:$E$35,0)))))),0)</f>
        <v>7500</v>
      </c>
      <c r="N56" s="240">
        <f>IFERROR(IF(ISNUMBER(MATCH(H56,'Calc Worksheet'!$D$29:$D$35,0)),VLOOKUP(H56,'Calc Worksheet'!$D$29:$V$35,5,FALSE),INDEX('Calc Worksheet'!$H$29:$H$35,MATCH(I56,'Calc Worksheet'!$E$29:$E$35,0))+(INDEX('Calc Worksheet'!$I$29:$I$35,MATCH(I56,'Calc Worksheet'!$E$29:$E$35,0))*(H56-(INDEX('Calc Worksheet'!$D$29:$D$35,MATCH(I56,'Calc Worksheet'!$E$29:$E$35,0)))))),0)</f>
        <v>24000</v>
      </c>
      <c r="O56" s="240">
        <f>IFERROR(IF(ISNUMBER(MATCH($H56,'Calc Worksheet'!$D$29:$D$35,0)),VLOOKUP($H56,'Calc Worksheet'!$D$29:$V$35,7,FALSE),INDEX('Calc Worksheet'!J$29:J$35,MATCH($I56,'Calc Worksheet'!$E$29:$E$35,0))+(INDEX('Calc Worksheet'!K$29:K$35,MATCH($I56,'Calc Worksheet'!$E$29:$E$35,0))*($H56-(INDEX('Calc Worksheet'!$D$29:$D$35,MATCH($I56,'Calc Worksheet'!$E$29:$E$35,0)))))),0)</f>
        <v>22800</v>
      </c>
      <c r="P56" s="241">
        <f>IFERROR(IF(ISNUMBER(MATCH($H56,'Calc Worksheet'!$D$29:$D$35,0)),VLOOKUP($H56,'Calc Worksheet'!$D$29:$V$35,9,FALSE),INDEX('Calc Worksheet'!L$29:L$35,MATCH($I56,'Calc Worksheet'!$E$29:$E$35,0))+(INDEX('Calc Worksheet'!M$29:M$35,MATCH($I56,'Calc Worksheet'!$E$29:$E$35,0))*($H56-(INDEX('Calc Worksheet'!$D$29:$D$35,MATCH($I56,'Calc Worksheet'!$E$29:$E$35,0)))))),0)</f>
        <v>15.3</v>
      </c>
      <c r="Q56" s="241">
        <f>IFERROR(IF(ISNUMBER(MATCH($H56,'Calc Worksheet'!$D$29:$D$35,0)),VLOOKUP($H56,'Calc Worksheet'!$D$29:$V$35,11,FALSE),INDEX('Calc Worksheet'!N$29:N$35,MATCH($I56,'Calc Worksheet'!$E$29:$E$35,0))+(INDEX('Calc Worksheet'!O$29:O$35,MATCH($I56,'Calc Worksheet'!$E$29:$E$35,0))*($H56-(INDEX('Calc Worksheet'!$D$29:$D$35,MATCH($I56,'Calc Worksheet'!$E$29:$E$35,0)))))),0)</f>
        <v>1.73</v>
      </c>
      <c r="R56" s="241">
        <f>IFERROR(IF(ISNUMBER(MATCH($H56,'Calc Worksheet'!$D$29:$D$35,0)),VLOOKUP($H56,'Calc Worksheet'!$D$29:$V$35,13,FALSE),INDEX('Calc Worksheet'!P$29:P$35,MATCH($I56,'Calc Worksheet'!$E$29:$E$35,0))+(INDEX('Calc Worksheet'!Q$29:Q$35,MATCH($I56,'Calc Worksheet'!$E$29:$E$35,0))*($H56-(INDEX('Calc Worksheet'!$D$29:$D$35,MATCH($I56,'Calc Worksheet'!$E$29:$E$35,0)))))),0)</f>
        <v>1.73</v>
      </c>
      <c r="S56" s="242">
        <f>IFERROR(IF(ISNUMBER(MATCH($H56,'Calc Worksheet'!$D$29:$D$35,0)),VLOOKUP($H56,'Calc Worksheet'!$D$29:$V$35,19,FALSE),INDEX('Calc Worksheet'!V$29:V$35,MATCH($I56,'Calc Worksheet'!$E$29:$E$35,0))+(INDEX('Calc Worksheet'!W$29:W$35,MATCH($I56,'Calc Worksheet'!$E$29:$E$35,0))*($H56-(INDEX('Calc Worksheet'!$D$29:$D$35,MATCH($I56,'Calc Worksheet'!$E$29:$E$35,0)))))),0)</f>
        <v>4.07</v>
      </c>
      <c r="X56" s="234">
        <v>2022</v>
      </c>
      <c r="Y56" s="234">
        <v>1</v>
      </c>
      <c r="Z56" s="234">
        <v>3</v>
      </c>
      <c r="AA56" s="235">
        <v>0.25</v>
      </c>
      <c r="AB56" s="236">
        <v>-20.5</v>
      </c>
      <c r="AC56" s="127">
        <f t="shared" si="6"/>
        <v>-21</v>
      </c>
    </row>
    <row r="57" ht="14.5" customHeight="1" spans="1:29" x14ac:dyDescent="0.25">
      <c r="A57" s="37">
        <v>56</v>
      </c>
      <c r="B57" s="239">
        <f>IFERROR(IF(H57&lt;'Calc Worksheet'!$D$4,$K57-$M57,0),0)</f>
        <v>0</v>
      </c>
      <c r="C57" s="239">
        <f t="shared" si="7"/>
        <v>-24000</v>
      </c>
      <c r="D57" s="239">
        <f t="shared" si="8"/>
        <v>0</v>
      </c>
      <c r="E57" s="239">
        <f>IFERROR(IF(H57&gt;'Calc Worksheet'!$D$5,IF(AND(K57&gt;M57,K57&lt;N57,H57&gt;'Calc Worksheet'!$D$5),J57,0),IF(AND(K57&gt;M57,K57&lt;N57,H57&lt;'Calc Worksheet'!$D$4),J57,0)),0)</f>
        <v>0</v>
      </c>
      <c r="F57" s="239">
        <f>IFERROR(IF(H57&gt;'Calc Worksheet'!$D$5,IF(AND(K57&lt;M57,H57&gt;'Calc Worksheet'!$D$5),J57,0),IF(AND(K57&lt;M57,H57&lt;'Calc Worksheet'!$D$4),J57,0)),0)</f>
        <v>0</v>
      </c>
      <c r="G57" s="239">
        <f t="shared" si="5"/>
        <v>0</v>
      </c>
      <c r="H57" s="239">
        <v>23</v>
      </c>
      <c r="I57" s="240">
        <f>IFERROR(VLOOKUP(H57,'Calc Worksheet'!$D$27:$T$35,2),0)</f>
        <v>4</v>
      </c>
      <c r="J57" s="239">
        <f t="shared" si="9"/>
        <v>108</v>
      </c>
      <c r="K57" s="240">
        <f>IF(H57&lt;'Calc Worksheet'!$D$4,MAX(_xlfn.FORECAST.LINEAR(H57,'Calc Worksheet'!$E$3:$E$4,'Calc Worksheet'!$D$3:$D$4),0),MAX(_xlfn.FORECAST.LINEAR(H57,'Calc Worksheet'!$E$5:$E$6,'Calc Worksheet'!$D$5:$D$6),0))</f>
        <v>0</v>
      </c>
      <c r="L57" s="239">
        <f t="shared" si="10"/>
        <v>0</v>
      </c>
      <c r="M57" s="240">
        <f>IFERROR(IF(ISNUMBER(MATCH(H57,'Calc Worksheet'!$D$29:$D$35,0)),VLOOKUP(H57,'Calc Worksheet'!$D$29:$V$35,3,FALSE),INDEX('Calc Worksheet'!$F$29:$F$35,MATCH(I57,'Calc Worksheet'!$E$29:$E$35,0))+(INDEX('Calc Worksheet'!$G$29:$G$35,MATCH(I57,'Calc Worksheet'!$E$29:$E$35,0))*(H57-(INDEX('Calc Worksheet'!$D$29:$D$35,MATCH(I57,'Calc Worksheet'!$E$29:$E$35,0)))))),0)</f>
        <v>7500</v>
      </c>
      <c r="N57" s="240">
        <f>IFERROR(IF(ISNUMBER(MATCH(H57,'Calc Worksheet'!$D$29:$D$35,0)),VLOOKUP(H57,'Calc Worksheet'!$D$29:$V$35,5,FALSE),INDEX('Calc Worksheet'!$H$29:$H$35,MATCH(I57,'Calc Worksheet'!$E$29:$E$35,0))+(INDEX('Calc Worksheet'!$I$29:$I$35,MATCH(I57,'Calc Worksheet'!$E$29:$E$35,0))*(H57-(INDEX('Calc Worksheet'!$D$29:$D$35,MATCH(I57,'Calc Worksheet'!$E$29:$E$35,0)))))),0)</f>
        <v>24000</v>
      </c>
      <c r="O57" s="240">
        <f>IFERROR(IF(ISNUMBER(MATCH($H57,'Calc Worksheet'!$D$29:$D$35,0)),VLOOKUP($H57,'Calc Worksheet'!$D$29:$V$35,7,FALSE),INDEX('Calc Worksheet'!J$29:J$35,MATCH($I57,'Calc Worksheet'!$E$29:$E$35,0))+(INDEX('Calc Worksheet'!K$29:K$35,MATCH($I57,'Calc Worksheet'!$E$29:$E$35,0))*($H57-(INDEX('Calc Worksheet'!$D$29:$D$35,MATCH($I57,'Calc Worksheet'!$E$29:$E$35,0)))))),0)</f>
        <v>22800</v>
      </c>
      <c r="P57" s="241">
        <f>IFERROR(IF(ISNUMBER(MATCH($H57,'Calc Worksheet'!$D$29:$D$35,0)),VLOOKUP($H57,'Calc Worksheet'!$D$29:$V$35,9,FALSE),INDEX('Calc Worksheet'!L$29:L$35,MATCH($I57,'Calc Worksheet'!$E$29:$E$35,0))+(INDEX('Calc Worksheet'!M$29:M$35,MATCH($I57,'Calc Worksheet'!$E$29:$E$35,0))*($H57-(INDEX('Calc Worksheet'!$D$29:$D$35,MATCH($I57,'Calc Worksheet'!$E$29:$E$35,0)))))),0)</f>
        <v>18.3</v>
      </c>
      <c r="Q57" s="241">
        <f>IFERROR(IF(ISNUMBER(MATCH($H57,'Calc Worksheet'!$D$29:$D$35,0)),VLOOKUP($H57,'Calc Worksheet'!$D$29:$V$35,11,FALSE),INDEX('Calc Worksheet'!N$29:N$35,MATCH($I57,'Calc Worksheet'!$E$29:$E$35,0))+(INDEX('Calc Worksheet'!O$29:O$35,MATCH($I57,'Calc Worksheet'!$E$29:$E$35,0))*($H57-(INDEX('Calc Worksheet'!$D$29:$D$35,MATCH($I57,'Calc Worksheet'!$E$29:$E$35,0)))))),0)</f>
        <v>1.73</v>
      </c>
      <c r="R57" s="241">
        <f>IFERROR(IF(ISNUMBER(MATCH($H57,'Calc Worksheet'!$D$29:$D$35,0)),VLOOKUP($H57,'Calc Worksheet'!$D$29:$V$35,13,FALSE),INDEX('Calc Worksheet'!P$29:P$35,MATCH($I57,'Calc Worksheet'!$E$29:$E$35,0))+(INDEX('Calc Worksheet'!Q$29:Q$35,MATCH($I57,'Calc Worksheet'!$E$29:$E$35,0))*($H57-(INDEX('Calc Worksheet'!$D$29:$D$35,MATCH($I57,'Calc Worksheet'!$E$29:$E$35,0)))))),0)</f>
        <v>1.73</v>
      </c>
      <c r="S57" s="242">
        <f>IFERROR(IF(ISNUMBER(MATCH($H57,'Calc Worksheet'!$D$29:$D$35,0)),VLOOKUP($H57,'Calc Worksheet'!$D$29:$V$35,19,FALSE),INDEX('Calc Worksheet'!V$29:V$35,MATCH($I57,'Calc Worksheet'!$E$29:$E$35,0))+(INDEX('Calc Worksheet'!W$29:W$35,MATCH($I57,'Calc Worksheet'!$E$29:$E$35,0))*($H57-(INDEX('Calc Worksheet'!$D$29:$D$35,MATCH($I57,'Calc Worksheet'!$E$29:$E$35,0)))))),0)</f>
        <v>4.07</v>
      </c>
      <c r="X57" s="234">
        <v>2022</v>
      </c>
      <c r="Y57" s="234">
        <v>1</v>
      </c>
      <c r="Z57" s="234">
        <v>3</v>
      </c>
      <c r="AA57" s="235">
        <v>0.2916666666678793</v>
      </c>
      <c r="AB57" s="236">
        <v>-20.5</v>
      </c>
      <c r="AC57" s="127">
        <f t="shared" si="6"/>
        <v>-21</v>
      </c>
    </row>
    <row r="58" ht="14.5" customHeight="1" spans="1:29" x14ac:dyDescent="0.25">
      <c r="A58" s="37">
        <v>57</v>
      </c>
      <c r="B58" s="239">
        <f>IFERROR(IF(H58&lt;'Calc Worksheet'!$D$4,$K58-$M58,0),0)</f>
        <v>0</v>
      </c>
      <c r="C58" s="239">
        <f t="shared" si="7"/>
        <v>-24000</v>
      </c>
      <c r="D58" s="239">
        <f t="shared" si="8"/>
        <v>0</v>
      </c>
      <c r="E58" s="239">
        <f>IFERROR(IF(H58&gt;'Calc Worksheet'!$D$5,IF(AND(K58&gt;M58,K58&lt;N58,H58&gt;'Calc Worksheet'!$D$5),J58,0),IF(AND(K58&gt;M58,K58&lt;N58,H58&lt;'Calc Worksheet'!$D$4),J58,0)),0)</f>
        <v>0</v>
      </c>
      <c r="F58" s="239">
        <f>IFERROR(IF(H58&gt;'Calc Worksheet'!$D$5,IF(AND(K58&lt;M58,H58&gt;'Calc Worksheet'!$D$5),J58,0),IF(AND(K58&lt;M58,H58&lt;'Calc Worksheet'!$D$4),J58,0)),0)</f>
        <v>0</v>
      </c>
      <c r="G58" s="239">
        <f t="shared" si="5"/>
        <v>0</v>
      </c>
      <c r="H58" s="239">
        <v>24</v>
      </c>
      <c r="I58" s="240">
        <f>IFERROR(VLOOKUP(H58,'Calc Worksheet'!$D$27:$T$35,2),0)</f>
        <v>4</v>
      </c>
      <c r="J58" s="239">
        <f t="shared" si="9"/>
        <v>86</v>
      </c>
      <c r="K58" s="240">
        <f>IF(H58&lt;'Calc Worksheet'!$D$4,MAX(_xlfn.FORECAST.LINEAR(H58,'Calc Worksheet'!$E$3:$E$4,'Calc Worksheet'!$D$3:$D$4),0),MAX(_xlfn.FORECAST.LINEAR(H58,'Calc Worksheet'!$E$5:$E$6,'Calc Worksheet'!$D$5:$D$6),0))</f>
        <v>0</v>
      </c>
      <c r="L58" s="239">
        <f t="shared" si="10"/>
        <v>0</v>
      </c>
      <c r="M58" s="240">
        <f>IFERROR(IF(ISNUMBER(MATCH(H58,'Calc Worksheet'!$D$29:$D$35,0)),VLOOKUP(H58,'Calc Worksheet'!$D$29:$V$35,3,FALSE),INDEX('Calc Worksheet'!$F$29:$F$35,MATCH(I58,'Calc Worksheet'!$E$29:$E$35,0))+(INDEX('Calc Worksheet'!$G$29:$G$35,MATCH(I58,'Calc Worksheet'!$E$29:$E$35,0))*(H58-(INDEX('Calc Worksheet'!$D$29:$D$35,MATCH(I58,'Calc Worksheet'!$E$29:$E$35,0)))))),0)</f>
        <v>7500</v>
      </c>
      <c r="N58" s="240">
        <f>IFERROR(IF(ISNUMBER(MATCH(H58,'Calc Worksheet'!$D$29:$D$35,0)),VLOOKUP(H58,'Calc Worksheet'!$D$29:$V$35,5,FALSE),INDEX('Calc Worksheet'!$H$29:$H$35,MATCH(I58,'Calc Worksheet'!$E$29:$E$35,0))+(INDEX('Calc Worksheet'!$I$29:$I$35,MATCH(I58,'Calc Worksheet'!$E$29:$E$35,0))*(H58-(INDEX('Calc Worksheet'!$D$29:$D$35,MATCH(I58,'Calc Worksheet'!$E$29:$E$35,0)))))),0)</f>
        <v>24000</v>
      </c>
      <c r="O58" s="240">
        <f>IFERROR(IF(ISNUMBER(MATCH($H58,'Calc Worksheet'!$D$29:$D$35,0)),VLOOKUP($H58,'Calc Worksheet'!$D$29:$V$35,7,FALSE),INDEX('Calc Worksheet'!J$29:J$35,MATCH($I58,'Calc Worksheet'!$E$29:$E$35,0))+(INDEX('Calc Worksheet'!K$29:K$35,MATCH($I58,'Calc Worksheet'!$E$29:$E$35,0))*($H58-(INDEX('Calc Worksheet'!$D$29:$D$35,MATCH($I58,'Calc Worksheet'!$E$29:$E$35,0)))))),0)</f>
        <v>22800</v>
      </c>
      <c r="P58" s="241">
        <f>IFERROR(IF(ISNUMBER(MATCH($H58,'Calc Worksheet'!$D$29:$D$35,0)),VLOOKUP($H58,'Calc Worksheet'!$D$29:$V$35,9,FALSE),INDEX('Calc Worksheet'!L$29:L$35,MATCH($I58,'Calc Worksheet'!$E$29:$E$35,0))+(INDEX('Calc Worksheet'!M$29:M$35,MATCH($I58,'Calc Worksheet'!$E$29:$E$35,0))*($H58-(INDEX('Calc Worksheet'!$D$29:$D$35,MATCH($I58,'Calc Worksheet'!$E$29:$E$35,0)))))),0)</f>
        <v>21.3</v>
      </c>
      <c r="Q58" s="241">
        <f>IFERROR(IF(ISNUMBER(MATCH($H58,'Calc Worksheet'!$D$29:$D$35,0)),VLOOKUP($H58,'Calc Worksheet'!$D$29:$V$35,11,FALSE),INDEX('Calc Worksheet'!N$29:N$35,MATCH($I58,'Calc Worksheet'!$E$29:$E$35,0))+(INDEX('Calc Worksheet'!O$29:O$35,MATCH($I58,'Calc Worksheet'!$E$29:$E$35,0))*($H58-(INDEX('Calc Worksheet'!$D$29:$D$35,MATCH($I58,'Calc Worksheet'!$E$29:$E$35,0)))))),0)</f>
        <v>1.73</v>
      </c>
      <c r="R58" s="241">
        <f>IFERROR(IF(ISNUMBER(MATCH($H58,'Calc Worksheet'!$D$29:$D$35,0)),VLOOKUP($H58,'Calc Worksheet'!$D$29:$V$35,13,FALSE),INDEX('Calc Worksheet'!P$29:P$35,MATCH($I58,'Calc Worksheet'!$E$29:$E$35,0))+(INDEX('Calc Worksheet'!Q$29:Q$35,MATCH($I58,'Calc Worksheet'!$E$29:$E$35,0))*($H58-(INDEX('Calc Worksheet'!$D$29:$D$35,MATCH($I58,'Calc Worksheet'!$E$29:$E$35,0)))))),0)</f>
        <v>1.73</v>
      </c>
      <c r="S58" s="242">
        <f>IFERROR(IF(ISNUMBER(MATCH($H58,'Calc Worksheet'!$D$29:$D$35,0)),VLOOKUP($H58,'Calc Worksheet'!$D$29:$V$35,19,FALSE),INDEX('Calc Worksheet'!V$29:V$35,MATCH($I58,'Calc Worksheet'!$E$29:$E$35,0))+(INDEX('Calc Worksheet'!W$29:W$35,MATCH($I58,'Calc Worksheet'!$E$29:$E$35,0))*($H58-(INDEX('Calc Worksheet'!$D$29:$D$35,MATCH($I58,'Calc Worksheet'!$E$29:$E$35,0)))))),0)</f>
        <v>4.07</v>
      </c>
      <c r="X58" s="234">
        <v>2022</v>
      </c>
      <c r="Y58" s="234">
        <v>1</v>
      </c>
      <c r="Z58" s="234">
        <v>3</v>
      </c>
      <c r="AA58" s="235">
        <v>0.3333333333321207</v>
      </c>
      <c r="AB58" s="236">
        <v>-20.5</v>
      </c>
      <c r="AC58" s="127">
        <f t="shared" si="6"/>
        <v>-21</v>
      </c>
    </row>
    <row r="59" ht="14.5" customHeight="1" spans="1:29" x14ac:dyDescent="0.25">
      <c r="A59">
        <v>58</v>
      </c>
      <c r="B59" s="178">
        <f>IFERROR(IF(H59&lt;'Calc Worksheet'!$D$4,$K59-$M59,0),0)</f>
        <v>0</v>
      </c>
      <c r="C59" s="178">
        <f t="shared" si="7"/>
        <v>-21763.702493006967</v>
      </c>
      <c r="D59" s="178">
        <f t="shared" si="8"/>
        <v>12.089983397181083</v>
      </c>
      <c r="E59" s="178">
        <f>IFERROR(IF(H59&gt;'Calc Worksheet'!$D$5,IF(AND(K59&gt;M59,K59&lt;N59,H59&gt;'Calc Worksheet'!$D$5),J59,0),IF(AND(K59&gt;M59,K59&lt;N59,H59&lt;'Calc Worksheet'!$D$4),J59,0)),0)</f>
        <v>0</v>
      </c>
      <c r="F59" s="178">
        <f>IFERROR(IF(H59&gt;'Calc Worksheet'!$D$5,IF(AND(K59&lt;M59,H59&gt;'Calc Worksheet'!$D$5),J59,0),IF(AND(K59&lt;M59,H59&lt;'Calc Worksheet'!$D$4),J59,0)),0)</f>
        <v>75</v>
      </c>
      <c r="G59" s="178">
        <f t="shared" si="5"/>
        <v>75</v>
      </c>
      <c r="H59" s="178">
        <v>25</v>
      </c>
      <c r="I59" s="232">
        <f>IFERROR(VLOOKUP(H59,'Calc Worksheet'!$D$27:$T$35,2),0)</f>
        <v>4</v>
      </c>
      <c r="J59" s="178">
        <f t="shared" si="9"/>
        <v>75</v>
      </c>
      <c r="K59" s="232">
        <f>IF(H59&lt;'Calc Worksheet'!$D$4,MAX(_xlfn.FORECAST.LINEAR(H59,'Calc Worksheet'!$E$3:$E$4,'Calc Worksheet'!$D$3:$D$4),0),MAX(_xlfn.FORECAST.LINEAR(H59,'Calc Worksheet'!$E$5:$E$6,'Calc Worksheet'!$D$5:$D$6),0))</f>
        <v>2236.2975069930326</v>
      </c>
      <c r="L59" s="178">
        <f t="shared" si="10"/>
        <v>167722.31302447745</v>
      </c>
      <c r="M59" s="232">
        <f>IFERROR(IF(ISNUMBER(MATCH(H59,'Calc Worksheet'!$D$29:$D$35,0)),VLOOKUP(H59,'Calc Worksheet'!$D$29:$V$35,3,FALSE),INDEX('Calc Worksheet'!$F$29:$F$35,MATCH(I59,'Calc Worksheet'!$E$29:$E$35,0))+(INDEX('Calc Worksheet'!$G$29:$G$35,MATCH(I59,'Calc Worksheet'!$E$29:$E$35,0))*(H59-(INDEX('Calc Worksheet'!$D$29:$D$35,MATCH(I59,'Calc Worksheet'!$E$29:$E$35,0)))))),0)</f>
        <v>7500</v>
      </c>
      <c r="N59" s="232">
        <f>IFERROR(IF(ISNUMBER(MATCH(H59,'Calc Worksheet'!$D$29:$D$35,0)),VLOOKUP(H59,'Calc Worksheet'!$D$29:$V$35,5,FALSE),INDEX('Calc Worksheet'!$H$29:$H$35,MATCH(I59,'Calc Worksheet'!$E$29:$E$35,0))+(INDEX('Calc Worksheet'!$I$29:$I$35,MATCH(I59,'Calc Worksheet'!$E$29:$E$35,0))*(H59-(INDEX('Calc Worksheet'!$D$29:$D$35,MATCH(I59,'Calc Worksheet'!$E$29:$E$35,0)))))),0)</f>
        <v>24000</v>
      </c>
      <c r="O59" s="232">
        <f>IFERROR(IF(ISNUMBER(MATCH($H59,'Calc Worksheet'!$D$29:$D$35,0)),VLOOKUP($H59,'Calc Worksheet'!$D$29:$V$35,7,FALSE),INDEX('Calc Worksheet'!J$29:J$35,MATCH($I59,'Calc Worksheet'!$E$29:$E$35,0))+(INDEX('Calc Worksheet'!K$29:K$35,MATCH($I59,'Calc Worksheet'!$E$29:$E$35,0))*($H59-(INDEX('Calc Worksheet'!$D$29:$D$35,MATCH($I59,'Calc Worksheet'!$E$29:$E$35,0)))))),0)</f>
        <v>22800</v>
      </c>
      <c r="P59" s="169">
        <f>IFERROR(IF(ISNUMBER(MATCH($H59,'Calc Worksheet'!$D$29:$D$35,0)),VLOOKUP($H59,'Calc Worksheet'!$D$29:$V$35,9,FALSE),INDEX('Calc Worksheet'!L$29:L$35,MATCH($I59,'Calc Worksheet'!$E$29:$E$35,0))+(INDEX('Calc Worksheet'!M$29:M$35,MATCH($I59,'Calc Worksheet'!$E$29:$E$35,0))*($H59-(INDEX('Calc Worksheet'!$D$29:$D$35,MATCH($I59,'Calc Worksheet'!$E$29:$E$35,0)))))),0)</f>
        <v>24.3</v>
      </c>
      <c r="Q59" s="169">
        <f>IFERROR(IF(ISNUMBER(MATCH($H59,'Calc Worksheet'!$D$29:$D$35,0)),VLOOKUP($H59,'Calc Worksheet'!$D$29:$V$35,11,FALSE),INDEX('Calc Worksheet'!N$29:N$35,MATCH($I59,'Calc Worksheet'!$E$29:$E$35,0))+(INDEX('Calc Worksheet'!O$29:O$35,MATCH($I59,'Calc Worksheet'!$E$29:$E$35,0))*($H59-(INDEX('Calc Worksheet'!$D$29:$D$35,MATCH($I59,'Calc Worksheet'!$E$29:$E$35,0)))))),0)</f>
        <v>1.73</v>
      </c>
      <c r="R59" s="169">
        <f>IFERROR(IF(ISNUMBER(MATCH($H59,'Calc Worksheet'!$D$29:$D$35,0)),VLOOKUP($H59,'Calc Worksheet'!$D$29:$V$35,13,FALSE),INDEX('Calc Worksheet'!P$29:P$35,MATCH($I59,'Calc Worksheet'!$E$29:$E$35,0))+(INDEX('Calc Worksheet'!Q$29:Q$35,MATCH($I59,'Calc Worksheet'!$E$29:$E$35,0))*($H59-(INDEX('Calc Worksheet'!$D$29:$D$35,MATCH($I59,'Calc Worksheet'!$E$29:$E$35,0)))))),0)</f>
        <v>1.73</v>
      </c>
      <c r="S59" s="233">
        <f>IFERROR(IF(ISNUMBER(MATCH($H59,'Calc Worksheet'!$D$29:$D$35,0)),VLOOKUP($H59,'Calc Worksheet'!$D$29:$V$35,19,FALSE),INDEX('Calc Worksheet'!V$29:V$35,MATCH($I59,'Calc Worksheet'!$E$29:$E$35,0))+(INDEX('Calc Worksheet'!W$29:W$35,MATCH($I59,'Calc Worksheet'!$E$29:$E$35,0))*($H59-(INDEX('Calc Worksheet'!$D$29:$D$35,MATCH($I59,'Calc Worksheet'!$E$29:$E$35,0)))))),0)</f>
        <v>4.07</v>
      </c>
      <c r="X59" s="234">
        <v>2022</v>
      </c>
      <c r="Y59" s="234">
        <v>1</v>
      </c>
      <c r="Z59" s="234">
        <v>3</v>
      </c>
      <c r="AA59" s="235">
        <v>0.375</v>
      </c>
      <c r="AB59" s="236">
        <v>-20.7</v>
      </c>
      <c r="AC59" s="127">
        <f t="shared" si="6"/>
        <v>-21</v>
      </c>
    </row>
    <row r="60" ht="14.5" customHeight="1" spans="1:29" x14ac:dyDescent="0.25">
      <c r="A60">
        <v>59</v>
      </c>
      <c r="B60" s="178">
        <f>IFERROR(IF(H60&lt;'Calc Worksheet'!$D$4,$K60-$M60,0),0)</f>
        <v>0</v>
      </c>
      <c r="C60" s="178">
        <f t="shared" si="7"/>
        <v>-19527.404986013935</v>
      </c>
      <c r="D60" s="178">
        <f t="shared" si="8"/>
        <v>23.21276812258768</v>
      </c>
      <c r="E60" s="178">
        <f>IFERROR(IF(H60&gt;'Calc Worksheet'!$D$5,IF(AND(K60&gt;M60,K60&lt;N60,H60&gt;'Calc Worksheet'!$D$5),J60,0),IF(AND(K60&gt;M60,K60&lt;N60,H60&lt;'Calc Worksheet'!$D$4),J60,0)),0)</f>
        <v>0</v>
      </c>
      <c r="F60" s="178">
        <f>IFERROR(IF(H60&gt;'Calc Worksheet'!$D$5,IF(AND(K60&lt;M60,H60&gt;'Calc Worksheet'!$D$5),J60,0),IF(AND(K60&lt;M60,H60&lt;'Calc Worksheet'!$D$4),J60,0)),0)</f>
        <v>72</v>
      </c>
      <c r="G60" s="178">
        <f t="shared" si="5"/>
        <v>72</v>
      </c>
      <c r="H60" s="178">
        <v>26</v>
      </c>
      <c r="I60" s="232">
        <f>IFERROR(VLOOKUP(H60,'Calc Worksheet'!$D$27:$T$35,2),0)</f>
        <v>4</v>
      </c>
      <c r="J60" s="178">
        <f t="shared" si="9"/>
        <v>72</v>
      </c>
      <c r="K60" s="232">
        <f>IF(H60&lt;'Calc Worksheet'!$D$4,MAX(_xlfn.FORECAST.LINEAR(H60,'Calc Worksheet'!$E$3:$E$4,'Calc Worksheet'!$D$3:$D$4),0),MAX(_xlfn.FORECAST.LINEAR(H60,'Calc Worksheet'!$E$5:$E$6,'Calc Worksheet'!$D$5:$D$6),0))</f>
        <v>4472.595013986065</v>
      </c>
      <c r="L60" s="178">
        <f t="shared" si="10"/>
        <v>322026.8410069967</v>
      </c>
      <c r="M60" s="232">
        <f>IFERROR(IF(ISNUMBER(MATCH(H60,'Calc Worksheet'!$D$29:$D$35,0)),VLOOKUP(H60,'Calc Worksheet'!$D$29:$V$35,3,FALSE),INDEX('Calc Worksheet'!$F$29:$F$35,MATCH(I60,'Calc Worksheet'!$E$29:$E$35,0))+(INDEX('Calc Worksheet'!$G$29:$G$35,MATCH(I60,'Calc Worksheet'!$E$29:$E$35,0))*(H60-(INDEX('Calc Worksheet'!$D$29:$D$35,MATCH(I60,'Calc Worksheet'!$E$29:$E$35,0)))))),0)</f>
        <v>7500</v>
      </c>
      <c r="N60" s="232">
        <f>IFERROR(IF(ISNUMBER(MATCH(H60,'Calc Worksheet'!$D$29:$D$35,0)),VLOOKUP(H60,'Calc Worksheet'!$D$29:$V$35,5,FALSE),INDEX('Calc Worksheet'!$H$29:$H$35,MATCH(I60,'Calc Worksheet'!$E$29:$E$35,0))+(INDEX('Calc Worksheet'!$I$29:$I$35,MATCH(I60,'Calc Worksheet'!$E$29:$E$35,0))*(H60-(INDEX('Calc Worksheet'!$D$29:$D$35,MATCH(I60,'Calc Worksheet'!$E$29:$E$35,0)))))),0)</f>
        <v>24000</v>
      </c>
      <c r="O60" s="232">
        <f>IFERROR(IF(ISNUMBER(MATCH($H60,'Calc Worksheet'!$D$29:$D$35,0)),VLOOKUP($H60,'Calc Worksheet'!$D$29:$V$35,7,FALSE),INDEX('Calc Worksheet'!J$29:J$35,MATCH($I60,'Calc Worksheet'!$E$29:$E$35,0))+(INDEX('Calc Worksheet'!K$29:K$35,MATCH($I60,'Calc Worksheet'!$E$29:$E$35,0))*($H60-(INDEX('Calc Worksheet'!$D$29:$D$35,MATCH($I60,'Calc Worksheet'!$E$29:$E$35,0)))))),0)</f>
        <v>22800</v>
      </c>
      <c r="P60" s="169">
        <f>IFERROR(IF(ISNUMBER(MATCH($H60,'Calc Worksheet'!$D$29:$D$35,0)),VLOOKUP($H60,'Calc Worksheet'!$D$29:$V$35,9,FALSE),INDEX('Calc Worksheet'!L$29:L$35,MATCH($I60,'Calc Worksheet'!$E$29:$E$35,0))+(INDEX('Calc Worksheet'!M$29:M$35,MATCH($I60,'Calc Worksheet'!$E$29:$E$35,0))*($H60-(INDEX('Calc Worksheet'!$D$29:$D$35,MATCH($I60,'Calc Worksheet'!$E$29:$E$35,0)))))),0)</f>
        <v>27.3</v>
      </c>
      <c r="Q60" s="169">
        <f>IFERROR(IF(ISNUMBER(MATCH($H60,'Calc Worksheet'!$D$29:$D$35,0)),VLOOKUP($H60,'Calc Worksheet'!$D$29:$V$35,11,FALSE),INDEX('Calc Worksheet'!N$29:N$35,MATCH($I60,'Calc Worksheet'!$E$29:$E$35,0))+(INDEX('Calc Worksheet'!O$29:O$35,MATCH($I60,'Calc Worksheet'!$E$29:$E$35,0))*($H60-(INDEX('Calc Worksheet'!$D$29:$D$35,MATCH($I60,'Calc Worksheet'!$E$29:$E$35,0)))))),0)</f>
        <v>1.73</v>
      </c>
      <c r="R60" s="169">
        <f>IFERROR(IF(ISNUMBER(MATCH($H60,'Calc Worksheet'!$D$29:$D$35,0)),VLOOKUP($H60,'Calc Worksheet'!$D$29:$V$35,13,FALSE),INDEX('Calc Worksheet'!P$29:P$35,MATCH($I60,'Calc Worksheet'!$E$29:$E$35,0))+(INDEX('Calc Worksheet'!Q$29:Q$35,MATCH($I60,'Calc Worksheet'!$E$29:$E$35,0))*($H60-(INDEX('Calc Worksheet'!$D$29:$D$35,MATCH($I60,'Calc Worksheet'!$E$29:$E$35,0)))))),0)</f>
        <v>1.73</v>
      </c>
      <c r="S60" s="233">
        <f>IFERROR(IF(ISNUMBER(MATCH($H60,'Calc Worksheet'!$D$29:$D$35,0)),VLOOKUP($H60,'Calc Worksheet'!$D$29:$V$35,19,FALSE),INDEX('Calc Worksheet'!V$29:V$35,MATCH($I60,'Calc Worksheet'!$E$29:$E$35,0))+(INDEX('Calc Worksheet'!W$29:W$35,MATCH($I60,'Calc Worksheet'!$E$29:$E$35,0))*($H60-(INDEX('Calc Worksheet'!$D$29:$D$35,MATCH($I60,'Calc Worksheet'!$E$29:$E$35,0)))))),0)</f>
        <v>4.07</v>
      </c>
      <c r="X60" s="234">
        <v>2022</v>
      </c>
      <c r="Y60" s="234">
        <v>1</v>
      </c>
      <c r="Z60" s="234">
        <v>3</v>
      </c>
      <c r="AA60" s="235">
        <v>0.4166666666678793</v>
      </c>
      <c r="AB60" s="236">
        <v>-20.5</v>
      </c>
      <c r="AC60" s="127">
        <f t="shared" si="6"/>
        <v>-21</v>
      </c>
    </row>
    <row r="61" ht="14.5" customHeight="1" spans="1:29" x14ac:dyDescent="0.25">
      <c r="A61">
        <v>60</v>
      </c>
      <c r="B61" s="178">
        <f>IFERROR(IF(H61&lt;'Calc Worksheet'!$D$4,$K61-$M61,0),0)</f>
        <v>0</v>
      </c>
      <c r="C61" s="178">
        <f t="shared" si="7"/>
        <v>-17291.107479020895</v>
      </c>
      <c r="D61" s="178">
        <f t="shared" si="8"/>
        <v>29.98315882500912</v>
      </c>
      <c r="E61" s="178">
        <f>IFERROR(IF(H61&gt;'Calc Worksheet'!$D$5,IF(AND(K61&gt;M61,K61&lt;N61,H61&gt;'Calc Worksheet'!$D$5),J61,0),IF(AND(K61&gt;M61,K61&lt;N61,H61&lt;'Calc Worksheet'!$D$4),J61,0)),0)</f>
        <v>0</v>
      </c>
      <c r="F61" s="178">
        <f>IFERROR(IF(H61&gt;'Calc Worksheet'!$D$5,IF(AND(K61&lt;M61,H61&gt;'Calc Worksheet'!$D$5),J61,0),IF(AND(K61&lt;M61,H61&lt;'Calc Worksheet'!$D$4),J61,0)),0)</f>
        <v>62</v>
      </c>
      <c r="G61" s="178">
        <f t="shared" si="5"/>
        <v>62</v>
      </c>
      <c r="H61" s="178">
        <v>27</v>
      </c>
      <c r="I61" s="232">
        <f>IFERROR(VLOOKUP(H61,'Calc Worksheet'!$D$27:$T$35,2),0)</f>
        <v>4</v>
      </c>
      <c r="J61" s="178">
        <f t="shared" si="9"/>
        <v>62</v>
      </c>
      <c r="K61" s="232">
        <f>IF(H61&lt;'Calc Worksheet'!$D$4,MAX(_xlfn.FORECAST.LINEAR(H61,'Calc Worksheet'!$E$3:$E$4,'Calc Worksheet'!$D$3:$D$4),0),MAX(_xlfn.FORECAST.LINEAR(H61,'Calc Worksheet'!$E$5:$E$6,'Calc Worksheet'!$D$5:$D$6),0))</f>
        <v>6708.892520979105</v>
      </c>
      <c r="L61" s="178">
        <f t="shared" si="10"/>
        <v>415951.3363007045</v>
      </c>
      <c r="M61" s="232">
        <f>IFERROR(IF(ISNUMBER(MATCH(H61,'Calc Worksheet'!$D$29:$D$35,0)),VLOOKUP(H61,'Calc Worksheet'!$D$29:$V$35,3,FALSE),INDEX('Calc Worksheet'!$F$29:$F$35,MATCH(I61,'Calc Worksheet'!$E$29:$E$35,0))+(INDEX('Calc Worksheet'!$G$29:$G$35,MATCH(I61,'Calc Worksheet'!$E$29:$E$35,0))*(H61-(INDEX('Calc Worksheet'!$D$29:$D$35,MATCH(I61,'Calc Worksheet'!$E$29:$E$35,0)))))),0)</f>
        <v>7500</v>
      </c>
      <c r="N61" s="232">
        <f>IFERROR(IF(ISNUMBER(MATCH(H61,'Calc Worksheet'!$D$29:$D$35,0)),VLOOKUP(H61,'Calc Worksheet'!$D$29:$V$35,5,FALSE),INDEX('Calc Worksheet'!$H$29:$H$35,MATCH(I61,'Calc Worksheet'!$E$29:$E$35,0))+(INDEX('Calc Worksheet'!$I$29:$I$35,MATCH(I61,'Calc Worksheet'!$E$29:$E$35,0))*(H61-(INDEX('Calc Worksheet'!$D$29:$D$35,MATCH(I61,'Calc Worksheet'!$E$29:$E$35,0)))))),0)</f>
        <v>24000</v>
      </c>
      <c r="O61" s="232">
        <f>IFERROR(IF(ISNUMBER(MATCH($H61,'Calc Worksheet'!$D$29:$D$35,0)),VLOOKUP($H61,'Calc Worksheet'!$D$29:$V$35,7,FALSE),INDEX('Calc Worksheet'!J$29:J$35,MATCH($I61,'Calc Worksheet'!$E$29:$E$35,0))+(INDEX('Calc Worksheet'!K$29:K$35,MATCH($I61,'Calc Worksheet'!$E$29:$E$35,0))*($H61-(INDEX('Calc Worksheet'!$D$29:$D$35,MATCH($I61,'Calc Worksheet'!$E$29:$E$35,0)))))),0)</f>
        <v>22800</v>
      </c>
      <c r="P61" s="169">
        <f>IFERROR(IF(ISNUMBER(MATCH($H61,'Calc Worksheet'!$D$29:$D$35,0)),VLOOKUP($H61,'Calc Worksheet'!$D$29:$V$35,9,FALSE),INDEX('Calc Worksheet'!L$29:L$35,MATCH($I61,'Calc Worksheet'!$E$29:$E$35,0))+(INDEX('Calc Worksheet'!M$29:M$35,MATCH($I61,'Calc Worksheet'!$E$29:$E$35,0))*($H61-(INDEX('Calc Worksheet'!$D$29:$D$35,MATCH($I61,'Calc Worksheet'!$E$29:$E$35,0)))))),0)</f>
        <v>30.3</v>
      </c>
      <c r="Q61" s="169">
        <f>IFERROR(IF(ISNUMBER(MATCH($H61,'Calc Worksheet'!$D$29:$D$35,0)),VLOOKUP($H61,'Calc Worksheet'!$D$29:$V$35,11,FALSE),INDEX('Calc Worksheet'!N$29:N$35,MATCH($I61,'Calc Worksheet'!$E$29:$E$35,0))+(INDEX('Calc Worksheet'!O$29:O$35,MATCH($I61,'Calc Worksheet'!$E$29:$E$35,0))*($H61-(INDEX('Calc Worksheet'!$D$29:$D$35,MATCH($I61,'Calc Worksheet'!$E$29:$E$35,0)))))),0)</f>
        <v>1.73</v>
      </c>
      <c r="R61" s="169">
        <f>IFERROR(IF(ISNUMBER(MATCH($H61,'Calc Worksheet'!$D$29:$D$35,0)),VLOOKUP($H61,'Calc Worksheet'!$D$29:$V$35,13,FALSE),INDEX('Calc Worksheet'!P$29:P$35,MATCH($I61,'Calc Worksheet'!$E$29:$E$35,0))+(INDEX('Calc Worksheet'!Q$29:Q$35,MATCH($I61,'Calc Worksheet'!$E$29:$E$35,0))*($H61-(INDEX('Calc Worksheet'!$D$29:$D$35,MATCH($I61,'Calc Worksheet'!$E$29:$E$35,0)))))),0)</f>
        <v>1.73</v>
      </c>
      <c r="S61" s="233">
        <f>IFERROR(IF(ISNUMBER(MATCH($H61,'Calc Worksheet'!$D$29:$D$35,0)),VLOOKUP($H61,'Calc Worksheet'!$D$29:$V$35,19,FALSE),INDEX('Calc Worksheet'!V$29:V$35,MATCH($I61,'Calc Worksheet'!$E$29:$E$35,0))+(INDEX('Calc Worksheet'!W$29:W$35,MATCH($I61,'Calc Worksheet'!$E$29:$E$35,0))*($H61-(INDEX('Calc Worksheet'!$D$29:$D$35,MATCH($I61,'Calc Worksheet'!$E$29:$E$35,0)))))),0)</f>
        <v>4.07</v>
      </c>
      <c r="X61" s="234">
        <v>2022</v>
      </c>
      <c r="Y61" s="234">
        <v>1</v>
      </c>
      <c r="Z61" s="234">
        <v>3</v>
      </c>
      <c r="AA61" s="235">
        <v>0.4583333333321207</v>
      </c>
      <c r="AB61" s="236">
        <v>-21</v>
      </c>
      <c r="AC61" s="127">
        <f t="shared" si="6"/>
        <v>-21</v>
      </c>
    </row>
    <row r="62" ht="14.5" customHeight="1" spans="1:29" x14ac:dyDescent="0.25">
      <c r="A62">
        <v>61</v>
      </c>
      <c r="B62" s="178">
        <f>IFERROR(IF(H62&lt;'Calc Worksheet'!$D$4,$K62-$M62,0),0)</f>
        <v>0</v>
      </c>
      <c r="C62" s="178">
        <f t="shared" si="7"/>
        <v>-15054.809972027862</v>
      </c>
      <c r="D62" s="178">
        <f t="shared" si="8"/>
        <v>23.85756723710402</v>
      </c>
      <c r="E62" s="178">
        <f>IFERROR(IF(H62&gt;'Calc Worksheet'!$D$5,IF(AND(K62&gt;M62,K62&lt;N62,H62&gt;'Calc Worksheet'!$D$5),J62,0),IF(AND(K62&gt;M62,K62&lt;N62,H62&lt;'Calc Worksheet'!$D$4),J62,0)),0)</f>
        <v>37</v>
      </c>
      <c r="F62" s="178">
        <f>IFERROR(IF(H62&gt;'Calc Worksheet'!$D$5,IF(AND(K62&lt;M62,H62&gt;'Calc Worksheet'!$D$5),J62,0),IF(AND(K62&lt;M62,H62&lt;'Calc Worksheet'!$D$4),J62,0)),0)</f>
        <v>0</v>
      </c>
      <c r="G62" s="178">
        <f t="shared" si="5"/>
        <v>37</v>
      </c>
      <c r="H62" s="178">
        <v>28</v>
      </c>
      <c r="I62" s="232">
        <f>IFERROR(VLOOKUP(H62,'Calc Worksheet'!$D$27:$T$35,2),0)</f>
        <v>5</v>
      </c>
      <c r="J62" s="178">
        <f t="shared" si="9"/>
        <v>37</v>
      </c>
      <c r="K62" s="232">
        <f>IF(H62&lt;'Calc Worksheet'!$D$4,MAX(_xlfn.FORECAST.LINEAR(H62,'Calc Worksheet'!$E$3:$E$4,'Calc Worksheet'!$D$3:$D$4),0),MAX(_xlfn.FORECAST.LINEAR(H62,'Calc Worksheet'!$E$5:$E$6,'Calc Worksheet'!$D$5:$D$6),0))</f>
        <v>8945.190027972138</v>
      </c>
      <c r="L62" s="178">
        <f t="shared" si="10"/>
        <v>330972.0310349691</v>
      </c>
      <c r="M62" s="232">
        <f>IFERROR(IF(ISNUMBER(MATCH(H62,'Calc Worksheet'!$D$29:$D$35,0)),VLOOKUP(H62,'Calc Worksheet'!$D$29:$V$35,3,FALSE),INDEX('Calc Worksheet'!$F$29:$F$35,MATCH(I62,'Calc Worksheet'!$E$29:$E$35,0))+(INDEX('Calc Worksheet'!$G$29:$G$35,MATCH(I62,'Calc Worksheet'!$E$29:$E$35,0))*(H62-(INDEX('Calc Worksheet'!$D$29:$D$35,MATCH(I62,'Calc Worksheet'!$E$29:$E$35,0)))))),0)</f>
        <v>7500</v>
      </c>
      <c r="N62" s="232">
        <f>IFERROR(IF(ISNUMBER(MATCH(H62,'Calc Worksheet'!$D$29:$D$35,0)),VLOOKUP(H62,'Calc Worksheet'!$D$29:$V$35,5,FALSE),INDEX('Calc Worksheet'!$H$29:$H$35,MATCH(I62,'Calc Worksheet'!$E$29:$E$35,0))+(INDEX('Calc Worksheet'!$I$29:$I$35,MATCH(I62,'Calc Worksheet'!$E$29:$E$35,0))*(H62-(INDEX('Calc Worksheet'!$D$29:$D$35,MATCH(I62,'Calc Worksheet'!$E$29:$E$35,0)))))),0)</f>
        <v>24000</v>
      </c>
      <c r="O62" s="232">
        <f>IFERROR(IF(ISNUMBER(MATCH($H62,'Calc Worksheet'!$D$29:$D$35,0)),VLOOKUP($H62,'Calc Worksheet'!$D$29:$V$35,7,FALSE),INDEX('Calc Worksheet'!J$29:J$35,MATCH($I62,'Calc Worksheet'!$E$29:$E$35,0))+(INDEX('Calc Worksheet'!K$29:K$35,MATCH($I62,'Calc Worksheet'!$E$29:$E$35,0))*($H62-(INDEX('Calc Worksheet'!$D$29:$D$35,MATCH($I62,'Calc Worksheet'!$E$29:$E$35,0)))))),0)</f>
        <v>22800</v>
      </c>
      <c r="P62" s="169">
        <f>IFERROR(IF(ISNUMBER(MATCH($H62,'Calc Worksheet'!$D$29:$D$35,0)),VLOOKUP($H62,'Calc Worksheet'!$D$29:$V$35,9,FALSE),INDEX('Calc Worksheet'!L$29:L$35,MATCH($I62,'Calc Worksheet'!$E$29:$E$35,0))+(INDEX('Calc Worksheet'!M$29:M$35,MATCH($I62,'Calc Worksheet'!$E$29:$E$35,0))*($H62-(INDEX('Calc Worksheet'!$D$29:$D$35,MATCH($I62,'Calc Worksheet'!$E$29:$E$35,0)))))),0)</f>
        <v>0.3</v>
      </c>
      <c r="Q62" s="169">
        <f>IFERROR(IF(ISNUMBER(MATCH($H62,'Calc Worksheet'!$D$29:$D$35,0)),VLOOKUP($H62,'Calc Worksheet'!$D$29:$V$35,11,FALSE),INDEX('Calc Worksheet'!N$29:N$35,MATCH($I62,'Calc Worksheet'!$E$29:$E$35,0))+(INDEX('Calc Worksheet'!O$29:O$35,MATCH($I62,'Calc Worksheet'!$E$29:$E$35,0))*($H62-(INDEX('Calc Worksheet'!$D$29:$D$35,MATCH($I62,'Calc Worksheet'!$E$29:$E$35,0)))))),0)</f>
        <v>1.73</v>
      </c>
      <c r="R62" s="169">
        <f>IFERROR(IF(ISNUMBER(MATCH($H62,'Calc Worksheet'!$D$29:$D$35,0)),VLOOKUP($H62,'Calc Worksheet'!$D$29:$V$35,13,FALSE),INDEX('Calc Worksheet'!P$29:P$35,MATCH($I62,'Calc Worksheet'!$E$29:$E$35,0))+(INDEX('Calc Worksheet'!Q$29:Q$35,MATCH($I62,'Calc Worksheet'!$E$29:$E$35,0))*($H62-(INDEX('Calc Worksheet'!$D$29:$D$35,MATCH($I62,'Calc Worksheet'!$E$29:$E$35,0)))))),0)</f>
        <v>1.73</v>
      </c>
      <c r="S62" s="233">
        <f>IFERROR(IF(ISNUMBER(MATCH($H62,'Calc Worksheet'!$D$29:$D$35,0)),VLOOKUP($H62,'Calc Worksheet'!$D$29:$V$35,19,FALSE),INDEX('Calc Worksheet'!V$29:V$35,MATCH($I62,'Calc Worksheet'!$E$29:$E$35,0))+(INDEX('Calc Worksheet'!W$29:W$35,MATCH($I62,'Calc Worksheet'!$E$29:$E$35,0))*($H62-(INDEX('Calc Worksheet'!$D$29:$D$35,MATCH($I62,'Calc Worksheet'!$E$29:$E$35,0)))))),0)</f>
        <v>4.07</v>
      </c>
      <c r="X62" s="234">
        <v>2022</v>
      </c>
      <c r="Y62" s="234">
        <v>1</v>
      </c>
      <c r="Z62" s="234">
        <v>3</v>
      </c>
      <c r="AA62" s="235">
        <v>0.5</v>
      </c>
      <c r="AB62" s="236">
        <v>-21.2</v>
      </c>
      <c r="AC62" s="127">
        <f t="shared" si="6"/>
        <v>-21</v>
      </c>
    </row>
    <row r="63" ht="14.5" customHeight="1" spans="1:29" x14ac:dyDescent="0.25">
      <c r="A63">
        <v>62</v>
      </c>
      <c r="B63" s="178">
        <f>IFERROR(IF(H63&lt;'Calc Worksheet'!$D$4,$K63-$M63,0),0)</f>
        <v>0</v>
      </c>
      <c r="C63" s="178">
        <f t="shared" si="7"/>
        <v>-12647.083893606257</v>
      </c>
      <c r="D63" s="178">
        <f t="shared" si="8"/>
        <v>34.08074498067322</v>
      </c>
      <c r="E63" s="178">
        <f>IFERROR(IF(H63&gt;'Calc Worksheet'!$D$5,IF(AND(K63&gt;M63,K63&lt;N63,H63&gt;'Calc Worksheet'!$D$5),J63,0),IF(AND(K63&gt;M63,K63&lt;N63,H63&lt;'Calc Worksheet'!$D$4),J63,0)),0)</f>
        <v>41</v>
      </c>
      <c r="F63" s="178">
        <f>IFERROR(IF(H63&gt;'Calc Worksheet'!$D$5,IF(AND(K63&lt;M63,H63&gt;'Calc Worksheet'!$D$5),J63,0),IF(AND(K63&lt;M63,H63&lt;'Calc Worksheet'!$D$4),J63,0)),0)</f>
        <v>0</v>
      </c>
      <c r="G63" s="178">
        <f t="shared" si="5"/>
        <v>41</v>
      </c>
      <c r="H63" s="178">
        <v>29</v>
      </c>
      <c r="I63" s="232">
        <f>IFERROR(VLOOKUP(H63,'Calc Worksheet'!$D$27:$T$35,2),0)</f>
        <v>5</v>
      </c>
      <c r="J63" s="178">
        <f t="shared" si="9"/>
        <v>41</v>
      </c>
      <c r="K63" s="232">
        <f>IF(H63&lt;'Calc Worksheet'!$D$4,MAX(_xlfn.FORECAST.LINEAR(H63,'Calc Worksheet'!$E$3:$E$4,'Calc Worksheet'!$D$3:$D$4),0),MAX(_xlfn.FORECAST.LINEAR(H63,'Calc Worksheet'!$E$5:$E$6,'Calc Worksheet'!$D$5:$D$6),0))</f>
        <v>11181.48753496517</v>
      </c>
      <c r="L63" s="178">
        <f t="shared" si="10"/>
        <v>458440.98893357196</v>
      </c>
      <c r="M63" s="232">
        <f>IFERROR(IF(ISNUMBER(MATCH(H63,'Calc Worksheet'!$D$29:$D$35,0)),VLOOKUP(H63,'Calc Worksheet'!$D$29:$V$35,3,FALSE),INDEX('Calc Worksheet'!$F$29:$F$35,MATCH(I63,'Calc Worksheet'!$E$29:$E$35,0))+(INDEX('Calc Worksheet'!$G$29:$G$35,MATCH(I63,'Calc Worksheet'!$E$29:$E$35,0))*(H63-(INDEX('Calc Worksheet'!$D$29:$D$35,MATCH(I63,'Calc Worksheet'!$E$29:$E$35,0)))))),0)</f>
        <v>7400</v>
      </c>
      <c r="N63" s="232">
        <f>IFERROR(IF(ISNUMBER(MATCH(H63,'Calc Worksheet'!$D$29:$D$35,0)),VLOOKUP(H63,'Calc Worksheet'!$D$29:$V$35,5,FALSE),INDEX('Calc Worksheet'!$H$29:$H$35,MATCH(I63,'Calc Worksheet'!$E$29:$E$35,0))+(INDEX('Calc Worksheet'!$I$29:$I$35,MATCH(I63,'Calc Worksheet'!$E$29:$E$35,0))*(H63-(INDEX('Calc Worksheet'!$D$29:$D$35,MATCH(I63,'Calc Worksheet'!$E$29:$E$35,0)))))),0)</f>
        <v>23828.571428571428</v>
      </c>
      <c r="O63" s="232">
        <f>IFERROR(IF(ISNUMBER(MATCH($H63,'Calc Worksheet'!$D$29:$D$35,0)),VLOOKUP($H63,'Calc Worksheet'!$D$29:$V$35,7,FALSE),INDEX('Calc Worksheet'!J$29:J$35,MATCH($I63,'Calc Worksheet'!$E$29:$E$35,0))+(INDEX('Calc Worksheet'!K$29:K$35,MATCH($I63,'Calc Worksheet'!$E$29:$E$35,0))*($H63-(INDEX('Calc Worksheet'!$D$29:$D$35,MATCH($I63,'Calc Worksheet'!$E$29:$E$35,0)))))),0)</f>
        <v>22800</v>
      </c>
      <c r="P63" s="169">
        <f>IFERROR(IF(ISNUMBER(MATCH($H63,'Calc Worksheet'!$D$29:$D$35,0)),VLOOKUP($H63,'Calc Worksheet'!$D$29:$V$35,9,FALSE),INDEX('Calc Worksheet'!L$29:L$35,MATCH($I63,'Calc Worksheet'!$E$29:$E$35,0))+(INDEX('Calc Worksheet'!M$29:M$35,MATCH($I63,'Calc Worksheet'!$E$29:$E$35,0))*($H63-(INDEX('Calc Worksheet'!$D$29:$D$35,MATCH($I63,'Calc Worksheet'!$E$29:$E$35,0)))))),0)</f>
        <v>3.3</v>
      </c>
      <c r="Q63" s="169">
        <f>IFERROR(IF(ISNUMBER(MATCH($H63,'Calc Worksheet'!$D$29:$D$35,0)),VLOOKUP($H63,'Calc Worksheet'!$D$29:$V$35,11,FALSE),INDEX('Calc Worksheet'!N$29:N$35,MATCH($I63,'Calc Worksheet'!$E$29:$E$35,0))+(INDEX('Calc Worksheet'!O$29:O$35,MATCH($I63,'Calc Worksheet'!$E$29:$E$35,0))*($H63-(INDEX('Calc Worksheet'!$D$29:$D$35,MATCH($I63,'Calc Worksheet'!$E$29:$E$35,0)))))),0)</f>
        <v>1.7714285714285714</v>
      </c>
      <c r="R63" s="169">
        <f>IFERROR(IF(ISNUMBER(MATCH($H63,'Calc Worksheet'!$D$29:$D$35,0)),VLOOKUP($H63,'Calc Worksheet'!$D$29:$V$35,13,FALSE),INDEX('Calc Worksheet'!P$29:P$35,MATCH($I63,'Calc Worksheet'!$E$29:$E$35,0))+(INDEX('Calc Worksheet'!Q$29:Q$35,MATCH($I63,'Calc Worksheet'!$E$29:$E$35,0))*($H63-(INDEX('Calc Worksheet'!$D$29:$D$35,MATCH($I63,'Calc Worksheet'!$E$29:$E$35,0)))))),0)</f>
        <v>1.7714285714285714</v>
      </c>
      <c r="S63" s="233">
        <f>IFERROR(IF(ISNUMBER(MATCH($H63,'Calc Worksheet'!$D$29:$D$35,0)),VLOOKUP($H63,'Calc Worksheet'!$D$29:$V$35,19,FALSE),INDEX('Calc Worksheet'!V$29:V$35,MATCH($I63,'Calc Worksheet'!$E$29:$E$35,0))+(INDEX('Calc Worksheet'!W$29:W$35,MATCH($I63,'Calc Worksheet'!$E$29:$E$35,0))*($H63-(INDEX('Calc Worksheet'!$D$29:$D$35,MATCH($I63,'Calc Worksheet'!$E$29:$E$35,0)))))),0)</f>
        <v>3.9614285714285717</v>
      </c>
      <c r="X63" s="234">
        <v>2022</v>
      </c>
      <c r="Y63" s="234">
        <v>1</v>
      </c>
      <c r="Z63" s="234">
        <v>3</v>
      </c>
      <c r="AA63" s="235">
        <v>0.5416666666678793</v>
      </c>
      <c r="AB63" s="236">
        <v>-21.5</v>
      </c>
      <c r="AC63" s="127">
        <f t="shared" si="6"/>
        <v>-22</v>
      </c>
    </row>
    <row r="64" ht="14.5" customHeight="1" spans="1:29" x14ac:dyDescent="0.25">
      <c r="A64">
        <v>63</v>
      </c>
      <c r="B64" s="178">
        <f>IFERROR(IF(H64&lt;'Calc Worksheet'!$D$4,$K64-$M64,0),0)</f>
        <v>0</v>
      </c>
      <c r="C64" s="178">
        <f t="shared" si="7"/>
        <v>-10239.357815184649</v>
      </c>
      <c r="D64" s="178">
        <f t="shared" si="8"/>
        <v>33.93095315229976</v>
      </c>
      <c r="E64" s="178">
        <f>IFERROR(IF(H64&gt;'Calc Worksheet'!$D$5,IF(AND(K64&gt;M64,K64&lt;N64,H64&gt;'Calc Worksheet'!$D$5),J64,0),IF(AND(K64&gt;M64,K64&lt;N64,H64&lt;'Calc Worksheet'!$D$4),J64,0)),0)</f>
        <v>33</v>
      </c>
      <c r="F64" s="178">
        <f>IFERROR(IF(H64&gt;'Calc Worksheet'!$D$5,IF(AND(K64&lt;M64,H64&gt;'Calc Worksheet'!$D$5),J64,0),IF(AND(K64&lt;M64,H64&lt;'Calc Worksheet'!$D$4),J64,0)),0)</f>
        <v>0</v>
      </c>
      <c r="G64" s="178">
        <f t="shared" si="5"/>
        <v>33</v>
      </c>
      <c r="H64" s="178">
        <v>30</v>
      </c>
      <c r="I64" s="232">
        <f>IFERROR(VLOOKUP(H64,'Calc Worksheet'!$D$27:$T$35,2),0)</f>
        <v>5</v>
      </c>
      <c r="J64" s="178">
        <f t="shared" si="9"/>
        <v>33</v>
      </c>
      <c r="K64" s="232">
        <f>IF(H64&lt;'Calc Worksheet'!$D$4,MAX(_xlfn.FORECAST.LINEAR(H64,'Calc Worksheet'!$E$3:$E$4,'Calc Worksheet'!$D$3:$D$4),0),MAX(_xlfn.FORECAST.LINEAR(H64,'Calc Worksheet'!$E$5:$E$6,'Calc Worksheet'!$D$5:$D$6),0))</f>
        <v>13417.78504195821</v>
      </c>
      <c r="L64" s="178">
        <f t="shared" si="10"/>
        <v>442786.90638462093</v>
      </c>
      <c r="M64" s="232">
        <f>IFERROR(IF(ISNUMBER(MATCH(H64,'Calc Worksheet'!$D$29:$D$35,0)),VLOOKUP(H64,'Calc Worksheet'!$D$29:$V$35,3,FALSE),INDEX('Calc Worksheet'!$F$29:$F$35,MATCH(I64,'Calc Worksheet'!$E$29:$E$35,0))+(INDEX('Calc Worksheet'!$G$29:$G$35,MATCH(I64,'Calc Worksheet'!$E$29:$E$35,0))*(H64-(INDEX('Calc Worksheet'!$D$29:$D$35,MATCH(I64,'Calc Worksheet'!$E$29:$E$35,0)))))),0)</f>
        <v>7300</v>
      </c>
      <c r="N64" s="232">
        <f>IFERROR(IF(ISNUMBER(MATCH(H64,'Calc Worksheet'!$D$29:$D$35,0)),VLOOKUP(H64,'Calc Worksheet'!$D$29:$V$35,5,FALSE),INDEX('Calc Worksheet'!$H$29:$H$35,MATCH(I64,'Calc Worksheet'!$E$29:$E$35,0))+(INDEX('Calc Worksheet'!$I$29:$I$35,MATCH(I64,'Calc Worksheet'!$E$29:$E$35,0))*(H64-(INDEX('Calc Worksheet'!$D$29:$D$35,MATCH(I64,'Calc Worksheet'!$E$29:$E$35,0)))))),0)</f>
        <v>23657.14285714286</v>
      </c>
      <c r="O64" s="232">
        <f>IFERROR(IF(ISNUMBER(MATCH($H64,'Calc Worksheet'!$D$29:$D$35,0)),VLOOKUP($H64,'Calc Worksheet'!$D$29:$V$35,7,FALSE),INDEX('Calc Worksheet'!J$29:J$35,MATCH($I64,'Calc Worksheet'!$E$29:$E$35,0))+(INDEX('Calc Worksheet'!K$29:K$35,MATCH($I64,'Calc Worksheet'!$E$29:$E$35,0))*($H64-(INDEX('Calc Worksheet'!$D$29:$D$35,MATCH($I64,'Calc Worksheet'!$E$29:$E$35,0)))))),0)</f>
        <v>22800</v>
      </c>
      <c r="P64" s="169">
        <f>IFERROR(IF(ISNUMBER(MATCH($H64,'Calc Worksheet'!$D$29:$D$35,0)),VLOOKUP($H64,'Calc Worksheet'!$D$29:$V$35,9,FALSE),INDEX('Calc Worksheet'!L$29:L$35,MATCH($I64,'Calc Worksheet'!$E$29:$E$35,0))+(INDEX('Calc Worksheet'!M$29:M$35,MATCH($I64,'Calc Worksheet'!$E$29:$E$35,0))*($H64-(INDEX('Calc Worksheet'!$D$29:$D$35,MATCH($I64,'Calc Worksheet'!$E$29:$E$35,0)))))),0)</f>
        <v>6.3</v>
      </c>
      <c r="Q64" s="169">
        <f>IFERROR(IF(ISNUMBER(MATCH($H64,'Calc Worksheet'!$D$29:$D$35,0)),VLOOKUP($H64,'Calc Worksheet'!$D$29:$V$35,11,FALSE),INDEX('Calc Worksheet'!N$29:N$35,MATCH($I64,'Calc Worksheet'!$E$29:$E$35,0))+(INDEX('Calc Worksheet'!O$29:O$35,MATCH($I64,'Calc Worksheet'!$E$29:$E$35,0))*($H64-(INDEX('Calc Worksheet'!$D$29:$D$35,MATCH($I64,'Calc Worksheet'!$E$29:$E$35,0)))))),0)</f>
        <v>1.812857142857143</v>
      </c>
      <c r="R64" s="169">
        <f>IFERROR(IF(ISNUMBER(MATCH($H64,'Calc Worksheet'!$D$29:$D$35,0)),VLOOKUP($H64,'Calc Worksheet'!$D$29:$V$35,13,FALSE),INDEX('Calc Worksheet'!P$29:P$35,MATCH($I64,'Calc Worksheet'!$E$29:$E$35,0))+(INDEX('Calc Worksheet'!Q$29:Q$35,MATCH($I64,'Calc Worksheet'!$E$29:$E$35,0))*($H64-(INDEX('Calc Worksheet'!$D$29:$D$35,MATCH($I64,'Calc Worksheet'!$E$29:$E$35,0)))))),0)</f>
        <v>1.812857142857143</v>
      </c>
      <c r="S64" s="233">
        <f>IFERROR(IF(ISNUMBER(MATCH($H64,'Calc Worksheet'!$D$29:$D$35,0)),VLOOKUP($H64,'Calc Worksheet'!$D$29:$V$35,19,FALSE),INDEX('Calc Worksheet'!V$29:V$35,MATCH($I64,'Calc Worksheet'!$E$29:$E$35,0))+(INDEX('Calc Worksheet'!W$29:W$35,MATCH($I64,'Calc Worksheet'!$E$29:$E$35,0))*($H64-(INDEX('Calc Worksheet'!$D$29:$D$35,MATCH($I64,'Calc Worksheet'!$E$29:$E$35,0)))))),0)</f>
        <v>3.852857142857143</v>
      </c>
      <c r="X64" s="234">
        <v>2022</v>
      </c>
      <c r="Y64" s="234">
        <v>1</v>
      </c>
      <c r="Z64" s="234">
        <v>3</v>
      </c>
      <c r="AA64" s="235">
        <v>0.5833333333321207</v>
      </c>
      <c r="AB64" s="236">
        <v>-21.9</v>
      </c>
      <c r="AC64" s="127">
        <f t="shared" si="6"/>
        <v>-22</v>
      </c>
    </row>
    <row r="65" ht="14.5" customHeight="1" spans="1:29" x14ac:dyDescent="0.25">
      <c r="A65">
        <v>64</v>
      </c>
      <c r="B65" s="178">
        <f>IFERROR(IF(H65&lt;'Calc Worksheet'!$D$4,$K65-$M65,0),0)</f>
        <v>0</v>
      </c>
      <c r="C65" s="178">
        <f t="shared" si="7"/>
        <v>-7831.631736763051</v>
      </c>
      <c r="D65" s="178">
        <f t="shared" si="8"/>
        <v>19.77518165307903</v>
      </c>
      <c r="E65" s="178">
        <f>IFERROR(IF(H65&gt;'Calc Worksheet'!$D$5,IF(AND(K65&gt;M65,K65&lt;N65,H65&gt;'Calc Worksheet'!$D$5),J65,0),IF(AND(K65&gt;M65,K65&lt;N65,H65&lt;'Calc Worksheet'!$D$4),J65,0)),0)</f>
        <v>16</v>
      </c>
      <c r="F65" s="178">
        <f>IFERROR(IF(H65&gt;'Calc Worksheet'!$D$5,IF(AND(K65&lt;M65,H65&gt;'Calc Worksheet'!$D$5),J65,0),IF(AND(K65&lt;M65,H65&lt;'Calc Worksheet'!$D$4),J65,0)),0)</f>
        <v>0</v>
      </c>
      <c r="G65" s="178">
        <f t="shared" si="5"/>
        <v>16</v>
      </c>
      <c r="H65" s="178">
        <v>31</v>
      </c>
      <c r="I65" s="232">
        <f>IFERROR(VLOOKUP(H65,'Calc Worksheet'!$D$27:$T$35,2),0)</f>
        <v>5</v>
      </c>
      <c r="J65" s="178">
        <f t="shared" si="9"/>
        <v>16</v>
      </c>
      <c r="K65" s="232">
        <f>IF(H65&lt;'Calc Worksheet'!$D$4,MAX(_xlfn.FORECAST.LINEAR(H65,'Calc Worksheet'!$E$3:$E$4,'Calc Worksheet'!$D$3:$D$4),0),MAX(_xlfn.FORECAST.LINEAR(H65,'Calc Worksheet'!$E$5:$E$6,'Calc Worksheet'!$D$5:$D$6),0))</f>
        <v>15654.082548951235</v>
      </c>
      <c r="L65" s="178">
        <f t="shared" si="10"/>
        <v>250465.32078321977</v>
      </c>
      <c r="M65" s="232">
        <f>IFERROR(IF(ISNUMBER(MATCH(H65,'Calc Worksheet'!$D$29:$D$35,0)),VLOOKUP(H65,'Calc Worksheet'!$D$29:$V$35,3,FALSE),INDEX('Calc Worksheet'!$F$29:$F$35,MATCH(I65,'Calc Worksheet'!$E$29:$E$35,0))+(INDEX('Calc Worksheet'!$G$29:$G$35,MATCH(I65,'Calc Worksheet'!$E$29:$E$35,0))*(H65-(INDEX('Calc Worksheet'!$D$29:$D$35,MATCH(I65,'Calc Worksheet'!$E$29:$E$35,0)))))),0)</f>
        <v>7200</v>
      </c>
      <c r="N65" s="232">
        <f>IFERROR(IF(ISNUMBER(MATCH(H65,'Calc Worksheet'!$D$29:$D$35,0)),VLOOKUP(H65,'Calc Worksheet'!$D$29:$V$35,5,FALSE),INDEX('Calc Worksheet'!$H$29:$H$35,MATCH(I65,'Calc Worksheet'!$E$29:$E$35,0))+(INDEX('Calc Worksheet'!$I$29:$I$35,MATCH(I65,'Calc Worksheet'!$E$29:$E$35,0))*(H65-(INDEX('Calc Worksheet'!$D$29:$D$35,MATCH(I65,'Calc Worksheet'!$E$29:$E$35,0)))))),0)</f>
        <v>23485.714285714286</v>
      </c>
      <c r="O65" s="232">
        <f>IFERROR(IF(ISNUMBER(MATCH($H65,'Calc Worksheet'!$D$29:$D$35,0)),VLOOKUP($H65,'Calc Worksheet'!$D$29:$V$35,7,FALSE),INDEX('Calc Worksheet'!J$29:J$35,MATCH($I65,'Calc Worksheet'!$E$29:$E$35,0))+(INDEX('Calc Worksheet'!K$29:K$35,MATCH($I65,'Calc Worksheet'!$E$29:$E$35,0))*($H65-(INDEX('Calc Worksheet'!$D$29:$D$35,MATCH($I65,'Calc Worksheet'!$E$29:$E$35,0)))))),0)</f>
        <v>22800</v>
      </c>
      <c r="P65" s="169">
        <f>IFERROR(IF(ISNUMBER(MATCH($H65,'Calc Worksheet'!$D$29:$D$35,0)),VLOOKUP($H65,'Calc Worksheet'!$D$29:$V$35,9,FALSE),INDEX('Calc Worksheet'!L$29:L$35,MATCH($I65,'Calc Worksheet'!$E$29:$E$35,0))+(INDEX('Calc Worksheet'!M$29:M$35,MATCH($I65,'Calc Worksheet'!$E$29:$E$35,0))*($H65-(INDEX('Calc Worksheet'!$D$29:$D$35,MATCH($I65,'Calc Worksheet'!$E$29:$E$35,0)))))),0)</f>
        <v>9.3</v>
      </c>
      <c r="Q65" s="169">
        <f>IFERROR(IF(ISNUMBER(MATCH($H65,'Calc Worksheet'!$D$29:$D$35,0)),VLOOKUP($H65,'Calc Worksheet'!$D$29:$V$35,11,FALSE),INDEX('Calc Worksheet'!N$29:N$35,MATCH($I65,'Calc Worksheet'!$E$29:$E$35,0))+(INDEX('Calc Worksheet'!O$29:O$35,MATCH($I65,'Calc Worksheet'!$E$29:$E$35,0))*($H65-(INDEX('Calc Worksheet'!$D$29:$D$35,MATCH($I65,'Calc Worksheet'!$E$29:$E$35,0)))))),0)</f>
        <v>1.8542857142857143</v>
      </c>
      <c r="R65" s="169">
        <f>IFERROR(IF(ISNUMBER(MATCH($H65,'Calc Worksheet'!$D$29:$D$35,0)),VLOOKUP($H65,'Calc Worksheet'!$D$29:$V$35,13,FALSE),INDEX('Calc Worksheet'!P$29:P$35,MATCH($I65,'Calc Worksheet'!$E$29:$E$35,0))+(INDEX('Calc Worksheet'!Q$29:Q$35,MATCH($I65,'Calc Worksheet'!$E$29:$E$35,0))*($H65-(INDEX('Calc Worksheet'!$D$29:$D$35,MATCH($I65,'Calc Worksheet'!$E$29:$E$35,0)))))),0)</f>
        <v>1.8542857142857143</v>
      </c>
      <c r="S65" s="233">
        <f>IFERROR(IF(ISNUMBER(MATCH($H65,'Calc Worksheet'!$D$29:$D$35,0)),VLOOKUP($H65,'Calc Worksheet'!$D$29:$V$35,19,FALSE),INDEX('Calc Worksheet'!V$29:V$35,MATCH($I65,'Calc Worksheet'!$E$29:$E$35,0))+(INDEX('Calc Worksheet'!W$29:W$35,MATCH($I65,'Calc Worksheet'!$E$29:$E$35,0))*($H65-(INDEX('Calc Worksheet'!$D$29:$D$35,MATCH($I65,'Calc Worksheet'!$E$29:$E$35,0)))))),0)</f>
        <v>3.7442857142857147</v>
      </c>
      <c r="X65" s="234">
        <v>2022</v>
      </c>
      <c r="Y65" s="234">
        <v>1</v>
      </c>
      <c r="Z65" s="234">
        <v>3</v>
      </c>
      <c r="AA65" s="235">
        <v>0.625</v>
      </c>
      <c r="AB65" s="236">
        <v>-22.4</v>
      </c>
      <c r="AC65" s="127">
        <f t="shared" si="6"/>
        <v>-22</v>
      </c>
    </row>
    <row r="66" ht="14.5" customHeight="1" spans="1:29" x14ac:dyDescent="0.25">
      <c r="A66">
        <v>65</v>
      </c>
      <c r="B66" s="178">
        <f>IFERROR(IF(H66&lt;'Calc Worksheet'!$D$4,$K66-$M66,0),0)</f>
        <v>0</v>
      </c>
      <c r="C66" s="178">
        <f t="shared" ref="C66:C74" si="11">K66-N66</f>
        <v>-5423.9056583414385</v>
      </c>
      <c r="D66" s="178">
        <f t="shared" ref="D66:D74" si="12">IFERROR((K66/N66)*Q66*G66,0)</f>
        <v>5.818758415254425</v>
      </c>
      <c r="E66" s="178">
        <f>IFERROR(IF(H66&gt;'Calc Worksheet'!$D$5,IF(AND(K66&gt;M66,K66&lt;N66,H66&gt;'Calc Worksheet'!$D$5),J66,0),IF(AND(K66&gt;M66,K66&lt;N66,H66&lt;'Calc Worksheet'!$D$4),J66,0)),0)</f>
        <v>4</v>
      </c>
      <c r="F66" s="178">
        <f>IFERROR(IF(H66&gt;'Calc Worksheet'!$D$5,IF(AND(K66&lt;M66,H66&gt;'Calc Worksheet'!$D$5),J66,0),IF(AND(K66&lt;M66,H66&lt;'Calc Worksheet'!$D$4),J66,0)),0)</f>
        <v>0</v>
      </c>
      <c r="G66" s="178">
        <f t="shared" si="5"/>
        <v>4</v>
      </c>
      <c r="H66" s="178">
        <v>32</v>
      </c>
      <c r="I66" s="232">
        <f>IFERROR(VLOOKUP(H66,'Calc Worksheet'!$D$27:$T$35,2),0)</f>
        <v>5</v>
      </c>
      <c r="J66" s="178">
        <f t="shared" ref="J66:J74" si="13">COUNTIF($AC$2:$AC$8761,H66)</f>
        <v>4</v>
      </c>
      <c r="K66" s="232">
        <f>IF(H66&lt;'Calc Worksheet'!$D$4,MAX(_xlfn.FORECAST.LINEAR(H66,'Calc Worksheet'!$E$3:$E$4,'Calc Worksheet'!$D$3:$D$4),0),MAX(_xlfn.FORECAST.LINEAR(H66,'Calc Worksheet'!$E$5:$E$6,'Calc Worksheet'!$D$5:$D$6),0))</f>
        <v>17890.380055944275</v>
      </c>
      <c r="L66" s="178">
        <f t="shared" ref="L66:L74" si="14">J66*K66</f>
        <v>71561.5202237771</v>
      </c>
      <c r="M66" s="232">
        <f>IFERROR(IF(ISNUMBER(MATCH(H66,'Calc Worksheet'!$D$29:$D$35,0)),VLOOKUP(H66,'Calc Worksheet'!$D$29:$V$35,3,FALSE),INDEX('Calc Worksheet'!$F$29:$F$35,MATCH(I66,'Calc Worksheet'!$E$29:$E$35,0))+(INDEX('Calc Worksheet'!$G$29:$G$35,MATCH(I66,'Calc Worksheet'!$E$29:$E$35,0))*(H66-(INDEX('Calc Worksheet'!$D$29:$D$35,MATCH(I66,'Calc Worksheet'!$E$29:$E$35,0)))))),0)</f>
        <v>7100</v>
      </c>
      <c r="N66" s="232">
        <f>IFERROR(IF(ISNUMBER(MATCH(H66,'Calc Worksheet'!$D$29:$D$35,0)),VLOOKUP(H66,'Calc Worksheet'!$D$29:$V$35,5,FALSE),INDEX('Calc Worksheet'!$H$29:$H$35,MATCH(I66,'Calc Worksheet'!$E$29:$E$35,0))+(INDEX('Calc Worksheet'!$I$29:$I$35,MATCH(I66,'Calc Worksheet'!$E$29:$E$35,0))*(H66-(INDEX('Calc Worksheet'!$D$29:$D$35,MATCH(I66,'Calc Worksheet'!$E$29:$E$35,0)))))),0)</f>
        <v>23314.285714285714</v>
      </c>
      <c r="O66" s="232">
        <f>IFERROR(IF(ISNUMBER(MATCH($H66,'Calc Worksheet'!$D$29:$D$35,0)),VLOOKUP($H66,'Calc Worksheet'!$D$29:$V$35,7,FALSE),INDEX('Calc Worksheet'!J$29:J$35,MATCH($I66,'Calc Worksheet'!$E$29:$E$35,0))+(INDEX('Calc Worksheet'!K$29:K$35,MATCH($I66,'Calc Worksheet'!$E$29:$E$35,0))*($H66-(INDEX('Calc Worksheet'!$D$29:$D$35,MATCH($I66,'Calc Worksheet'!$E$29:$E$35,0)))))),0)</f>
        <v>22800</v>
      </c>
      <c r="P66" s="169">
        <f>IFERROR(IF(ISNUMBER(MATCH($H66,'Calc Worksheet'!$D$29:$D$35,0)),VLOOKUP($H66,'Calc Worksheet'!$D$29:$V$35,9,FALSE),INDEX('Calc Worksheet'!L$29:L$35,MATCH($I66,'Calc Worksheet'!$E$29:$E$35,0))+(INDEX('Calc Worksheet'!M$29:M$35,MATCH($I66,'Calc Worksheet'!$E$29:$E$35,0))*($H66-(INDEX('Calc Worksheet'!$D$29:$D$35,MATCH($I66,'Calc Worksheet'!$E$29:$E$35,0)))))),0)</f>
        <v>12.3</v>
      </c>
      <c r="Q66" s="169">
        <f>IFERROR(IF(ISNUMBER(MATCH($H66,'Calc Worksheet'!$D$29:$D$35,0)),VLOOKUP($H66,'Calc Worksheet'!$D$29:$V$35,11,FALSE),INDEX('Calc Worksheet'!N$29:N$35,MATCH($I66,'Calc Worksheet'!$E$29:$E$35,0))+(INDEX('Calc Worksheet'!O$29:O$35,MATCH($I66,'Calc Worksheet'!$E$29:$E$35,0))*($H66-(INDEX('Calc Worksheet'!$D$29:$D$35,MATCH($I66,'Calc Worksheet'!$E$29:$E$35,0)))))),0)</f>
        <v>1.8957142857142857</v>
      </c>
      <c r="R66" s="169">
        <f>IFERROR(IF(ISNUMBER(MATCH($H66,'Calc Worksheet'!$D$29:$D$35,0)),VLOOKUP($H66,'Calc Worksheet'!$D$29:$V$35,13,FALSE),INDEX('Calc Worksheet'!P$29:P$35,MATCH($I66,'Calc Worksheet'!$E$29:$E$35,0))+(INDEX('Calc Worksheet'!Q$29:Q$35,MATCH($I66,'Calc Worksheet'!$E$29:$E$35,0))*($H66-(INDEX('Calc Worksheet'!$D$29:$D$35,MATCH($I66,'Calc Worksheet'!$E$29:$E$35,0)))))),0)</f>
        <v>1.8957142857142857</v>
      </c>
      <c r="S66" s="233">
        <f>IFERROR(IF(ISNUMBER(MATCH($H66,'Calc Worksheet'!$D$29:$D$35,0)),VLOOKUP($H66,'Calc Worksheet'!$D$29:$V$35,19,FALSE),INDEX('Calc Worksheet'!V$29:V$35,MATCH($I66,'Calc Worksheet'!$E$29:$E$35,0))+(INDEX('Calc Worksheet'!W$29:W$35,MATCH($I66,'Calc Worksheet'!$E$29:$E$35,0))*($H66-(INDEX('Calc Worksheet'!$D$29:$D$35,MATCH($I66,'Calc Worksheet'!$E$29:$E$35,0)))))),0)</f>
        <v>3.6357142857142857</v>
      </c>
      <c r="X66" s="234">
        <v>2022</v>
      </c>
      <c r="Y66" s="234">
        <v>1</v>
      </c>
      <c r="Z66" s="234">
        <v>3</v>
      </c>
      <c r="AA66" s="235">
        <v>0.6666666666678793</v>
      </c>
      <c r="AB66" s="236">
        <v>-23.1</v>
      </c>
      <c r="AC66" s="127">
        <f t="shared" si="6"/>
        <v>-23</v>
      </c>
    </row>
    <row r="67" ht="14.5" customHeight="1" spans="1:29" x14ac:dyDescent="0.25">
      <c r="A67">
        <v>66</v>
      </c>
      <c r="B67" s="178">
        <f>IFERROR(IF(H67&lt;'Calc Worksheet'!$D$4,$K67-$M67,0),0)</f>
        <v>0</v>
      </c>
      <c r="C67" s="178">
        <f t="shared" si="11"/>
        <v>-3016.179579919826</v>
      </c>
      <c r="D67" s="178">
        <f t="shared" si="12"/>
        <v>1.6846774552680863</v>
      </c>
      <c r="E67" s="178">
        <f>IFERROR(IF(H67&gt;'Calc Worksheet'!$D$5,IF(AND(K67&gt;M67,K67&lt;N67,H67&gt;'Calc Worksheet'!$D$5),J67,0),IF(AND(K67&gt;M67,K67&lt;N67,H67&lt;'Calc Worksheet'!$D$4),J67,0)),0)</f>
        <v>1</v>
      </c>
      <c r="F67" s="178">
        <f>IFERROR(IF(H67&gt;'Calc Worksheet'!$D$5,IF(AND(K67&lt;M67,H67&gt;'Calc Worksheet'!$D$5),J67,0),IF(AND(K67&lt;M67,H67&lt;'Calc Worksheet'!$D$4),J67,0)),0)</f>
        <v>0</v>
      </c>
      <c r="G67" s="178">
        <f t="shared" ref="G67:G74" si="15">E67+F67</f>
        <v>1</v>
      </c>
      <c r="H67" s="178">
        <v>33</v>
      </c>
      <c r="I67" s="232">
        <f>IFERROR(VLOOKUP(H67,'Calc Worksheet'!$D$27:$T$35,2),0)</f>
        <v>5</v>
      </c>
      <c r="J67" s="178">
        <f t="shared" si="13"/>
        <v>1</v>
      </c>
      <c r="K67" s="232">
        <f>IF(H67&lt;'Calc Worksheet'!$D$4,MAX(_xlfn.FORECAST.LINEAR(H67,'Calc Worksheet'!$E$3:$E$4,'Calc Worksheet'!$D$3:$D$4),0),MAX(_xlfn.FORECAST.LINEAR(H67,'Calc Worksheet'!$E$5:$E$6,'Calc Worksheet'!$D$5:$D$6),0))</f>
        <v>20126.677562937315</v>
      </c>
      <c r="L67" s="178">
        <f t="shared" si="14"/>
        <v>20126.677562937315</v>
      </c>
      <c r="M67" s="232">
        <f>IFERROR(IF(ISNUMBER(MATCH(H67,'Calc Worksheet'!$D$29:$D$35,0)),VLOOKUP(H67,'Calc Worksheet'!$D$29:$V$35,3,FALSE),INDEX('Calc Worksheet'!$F$29:$F$35,MATCH(I67,'Calc Worksheet'!$E$29:$E$35,0))+(INDEX('Calc Worksheet'!$G$29:$G$35,MATCH(I67,'Calc Worksheet'!$E$29:$E$35,0))*(H67-(INDEX('Calc Worksheet'!$D$29:$D$35,MATCH(I67,'Calc Worksheet'!$E$29:$E$35,0)))))),0)</f>
        <v>7000</v>
      </c>
      <c r="N67" s="232">
        <f>IFERROR(IF(ISNUMBER(MATCH(H67,'Calc Worksheet'!$D$29:$D$35,0)),VLOOKUP(H67,'Calc Worksheet'!$D$29:$V$35,5,FALSE),INDEX('Calc Worksheet'!$H$29:$H$35,MATCH(I67,'Calc Worksheet'!$E$29:$E$35,0))+(INDEX('Calc Worksheet'!$I$29:$I$35,MATCH(I67,'Calc Worksheet'!$E$29:$E$35,0))*(H67-(INDEX('Calc Worksheet'!$D$29:$D$35,MATCH(I67,'Calc Worksheet'!$E$29:$E$35,0)))))),0)</f>
        <v>23142.85714285714</v>
      </c>
      <c r="O67" s="232">
        <f>IFERROR(IF(ISNUMBER(MATCH($H67,'Calc Worksheet'!$D$29:$D$35,0)),VLOOKUP($H67,'Calc Worksheet'!$D$29:$V$35,7,FALSE),INDEX('Calc Worksheet'!J$29:J$35,MATCH($I67,'Calc Worksheet'!$E$29:$E$35,0))+(INDEX('Calc Worksheet'!K$29:K$35,MATCH($I67,'Calc Worksheet'!$E$29:$E$35,0))*($H67-(INDEX('Calc Worksheet'!$D$29:$D$35,MATCH($I67,'Calc Worksheet'!$E$29:$E$35,0)))))),0)</f>
        <v>22800</v>
      </c>
      <c r="P67" s="169">
        <f>IFERROR(IF(ISNUMBER(MATCH($H67,'Calc Worksheet'!$D$29:$D$35,0)),VLOOKUP($H67,'Calc Worksheet'!$D$29:$V$35,9,FALSE),INDEX('Calc Worksheet'!L$29:L$35,MATCH($I67,'Calc Worksheet'!$E$29:$E$35,0))+(INDEX('Calc Worksheet'!M$29:M$35,MATCH($I67,'Calc Worksheet'!$E$29:$E$35,0))*($H67-(INDEX('Calc Worksheet'!$D$29:$D$35,MATCH($I67,'Calc Worksheet'!$E$29:$E$35,0)))))),0)</f>
        <v>15.3</v>
      </c>
      <c r="Q67" s="169">
        <f>IFERROR(IF(ISNUMBER(MATCH($H67,'Calc Worksheet'!$D$29:$D$35,0)),VLOOKUP($H67,'Calc Worksheet'!$D$29:$V$35,11,FALSE),INDEX('Calc Worksheet'!N$29:N$35,MATCH($I67,'Calc Worksheet'!$E$29:$E$35,0))+(INDEX('Calc Worksheet'!O$29:O$35,MATCH($I67,'Calc Worksheet'!$E$29:$E$35,0))*($H67-(INDEX('Calc Worksheet'!$D$29:$D$35,MATCH($I67,'Calc Worksheet'!$E$29:$E$35,0)))))),0)</f>
        <v>1.937142857142857</v>
      </c>
      <c r="R67" s="169">
        <f>IFERROR(IF(ISNUMBER(MATCH($H67,'Calc Worksheet'!$D$29:$D$35,0)),VLOOKUP($H67,'Calc Worksheet'!$D$29:$V$35,13,FALSE),INDEX('Calc Worksheet'!P$29:P$35,MATCH($I67,'Calc Worksheet'!$E$29:$E$35,0))+(INDEX('Calc Worksheet'!Q$29:Q$35,MATCH($I67,'Calc Worksheet'!$E$29:$E$35,0))*($H67-(INDEX('Calc Worksheet'!$D$29:$D$35,MATCH($I67,'Calc Worksheet'!$E$29:$E$35,0)))))),0)</f>
        <v>1.937142857142857</v>
      </c>
      <c r="S67" s="233">
        <f>IFERROR(IF(ISNUMBER(MATCH($H67,'Calc Worksheet'!$D$29:$D$35,0)),VLOOKUP($H67,'Calc Worksheet'!$D$29:$V$35,19,FALSE),INDEX('Calc Worksheet'!V$29:V$35,MATCH($I67,'Calc Worksheet'!$E$29:$E$35,0))+(INDEX('Calc Worksheet'!W$29:W$35,MATCH($I67,'Calc Worksheet'!$E$29:$E$35,0))*($H67-(INDEX('Calc Worksheet'!$D$29:$D$35,MATCH($I67,'Calc Worksheet'!$E$29:$E$35,0)))))),0)</f>
        <v>3.527142857142857</v>
      </c>
      <c r="X67" s="234">
        <v>2022</v>
      </c>
      <c r="Y67" s="234">
        <v>1</v>
      </c>
      <c r="Z67" s="234">
        <v>3</v>
      </c>
      <c r="AA67" s="235">
        <v>0.7083333333321207</v>
      </c>
      <c r="AB67" s="236">
        <v>-23.6</v>
      </c>
      <c r="AC67" s="127">
        <f t="shared" si="6"/>
        <v>-24</v>
      </c>
    </row>
    <row r="68" ht="14.5" customHeight="1" spans="1:29" x14ac:dyDescent="0.25">
      <c r="A68">
        <v>67</v>
      </c>
      <c r="B68" s="178">
        <f>IFERROR(IF(H68&lt;'Calc Worksheet'!$D$4,$K68-$M68,0),0)</f>
        <v>0</v>
      </c>
      <c r="C68" s="178">
        <f t="shared" si="11"/>
        <v>-608.4535014982321</v>
      </c>
      <c r="D68" s="178">
        <f t="shared" si="12"/>
        <v>0</v>
      </c>
      <c r="E68" s="178">
        <f>IFERROR(IF(H68&gt;'Calc Worksheet'!$D$5,IF(AND(K68&gt;M68,K68&lt;N68,H68&gt;'Calc Worksheet'!$D$5),J68,0),IF(AND(K68&gt;M68,K68&lt;N68,H68&lt;'Calc Worksheet'!$D$4),J68,0)),0)</f>
        <v>0</v>
      </c>
      <c r="F68" s="178">
        <f>IFERROR(IF(H68&gt;'Calc Worksheet'!$D$5,IF(AND(K68&lt;M68,H68&gt;'Calc Worksheet'!$D$5),J68,0),IF(AND(K68&lt;M68,H68&lt;'Calc Worksheet'!$D$4),J68,0)),0)</f>
        <v>0</v>
      </c>
      <c r="G68" s="178">
        <f t="shared" si="15"/>
        <v>0</v>
      </c>
      <c r="H68" s="178">
        <v>34</v>
      </c>
      <c r="I68" s="232">
        <f>IFERROR(VLOOKUP(H68,'Calc Worksheet'!$D$27:$T$35,2),0)</f>
        <v>5</v>
      </c>
      <c r="J68" s="178">
        <f t="shared" si="13"/>
        <v>0</v>
      </c>
      <c r="K68" s="232">
        <f>IF(H68&lt;'Calc Worksheet'!$D$4,MAX(_xlfn.FORECAST.LINEAR(H68,'Calc Worksheet'!$E$3:$E$4,'Calc Worksheet'!$D$3:$D$4),0),MAX(_xlfn.FORECAST.LINEAR(H68,'Calc Worksheet'!$E$5:$E$6,'Calc Worksheet'!$D$5:$D$6),0))</f>
        <v>22362.97506993034</v>
      </c>
      <c r="L68" s="178">
        <f t="shared" si="14"/>
        <v>0</v>
      </c>
      <c r="M68" s="232">
        <f>IFERROR(IF(ISNUMBER(MATCH(H68,'Calc Worksheet'!$D$29:$D$35,0)),VLOOKUP(H68,'Calc Worksheet'!$D$29:$V$35,3,FALSE),INDEX('Calc Worksheet'!$F$29:$F$35,MATCH(I68,'Calc Worksheet'!$E$29:$E$35,0))+(INDEX('Calc Worksheet'!$G$29:$G$35,MATCH(I68,'Calc Worksheet'!$E$29:$E$35,0))*(H68-(INDEX('Calc Worksheet'!$D$29:$D$35,MATCH(I68,'Calc Worksheet'!$E$29:$E$35,0)))))),0)</f>
        <v>6900</v>
      </c>
      <c r="N68" s="232">
        <f>IFERROR(IF(ISNUMBER(MATCH(H68,'Calc Worksheet'!$D$29:$D$35,0)),VLOOKUP(H68,'Calc Worksheet'!$D$29:$V$35,5,FALSE),INDEX('Calc Worksheet'!$H$29:$H$35,MATCH(I68,'Calc Worksheet'!$E$29:$E$35,0))+(INDEX('Calc Worksheet'!$I$29:$I$35,MATCH(I68,'Calc Worksheet'!$E$29:$E$35,0))*(H68-(INDEX('Calc Worksheet'!$D$29:$D$35,MATCH(I68,'Calc Worksheet'!$E$29:$E$35,0)))))),0)</f>
        <v>22971.428571428572</v>
      </c>
      <c r="O68" s="232">
        <f>IFERROR(IF(ISNUMBER(MATCH($H68,'Calc Worksheet'!$D$29:$D$35,0)),VLOOKUP($H68,'Calc Worksheet'!$D$29:$V$35,7,FALSE),INDEX('Calc Worksheet'!J$29:J$35,MATCH($I68,'Calc Worksheet'!$E$29:$E$35,0))+(INDEX('Calc Worksheet'!K$29:K$35,MATCH($I68,'Calc Worksheet'!$E$29:$E$35,0))*($H68-(INDEX('Calc Worksheet'!$D$29:$D$35,MATCH($I68,'Calc Worksheet'!$E$29:$E$35,0)))))),0)</f>
        <v>22800</v>
      </c>
      <c r="P68" s="169">
        <f>IFERROR(IF(ISNUMBER(MATCH($H68,'Calc Worksheet'!$D$29:$D$35,0)),VLOOKUP($H68,'Calc Worksheet'!$D$29:$V$35,9,FALSE),INDEX('Calc Worksheet'!L$29:L$35,MATCH($I68,'Calc Worksheet'!$E$29:$E$35,0))+(INDEX('Calc Worksheet'!M$29:M$35,MATCH($I68,'Calc Worksheet'!$E$29:$E$35,0))*($H68-(INDEX('Calc Worksheet'!$D$29:$D$35,MATCH($I68,'Calc Worksheet'!$E$29:$E$35,0)))))),0)</f>
        <v>18.3</v>
      </c>
      <c r="Q68" s="169">
        <f>IFERROR(IF(ISNUMBER(MATCH($H68,'Calc Worksheet'!$D$29:$D$35,0)),VLOOKUP($H68,'Calc Worksheet'!$D$29:$V$35,11,FALSE),INDEX('Calc Worksheet'!N$29:N$35,MATCH($I68,'Calc Worksheet'!$E$29:$E$35,0))+(INDEX('Calc Worksheet'!O$29:O$35,MATCH($I68,'Calc Worksheet'!$E$29:$E$35,0))*($H68-(INDEX('Calc Worksheet'!$D$29:$D$35,MATCH($I68,'Calc Worksheet'!$E$29:$E$35,0)))))),0)</f>
        <v>1.9785714285714286</v>
      </c>
      <c r="R68" s="169">
        <f>IFERROR(IF(ISNUMBER(MATCH($H68,'Calc Worksheet'!$D$29:$D$35,0)),VLOOKUP($H68,'Calc Worksheet'!$D$29:$V$35,13,FALSE),INDEX('Calc Worksheet'!P$29:P$35,MATCH($I68,'Calc Worksheet'!$E$29:$E$35,0))+(INDEX('Calc Worksheet'!Q$29:Q$35,MATCH($I68,'Calc Worksheet'!$E$29:$E$35,0))*($H68-(INDEX('Calc Worksheet'!$D$29:$D$35,MATCH($I68,'Calc Worksheet'!$E$29:$E$35,0)))))),0)</f>
        <v>1.9785714285714286</v>
      </c>
      <c r="S68" s="233">
        <f>IFERROR(IF(ISNUMBER(MATCH($H68,'Calc Worksheet'!$D$29:$D$35,0)),VLOOKUP($H68,'Calc Worksheet'!$D$29:$V$35,19,FALSE),INDEX('Calc Worksheet'!V$29:V$35,MATCH($I68,'Calc Worksheet'!$E$29:$E$35,0))+(INDEX('Calc Worksheet'!W$29:W$35,MATCH($I68,'Calc Worksheet'!$E$29:$E$35,0))*($H68-(INDEX('Calc Worksheet'!$D$29:$D$35,MATCH($I68,'Calc Worksheet'!$E$29:$E$35,0)))))),0)</f>
        <v>3.4185714285714286</v>
      </c>
      <c r="X68" s="234">
        <v>2022</v>
      </c>
      <c r="Y68" s="234">
        <v>1</v>
      </c>
      <c r="Z68" s="234">
        <v>3</v>
      </c>
      <c r="AA68" s="235">
        <v>0.75</v>
      </c>
      <c r="AB68" s="236">
        <v>-24.2</v>
      </c>
      <c r="AC68" s="127">
        <f t="shared" si="6"/>
        <v>-24</v>
      </c>
    </row>
    <row r="69" ht="14.5" customHeight="1" spans="1:29" x14ac:dyDescent="0.25">
      <c r="A69">
        <v>68</v>
      </c>
      <c r="B69" s="178">
        <f>IFERROR(IF(H69&lt;'Calc Worksheet'!$D$4,$K69-$M69,0),0)</f>
        <v>0</v>
      </c>
      <c r="C69" s="178">
        <f t="shared" si="11"/>
        <v>1799.2725769233803</v>
      </c>
      <c r="D69" s="178">
        <f t="shared" si="12"/>
        <v>0</v>
      </c>
      <c r="E69" s="178">
        <f>IFERROR(IF(H69&gt;'Calc Worksheet'!$D$5,IF(AND(K69&gt;M69,K69&lt;N69,H69&gt;'Calc Worksheet'!$D$5),J69,0),IF(AND(K69&gt;M69,K69&lt;N69,H69&lt;'Calc Worksheet'!$D$4),J69,0)),0)</f>
        <v>0</v>
      </c>
      <c r="F69" s="178">
        <f>IFERROR(IF(H69&gt;'Calc Worksheet'!$D$5,IF(AND(K69&lt;M69,H69&gt;'Calc Worksheet'!$D$5),J69,0),IF(AND(K69&lt;M69,H69&lt;'Calc Worksheet'!$D$4),J69,0)),0)</f>
        <v>0</v>
      </c>
      <c r="G69" s="178">
        <f t="shared" si="15"/>
        <v>0</v>
      </c>
      <c r="H69" s="178">
        <v>35</v>
      </c>
      <c r="I69" s="232">
        <f>IFERROR(VLOOKUP(H69,'Calc Worksheet'!$D$27:$T$35,2),0)</f>
        <v>6</v>
      </c>
      <c r="J69" s="178">
        <f t="shared" si="13"/>
        <v>0</v>
      </c>
      <c r="K69" s="232">
        <f>IF(H69&lt;'Calc Worksheet'!$D$4,MAX(_xlfn.FORECAST.LINEAR(H69,'Calc Worksheet'!$E$3:$E$4,'Calc Worksheet'!$D$3:$D$4),0),MAX(_xlfn.FORECAST.LINEAR(H69,'Calc Worksheet'!$E$5:$E$6,'Calc Worksheet'!$D$5:$D$6),0))</f>
        <v>24599.27257692338</v>
      </c>
      <c r="L69" s="178">
        <f t="shared" si="14"/>
        <v>0</v>
      </c>
      <c r="M69" s="232">
        <f>IFERROR(IF(ISNUMBER(MATCH(H69,'Calc Worksheet'!$D$29:$D$35,0)),VLOOKUP(H69,'Calc Worksheet'!$D$29:$V$35,3,FALSE),INDEX('Calc Worksheet'!$F$29:$F$35,MATCH(I69,'Calc Worksheet'!$E$29:$E$35,0))+(INDEX('Calc Worksheet'!$G$29:$G$35,MATCH(I69,'Calc Worksheet'!$E$29:$E$35,0))*(H69-(INDEX('Calc Worksheet'!$D$29:$D$35,MATCH(I69,'Calc Worksheet'!$E$29:$E$35,0)))))),0)</f>
        <v>6800</v>
      </c>
      <c r="N69" s="232">
        <f>IFERROR(IF(ISNUMBER(MATCH(H69,'Calc Worksheet'!$D$29:$D$35,0)),VLOOKUP(H69,'Calc Worksheet'!$D$29:$V$35,5,FALSE),INDEX('Calc Worksheet'!$H$29:$H$35,MATCH(I69,'Calc Worksheet'!$E$29:$E$35,0))+(INDEX('Calc Worksheet'!$I$29:$I$35,MATCH(I69,'Calc Worksheet'!$E$29:$E$35,0))*(H69-(INDEX('Calc Worksheet'!$D$29:$D$35,MATCH(I69,'Calc Worksheet'!$E$29:$E$35,0)))))),0)</f>
        <v>22800</v>
      </c>
      <c r="O69" s="232">
        <f>IFERROR(IF(ISNUMBER(MATCH($H69,'Calc Worksheet'!$D$29:$D$35,0)),VLOOKUP($H69,'Calc Worksheet'!$D$29:$V$35,7,FALSE),INDEX('Calc Worksheet'!J$29:J$35,MATCH($I69,'Calc Worksheet'!$E$29:$E$35,0))+(INDEX('Calc Worksheet'!K$29:K$35,MATCH($I69,'Calc Worksheet'!$E$29:$E$35,0))*($H69-(INDEX('Calc Worksheet'!$D$29:$D$35,MATCH($I69,'Calc Worksheet'!$E$29:$E$35,0)))))),0)</f>
        <v>22800</v>
      </c>
      <c r="P69" s="169">
        <f>IFERROR(IF(ISNUMBER(MATCH($H69,'Calc Worksheet'!$D$29:$D$35,0)),VLOOKUP($H69,'Calc Worksheet'!$D$29:$V$35,9,FALSE),INDEX('Calc Worksheet'!L$29:L$35,MATCH($I69,'Calc Worksheet'!$E$29:$E$35,0))+(INDEX('Calc Worksheet'!M$29:M$35,MATCH($I69,'Calc Worksheet'!$E$29:$E$35,0))*($H69-(INDEX('Calc Worksheet'!$D$29:$D$35,MATCH($I69,'Calc Worksheet'!$E$29:$E$35,0)))))),0)</f>
        <v>0.46</v>
      </c>
      <c r="Q69" s="169">
        <f>IFERROR(IF(ISNUMBER(MATCH($H69,'Calc Worksheet'!$D$29:$D$35,0)),VLOOKUP($H69,'Calc Worksheet'!$D$29:$V$35,11,FALSE),INDEX('Calc Worksheet'!N$29:N$35,MATCH($I69,'Calc Worksheet'!$E$29:$E$35,0))+(INDEX('Calc Worksheet'!O$29:O$35,MATCH($I69,'Calc Worksheet'!$E$29:$E$35,0))*($H69-(INDEX('Calc Worksheet'!$D$29:$D$35,MATCH($I69,'Calc Worksheet'!$E$29:$E$35,0)))))),0)</f>
        <v>2.02</v>
      </c>
      <c r="R69" s="169">
        <f>IFERROR(IF(ISNUMBER(MATCH($H69,'Calc Worksheet'!$D$29:$D$35,0)),VLOOKUP($H69,'Calc Worksheet'!$D$29:$V$35,13,FALSE),INDEX('Calc Worksheet'!P$29:P$35,MATCH($I69,'Calc Worksheet'!$E$29:$E$35,0))+(INDEX('Calc Worksheet'!Q$29:Q$35,MATCH($I69,'Calc Worksheet'!$E$29:$E$35,0))*($H69-(INDEX('Calc Worksheet'!$D$29:$D$35,MATCH($I69,'Calc Worksheet'!$E$29:$E$35,0)))))),0)</f>
        <v>2.02</v>
      </c>
      <c r="S69" s="233">
        <f>IFERROR(IF(ISNUMBER(MATCH($H69,'Calc Worksheet'!$D$29:$D$35,0)),VLOOKUP($H69,'Calc Worksheet'!$D$29:$V$35,19,FALSE),INDEX('Calc Worksheet'!V$29:V$35,MATCH($I69,'Calc Worksheet'!$E$29:$E$35,0))+(INDEX('Calc Worksheet'!W$29:W$35,MATCH($I69,'Calc Worksheet'!$E$29:$E$35,0))*($H69-(INDEX('Calc Worksheet'!$D$29:$D$35,MATCH($I69,'Calc Worksheet'!$E$29:$E$35,0)))))),0)</f>
        <v>3.31</v>
      </c>
      <c r="X69" s="234">
        <v>2022</v>
      </c>
      <c r="Y69" s="234">
        <v>1</v>
      </c>
      <c r="Z69" s="234">
        <v>3</v>
      </c>
      <c r="AA69" s="235">
        <v>0.7916666666678793</v>
      </c>
      <c r="AB69" s="236">
        <v>-24.2</v>
      </c>
      <c r="AC69" s="127">
        <f t="shared" si="6"/>
        <v>-24</v>
      </c>
    </row>
    <row r="70" ht="14.5" customHeight="1" spans="1:29" x14ac:dyDescent="0.25">
      <c r="A70">
        <v>69</v>
      </c>
      <c r="B70" s="178">
        <f>IFERROR(IF(H70&lt;'Calc Worksheet'!$D$4,$K70-$M70,0),0)</f>
        <v>0</v>
      </c>
      <c r="C70" s="178">
        <f t="shared" si="11"/>
        <v>3384.141512487833</v>
      </c>
      <c r="D70" s="178">
        <f t="shared" si="12"/>
        <v>0</v>
      </c>
      <c r="E70" s="178">
        <f>IFERROR(IF(H70&gt;'Calc Worksheet'!$D$5,IF(AND(K70&gt;M70,K70&lt;N70,H70&gt;'Calc Worksheet'!$D$5),J70,0),IF(AND(K70&gt;M70,K70&lt;N70,H70&lt;'Calc Worksheet'!$D$4),J70,0)),0)</f>
        <v>0</v>
      </c>
      <c r="F70" s="178">
        <f>IFERROR(IF(H70&gt;'Calc Worksheet'!$D$5,IF(AND(K70&lt;M70,H70&gt;'Calc Worksheet'!$D$5),J70,0),IF(AND(K70&lt;M70,H70&lt;'Calc Worksheet'!$D$4),J70,0)),0)</f>
        <v>0</v>
      </c>
      <c r="G70" s="178">
        <f t="shared" si="15"/>
        <v>0</v>
      </c>
      <c r="H70" s="178">
        <v>36</v>
      </c>
      <c r="I70" s="232">
        <f>IFERROR(VLOOKUP(H70,'Calc Worksheet'!$D$27:$T$35,2),0)</f>
        <v>6</v>
      </c>
      <c r="J70" s="178">
        <f t="shared" si="13"/>
        <v>0</v>
      </c>
      <c r="K70" s="232">
        <f>IF(H70&lt;'Calc Worksheet'!$D$4,MAX(_xlfn.FORECAST.LINEAR(H70,'Calc Worksheet'!$E$3:$E$4,'Calc Worksheet'!$D$3:$D$4),0),MAX(_xlfn.FORECAST.LINEAR(H70,'Calc Worksheet'!$E$5:$E$6,'Calc Worksheet'!$D$5:$D$6),0))</f>
        <v>26835.570083916406</v>
      </c>
      <c r="L70" s="178">
        <f t="shared" si="14"/>
        <v>0</v>
      </c>
      <c r="M70" s="232">
        <f>IFERROR(IF(ISNUMBER(MATCH(H70,'Calc Worksheet'!$D$29:$D$35,0)),VLOOKUP(H70,'Calc Worksheet'!$D$29:$V$35,3,FALSE),INDEX('Calc Worksheet'!$F$29:$F$35,MATCH(I70,'Calc Worksheet'!$E$29:$E$35,0))+(INDEX('Calc Worksheet'!$G$29:$G$35,MATCH(I70,'Calc Worksheet'!$E$29:$E$35,0))*(H70-(INDEX('Calc Worksheet'!$D$29:$D$35,MATCH(I70,'Calc Worksheet'!$E$29:$E$35,0)))))),0)</f>
        <v>6994.285714285715</v>
      </c>
      <c r="N70" s="232">
        <f>IFERROR(IF(ISNUMBER(MATCH(H70,'Calc Worksheet'!$D$29:$D$35,0)),VLOOKUP(H70,'Calc Worksheet'!$D$29:$V$35,5,FALSE),INDEX('Calc Worksheet'!$H$29:$H$35,MATCH(I70,'Calc Worksheet'!$E$29:$E$35,0))+(INDEX('Calc Worksheet'!$I$29:$I$35,MATCH(I70,'Calc Worksheet'!$E$29:$E$35,0))*(H70-(INDEX('Calc Worksheet'!$D$29:$D$35,MATCH(I70,'Calc Worksheet'!$E$29:$E$35,0)))))),0)</f>
        <v>23451.428571428572</v>
      </c>
      <c r="O70" s="232">
        <f>IFERROR(IF(ISNUMBER(MATCH($H70,'Calc Worksheet'!$D$29:$D$35,0)),VLOOKUP($H70,'Calc Worksheet'!$D$29:$V$35,7,FALSE),INDEX('Calc Worksheet'!J$29:J$35,MATCH($I70,'Calc Worksheet'!$E$29:$E$35,0))+(INDEX('Calc Worksheet'!K$29:K$35,MATCH($I70,'Calc Worksheet'!$E$29:$E$35,0))*($H70-(INDEX('Calc Worksheet'!$D$29:$D$35,MATCH($I70,'Calc Worksheet'!$E$29:$E$35,0)))))),0)</f>
        <v>23451.428571428572</v>
      </c>
      <c r="P70" s="169">
        <f>IFERROR(IF(ISNUMBER(MATCH($H70,'Calc Worksheet'!$D$29:$D$35,0)),VLOOKUP($H70,'Calc Worksheet'!$D$29:$V$35,9,FALSE),INDEX('Calc Worksheet'!L$29:L$35,MATCH($I70,'Calc Worksheet'!$E$29:$E$35,0))+(INDEX('Calc Worksheet'!M$29:M$35,MATCH($I70,'Calc Worksheet'!$E$29:$E$35,0))*($H70-(INDEX('Calc Worksheet'!$D$29:$D$35,MATCH($I70,'Calc Worksheet'!$E$29:$E$35,0)))))),0)</f>
        <v>0.47314285714285714</v>
      </c>
      <c r="Q70" s="169">
        <f>IFERROR(IF(ISNUMBER(MATCH($H70,'Calc Worksheet'!$D$29:$D$35,0)),VLOOKUP($H70,'Calc Worksheet'!$D$29:$V$35,11,FALSE),INDEX('Calc Worksheet'!N$29:N$35,MATCH($I70,'Calc Worksheet'!$E$29:$E$35,0))+(INDEX('Calc Worksheet'!O$29:O$35,MATCH($I70,'Calc Worksheet'!$E$29:$E$35,0))*($H70-(INDEX('Calc Worksheet'!$D$29:$D$35,MATCH($I70,'Calc Worksheet'!$E$29:$E$35,0)))))),0)</f>
        <v>2.077714285714286</v>
      </c>
      <c r="R70" s="169">
        <f>IFERROR(IF(ISNUMBER(MATCH($H70,'Calc Worksheet'!$D$29:$D$35,0)),VLOOKUP($H70,'Calc Worksheet'!$D$29:$V$35,13,FALSE),INDEX('Calc Worksheet'!P$29:P$35,MATCH($I70,'Calc Worksheet'!$E$29:$E$35,0))+(INDEX('Calc Worksheet'!Q$29:Q$35,MATCH($I70,'Calc Worksheet'!$E$29:$E$35,0))*($H70-(INDEX('Calc Worksheet'!$D$29:$D$35,MATCH($I70,'Calc Worksheet'!$E$29:$E$35,0)))))),0)</f>
        <v>2.077714285714286</v>
      </c>
      <c r="S70" s="233">
        <f>IFERROR(IF(ISNUMBER(MATCH($H70,'Calc Worksheet'!$D$29:$D$35,0)),VLOOKUP($H70,'Calc Worksheet'!$D$29:$V$35,19,FALSE),INDEX('Calc Worksheet'!V$29:V$35,MATCH($I70,'Calc Worksheet'!$E$29:$E$35,0))+(INDEX('Calc Worksheet'!W$29:W$35,MATCH($I70,'Calc Worksheet'!$E$29:$E$35,0))*($H70-(INDEX('Calc Worksheet'!$D$29:$D$35,MATCH($I70,'Calc Worksheet'!$E$29:$E$35,0)))))),0)</f>
        <v>3.404571428571429</v>
      </c>
      <c r="X70" s="234">
        <v>2022</v>
      </c>
      <c r="Y70" s="234">
        <v>1</v>
      </c>
      <c r="Z70" s="234">
        <v>3</v>
      </c>
      <c r="AA70" s="235">
        <v>0.8333333333321207</v>
      </c>
      <c r="AB70" s="236">
        <v>-24.3</v>
      </c>
      <c r="AC70" s="127">
        <f t="shared" si="6"/>
        <v>-24</v>
      </c>
    </row>
    <row r="71" ht="14.5" customHeight="1" spans="1:29" x14ac:dyDescent="0.25">
      <c r="A71">
        <v>70</v>
      </c>
      <c r="B71" s="178">
        <f>IFERROR(IF(H71&lt;'Calc Worksheet'!$D$4,$K71-$M71,0),0)</f>
        <v>0</v>
      </c>
      <c r="C71" s="178">
        <f t="shared" si="11"/>
        <v>4969.010448052304</v>
      </c>
      <c r="D71" s="178">
        <f t="shared" si="12"/>
        <v>0</v>
      </c>
      <c r="E71" s="178">
        <f>IFERROR(IF(H71&gt;'Calc Worksheet'!$D$5,IF(AND(K71&gt;M71,K71&lt;N71,H71&gt;'Calc Worksheet'!$D$5),J71,0),IF(AND(K71&gt;M71,K71&lt;N71,H71&lt;'Calc Worksheet'!$D$4),J71,0)),0)</f>
        <v>0</v>
      </c>
      <c r="F71" s="178">
        <f>IFERROR(IF(H71&gt;'Calc Worksheet'!$D$5,IF(AND(K71&lt;M71,H71&gt;'Calc Worksheet'!$D$5),J71,0),IF(AND(K71&lt;M71,H71&lt;'Calc Worksheet'!$D$4),J71,0)),0)</f>
        <v>0</v>
      </c>
      <c r="G71" s="178">
        <f t="shared" si="15"/>
        <v>0</v>
      </c>
      <c r="H71" s="178">
        <v>37</v>
      </c>
      <c r="I71" s="232">
        <f>IFERROR(VLOOKUP(H71,'Calc Worksheet'!$D$27:$T$35,2),0)</f>
        <v>6</v>
      </c>
      <c r="J71" s="178">
        <f t="shared" si="13"/>
        <v>0</v>
      </c>
      <c r="K71" s="232">
        <f>IF(H71&lt;'Calc Worksheet'!$D$4,MAX(_xlfn.FORECAST.LINEAR(H71,'Calc Worksheet'!$E$3:$E$4,'Calc Worksheet'!$D$3:$D$4),0),MAX(_xlfn.FORECAST.LINEAR(H71,'Calc Worksheet'!$E$5:$E$6,'Calc Worksheet'!$D$5:$D$6),0))</f>
        <v>29071.867590909445</v>
      </c>
      <c r="L71" s="178">
        <f t="shared" si="14"/>
        <v>0</v>
      </c>
      <c r="M71" s="232">
        <f>IFERROR(IF(ISNUMBER(MATCH(H71,'Calc Worksheet'!$D$29:$D$35,0)),VLOOKUP(H71,'Calc Worksheet'!$D$29:$V$35,3,FALSE),INDEX('Calc Worksheet'!$F$29:$F$35,MATCH(I71,'Calc Worksheet'!$E$29:$E$35,0))+(INDEX('Calc Worksheet'!$G$29:$G$35,MATCH(I71,'Calc Worksheet'!$E$29:$E$35,0))*(H71-(INDEX('Calc Worksheet'!$D$29:$D$35,MATCH(I71,'Calc Worksheet'!$E$29:$E$35,0)))))),0)</f>
        <v>7188.571428571428</v>
      </c>
      <c r="N71" s="232">
        <f>IFERROR(IF(ISNUMBER(MATCH(H71,'Calc Worksheet'!$D$29:$D$35,0)),VLOOKUP(H71,'Calc Worksheet'!$D$29:$V$35,5,FALSE),INDEX('Calc Worksheet'!$H$29:$H$35,MATCH(I71,'Calc Worksheet'!$E$29:$E$35,0))+(INDEX('Calc Worksheet'!$I$29:$I$35,MATCH(I71,'Calc Worksheet'!$E$29:$E$35,0))*(H71-(INDEX('Calc Worksheet'!$D$29:$D$35,MATCH(I71,'Calc Worksheet'!$E$29:$E$35,0)))))),0)</f>
        <v>24102.85714285714</v>
      </c>
      <c r="O71" s="232">
        <f>IFERROR(IF(ISNUMBER(MATCH($H71,'Calc Worksheet'!$D$29:$D$35,0)),VLOOKUP($H71,'Calc Worksheet'!$D$29:$V$35,7,FALSE),INDEX('Calc Worksheet'!J$29:J$35,MATCH($I71,'Calc Worksheet'!$E$29:$E$35,0))+(INDEX('Calc Worksheet'!K$29:K$35,MATCH($I71,'Calc Worksheet'!$E$29:$E$35,0))*($H71-(INDEX('Calc Worksheet'!$D$29:$D$35,MATCH($I71,'Calc Worksheet'!$E$29:$E$35,0)))))),0)</f>
        <v>24102.85714285714</v>
      </c>
      <c r="P71" s="169">
        <f>IFERROR(IF(ISNUMBER(MATCH($H71,'Calc Worksheet'!$D$29:$D$35,0)),VLOOKUP($H71,'Calc Worksheet'!$D$29:$V$35,9,FALSE),INDEX('Calc Worksheet'!L$29:L$35,MATCH($I71,'Calc Worksheet'!$E$29:$E$35,0))+(INDEX('Calc Worksheet'!M$29:M$35,MATCH($I71,'Calc Worksheet'!$E$29:$E$35,0))*($H71-(INDEX('Calc Worksheet'!$D$29:$D$35,MATCH($I71,'Calc Worksheet'!$E$29:$E$35,0)))))),0)</f>
        <v>0.4862857142857143</v>
      </c>
      <c r="Q71" s="169">
        <f>IFERROR(IF(ISNUMBER(MATCH($H71,'Calc Worksheet'!$D$29:$D$35,0)),VLOOKUP($H71,'Calc Worksheet'!$D$29:$V$35,11,FALSE),INDEX('Calc Worksheet'!N$29:N$35,MATCH($I71,'Calc Worksheet'!$E$29:$E$35,0))+(INDEX('Calc Worksheet'!O$29:O$35,MATCH($I71,'Calc Worksheet'!$E$29:$E$35,0))*($H71-(INDEX('Calc Worksheet'!$D$29:$D$35,MATCH($I71,'Calc Worksheet'!$E$29:$E$35,0)))))),0)</f>
        <v>2.1354285714285712</v>
      </c>
      <c r="R71" s="169">
        <f>IFERROR(IF(ISNUMBER(MATCH($H71,'Calc Worksheet'!$D$29:$D$35,0)),VLOOKUP($H71,'Calc Worksheet'!$D$29:$V$35,13,FALSE),INDEX('Calc Worksheet'!P$29:P$35,MATCH($I71,'Calc Worksheet'!$E$29:$E$35,0))+(INDEX('Calc Worksheet'!Q$29:Q$35,MATCH($I71,'Calc Worksheet'!$E$29:$E$35,0))*($H71-(INDEX('Calc Worksheet'!$D$29:$D$35,MATCH($I71,'Calc Worksheet'!$E$29:$E$35,0)))))),0)</f>
        <v>2.1354285714285712</v>
      </c>
      <c r="S71" s="233">
        <f>IFERROR(IF(ISNUMBER(MATCH($H71,'Calc Worksheet'!$D$29:$D$35,0)),VLOOKUP($H71,'Calc Worksheet'!$D$29:$V$35,19,FALSE),INDEX('Calc Worksheet'!V$29:V$35,MATCH($I71,'Calc Worksheet'!$E$29:$E$35,0))+(INDEX('Calc Worksheet'!W$29:W$35,MATCH($I71,'Calc Worksheet'!$E$29:$E$35,0))*($H71-(INDEX('Calc Worksheet'!$D$29:$D$35,MATCH($I71,'Calc Worksheet'!$E$29:$E$35,0)))))),0)</f>
        <v>3.499142857142857</v>
      </c>
      <c r="X71" s="234">
        <v>2022</v>
      </c>
      <c r="Y71" s="234">
        <v>1</v>
      </c>
      <c r="Z71" s="234">
        <v>3</v>
      </c>
      <c r="AA71" s="235">
        <v>0.875</v>
      </c>
      <c r="AB71" s="236">
        <v>-24.4</v>
      </c>
      <c r="AC71" s="127">
        <f t="shared" si="6"/>
        <v>-24</v>
      </c>
    </row>
    <row r="72" ht="14.5" customHeight="1" spans="1:29" x14ac:dyDescent="0.25">
      <c r="A72">
        <v>71</v>
      </c>
      <c r="B72" s="178">
        <f>IFERROR(IF(H72&lt;'Calc Worksheet'!$D$4,$K72-$M72,0),0)</f>
        <v>0</v>
      </c>
      <c r="C72" s="178">
        <f t="shared" si="11"/>
        <v>6553.8793836167715</v>
      </c>
      <c r="D72" s="178">
        <f t="shared" si="12"/>
        <v>0</v>
      </c>
      <c r="E72" s="178">
        <f>IFERROR(IF(H72&gt;'Calc Worksheet'!$D$5,IF(AND(K72&gt;M72,K72&lt;N72,H72&gt;'Calc Worksheet'!$D$5),J72,0),IF(AND(K72&gt;M72,K72&lt;N72,H72&lt;'Calc Worksheet'!$D$4),J72,0)),0)</f>
        <v>0</v>
      </c>
      <c r="F72" s="178">
        <f>IFERROR(IF(H72&gt;'Calc Worksheet'!$D$5,IF(AND(K72&lt;M72,H72&gt;'Calc Worksheet'!$D$5),J72,0),IF(AND(K72&lt;M72,H72&lt;'Calc Worksheet'!$D$4),J72,0)),0)</f>
        <v>0</v>
      </c>
      <c r="G72" s="178">
        <f t="shared" si="15"/>
        <v>0</v>
      </c>
      <c r="H72" s="178">
        <v>38</v>
      </c>
      <c r="I72" s="232">
        <f>IFERROR(VLOOKUP(H72,'Calc Worksheet'!$D$27:$T$35,2),0)</f>
        <v>6</v>
      </c>
      <c r="J72" s="178">
        <f t="shared" si="13"/>
        <v>0</v>
      </c>
      <c r="K72" s="232">
        <f>IF(H72&lt;'Calc Worksheet'!$D$4,MAX(_xlfn.FORECAST.LINEAR(H72,'Calc Worksheet'!$E$3:$E$4,'Calc Worksheet'!$D$3:$D$4),0),MAX(_xlfn.FORECAST.LINEAR(H72,'Calc Worksheet'!$E$5:$E$6,'Calc Worksheet'!$D$5:$D$6),0))</f>
        <v>31308.165097902485</v>
      </c>
      <c r="L72" s="178">
        <f t="shared" si="14"/>
        <v>0</v>
      </c>
      <c r="M72" s="232">
        <f>IFERROR(IF(ISNUMBER(MATCH(H72,'Calc Worksheet'!$D$29:$D$35,0)),VLOOKUP(H72,'Calc Worksheet'!$D$29:$V$35,3,FALSE),INDEX('Calc Worksheet'!$F$29:$F$35,MATCH(I72,'Calc Worksheet'!$E$29:$E$35,0))+(INDEX('Calc Worksheet'!$G$29:$G$35,MATCH(I72,'Calc Worksheet'!$E$29:$E$35,0))*(H72-(INDEX('Calc Worksheet'!$D$29:$D$35,MATCH(I72,'Calc Worksheet'!$E$29:$E$35,0)))))),0)</f>
        <v>7382.857142857143</v>
      </c>
      <c r="N72" s="232">
        <f>IFERROR(IF(ISNUMBER(MATCH(H72,'Calc Worksheet'!$D$29:$D$35,0)),VLOOKUP(H72,'Calc Worksheet'!$D$29:$V$35,5,FALSE),INDEX('Calc Worksheet'!$H$29:$H$35,MATCH(I72,'Calc Worksheet'!$E$29:$E$35,0))+(INDEX('Calc Worksheet'!$I$29:$I$35,MATCH(I72,'Calc Worksheet'!$E$29:$E$35,0))*(H72-(INDEX('Calc Worksheet'!$D$29:$D$35,MATCH(I72,'Calc Worksheet'!$E$29:$E$35,0)))))),0)</f>
        <v>24754.285714285714</v>
      </c>
      <c r="O72" s="232">
        <f>IFERROR(IF(ISNUMBER(MATCH($H72,'Calc Worksheet'!$D$29:$D$35,0)),VLOOKUP($H72,'Calc Worksheet'!$D$29:$V$35,7,FALSE),INDEX('Calc Worksheet'!J$29:J$35,MATCH($I72,'Calc Worksheet'!$E$29:$E$35,0))+(INDEX('Calc Worksheet'!K$29:K$35,MATCH($I72,'Calc Worksheet'!$E$29:$E$35,0))*($H72-(INDEX('Calc Worksheet'!$D$29:$D$35,MATCH($I72,'Calc Worksheet'!$E$29:$E$35,0)))))),0)</f>
        <v>24754.285714285714</v>
      </c>
      <c r="P72" s="169">
        <f>IFERROR(IF(ISNUMBER(MATCH($H72,'Calc Worksheet'!$D$29:$D$35,0)),VLOOKUP($H72,'Calc Worksheet'!$D$29:$V$35,9,FALSE),INDEX('Calc Worksheet'!L$29:L$35,MATCH($I72,'Calc Worksheet'!$E$29:$E$35,0))+(INDEX('Calc Worksheet'!M$29:M$35,MATCH($I72,'Calc Worksheet'!$E$29:$E$35,0))*($H72-(INDEX('Calc Worksheet'!$D$29:$D$35,MATCH($I72,'Calc Worksheet'!$E$29:$E$35,0)))))),0)</f>
        <v>0.49942857142857144</v>
      </c>
      <c r="Q72" s="169">
        <f>IFERROR(IF(ISNUMBER(MATCH($H72,'Calc Worksheet'!$D$29:$D$35,0)),VLOOKUP($H72,'Calc Worksheet'!$D$29:$V$35,11,FALSE),INDEX('Calc Worksheet'!N$29:N$35,MATCH($I72,'Calc Worksheet'!$E$29:$E$35,0))+(INDEX('Calc Worksheet'!O$29:O$35,MATCH($I72,'Calc Worksheet'!$E$29:$E$35,0))*($H72-(INDEX('Calc Worksheet'!$D$29:$D$35,MATCH($I72,'Calc Worksheet'!$E$29:$E$35,0)))))),0)</f>
        <v>2.193142857142857</v>
      </c>
      <c r="R72" s="169">
        <f>IFERROR(IF(ISNUMBER(MATCH($H72,'Calc Worksheet'!$D$29:$D$35,0)),VLOOKUP($H72,'Calc Worksheet'!$D$29:$V$35,13,FALSE),INDEX('Calc Worksheet'!P$29:P$35,MATCH($I72,'Calc Worksheet'!$E$29:$E$35,0))+(INDEX('Calc Worksheet'!Q$29:Q$35,MATCH($I72,'Calc Worksheet'!$E$29:$E$35,0))*($H72-(INDEX('Calc Worksheet'!$D$29:$D$35,MATCH($I72,'Calc Worksheet'!$E$29:$E$35,0)))))),0)</f>
        <v>2.193142857142857</v>
      </c>
      <c r="S72" s="233">
        <f>IFERROR(IF(ISNUMBER(MATCH($H72,'Calc Worksheet'!$D$29:$D$35,0)),VLOOKUP($H72,'Calc Worksheet'!$D$29:$V$35,19,FALSE),INDEX('Calc Worksheet'!V$29:V$35,MATCH($I72,'Calc Worksheet'!$E$29:$E$35,0))+(INDEX('Calc Worksheet'!W$29:W$35,MATCH($I72,'Calc Worksheet'!$E$29:$E$35,0))*($H72-(INDEX('Calc Worksheet'!$D$29:$D$35,MATCH($I72,'Calc Worksheet'!$E$29:$E$35,0)))))),0)</f>
        <v>3.593714285714286</v>
      </c>
      <c r="X72" s="234">
        <v>2022</v>
      </c>
      <c r="Y72" s="234">
        <v>1</v>
      </c>
      <c r="Z72" s="234">
        <v>3</v>
      </c>
      <c r="AA72" s="235">
        <v>0.9166666666678793</v>
      </c>
      <c r="AB72" s="236">
        <v>-25</v>
      </c>
      <c r="AC72" s="127">
        <f t="shared" si="6"/>
        <v>-25</v>
      </c>
    </row>
    <row r="73" ht="14.5" customHeight="1" spans="1:29" x14ac:dyDescent="0.25">
      <c r="A73">
        <v>72</v>
      </c>
      <c r="B73" s="178">
        <f>IFERROR(IF(H73&lt;'Calc Worksheet'!$D$4,$K73-$M73,0),0)</f>
        <v>0</v>
      </c>
      <c r="C73" s="178">
        <f t="shared" si="11"/>
        <v>8138.748319181224</v>
      </c>
      <c r="D73" s="178">
        <f t="shared" si="12"/>
        <v>0</v>
      </c>
      <c r="E73" s="178">
        <f>IFERROR(IF(H73&gt;'Calc Worksheet'!$D$5,IF(AND(K73&gt;M73,K73&lt;N73,H73&gt;'Calc Worksheet'!$D$5),J73,0),IF(AND(K73&gt;M73,K73&lt;N73,H73&lt;'Calc Worksheet'!$D$4),J73,0)),0)</f>
        <v>0</v>
      </c>
      <c r="F73" s="178">
        <f>IFERROR(IF(H73&gt;'Calc Worksheet'!$D$5,IF(AND(K73&lt;M73,H73&gt;'Calc Worksheet'!$D$5),J73,0),IF(AND(K73&lt;M73,H73&lt;'Calc Worksheet'!$D$4),J73,0)),0)</f>
        <v>0</v>
      </c>
      <c r="G73" s="178">
        <f t="shared" si="15"/>
        <v>0</v>
      </c>
      <c r="H73" s="178">
        <v>39</v>
      </c>
      <c r="I73" s="232">
        <f>IFERROR(VLOOKUP(H73,'Calc Worksheet'!$D$27:$T$35,2),0)</f>
        <v>6</v>
      </c>
      <c r="J73" s="178">
        <f t="shared" si="13"/>
        <v>0</v>
      </c>
      <c r="K73" s="232">
        <f>IF(H73&lt;'Calc Worksheet'!$D$4,MAX(_xlfn.FORECAST.LINEAR(H73,'Calc Worksheet'!$E$3:$E$4,'Calc Worksheet'!$D$3:$D$4),0),MAX(_xlfn.FORECAST.LINEAR(H73,'Calc Worksheet'!$E$5:$E$6,'Calc Worksheet'!$D$5:$D$6),0))</f>
        <v>33544.46260489551</v>
      </c>
      <c r="L73" s="178">
        <f t="shared" si="14"/>
        <v>0</v>
      </c>
      <c r="M73" s="232">
        <f>IFERROR(IF(ISNUMBER(MATCH(H73,'Calc Worksheet'!$D$29:$D$35,0)),VLOOKUP(H73,'Calc Worksheet'!$D$29:$V$35,3,FALSE),INDEX('Calc Worksheet'!$F$29:$F$35,MATCH(I73,'Calc Worksheet'!$E$29:$E$35,0))+(INDEX('Calc Worksheet'!$G$29:$G$35,MATCH(I73,'Calc Worksheet'!$E$29:$E$35,0))*(H73-(INDEX('Calc Worksheet'!$D$29:$D$35,MATCH(I73,'Calc Worksheet'!$E$29:$E$35,0)))))),0)</f>
        <v>7577.142857142857</v>
      </c>
      <c r="N73" s="232">
        <f>IFERROR(IF(ISNUMBER(MATCH(H73,'Calc Worksheet'!$D$29:$D$35,0)),VLOOKUP(H73,'Calc Worksheet'!$D$29:$V$35,5,FALSE),INDEX('Calc Worksheet'!$H$29:$H$35,MATCH(I73,'Calc Worksheet'!$E$29:$E$35,0))+(INDEX('Calc Worksheet'!$I$29:$I$35,MATCH(I73,'Calc Worksheet'!$E$29:$E$35,0))*(H73-(INDEX('Calc Worksheet'!$D$29:$D$35,MATCH(I73,'Calc Worksheet'!$E$29:$E$35,0)))))),0)</f>
        <v>25405.714285714286</v>
      </c>
      <c r="O73" s="232">
        <f>IFERROR(IF(ISNUMBER(MATCH($H73,'Calc Worksheet'!$D$29:$D$35,0)),VLOOKUP($H73,'Calc Worksheet'!$D$29:$V$35,7,FALSE),INDEX('Calc Worksheet'!J$29:J$35,MATCH($I73,'Calc Worksheet'!$E$29:$E$35,0))+(INDEX('Calc Worksheet'!K$29:K$35,MATCH($I73,'Calc Worksheet'!$E$29:$E$35,0))*($H73-(INDEX('Calc Worksheet'!$D$29:$D$35,MATCH($I73,'Calc Worksheet'!$E$29:$E$35,0)))))),0)</f>
        <v>25405.714285714286</v>
      </c>
      <c r="P73" s="169">
        <f>IFERROR(IF(ISNUMBER(MATCH($H73,'Calc Worksheet'!$D$29:$D$35,0)),VLOOKUP($H73,'Calc Worksheet'!$D$29:$V$35,9,FALSE),INDEX('Calc Worksheet'!L$29:L$35,MATCH($I73,'Calc Worksheet'!$E$29:$E$35,0))+(INDEX('Calc Worksheet'!M$29:M$35,MATCH($I73,'Calc Worksheet'!$E$29:$E$35,0))*($H73-(INDEX('Calc Worksheet'!$D$29:$D$35,MATCH($I73,'Calc Worksheet'!$E$29:$E$35,0)))))),0)</f>
        <v>0.5125714285714286</v>
      </c>
      <c r="Q73" s="169">
        <f>IFERROR(IF(ISNUMBER(MATCH($H73,'Calc Worksheet'!$D$29:$D$35,0)),VLOOKUP($H73,'Calc Worksheet'!$D$29:$V$35,11,FALSE),INDEX('Calc Worksheet'!N$29:N$35,MATCH($I73,'Calc Worksheet'!$E$29:$E$35,0))+(INDEX('Calc Worksheet'!O$29:O$35,MATCH($I73,'Calc Worksheet'!$E$29:$E$35,0))*($H73-(INDEX('Calc Worksheet'!$D$29:$D$35,MATCH($I73,'Calc Worksheet'!$E$29:$E$35,0)))))),0)</f>
        <v>2.250857142857143</v>
      </c>
      <c r="R73" s="169">
        <f>IFERROR(IF(ISNUMBER(MATCH($H73,'Calc Worksheet'!$D$29:$D$35,0)),VLOOKUP($H73,'Calc Worksheet'!$D$29:$V$35,13,FALSE),INDEX('Calc Worksheet'!P$29:P$35,MATCH($I73,'Calc Worksheet'!$E$29:$E$35,0))+(INDEX('Calc Worksheet'!Q$29:Q$35,MATCH($I73,'Calc Worksheet'!$E$29:$E$35,0))*($H73-(INDEX('Calc Worksheet'!$D$29:$D$35,MATCH($I73,'Calc Worksheet'!$E$29:$E$35,0)))))),0)</f>
        <v>2.250857142857143</v>
      </c>
      <c r="S73" s="233">
        <f>IFERROR(IF(ISNUMBER(MATCH($H73,'Calc Worksheet'!$D$29:$D$35,0)),VLOOKUP($H73,'Calc Worksheet'!$D$29:$V$35,19,FALSE),INDEX('Calc Worksheet'!V$29:V$35,MATCH($I73,'Calc Worksheet'!$E$29:$E$35,0))+(INDEX('Calc Worksheet'!W$29:W$35,MATCH($I73,'Calc Worksheet'!$E$29:$E$35,0))*($H73-(INDEX('Calc Worksheet'!$D$29:$D$35,MATCH($I73,'Calc Worksheet'!$E$29:$E$35,0)))))),0)</f>
        <v>3.688285714285714</v>
      </c>
      <c r="X73" s="234">
        <v>2022</v>
      </c>
      <c r="Y73" s="234">
        <v>1</v>
      </c>
      <c r="Z73" s="234">
        <v>3</v>
      </c>
      <c r="AA73" s="235">
        <v>0.9583333333321207</v>
      </c>
      <c r="AB73" s="236">
        <v>-25.2</v>
      </c>
      <c r="AC73" s="127">
        <f t="shared" si="6"/>
        <v>-25</v>
      </c>
    </row>
    <row r="74" ht="14.5" customHeight="1" spans="1:29" x14ac:dyDescent="0.25">
      <c r="A74">
        <v>73</v>
      </c>
      <c r="B74" s="178">
        <f>IFERROR(IF(H74&lt;'Calc Worksheet'!$D$4,$K74-$M74,0),0)</f>
        <v>0</v>
      </c>
      <c r="C74" s="178">
        <f t="shared" si="11"/>
        <v>9723.617254745692</v>
      </c>
      <c r="D74" s="178">
        <f t="shared" si="12"/>
        <v>0</v>
      </c>
      <c r="E74" s="178">
        <f>IFERROR(IF(H74&gt;'Calc Worksheet'!$D$5,IF(AND(K74&gt;M74,K74&lt;N74,H74&gt;'Calc Worksheet'!$D$5),J74,0),IF(AND(K74&gt;M74,K74&lt;N74,H74&lt;'Calc Worksheet'!$D$4),J74,0)),0)</f>
        <v>0</v>
      </c>
      <c r="F74" s="178">
        <f>IFERROR(IF(H74&gt;'Calc Worksheet'!$D$5,IF(AND(K74&lt;M74,H74&gt;'Calc Worksheet'!$D$5),J74,0),IF(AND(K74&lt;M74,H74&lt;'Calc Worksheet'!$D$4),J74,0)),0)</f>
        <v>0</v>
      </c>
      <c r="G74" s="178">
        <f t="shared" si="15"/>
        <v>0</v>
      </c>
      <c r="H74" s="178">
        <v>40</v>
      </c>
      <c r="I74" s="232">
        <f>IFERROR(VLOOKUP(H74,'Calc Worksheet'!$D$27:$T$35,2),0)</f>
        <v>6</v>
      </c>
      <c r="J74" s="178">
        <f t="shared" si="13"/>
        <v>0</v>
      </c>
      <c r="K74" s="232">
        <f>IF(H74&lt;'Calc Worksheet'!$D$4,MAX(_xlfn.FORECAST.LINEAR(H74,'Calc Worksheet'!$E$3:$E$4,'Calc Worksheet'!$D$3:$D$4),0),MAX(_xlfn.FORECAST.LINEAR(H74,'Calc Worksheet'!$E$5:$E$6,'Calc Worksheet'!$D$5:$D$6),0))</f>
        <v>35780.76011188855</v>
      </c>
      <c r="L74" s="178">
        <f t="shared" si="14"/>
        <v>0</v>
      </c>
      <c r="M74" s="232">
        <f>IFERROR(IF(ISNUMBER(MATCH(H74,'Calc Worksheet'!$D$29:$D$35,0)),VLOOKUP(H74,'Calc Worksheet'!$D$29:$V$35,3,FALSE),INDEX('Calc Worksheet'!$F$29:$F$35,MATCH(I74,'Calc Worksheet'!$E$29:$E$35,0))+(INDEX('Calc Worksheet'!$G$29:$G$35,MATCH(I74,'Calc Worksheet'!$E$29:$E$35,0))*(H74-(INDEX('Calc Worksheet'!$D$29:$D$35,MATCH(I74,'Calc Worksheet'!$E$29:$E$35,0)))))),0)</f>
        <v>7771.428571428572</v>
      </c>
      <c r="N74" s="232">
        <f>IFERROR(IF(ISNUMBER(MATCH(H74,'Calc Worksheet'!$D$29:$D$35,0)),VLOOKUP(H74,'Calc Worksheet'!$D$29:$V$35,5,FALSE),INDEX('Calc Worksheet'!$H$29:$H$35,MATCH(I74,'Calc Worksheet'!$E$29:$E$35,0))+(INDEX('Calc Worksheet'!$I$29:$I$35,MATCH(I74,'Calc Worksheet'!$E$29:$E$35,0))*(H74-(INDEX('Calc Worksheet'!$D$29:$D$35,MATCH(I74,'Calc Worksheet'!$E$29:$E$35,0)))))),0)</f>
        <v>26057.14285714286</v>
      </c>
      <c r="O74" s="232">
        <f>IFERROR(IF(ISNUMBER(MATCH($H74,'Calc Worksheet'!$D$29:$D$35,0)),VLOOKUP($H74,'Calc Worksheet'!$D$29:$V$35,7,FALSE),INDEX('Calc Worksheet'!J$29:J$35,MATCH($I74,'Calc Worksheet'!$E$29:$E$35,0))+(INDEX('Calc Worksheet'!K$29:K$35,MATCH($I74,'Calc Worksheet'!$E$29:$E$35,0))*($H74-(INDEX('Calc Worksheet'!$D$29:$D$35,MATCH($I74,'Calc Worksheet'!$E$29:$E$35,0)))))),0)</f>
        <v>26057.14285714286</v>
      </c>
      <c r="P74" s="169">
        <f>IFERROR(IF(ISNUMBER(MATCH($H74,'Calc Worksheet'!$D$29:$D$35,0)),VLOOKUP($H74,'Calc Worksheet'!$D$29:$V$35,9,FALSE),INDEX('Calc Worksheet'!L$29:L$35,MATCH($I74,'Calc Worksheet'!$E$29:$E$35,0))+(INDEX('Calc Worksheet'!M$29:M$35,MATCH($I74,'Calc Worksheet'!$E$29:$E$35,0))*($H74-(INDEX('Calc Worksheet'!$D$29:$D$35,MATCH($I74,'Calc Worksheet'!$E$29:$E$35,0)))))),0)</f>
        <v>0.5257142857142858</v>
      </c>
      <c r="Q74" s="169">
        <f>IFERROR(IF(ISNUMBER(MATCH($H74,'Calc Worksheet'!$D$29:$D$35,0)),VLOOKUP($H74,'Calc Worksheet'!$D$29:$V$35,11,FALSE),INDEX('Calc Worksheet'!N$29:N$35,MATCH($I74,'Calc Worksheet'!$E$29:$E$35,0))+(INDEX('Calc Worksheet'!O$29:O$35,MATCH($I74,'Calc Worksheet'!$E$29:$E$35,0))*($H74-(INDEX('Calc Worksheet'!$D$29:$D$35,MATCH($I74,'Calc Worksheet'!$E$29:$E$35,0)))))),0)</f>
        <v>2.3085714285714287</v>
      </c>
      <c r="R74" s="169">
        <f>IFERROR(IF(ISNUMBER(MATCH($H74,'Calc Worksheet'!$D$29:$D$35,0)),VLOOKUP($H74,'Calc Worksheet'!$D$29:$V$35,13,FALSE),INDEX('Calc Worksheet'!P$29:P$35,MATCH($I74,'Calc Worksheet'!$E$29:$E$35,0))+(INDEX('Calc Worksheet'!Q$29:Q$35,MATCH($I74,'Calc Worksheet'!$E$29:$E$35,0))*($H74-(INDEX('Calc Worksheet'!$D$29:$D$35,MATCH($I74,'Calc Worksheet'!$E$29:$E$35,0)))))),0)</f>
        <v>2.3085714285714287</v>
      </c>
      <c r="S74" s="233">
        <f>IFERROR(IF(ISNUMBER(MATCH($H74,'Calc Worksheet'!$D$29:$D$35,0)),VLOOKUP($H74,'Calc Worksheet'!$D$29:$V$35,19,FALSE),INDEX('Calc Worksheet'!V$29:V$35,MATCH($I74,'Calc Worksheet'!$E$29:$E$35,0))+(INDEX('Calc Worksheet'!W$29:W$35,MATCH($I74,'Calc Worksheet'!$E$29:$E$35,0))*($H74-(INDEX('Calc Worksheet'!$D$29:$D$35,MATCH($I74,'Calc Worksheet'!$E$29:$E$35,0)))))),0)</f>
        <v>3.782857142857143</v>
      </c>
      <c r="X74" s="234">
        <v>2022</v>
      </c>
      <c r="Y74" s="234">
        <v>1</v>
      </c>
      <c r="Z74" s="234">
        <v>4</v>
      </c>
      <c r="AA74" s="235">
        <v>0</v>
      </c>
      <c r="AB74" s="236">
        <v>-25.4</v>
      </c>
      <c r="AC74" s="127">
        <f t="shared" si="6"/>
        <v>-25</v>
      </c>
    </row>
    <row r="75" ht="14.5" customHeight="1" spans="8:29" x14ac:dyDescent="0.25">
      <c r="H75" s="1"/>
      <c r="I75" s="1"/>
      <c r="K75" s="128"/>
      <c r="X75" s="234">
        <v>2022</v>
      </c>
      <c r="Y75" s="234">
        <v>1</v>
      </c>
      <c r="Z75" s="234">
        <v>4</v>
      </c>
      <c r="AA75" s="235">
        <v>0.041666666667879326</v>
      </c>
      <c r="AB75" s="236">
        <v>-25.8</v>
      </c>
      <c r="AC75" s="127">
        <f t="shared" ref="AC75:AC138" si="16">ROUND(AB75,0)</f>
        <v>-26</v>
      </c>
    </row>
    <row r="76" ht="14.5" customHeight="1" spans="8:29" x14ac:dyDescent="0.25">
      <c r="H76" s="1"/>
      <c r="I76" s="1"/>
      <c r="K76" s="128"/>
      <c r="L76" s="82"/>
      <c r="X76" s="234">
        <v>2022</v>
      </c>
      <c r="Y76" s="234">
        <v>1</v>
      </c>
      <c r="Z76" s="234">
        <v>4</v>
      </c>
      <c r="AA76" s="235">
        <v>0.08333333333212067</v>
      </c>
      <c r="AB76" s="236">
        <v>-25.8</v>
      </c>
      <c r="AC76" s="127">
        <f t="shared" si="16"/>
        <v>-26</v>
      </c>
    </row>
    <row r="77" ht="14.5" customHeight="1" spans="8:29" x14ac:dyDescent="0.25">
      <c r="H77" s="1"/>
      <c r="I77" s="1"/>
      <c r="K77" s="128"/>
      <c r="X77" s="234">
        <v>2022</v>
      </c>
      <c r="Y77" s="234">
        <v>1</v>
      </c>
      <c r="Z77" s="234">
        <v>4</v>
      </c>
      <c r="AA77" s="235">
        <v>0.125</v>
      </c>
      <c r="AB77" s="236">
        <v>-25.8</v>
      </c>
      <c r="AC77" s="127">
        <f t="shared" si="16"/>
        <v>-26</v>
      </c>
    </row>
    <row r="78" ht="14.5" customHeight="1" spans="8:29" x14ac:dyDescent="0.25">
      <c r="H78" s="1"/>
      <c r="I78" s="1"/>
      <c r="K78" s="128"/>
      <c r="X78" s="234">
        <v>2022</v>
      </c>
      <c r="Y78" s="234">
        <v>1</v>
      </c>
      <c r="Z78" s="234">
        <v>4</v>
      </c>
      <c r="AA78" s="235">
        <v>0.16666666666787933</v>
      </c>
      <c r="AB78" s="236">
        <v>-26.2</v>
      </c>
      <c r="AC78" s="127">
        <f t="shared" si="16"/>
        <v>-26</v>
      </c>
    </row>
    <row r="79" ht="14.5" customHeight="1" spans="8:29" x14ac:dyDescent="0.25">
      <c r="H79" s="1"/>
      <c r="I79" s="1"/>
      <c r="K79" s="128"/>
      <c r="X79" s="234">
        <v>2022</v>
      </c>
      <c r="Y79" s="234">
        <v>1</v>
      </c>
      <c r="Z79" s="234">
        <v>4</v>
      </c>
      <c r="AA79" s="235">
        <v>0.20833333333212067</v>
      </c>
      <c r="AB79" s="236">
        <v>-26.2</v>
      </c>
      <c r="AC79" s="127">
        <f t="shared" si="16"/>
        <v>-26</v>
      </c>
    </row>
    <row r="80" ht="14.5" customHeight="1" spans="8:29" x14ac:dyDescent="0.25">
      <c r="H80" s="1"/>
      <c r="I80" s="1"/>
      <c r="K80" s="128"/>
      <c r="X80" s="234">
        <v>2022</v>
      </c>
      <c r="Y80" s="234">
        <v>1</v>
      </c>
      <c r="Z80" s="234">
        <v>4</v>
      </c>
      <c r="AA80" s="235">
        <v>0.25</v>
      </c>
      <c r="AB80" s="236">
        <v>-26.3</v>
      </c>
      <c r="AC80" s="127">
        <f t="shared" si="16"/>
        <v>-26</v>
      </c>
    </row>
    <row r="81" ht="14.5" customHeight="1" spans="8:29" x14ac:dyDescent="0.25">
      <c r="H81" s="1"/>
      <c r="I81" s="1"/>
      <c r="K81" s="128"/>
      <c r="X81" s="234">
        <v>2022</v>
      </c>
      <c r="Y81" s="234">
        <v>1</v>
      </c>
      <c r="Z81" s="234">
        <v>4</v>
      </c>
      <c r="AA81" s="235">
        <v>0.2916666666678793</v>
      </c>
      <c r="AB81" s="236">
        <v>-26.5</v>
      </c>
      <c r="AC81" s="127">
        <f t="shared" si="16"/>
        <v>-27</v>
      </c>
    </row>
    <row r="82" ht="14.5" customHeight="1" spans="8:29" x14ac:dyDescent="0.25">
      <c r="H82" s="1"/>
      <c r="I82" s="1"/>
      <c r="K82" s="128"/>
      <c r="X82" s="234">
        <v>2022</v>
      </c>
      <c r="Y82" s="234">
        <v>1</v>
      </c>
      <c r="Z82" s="234">
        <v>4</v>
      </c>
      <c r="AA82" s="235">
        <v>0.3333333333321207</v>
      </c>
      <c r="AB82" s="236">
        <v>-26.6</v>
      </c>
      <c r="AC82" s="127">
        <f t="shared" si="16"/>
        <v>-27</v>
      </c>
    </row>
    <row r="83" ht="14.5" customHeight="1" spans="8:29" x14ac:dyDescent="0.25">
      <c r="H83" s="1"/>
      <c r="I83" s="1"/>
      <c r="K83" s="128"/>
      <c r="X83" s="234">
        <v>2022</v>
      </c>
      <c r="Y83" s="234">
        <v>1</v>
      </c>
      <c r="Z83" s="234">
        <v>4</v>
      </c>
      <c r="AA83" s="235">
        <v>0.375</v>
      </c>
      <c r="AB83" s="236">
        <v>-26.8</v>
      </c>
      <c r="AC83" s="127">
        <f t="shared" si="16"/>
        <v>-27</v>
      </c>
    </row>
    <row r="84" ht="14.5" customHeight="1" spans="8:29" x14ac:dyDescent="0.25">
      <c r="H84" s="1"/>
      <c r="I84" s="1"/>
      <c r="K84" s="128"/>
      <c r="X84" s="234">
        <v>2022</v>
      </c>
      <c r="Y84" s="234">
        <v>1</v>
      </c>
      <c r="Z84" s="234">
        <v>4</v>
      </c>
      <c r="AA84" s="235">
        <v>0.4166666666678793</v>
      </c>
      <c r="AB84" s="236">
        <v>-27</v>
      </c>
      <c r="AC84" s="127">
        <f t="shared" si="16"/>
        <v>-27</v>
      </c>
    </row>
    <row r="85" ht="14.5" customHeight="1" spans="8:29" x14ac:dyDescent="0.25">
      <c r="H85" s="1"/>
      <c r="I85" s="1"/>
      <c r="K85" s="128"/>
      <c r="X85" s="234">
        <v>2022</v>
      </c>
      <c r="Y85" s="234">
        <v>1</v>
      </c>
      <c r="Z85" s="234">
        <v>4</v>
      </c>
      <c r="AA85" s="235">
        <v>0.4583333333321207</v>
      </c>
      <c r="AB85" s="236">
        <v>-26.7</v>
      </c>
      <c r="AC85" s="127">
        <f t="shared" si="16"/>
        <v>-27</v>
      </c>
    </row>
    <row r="86" ht="14.5" customHeight="1" spans="8:29" x14ac:dyDescent="0.25">
      <c r="H86" s="1"/>
      <c r="I86" s="1"/>
      <c r="K86" s="128"/>
      <c r="X86" s="234">
        <v>2022</v>
      </c>
      <c r="Y86" s="234">
        <v>1</v>
      </c>
      <c r="Z86" s="234">
        <v>4</v>
      </c>
      <c r="AA86" s="235">
        <v>0.5</v>
      </c>
      <c r="AB86" s="236">
        <v>-26.1</v>
      </c>
      <c r="AC86" s="127">
        <f t="shared" si="16"/>
        <v>-26</v>
      </c>
    </row>
    <row r="87" ht="14.5" customHeight="1" spans="8:29" x14ac:dyDescent="0.25">
      <c r="H87" s="1"/>
      <c r="I87" s="1"/>
      <c r="K87" s="128"/>
      <c r="X87" s="234">
        <v>2022</v>
      </c>
      <c r="Y87" s="234">
        <v>1</v>
      </c>
      <c r="Z87" s="234">
        <v>4</v>
      </c>
      <c r="AA87" s="235">
        <v>0.5416666666678793</v>
      </c>
      <c r="AB87" s="236">
        <v>-25.4</v>
      </c>
      <c r="AC87" s="127">
        <f t="shared" si="16"/>
        <v>-25</v>
      </c>
    </row>
    <row r="88" ht="14.5" customHeight="1" spans="8:29" x14ac:dyDescent="0.25">
      <c r="H88" s="1"/>
      <c r="I88" s="1"/>
      <c r="K88" s="128"/>
      <c r="X88" s="234">
        <v>2022</v>
      </c>
      <c r="Y88" s="234">
        <v>1</v>
      </c>
      <c r="Z88" s="234">
        <v>4</v>
      </c>
      <c r="AA88" s="235">
        <v>0.5833333333321207</v>
      </c>
      <c r="AB88" s="236">
        <v>-25.4</v>
      </c>
      <c r="AC88" s="127">
        <f t="shared" si="16"/>
        <v>-25</v>
      </c>
    </row>
    <row r="89" ht="14.5" customHeight="1" spans="8:29" x14ac:dyDescent="0.25">
      <c r="H89" s="1"/>
      <c r="I89" s="1"/>
      <c r="K89" s="128"/>
      <c r="X89" s="234">
        <v>2022</v>
      </c>
      <c r="Y89" s="234">
        <v>1</v>
      </c>
      <c r="Z89" s="234">
        <v>4</v>
      </c>
      <c r="AA89" s="235">
        <v>0.625</v>
      </c>
      <c r="AB89" s="236">
        <v>-25.1</v>
      </c>
      <c r="AC89" s="127">
        <f t="shared" si="16"/>
        <v>-25</v>
      </c>
    </row>
    <row r="90" ht="14.5" customHeight="1" spans="8:29" x14ac:dyDescent="0.25">
      <c r="H90" s="1"/>
      <c r="I90" s="1"/>
      <c r="K90" s="128"/>
      <c r="X90" s="234">
        <v>2022</v>
      </c>
      <c r="Y90" s="234">
        <v>1</v>
      </c>
      <c r="Z90" s="234">
        <v>4</v>
      </c>
      <c r="AA90" s="235">
        <v>0.6666666666678793</v>
      </c>
      <c r="AB90" s="236">
        <v>-25.3</v>
      </c>
      <c r="AC90" s="127">
        <f t="shared" si="16"/>
        <v>-25</v>
      </c>
    </row>
    <row r="91" ht="14.5" customHeight="1" spans="8:29" x14ac:dyDescent="0.25">
      <c r="H91" s="1"/>
      <c r="I91" s="1"/>
      <c r="K91" s="128"/>
      <c r="X91" s="234">
        <v>2022</v>
      </c>
      <c r="Y91" s="234">
        <v>1</v>
      </c>
      <c r="Z91" s="234">
        <v>4</v>
      </c>
      <c r="AA91" s="235">
        <v>0.7083333333321207</v>
      </c>
      <c r="AB91" s="236">
        <v>-26</v>
      </c>
      <c r="AC91" s="127">
        <f t="shared" si="16"/>
        <v>-26</v>
      </c>
    </row>
    <row r="92" ht="14.5" customHeight="1" spans="8:29" x14ac:dyDescent="0.25">
      <c r="H92" s="1"/>
      <c r="I92" s="1"/>
      <c r="K92" s="128"/>
      <c r="X92" s="234">
        <v>2022</v>
      </c>
      <c r="Y92" s="234">
        <v>1</v>
      </c>
      <c r="Z92" s="234">
        <v>4</v>
      </c>
      <c r="AA92" s="235">
        <v>0.75</v>
      </c>
      <c r="AB92" s="236">
        <v>-26.4</v>
      </c>
      <c r="AC92" s="127">
        <f t="shared" si="16"/>
        <v>-26</v>
      </c>
    </row>
    <row r="93" ht="14.5" customHeight="1" spans="8:29" x14ac:dyDescent="0.25">
      <c r="H93" s="1"/>
      <c r="I93" s="1"/>
      <c r="K93" s="128"/>
      <c r="X93" s="234">
        <v>2022</v>
      </c>
      <c r="Y93" s="234">
        <v>1</v>
      </c>
      <c r="Z93" s="234">
        <v>4</v>
      </c>
      <c r="AA93" s="235">
        <v>0.7916666666678793</v>
      </c>
      <c r="AB93" s="236">
        <v>-28.1</v>
      </c>
      <c r="AC93" s="127">
        <f t="shared" si="16"/>
        <v>-28</v>
      </c>
    </row>
    <row r="94" ht="14.5" customHeight="1" spans="8:29" x14ac:dyDescent="0.25">
      <c r="H94" s="1"/>
      <c r="I94" s="1"/>
      <c r="K94" s="128"/>
      <c r="X94" s="234">
        <v>2022</v>
      </c>
      <c r="Y94" s="234">
        <v>1</v>
      </c>
      <c r="Z94" s="234">
        <v>4</v>
      </c>
      <c r="AA94" s="235">
        <v>0.8333333333321207</v>
      </c>
      <c r="AB94" s="236">
        <v>-28.2</v>
      </c>
      <c r="AC94" s="127">
        <f t="shared" si="16"/>
        <v>-28</v>
      </c>
    </row>
    <row r="95" ht="14.5" customHeight="1" spans="8:29" x14ac:dyDescent="0.25">
      <c r="H95" s="1"/>
      <c r="I95" s="1"/>
      <c r="K95" s="128"/>
      <c r="X95" s="234">
        <v>2022</v>
      </c>
      <c r="Y95" s="234">
        <v>1</v>
      </c>
      <c r="Z95" s="234">
        <v>4</v>
      </c>
      <c r="AA95" s="235">
        <v>0.875</v>
      </c>
      <c r="AB95" s="236">
        <v>-29</v>
      </c>
      <c r="AC95" s="127">
        <f t="shared" si="16"/>
        <v>-29</v>
      </c>
    </row>
    <row r="96" ht="14.5" customHeight="1" spans="8:29" x14ac:dyDescent="0.25">
      <c r="H96" s="1"/>
      <c r="I96" s="1"/>
      <c r="K96" s="128"/>
      <c r="X96" s="234">
        <v>2022</v>
      </c>
      <c r="Y96" s="234">
        <v>1</v>
      </c>
      <c r="Z96" s="234">
        <v>4</v>
      </c>
      <c r="AA96" s="235">
        <v>0.9166666666678793</v>
      </c>
      <c r="AB96" s="236">
        <v>-27.8</v>
      </c>
      <c r="AC96" s="127">
        <f t="shared" si="16"/>
        <v>-28</v>
      </c>
    </row>
    <row r="97" ht="14.5" customHeight="1" spans="8:29" x14ac:dyDescent="0.25">
      <c r="H97" s="1"/>
      <c r="I97" s="1"/>
      <c r="K97" s="128"/>
      <c r="X97" s="234">
        <v>2022</v>
      </c>
      <c r="Y97" s="234">
        <v>1</v>
      </c>
      <c r="Z97" s="234">
        <v>4</v>
      </c>
      <c r="AA97" s="235">
        <v>0.9583333333321207</v>
      </c>
      <c r="AB97" s="236">
        <v>-27.3</v>
      </c>
      <c r="AC97" s="127">
        <f t="shared" si="16"/>
        <v>-27</v>
      </c>
    </row>
    <row r="98" ht="14.5" customHeight="1" spans="8:29" x14ac:dyDescent="0.25">
      <c r="H98" s="1"/>
      <c r="I98" s="1"/>
      <c r="K98" s="128"/>
      <c r="X98" s="234">
        <v>2022</v>
      </c>
      <c r="Y98" s="234">
        <v>1</v>
      </c>
      <c r="Z98" s="234">
        <v>5</v>
      </c>
      <c r="AA98" s="235">
        <v>0</v>
      </c>
      <c r="AB98" s="236">
        <v>-27.5</v>
      </c>
      <c r="AC98" s="127">
        <f t="shared" si="16"/>
        <v>-28</v>
      </c>
    </row>
    <row r="99" ht="14.5" customHeight="1" spans="8:29" x14ac:dyDescent="0.25">
      <c r="H99" s="1"/>
      <c r="I99" s="1"/>
      <c r="K99" s="128"/>
      <c r="X99" s="234">
        <v>2022</v>
      </c>
      <c r="Y99" s="234">
        <v>1</v>
      </c>
      <c r="Z99" s="234">
        <v>5</v>
      </c>
      <c r="AA99" s="235">
        <v>0.041666666667879326</v>
      </c>
      <c r="AB99" s="236">
        <v>-27.4</v>
      </c>
      <c r="AC99" s="127">
        <f t="shared" si="16"/>
        <v>-27</v>
      </c>
    </row>
    <row r="100" ht="14.5" customHeight="1" spans="8:29" x14ac:dyDescent="0.25">
      <c r="H100" s="1"/>
      <c r="I100" s="1"/>
      <c r="K100" s="128"/>
      <c r="X100" s="234">
        <v>2022</v>
      </c>
      <c r="Y100" s="234">
        <v>1</v>
      </c>
      <c r="Z100" s="234">
        <v>5</v>
      </c>
      <c r="AA100" s="235">
        <v>0.08333333333212067</v>
      </c>
      <c r="AB100" s="236">
        <v>-27</v>
      </c>
      <c r="AC100" s="127">
        <f t="shared" si="16"/>
        <v>-27</v>
      </c>
    </row>
    <row r="101" ht="14.5" customHeight="1" spans="8:29" x14ac:dyDescent="0.25">
      <c r="H101" s="1"/>
      <c r="I101" s="1"/>
      <c r="K101" s="128"/>
      <c r="X101" s="234">
        <v>2022</v>
      </c>
      <c r="Y101" s="234">
        <v>1</v>
      </c>
      <c r="Z101" s="234">
        <v>5</v>
      </c>
      <c r="AA101" s="235">
        <v>0.125</v>
      </c>
      <c r="AB101" s="236">
        <v>-27.1</v>
      </c>
      <c r="AC101" s="127">
        <f t="shared" si="16"/>
        <v>-27</v>
      </c>
    </row>
    <row r="102" ht="14.5" customHeight="1" spans="8:29" x14ac:dyDescent="0.25">
      <c r="H102" s="1"/>
      <c r="I102" s="1"/>
      <c r="K102" s="128"/>
      <c r="X102" s="234">
        <v>2022</v>
      </c>
      <c r="Y102" s="234">
        <v>1</v>
      </c>
      <c r="Z102" s="234">
        <v>5</v>
      </c>
      <c r="AA102" s="235">
        <v>0.16666666666787933</v>
      </c>
      <c r="AB102" s="236">
        <v>-27.8</v>
      </c>
      <c r="AC102" s="127">
        <f t="shared" si="16"/>
        <v>-28</v>
      </c>
    </row>
    <row r="103" ht="14.5" customHeight="1" spans="8:29" x14ac:dyDescent="0.25">
      <c r="H103" s="1"/>
      <c r="I103" s="1"/>
      <c r="K103" s="128"/>
      <c r="X103" s="234">
        <v>2022</v>
      </c>
      <c r="Y103" s="234">
        <v>1</v>
      </c>
      <c r="Z103" s="234">
        <v>5</v>
      </c>
      <c r="AA103" s="235">
        <v>0.20833333333212067</v>
      </c>
      <c r="AB103" s="236">
        <v>-27</v>
      </c>
      <c r="AC103" s="127">
        <f t="shared" si="16"/>
        <v>-27</v>
      </c>
    </row>
    <row r="104" ht="14.5" customHeight="1" spans="8:29" x14ac:dyDescent="0.25">
      <c r="H104" s="1"/>
      <c r="I104" s="1"/>
      <c r="K104" s="128"/>
      <c r="X104" s="234">
        <v>2022</v>
      </c>
      <c r="Y104" s="234">
        <v>1</v>
      </c>
      <c r="Z104" s="234">
        <v>5</v>
      </c>
      <c r="AA104" s="235">
        <v>0.25</v>
      </c>
      <c r="AB104" s="236">
        <v>-27.1</v>
      </c>
      <c r="AC104" s="127">
        <f t="shared" si="16"/>
        <v>-27</v>
      </c>
    </row>
    <row r="105" ht="14.5" customHeight="1" spans="8:29" x14ac:dyDescent="0.25">
      <c r="H105" s="1"/>
      <c r="I105" s="1"/>
      <c r="K105" s="128"/>
      <c r="X105" s="234">
        <v>2022</v>
      </c>
      <c r="Y105" s="234">
        <v>1</v>
      </c>
      <c r="Z105" s="234">
        <v>5</v>
      </c>
      <c r="AA105" s="235">
        <v>0.2916666666678793</v>
      </c>
      <c r="AB105" s="236">
        <v>-26.8</v>
      </c>
      <c r="AC105" s="127">
        <f t="shared" si="16"/>
        <v>-27</v>
      </c>
    </row>
    <row r="106" ht="14.5" customHeight="1" spans="8:29" x14ac:dyDescent="0.25">
      <c r="H106" s="1"/>
      <c r="I106" s="1"/>
      <c r="K106" s="128"/>
      <c r="X106" s="234">
        <v>2022</v>
      </c>
      <c r="Y106" s="234">
        <v>1</v>
      </c>
      <c r="Z106" s="234">
        <v>5</v>
      </c>
      <c r="AA106" s="235">
        <v>0.3333333333321207</v>
      </c>
      <c r="AB106" s="236">
        <v>-26.5</v>
      </c>
      <c r="AC106" s="127">
        <f t="shared" si="16"/>
        <v>-27</v>
      </c>
    </row>
    <row r="107" ht="14.5" customHeight="1" spans="8:29" x14ac:dyDescent="0.25">
      <c r="H107" s="1"/>
      <c r="I107" s="1"/>
      <c r="K107" s="128"/>
      <c r="X107" s="234">
        <v>2022</v>
      </c>
      <c r="Y107" s="234">
        <v>1</v>
      </c>
      <c r="Z107" s="234">
        <v>5</v>
      </c>
      <c r="AA107" s="235">
        <v>0.375</v>
      </c>
      <c r="AB107" s="236">
        <v>-26.3</v>
      </c>
      <c r="AC107" s="127">
        <f t="shared" si="16"/>
        <v>-26</v>
      </c>
    </row>
    <row r="108" ht="14.5" customHeight="1" spans="8:29" x14ac:dyDescent="0.25">
      <c r="H108" s="1"/>
      <c r="I108" s="1"/>
      <c r="K108" s="128"/>
      <c r="X108" s="234">
        <v>2022</v>
      </c>
      <c r="Y108" s="234">
        <v>1</v>
      </c>
      <c r="Z108" s="234">
        <v>5</v>
      </c>
      <c r="AA108" s="235">
        <v>0.4166666666678793</v>
      </c>
      <c r="AB108" s="236">
        <v>-26.1</v>
      </c>
      <c r="AC108" s="127">
        <f t="shared" si="16"/>
        <v>-26</v>
      </c>
    </row>
    <row r="109" ht="14.5" customHeight="1" spans="8:29" x14ac:dyDescent="0.25">
      <c r="H109" s="1"/>
      <c r="I109" s="1"/>
      <c r="K109" s="128"/>
      <c r="X109" s="234">
        <v>2022</v>
      </c>
      <c r="Y109" s="234">
        <v>1</v>
      </c>
      <c r="Z109" s="234">
        <v>5</v>
      </c>
      <c r="AA109" s="235">
        <v>0.4583333333321207</v>
      </c>
      <c r="AB109" s="236">
        <v>-25.6</v>
      </c>
      <c r="AC109" s="127">
        <f t="shared" si="16"/>
        <v>-26</v>
      </c>
    </row>
    <row r="110" ht="14.5" customHeight="1" spans="8:29" x14ac:dyDescent="0.25">
      <c r="H110" s="1"/>
      <c r="I110" s="1"/>
      <c r="K110" s="128"/>
      <c r="X110" s="234">
        <v>2022</v>
      </c>
      <c r="Y110" s="234">
        <v>1</v>
      </c>
      <c r="Z110" s="234">
        <v>5</v>
      </c>
      <c r="AA110" s="235">
        <v>0.5</v>
      </c>
      <c r="AB110" s="236">
        <v>-25.2</v>
      </c>
      <c r="AC110" s="127">
        <f t="shared" si="16"/>
        <v>-25</v>
      </c>
    </row>
    <row r="111" ht="14.5" customHeight="1" spans="8:29" x14ac:dyDescent="0.25">
      <c r="H111" s="1"/>
      <c r="I111" s="1"/>
      <c r="K111" s="128"/>
      <c r="X111" s="234">
        <v>2022</v>
      </c>
      <c r="Y111" s="234">
        <v>1</v>
      </c>
      <c r="Z111" s="234">
        <v>5</v>
      </c>
      <c r="AA111" s="235">
        <v>0.5416666666678793</v>
      </c>
      <c r="AB111" s="236">
        <v>-24.5</v>
      </c>
      <c r="AC111" s="127">
        <f t="shared" si="16"/>
        <v>-25</v>
      </c>
    </row>
    <row r="112" ht="14.5" customHeight="1" spans="8:29" x14ac:dyDescent="0.25">
      <c r="H112" s="1"/>
      <c r="I112" s="1"/>
      <c r="K112" s="128"/>
      <c r="X112" s="234">
        <v>2022</v>
      </c>
      <c r="Y112" s="234">
        <v>1</v>
      </c>
      <c r="Z112" s="234">
        <v>5</v>
      </c>
      <c r="AA112" s="235">
        <v>0.5833333333321207</v>
      </c>
      <c r="AB112" s="236">
        <v>-24.3</v>
      </c>
      <c r="AC112" s="127">
        <f t="shared" si="16"/>
        <v>-24</v>
      </c>
    </row>
    <row r="113" ht="14.5" customHeight="1" spans="8:29" x14ac:dyDescent="0.25">
      <c r="H113" s="1"/>
      <c r="I113" s="1"/>
      <c r="K113" s="128"/>
      <c r="X113" s="234">
        <v>2022</v>
      </c>
      <c r="Y113" s="234">
        <v>1</v>
      </c>
      <c r="Z113" s="234">
        <v>5</v>
      </c>
      <c r="AA113" s="235">
        <v>0.625</v>
      </c>
      <c r="AB113" s="236">
        <v>-24.8</v>
      </c>
      <c r="AC113" s="127">
        <f t="shared" si="16"/>
        <v>-25</v>
      </c>
    </row>
    <row r="114" ht="14.5" customHeight="1" spans="8:29" x14ac:dyDescent="0.25">
      <c r="H114" s="1"/>
      <c r="I114" s="1"/>
      <c r="K114" s="128"/>
      <c r="X114" s="234">
        <v>2022</v>
      </c>
      <c r="Y114" s="234">
        <v>1</v>
      </c>
      <c r="Z114" s="234">
        <v>5</v>
      </c>
      <c r="AA114" s="235">
        <v>0.6666666666678793</v>
      </c>
      <c r="AB114" s="236">
        <v>-25.4</v>
      </c>
      <c r="AC114" s="127">
        <f t="shared" si="16"/>
        <v>-25</v>
      </c>
    </row>
    <row r="115" ht="14.5" customHeight="1" spans="8:29" x14ac:dyDescent="0.25">
      <c r="H115" s="1"/>
      <c r="I115" s="1"/>
      <c r="K115" s="128"/>
      <c r="X115" s="234">
        <v>2022</v>
      </c>
      <c r="Y115" s="234">
        <v>1</v>
      </c>
      <c r="Z115" s="234">
        <v>5</v>
      </c>
      <c r="AA115" s="235">
        <v>0.7083333333321207</v>
      </c>
      <c r="AB115" s="236">
        <v>-26.8</v>
      </c>
      <c r="AC115" s="127">
        <f t="shared" si="16"/>
        <v>-27</v>
      </c>
    </row>
    <row r="116" ht="14.5" customHeight="1" spans="8:29" x14ac:dyDescent="0.25">
      <c r="H116" s="1"/>
      <c r="I116" s="1"/>
      <c r="K116" s="128"/>
      <c r="X116" s="234">
        <v>2022</v>
      </c>
      <c r="Y116" s="234">
        <v>1</v>
      </c>
      <c r="Z116" s="234">
        <v>5</v>
      </c>
      <c r="AA116" s="235">
        <v>0.75</v>
      </c>
      <c r="AB116" s="236">
        <v>-27.8</v>
      </c>
      <c r="AC116" s="127">
        <f t="shared" si="16"/>
        <v>-28</v>
      </c>
    </row>
    <row r="117" ht="14.5" customHeight="1" spans="8:29" x14ac:dyDescent="0.25">
      <c r="H117" s="1"/>
      <c r="I117" s="1"/>
      <c r="K117" s="128"/>
      <c r="X117" s="234">
        <v>2022</v>
      </c>
      <c r="Y117" s="234">
        <v>1</v>
      </c>
      <c r="Z117" s="234">
        <v>5</v>
      </c>
      <c r="AA117" s="235">
        <v>0.7916666666678793</v>
      </c>
      <c r="AB117" s="236">
        <v>-27.8</v>
      </c>
      <c r="AC117" s="127">
        <f t="shared" si="16"/>
        <v>-28</v>
      </c>
    </row>
    <row r="118" ht="14.5" customHeight="1" spans="8:29" x14ac:dyDescent="0.25">
      <c r="H118" s="1"/>
      <c r="I118" s="1"/>
      <c r="K118" s="128"/>
      <c r="X118" s="234">
        <v>2022</v>
      </c>
      <c r="Y118" s="234">
        <v>1</v>
      </c>
      <c r="Z118" s="234">
        <v>5</v>
      </c>
      <c r="AA118" s="235">
        <v>0.8333333333321207</v>
      </c>
      <c r="AB118" s="236">
        <v>-28.8</v>
      </c>
      <c r="AC118" s="127">
        <f t="shared" si="16"/>
        <v>-29</v>
      </c>
    </row>
    <row r="119" ht="14.5" customHeight="1" spans="8:29" x14ac:dyDescent="0.25">
      <c r="H119" s="1"/>
      <c r="I119" s="1"/>
      <c r="K119" s="128"/>
      <c r="X119" s="234">
        <v>2022</v>
      </c>
      <c r="Y119" s="234">
        <v>1</v>
      </c>
      <c r="Z119" s="234">
        <v>5</v>
      </c>
      <c r="AA119" s="235">
        <v>0.875</v>
      </c>
      <c r="AB119" s="236">
        <v>-28.3</v>
      </c>
      <c r="AC119" s="127">
        <f t="shared" si="16"/>
        <v>-28</v>
      </c>
    </row>
    <row r="120" ht="14.5" customHeight="1" spans="8:29" x14ac:dyDescent="0.25">
      <c r="H120" s="1"/>
      <c r="I120" s="1"/>
      <c r="K120" s="128"/>
      <c r="X120" s="234">
        <v>2022</v>
      </c>
      <c r="Y120" s="234">
        <v>1</v>
      </c>
      <c r="Z120" s="234">
        <v>5</v>
      </c>
      <c r="AA120" s="235">
        <v>0.9166666666678793</v>
      </c>
      <c r="AB120" s="236">
        <v>-29.4</v>
      </c>
      <c r="AC120" s="127">
        <f t="shared" si="16"/>
        <v>-29</v>
      </c>
    </row>
    <row r="121" ht="14.5" customHeight="1" spans="8:29" x14ac:dyDescent="0.25">
      <c r="H121" s="1"/>
      <c r="I121" s="1"/>
      <c r="K121" s="128"/>
      <c r="X121" s="234">
        <v>2022</v>
      </c>
      <c r="Y121" s="234">
        <v>1</v>
      </c>
      <c r="Z121" s="234">
        <v>5</v>
      </c>
      <c r="AA121" s="235">
        <v>0.9583333333321207</v>
      </c>
      <c r="AB121" s="236">
        <v>-29.2</v>
      </c>
      <c r="AC121" s="127">
        <f t="shared" si="16"/>
        <v>-29</v>
      </c>
    </row>
    <row r="122" ht="14.5" customHeight="1" spans="8:29" x14ac:dyDescent="0.25">
      <c r="H122" s="1"/>
      <c r="I122" s="1"/>
      <c r="K122" s="128"/>
      <c r="X122" s="234">
        <v>2022</v>
      </c>
      <c r="Y122" s="234">
        <v>1</v>
      </c>
      <c r="Z122" s="234">
        <v>6</v>
      </c>
      <c r="AA122" s="235">
        <v>0</v>
      </c>
      <c r="AB122" s="236">
        <v>-29.6</v>
      </c>
      <c r="AC122" s="127">
        <f t="shared" si="16"/>
        <v>-30</v>
      </c>
    </row>
    <row r="123" ht="14.5" customHeight="1" spans="8:29" x14ac:dyDescent="0.25">
      <c r="H123" s="1"/>
      <c r="I123" s="1"/>
      <c r="K123" s="128"/>
      <c r="X123" s="234">
        <v>2022</v>
      </c>
      <c r="Y123" s="234">
        <v>1</v>
      </c>
      <c r="Z123" s="234">
        <v>6</v>
      </c>
      <c r="AA123" s="235">
        <v>0.041666666667879326</v>
      </c>
      <c r="AB123" s="236">
        <v>-29.8</v>
      </c>
      <c r="AC123" s="127">
        <f t="shared" si="16"/>
        <v>-30</v>
      </c>
    </row>
    <row r="124" ht="14.5" customHeight="1" spans="8:29" x14ac:dyDescent="0.25">
      <c r="H124" s="1"/>
      <c r="I124" s="1"/>
      <c r="K124" s="128"/>
      <c r="X124" s="234">
        <v>2022</v>
      </c>
      <c r="Y124" s="234">
        <v>1</v>
      </c>
      <c r="Z124" s="234">
        <v>6</v>
      </c>
      <c r="AA124" s="235">
        <v>0.08333333333212067</v>
      </c>
      <c r="AB124" s="236">
        <v>-29.2</v>
      </c>
      <c r="AC124" s="127">
        <f t="shared" si="16"/>
        <v>-29</v>
      </c>
    </row>
    <row r="125" ht="14.5" customHeight="1" spans="8:29" x14ac:dyDescent="0.25">
      <c r="H125" s="1"/>
      <c r="I125" s="1"/>
      <c r="K125" s="128"/>
      <c r="X125" s="234">
        <v>2022</v>
      </c>
      <c r="Y125" s="234">
        <v>1</v>
      </c>
      <c r="Z125" s="234">
        <v>6</v>
      </c>
      <c r="AA125" s="235">
        <v>0.125</v>
      </c>
      <c r="AB125" s="236">
        <v>-28.6</v>
      </c>
      <c r="AC125" s="127">
        <f t="shared" si="16"/>
        <v>-29</v>
      </c>
    </row>
    <row r="126" ht="14.5" customHeight="1" spans="8:29" x14ac:dyDescent="0.25">
      <c r="H126" s="1"/>
      <c r="I126" s="1"/>
      <c r="K126" s="128"/>
      <c r="X126" s="234">
        <v>2022</v>
      </c>
      <c r="Y126" s="234">
        <v>1</v>
      </c>
      <c r="Z126" s="234">
        <v>6</v>
      </c>
      <c r="AA126" s="235">
        <v>0.16666666666787933</v>
      </c>
      <c r="AB126" s="236">
        <v>-28.6</v>
      </c>
      <c r="AC126" s="127">
        <f t="shared" si="16"/>
        <v>-29</v>
      </c>
    </row>
    <row r="127" ht="14.5" customHeight="1" spans="8:29" x14ac:dyDescent="0.25">
      <c r="H127" s="1"/>
      <c r="I127" s="1"/>
      <c r="K127" s="128"/>
      <c r="X127" s="234">
        <v>2022</v>
      </c>
      <c r="Y127" s="234">
        <v>1</v>
      </c>
      <c r="Z127" s="234">
        <v>6</v>
      </c>
      <c r="AA127" s="235">
        <v>0.20833333333212067</v>
      </c>
      <c r="AB127" s="236">
        <v>-27.8</v>
      </c>
      <c r="AC127" s="127">
        <f t="shared" si="16"/>
        <v>-28</v>
      </c>
    </row>
    <row r="128" ht="14.5" customHeight="1" spans="8:29" x14ac:dyDescent="0.25">
      <c r="H128" s="1"/>
      <c r="I128" s="1"/>
      <c r="K128" s="128"/>
      <c r="X128" s="234">
        <v>2022</v>
      </c>
      <c r="Y128" s="234">
        <v>1</v>
      </c>
      <c r="Z128" s="234">
        <v>6</v>
      </c>
      <c r="AA128" s="235">
        <v>0.25</v>
      </c>
      <c r="AB128" s="236">
        <v>-27.3</v>
      </c>
      <c r="AC128" s="127">
        <f t="shared" si="16"/>
        <v>-27</v>
      </c>
    </row>
    <row r="129" ht="14.5" customHeight="1" spans="8:29" x14ac:dyDescent="0.25">
      <c r="H129" s="1"/>
      <c r="I129" s="1"/>
      <c r="K129" s="128"/>
      <c r="X129" s="234">
        <v>2022</v>
      </c>
      <c r="Y129" s="234">
        <v>1</v>
      </c>
      <c r="Z129" s="234">
        <v>6</v>
      </c>
      <c r="AA129" s="235">
        <v>0.2916666666678793</v>
      </c>
      <c r="AB129" s="236">
        <v>-27.5</v>
      </c>
      <c r="AC129" s="127">
        <f t="shared" si="16"/>
        <v>-28</v>
      </c>
    </row>
    <row r="130" ht="14.5" customHeight="1" spans="8:29" x14ac:dyDescent="0.25">
      <c r="H130" s="1"/>
      <c r="I130" s="1"/>
      <c r="K130" s="128"/>
      <c r="X130" s="234">
        <v>2022</v>
      </c>
      <c r="Y130" s="234">
        <v>1</v>
      </c>
      <c r="Z130" s="234">
        <v>6</v>
      </c>
      <c r="AA130" s="235">
        <v>0.3333333333321207</v>
      </c>
      <c r="AB130" s="236">
        <v>-27.6</v>
      </c>
      <c r="AC130" s="127">
        <f t="shared" si="16"/>
        <v>-28</v>
      </c>
    </row>
    <row r="131" ht="14.5" customHeight="1" spans="8:29" x14ac:dyDescent="0.25">
      <c r="H131" s="1"/>
      <c r="I131" s="1"/>
      <c r="K131" s="128"/>
      <c r="X131" s="234">
        <v>2022</v>
      </c>
      <c r="Y131" s="234">
        <v>1</v>
      </c>
      <c r="Z131" s="234">
        <v>6</v>
      </c>
      <c r="AA131" s="235">
        <v>0.375</v>
      </c>
      <c r="AB131" s="236">
        <v>-27.3</v>
      </c>
      <c r="AC131" s="127">
        <f t="shared" si="16"/>
        <v>-27</v>
      </c>
    </row>
    <row r="132" ht="14.5" customHeight="1" spans="8:29" x14ac:dyDescent="0.25">
      <c r="H132" s="1"/>
      <c r="I132" s="1"/>
      <c r="K132" s="128"/>
      <c r="X132" s="234">
        <v>2022</v>
      </c>
      <c r="Y132" s="234">
        <v>1</v>
      </c>
      <c r="Z132" s="234">
        <v>6</v>
      </c>
      <c r="AA132" s="235">
        <v>0.4166666666678793</v>
      </c>
      <c r="AB132" s="236">
        <v>-27.4</v>
      </c>
      <c r="AC132" s="127">
        <f t="shared" si="16"/>
        <v>-27</v>
      </c>
    </row>
    <row r="133" ht="14.5" customHeight="1" spans="8:29" x14ac:dyDescent="0.25">
      <c r="H133" s="1"/>
      <c r="I133" s="1"/>
      <c r="K133" s="128"/>
      <c r="X133" s="234">
        <v>2022</v>
      </c>
      <c r="Y133" s="234">
        <v>1</v>
      </c>
      <c r="Z133" s="234">
        <v>6</v>
      </c>
      <c r="AA133" s="235">
        <v>0.4583333333321207</v>
      </c>
      <c r="AB133" s="236">
        <v>-27</v>
      </c>
      <c r="AC133" s="127">
        <f t="shared" si="16"/>
        <v>-27</v>
      </c>
    </row>
    <row r="134" ht="14.5" customHeight="1" spans="8:29" x14ac:dyDescent="0.25">
      <c r="H134" s="1"/>
      <c r="I134" s="1"/>
      <c r="K134" s="128"/>
      <c r="X134" s="234">
        <v>2022</v>
      </c>
      <c r="Y134" s="234">
        <v>1</v>
      </c>
      <c r="Z134" s="234">
        <v>6</v>
      </c>
      <c r="AA134" s="235">
        <v>0.5</v>
      </c>
      <c r="AB134" s="236">
        <v>-26.6</v>
      </c>
      <c r="AC134" s="127">
        <f t="shared" si="16"/>
        <v>-27</v>
      </c>
    </row>
    <row r="135" ht="14.5" customHeight="1" spans="8:29" x14ac:dyDescent="0.25">
      <c r="H135" s="1"/>
      <c r="I135" s="1"/>
      <c r="K135" s="128"/>
      <c r="X135" s="234">
        <v>2022</v>
      </c>
      <c r="Y135" s="234">
        <v>1</v>
      </c>
      <c r="Z135" s="234">
        <v>6</v>
      </c>
      <c r="AA135" s="235">
        <v>0.5416666666678793</v>
      </c>
      <c r="AB135" s="236">
        <v>-26.1</v>
      </c>
      <c r="AC135" s="127">
        <f t="shared" si="16"/>
        <v>-26</v>
      </c>
    </row>
    <row r="136" ht="14.5" customHeight="1" spans="8:29" x14ac:dyDescent="0.25">
      <c r="H136" s="1"/>
      <c r="I136" s="1"/>
      <c r="K136" s="128"/>
      <c r="X136" s="234">
        <v>2022</v>
      </c>
      <c r="Y136" s="234">
        <v>1</v>
      </c>
      <c r="Z136" s="234">
        <v>6</v>
      </c>
      <c r="AA136" s="235">
        <v>0.5833333333321207</v>
      </c>
      <c r="AB136" s="236">
        <v>-25.8</v>
      </c>
      <c r="AC136" s="127">
        <f t="shared" si="16"/>
        <v>-26</v>
      </c>
    </row>
    <row r="137" ht="14.5" customHeight="1" spans="8:29" x14ac:dyDescent="0.25">
      <c r="H137" s="1"/>
      <c r="I137" s="1"/>
      <c r="K137" s="128"/>
      <c r="X137" s="234">
        <v>2022</v>
      </c>
      <c r="Y137" s="234">
        <v>1</v>
      </c>
      <c r="Z137" s="234">
        <v>6</v>
      </c>
      <c r="AA137" s="235">
        <v>0.625</v>
      </c>
      <c r="AB137" s="236">
        <v>-25.3</v>
      </c>
      <c r="AC137" s="127">
        <f t="shared" si="16"/>
        <v>-25</v>
      </c>
    </row>
    <row r="138" ht="14.5" customHeight="1" spans="8:29" x14ac:dyDescent="0.25">
      <c r="H138" s="1"/>
      <c r="I138" s="1"/>
      <c r="K138" s="128"/>
      <c r="X138" s="234">
        <v>2022</v>
      </c>
      <c r="Y138" s="234">
        <v>1</v>
      </c>
      <c r="Z138" s="234">
        <v>6</v>
      </c>
      <c r="AA138" s="235">
        <v>0.6666666666678793</v>
      </c>
      <c r="AB138" s="236">
        <v>-24.9</v>
      </c>
      <c r="AC138" s="127">
        <f t="shared" si="16"/>
        <v>-25</v>
      </c>
    </row>
    <row r="139" ht="14.5" customHeight="1" spans="8:29" x14ac:dyDescent="0.25">
      <c r="H139" s="1"/>
      <c r="I139" s="1"/>
      <c r="K139" s="128"/>
      <c r="X139" s="234">
        <v>2022</v>
      </c>
      <c r="Y139" s="234">
        <v>1</v>
      </c>
      <c r="Z139" s="234">
        <v>6</v>
      </c>
      <c r="AA139" s="235">
        <v>0.7083333333321207</v>
      </c>
      <c r="AB139" s="236">
        <v>-24.4</v>
      </c>
      <c r="AC139" s="127">
        <f t="shared" ref="AC139:AC202" si="17">ROUND(AB139,0)</f>
        <v>-24</v>
      </c>
    </row>
    <row r="140" ht="14.5" customHeight="1" spans="8:29" x14ac:dyDescent="0.25">
      <c r="H140" s="1"/>
      <c r="I140" s="1"/>
      <c r="K140" s="128"/>
      <c r="X140" s="234">
        <v>2022</v>
      </c>
      <c r="Y140" s="234">
        <v>1</v>
      </c>
      <c r="Z140" s="234">
        <v>6</v>
      </c>
      <c r="AA140" s="235">
        <v>0.75</v>
      </c>
      <c r="AB140" s="236">
        <v>-24.4</v>
      </c>
      <c r="AC140" s="127">
        <f t="shared" si="17"/>
        <v>-24</v>
      </c>
    </row>
    <row r="141" ht="14.5" customHeight="1" spans="8:29" x14ac:dyDescent="0.25">
      <c r="H141" s="1"/>
      <c r="I141" s="1"/>
      <c r="K141" s="128"/>
      <c r="X141" s="234">
        <v>2022</v>
      </c>
      <c r="Y141" s="234">
        <v>1</v>
      </c>
      <c r="Z141" s="234">
        <v>6</v>
      </c>
      <c r="AA141" s="235">
        <v>0.7916666666678793</v>
      </c>
      <c r="AB141" s="236">
        <v>-24.4</v>
      </c>
      <c r="AC141" s="127">
        <f t="shared" si="17"/>
        <v>-24</v>
      </c>
    </row>
    <row r="142" ht="14.5" customHeight="1" spans="8:29" x14ac:dyDescent="0.25">
      <c r="H142" s="1"/>
      <c r="I142" s="1"/>
      <c r="K142" s="128"/>
      <c r="X142" s="234">
        <v>2022</v>
      </c>
      <c r="Y142" s="234">
        <v>1</v>
      </c>
      <c r="Z142" s="234">
        <v>6</v>
      </c>
      <c r="AA142" s="235">
        <v>0.8333333333321207</v>
      </c>
      <c r="AB142" s="236">
        <v>-24.5</v>
      </c>
      <c r="AC142" s="127">
        <f t="shared" si="17"/>
        <v>-25</v>
      </c>
    </row>
    <row r="143" ht="14.5" customHeight="1" spans="8:29" x14ac:dyDescent="0.25">
      <c r="H143" s="1"/>
      <c r="I143" s="1"/>
      <c r="K143" s="128"/>
      <c r="X143" s="234">
        <v>2022</v>
      </c>
      <c r="Y143" s="234">
        <v>1</v>
      </c>
      <c r="Z143" s="234">
        <v>6</v>
      </c>
      <c r="AA143" s="235">
        <v>0.875</v>
      </c>
      <c r="AB143" s="236">
        <v>-24</v>
      </c>
      <c r="AC143" s="127">
        <f t="shared" si="17"/>
        <v>-24</v>
      </c>
    </row>
    <row r="144" ht="14.5" customHeight="1" spans="8:29" x14ac:dyDescent="0.25">
      <c r="H144" s="1"/>
      <c r="I144" s="1"/>
      <c r="K144" s="128"/>
      <c r="X144" s="234">
        <v>2022</v>
      </c>
      <c r="Y144" s="234">
        <v>1</v>
      </c>
      <c r="Z144" s="234">
        <v>6</v>
      </c>
      <c r="AA144" s="235">
        <v>0.9166666666678793</v>
      </c>
      <c r="AB144" s="236">
        <v>-23.3</v>
      </c>
      <c r="AC144" s="127">
        <f t="shared" si="17"/>
        <v>-23</v>
      </c>
    </row>
    <row r="145" ht="14.5" customHeight="1" spans="8:29" x14ac:dyDescent="0.25">
      <c r="H145" s="1"/>
      <c r="I145" s="1"/>
      <c r="K145" s="128"/>
      <c r="X145" s="234">
        <v>2022</v>
      </c>
      <c r="Y145" s="234">
        <v>1</v>
      </c>
      <c r="Z145" s="234">
        <v>6</v>
      </c>
      <c r="AA145" s="235">
        <v>0.9583333333321207</v>
      </c>
      <c r="AB145" s="236">
        <v>-23.7</v>
      </c>
      <c r="AC145" s="127">
        <f t="shared" si="17"/>
        <v>-24</v>
      </c>
    </row>
    <row r="146" ht="14.5" customHeight="1" spans="8:29" x14ac:dyDescent="0.25">
      <c r="H146" s="1"/>
      <c r="I146" s="1"/>
      <c r="K146" s="128"/>
      <c r="X146" s="234">
        <v>2022</v>
      </c>
      <c r="Y146" s="234">
        <v>1</v>
      </c>
      <c r="Z146" s="234">
        <v>7</v>
      </c>
      <c r="AA146" s="235">
        <v>0</v>
      </c>
      <c r="AB146" s="236">
        <v>-23.6</v>
      </c>
      <c r="AC146" s="127">
        <f t="shared" si="17"/>
        <v>-24</v>
      </c>
    </row>
    <row r="147" ht="14.5" customHeight="1" spans="8:29" x14ac:dyDescent="0.25">
      <c r="H147" s="1"/>
      <c r="I147" s="1"/>
      <c r="K147" s="128"/>
      <c r="X147" s="234">
        <v>2022</v>
      </c>
      <c r="Y147" s="234">
        <v>1</v>
      </c>
      <c r="Z147" s="234">
        <v>7</v>
      </c>
      <c r="AA147" s="235">
        <v>0.041666666667879326</v>
      </c>
      <c r="AB147" s="236">
        <v>-23.7</v>
      </c>
      <c r="AC147" s="127">
        <f t="shared" si="17"/>
        <v>-24</v>
      </c>
    </row>
    <row r="148" ht="14.5" customHeight="1" spans="8:29" x14ac:dyDescent="0.25">
      <c r="H148" s="1"/>
      <c r="I148" s="1"/>
      <c r="K148" s="128"/>
      <c r="X148" s="234">
        <v>2022</v>
      </c>
      <c r="Y148" s="234">
        <v>1</v>
      </c>
      <c r="Z148" s="234">
        <v>7</v>
      </c>
      <c r="AA148" s="235">
        <v>0.08333333333212067</v>
      </c>
      <c r="AB148" s="236">
        <v>-23.9</v>
      </c>
      <c r="AC148" s="127">
        <f t="shared" si="17"/>
        <v>-24</v>
      </c>
    </row>
    <row r="149" ht="14.5" customHeight="1" spans="8:29" x14ac:dyDescent="0.25">
      <c r="H149" s="1"/>
      <c r="I149" s="1"/>
      <c r="K149" s="128"/>
      <c r="X149" s="234">
        <v>2022</v>
      </c>
      <c r="Y149" s="234">
        <v>1</v>
      </c>
      <c r="Z149" s="234">
        <v>7</v>
      </c>
      <c r="AA149" s="235">
        <v>0.125</v>
      </c>
      <c r="AB149" s="236">
        <v>-24</v>
      </c>
      <c r="AC149" s="127">
        <f t="shared" si="17"/>
        <v>-24</v>
      </c>
    </row>
    <row r="150" ht="14.5" customHeight="1" spans="8:29" x14ac:dyDescent="0.25">
      <c r="H150" s="1"/>
      <c r="I150" s="1"/>
      <c r="K150" s="128"/>
      <c r="X150" s="234">
        <v>2022</v>
      </c>
      <c r="Y150" s="234">
        <v>1</v>
      </c>
      <c r="Z150" s="234">
        <v>7</v>
      </c>
      <c r="AA150" s="235">
        <v>0.16666666666787933</v>
      </c>
      <c r="AB150" s="236">
        <v>-24.1</v>
      </c>
      <c r="AC150" s="127">
        <f t="shared" si="17"/>
        <v>-24</v>
      </c>
    </row>
    <row r="151" ht="14.5" customHeight="1" spans="8:29" x14ac:dyDescent="0.25">
      <c r="H151" s="1"/>
      <c r="I151" s="1"/>
      <c r="K151" s="128"/>
      <c r="X151" s="234">
        <v>2022</v>
      </c>
      <c r="Y151" s="234">
        <v>1</v>
      </c>
      <c r="Z151" s="234">
        <v>7</v>
      </c>
      <c r="AA151" s="235">
        <v>0.20833333333212067</v>
      </c>
      <c r="AB151" s="236">
        <v>-23.5</v>
      </c>
      <c r="AC151" s="127">
        <f t="shared" si="17"/>
        <v>-24</v>
      </c>
    </row>
    <row r="152" ht="14.5" customHeight="1" spans="8:29" x14ac:dyDescent="0.25">
      <c r="H152" s="1"/>
      <c r="I152" s="1"/>
      <c r="K152" s="128"/>
      <c r="X152" s="234">
        <v>2022</v>
      </c>
      <c r="Y152" s="234">
        <v>1</v>
      </c>
      <c r="Z152" s="234">
        <v>7</v>
      </c>
      <c r="AA152" s="235">
        <v>0.25</v>
      </c>
      <c r="AB152" s="236">
        <v>-22.9</v>
      </c>
      <c r="AC152" s="127">
        <f t="shared" si="17"/>
        <v>-23</v>
      </c>
    </row>
    <row r="153" ht="14.5" customHeight="1" spans="8:29" x14ac:dyDescent="0.25">
      <c r="H153" s="1"/>
      <c r="I153" s="1"/>
      <c r="K153" s="128"/>
      <c r="X153" s="234">
        <v>2022</v>
      </c>
      <c r="Y153" s="234">
        <v>1</v>
      </c>
      <c r="Z153" s="234">
        <v>7</v>
      </c>
      <c r="AA153" s="235">
        <v>0.2916666666678793</v>
      </c>
      <c r="AB153" s="236">
        <v>-22.8</v>
      </c>
      <c r="AC153" s="127">
        <f t="shared" si="17"/>
        <v>-23</v>
      </c>
    </row>
    <row r="154" ht="14.5" customHeight="1" spans="8:29" x14ac:dyDescent="0.25">
      <c r="H154" s="1"/>
      <c r="I154" s="1"/>
      <c r="K154" s="128"/>
      <c r="X154" s="234">
        <v>2022</v>
      </c>
      <c r="Y154" s="234">
        <v>1</v>
      </c>
      <c r="Z154" s="234">
        <v>7</v>
      </c>
      <c r="AA154" s="235">
        <v>0.3333333333321207</v>
      </c>
      <c r="AB154" s="236">
        <v>-23.5</v>
      </c>
      <c r="AC154" s="127">
        <f t="shared" si="17"/>
        <v>-24</v>
      </c>
    </row>
    <row r="155" ht="14.5" customHeight="1" spans="8:29" x14ac:dyDescent="0.25">
      <c r="H155" s="1"/>
      <c r="I155" s="1"/>
      <c r="K155" s="128"/>
      <c r="X155" s="234">
        <v>2022</v>
      </c>
      <c r="Y155" s="234">
        <v>1</v>
      </c>
      <c r="Z155" s="234">
        <v>7</v>
      </c>
      <c r="AA155" s="235">
        <v>0.375</v>
      </c>
      <c r="AB155" s="236">
        <v>-24</v>
      </c>
      <c r="AC155" s="127">
        <f t="shared" si="17"/>
        <v>-24</v>
      </c>
    </row>
    <row r="156" ht="14.5" customHeight="1" spans="8:29" x14ac:dyDescent="0.25">
      <c r="H156" s="1"/>
      <c r="I156" s="1"/>
      <c r="K156" s="128"/>
      <c r="X156" s="234">
        <v>2022</v>
      </c>
      <c r="Y156" s="234">
        <v>1</v>
      </c>
      <c r="Z156" s="234">
        <v>7</v>
      </c>
      <c r="AA156" s="235">
        <v>0.4166666666678793</v>
      </c>
      <c r="AB156" s="236">
        <v>-23.9</v>
      </c>
      <c r="AC156" s="127">
        <f t="shared" si="17"/>
        <v>-24</v>
      </c>
    </row>
    <row r="157" ht="14.5" customHeight="1" spans="8:29" x14ac:dyDescent="0.25">
      <c r="H157" s="1"/>
      <c r="I157" s="1"/>
      <c r="K157" s="128"/>
      <c r="X157" s="234">
        <v>2022</v>
      </c>
      <c r="Y157" s="234">
        <v>1</v>
      </c>
      <c r="Z157" s="234">
        <v>7</v>
      </c>
      <c r="AA157" s="235">
        <v>0.4583333333321207</v>
      </c>
      <c r="AB157" s="236">
        <v>-23.6</v>
      </c>
      <c r="AC157" s="127">
        <f t="shared" si="17"/>
        <v>-24</v>
      </c>
    </row>
    <row r="158" ht="14.5" customHeight="1" spans="8:29" x14ac:dyDescent="0.25">
      <c r="H158" s="1"/>
      <c r="I158" s="1"/>
      <c r="K158" s="128"/>
      <c r="X158" s="234">
        <v>2022</v>
      </c>
      <c r="Y158" s="234">
        <v>1</v>
      </c>
      <c r="Z158" s="234">
        <v>7</v>
      </c>
      <c r="AA158" s="235">
        <v>0.5</v>
      </c>
      <c r="AB158" s="236">
        <v>-23.6</v>
      </c>
      <c r="AC158" s="127">
        <f t="shared" si="17"/>
        <v>-24</v>
      </c>
    </row>
    <row r="159" ht="14.5" customHeight="1" spans="8:29" x14ac:dyDescent="0.25">
      <c r="H159" s="1"/>
      <c r="I159" s="1"/>
      <c r="K159" s="128"/>
      <c r="X159" s="234">
        <v>2022</v>
      </c>
      <c r="Y159" s="234">
        <v>1</v>
      </c>
      <c r="Z159" s="234">
        <v>7</v>
      </c>
      <c r="AA159" s="235">
        <v>0.5416666666678793</v>
      </c>
      <c r="AB159" s="236">
        <v>-23.1</v>
      </c>
      <c r="AC159" s="127">
        <f t="shared" si="17"/>
        <v>-23</v>
      </c>
    </row>
    <row r="160" ht="14.5" customHeight="1" spans="8:29" x14ac:dyDescent="0.25">
      <c r="H160" s="1"/>
      <c r="I160" s="1"/>
      <c r="K160" s="128"/>
      <c r="X160" s="234">
        <v>2022</v>
      </c>
      <c r="Y160" s="234">
        <v>1</v>
      </c>
      <c r="Z160" s="234">
        <v>7</v>
      </c>
      <c r="AA160" s="235">
        <v>0.5833333333321207</v>
      </c>
      <c r="AB160" s="236">
        <v>-22.7</v>
      </c>
      <c r="AC160" s="127">
        <f t="shared" si="17"/>
        <v>-23</v>
      </c>
    </row>
    <row r="161" ht="14.5" customHeight="1" spans="8:29" x14ac:dyDescent="0.25">
      <c r="H161" s="1"/>
      <c r="I161" s="1"/>
      <c r="K161" s="128"/>
      <c r="X161" s="234">
        <v>2022</v>
      </c>
      <c r="Y161" s="234">
        <v>1</v>
      </c>
      <c r="Z161" s="234">
        <v>7</v>
      </c>
      <c r="AA161" s="235">
        <v>0.625</v>
      </c>
      <c r="AB161" s="236">
        <v>-22.6</v>
      </c>
      <c r="AC161" s="127">
        <f t="shared" si="17"/>
        <v>-23</v>
      </c>
    </row>
    <row r="162" ht="14.5" customHeight="1" spans="8:29" x14ac:dyDescent="0.25">
      <c r="H162" s="1"/>
      <c r="I162" s="1"/>
      <c r="K162" s="128"/>
      <c r="X162" s="234">
        <v>2022</v>
      </c>
      <c r="Y162" s="234">
        <v>1</v>
      </c>
      <c r="Z162" s="234">
        <v>7</v>
      </c>
      <c r="AA162" s="235">
        <v>0.6666666666678793</v>
      </c>
      <c r="AB162" s="236">
        <v>-22.9</v>
      </c>
      <c r="AC162" s="127">
        <f t="shared" si="17"/>
        <v>-23</v>
      </c>
    </row>
    <row r="163" ht="14.5" customHeight="1" spans="8:29" x14ac:dyDescent="0.25">
      <c r="H163" s="1"/>
      <c r="I163" s="1"/>
      <c r="K163" s="128"/>
      <c r="X163" s="234">
        <v>2022</v>
      </c>
      <c r="Y163" s="234">
        <v>1</v>
      </c>
      <c r="Z163" s="234">
        <v>7</v>
      </c>
      <c r="AA163" s="235">
        <v>0.7083333333321207</v>
      </c>
      <c r="AB163" s="236">
        <v>-22.9</v>
      </c>
      <c r="AC163" s="127">
        <f t="shared" si="17"/>
        <v>-23</v>
      </c>
    </row>
    <row r="164" ht="14.5" customHeight="1" spans="8:29" x14ac:dyDescent="0.25">
      <c r="H164" s="1"/>
      <c r="I164" s="1"/>
      <c r="K164" s="128"/>
      <c r="X164" s="234">
        <v>2022</v>
      </c>
      <c r="Y164" s="234">
        <v>1</v>
      </c>
      <c r="Z164" s="234">
        <v>7</v>
      </c>
      <c r="AA164" s="235">
        <v>0.75</v>
      </c>
      <c r="AB164" s="236">
        <v>-22.9</v>
      </c>
      <c r="AC164" s="127">
        <f t="shared" si="17"/>
        <v>-23</v>
      </c>
    </row>
    <row r="165" ht="14.5" customHeight="1" spans="8:29" x14ac:dyDescent="0.25">
      <c r="H165" s="1"/>
      <c r="I165" s="1"/>
      <c r="K165" s="128"/>
      <c r="X165" s="234">
        <v>2022</v>
      </c>
      <c r="Y165" s="234">
        <v>1</v>
      </c>
      <c r="Z165" s="234">
        <v>7</v>
      </c>
      <c r="AA165" s="235">
        <v>0.7916666666678793</v>
      </c>
      <c r="AB165" s="236">
        <v>-23</v>
      </c>
      <c r="AC165" s="127">
        <f t="shared" si="17"/>
        <v>-23</v>
      </c>
    </row>
    <row r="166" ht="14.5" customHeight="1" spans="8:29" x14ac:dyDescent="0.25">
      <c r="H166" s="1"/>
      <c r="I166" s="1"/>
      <c r="K166" s="128"/>
      <c r="X166" s="234">
        <v>2022</v>
      </c>
      <c r="Y166" s="234">
        <v>1</v>
      </c>
      <c r="Z166" s="234">
        <v>7</v>
      </c>
      <c r="AA166" s="235">
        <v>0.8333333333321207</v>
      </c>
      <c r="AB166" s="236">
        <v>-23</v>
      </c>
      <c r="AC166" s="127">
        <f t="shared" si="17"/>
        <v>-23</v>
      </c>
    </row>
    <row r="167" ht="14.5" customHeight="1" spans="8:29" x14ac:dyDescent="0.25">
      <c r="H167" s="1"/>
      <c r="I167" s="1"/>
      <c r="K167" s="128"/>
      <c r="X167" s="234">
        <v>2022</v>
      </c>
      <c r="Y167" s="234">
        <v>1</v>
      </c>
      <c r="Z167" s="234">
        <v>7</v>
      </c>
      <c r="AA167" s="235">
        <v>0.875</v>
      </c>
      <c r="AB167" s="236">
        <v>-23.3</v>
      </c>
      <c r="AC167" s="127">
        <f t="shared" si="17"/>
        <v>-23</v>
      </c>
    </row>
    <row r="168" ht="14.5" customHeight="1" spans="8:29" x14ac:dyDescent="0.25">
      <c r="H168" s="1"/>
      <c r="I168" s="1"/>
      <c r="K168" s="128"/>
      <c r="X168" s="234">
        <v>2022</v>
      </c>
      <c r="Y168" s="234">
        <v>1</v>
      </c>
      <c r="Z168" s="234">
        <v>7</v>
      </c>
      <c r="AA168" s="235">
        <v>0.9166666666678793</v>
      </c>
      <c r="AB168" s="236">
        <v>-23.6</v>
      </c>
      <c r="AC168" s="127">
        <f t="shared" si="17"/>
        <v>-24</v>
      </c>
    </row>
    <row r="169" ht="14.5" customHeight="1" spans="8:29" x14ac:dyDescent="0.25">
      <c r="H169" s="1"/>
      <c r="I169" s="1"/>
      <c r="K169" s="128"/>
      <c r="X169" s="234">
        <v>2022</v>
      </c>
      <c r="Y169" s="234">
        <v>1</v>
      </c>
      <c r="Z169" s="234">
        <v>7</v>
      </c>
      <c r="AA169" s="235">
        <v>0.9583333333321207</v>
      </c>
      <c r="AB169" s="236">
        <v>-23.3</v>
      </c>
      <c r="AC169" s="127">
        <f t="shared" si="17"/>
        <v>-23</v>
      </c>
    </row>
    <row r="170" ht="14.5" customHeight="1" spans="8:29" x14ac:dyDescent="0.25">
      <c r="H170" s="1"/>
      <c r="I170" s="1"/>
      <c r="K170" s="128"/>
      <c r="X170" s="234">
        <v>2022</v>
      </c>
      <c r="Y170" s="234">
        <v>1</v>
      </c>
      <c r="Z170" s="234">
        <v>8</v>
      </c>
      <c r="AA170" s="235">
        <v>0</v>
      </c>
      <c r="AB170" s="236">
        <v>-23.4</v>
      </c>
      <c r="AC170" s="127">
        <f t="shared" si="17"/>
        <v>-23</v>
      </c>
    </row>
    <row r="171" ht="14.5" customHeight="1" spans="8:29" x14ac:dyDescent="0.25">
      <c r="H171" s="1"/>
      <c r="I171" s="1"/>
      <c r="K171" s="128"/>
      <c r="X171" s="234">
        <v>2022</v>
      </c>
      <c r="Y171" s="234">
        <v>1</v>
      </c>
      <c r="Z171" s="234">
        <v>8</v>
      </c>
      <c r="AA171" s="235">
        <v>0.041666666667879326</v>
      </c>
      <c r="AB171" s="236">
        <v>-23.9</v>
      </c>
      <c r="AC171" s="127">
        <f t="shared" si="17"/>
        <v>-24</v>
      </c>
    </row>
    <row r="172" ht="14.5" customHeight="1" spans="8:29" x14ac:dyDescent="0.25">
      <c r="H172" s="1"/>
      <c r="I172" s="1"/>
      <c r="K172" s="128"/>
      <c r="X172" s="234">
        <v>2022</v>
      </c>
      <c r="Y172" s="234">
        <v>1</v>
      </c>
      <c r="Z172" s="234">
        <v>8</v>
      </c>
      <c r="AA172" s="235">
        <v>0.08333333333212067</v>
      </c>
      <c r="AB172" s="236">
        <v>-24</v>
      </c>
      <c r="AC172" s="127">
        <f t="shared" si="17"/>
        <v>-24</v>
      </c>
    </row>
    <row r="173" ht="14.5" customHeight="1" spans="8:29" x14ac:dyDescent="0.25">
      <c r="H173" s="1"/>
      <c r="I173" s="1"/>
      <c r="K173" s="128"/>
      <c r="X173" s="234">
        <v>2022</v>
      </c>
      <c r="Y173" s="234">
        <v>1</v>
      </c>
      <c r="Z173" s="234">
        <v>8</v>
      </c>
      <c r="AA173" s="235">
        <v>0.125</v>
      </c>
      <c r="AB173" s="236">
        <v>-23.7</v>
      </c>
      <c r="AC173" s="127">
        <f t="shared" si="17"/>
        <v>-24</v>
      </c>
    </row>
    <row r="174" ht="14.5" customHeight="1" spans="8:29" x14ac:dyDescent="0.25">
      <c r="H174" s="1"/>
      <c r="I174" s="1"/>
      <c r="K174" s="128"/>
      <c r="X174" s="234">
        <v>2022</v>
      </c>
      <c r="Y174" s="234">
        <v>1</v>
      </c>
      <c r="Z174" s="234">
        <v>8</v>
      </c>
      <c r="AA174" s="235">
        <v>0.16666666666787933</v>
      </c>
      <c r="AB174" s="236">
        <v>-23.3</v>
      </c>
      <c r="AC174" s="127">
        <f t="shared" si="17"/>
        <v>-23</v>
      </c>
    </row>
    <row r="175" ht="14.5" customHeight="1" spans="8:29" x14ac:dyDescent="0.25">
      <c r="H175" s="1"/>
      <c r="I175" s="1"/>
      <c r="K175" s="128"/>
      <c r="X175" s="234">
        <v>2022</v>
      </c>
      <c r="Y175" s="234">
        <v>1</v>
      </c>
      <c r="Z175" s="234">
        <v>8</v>
      </c>
      <c r="AA175" s="235">
        <v>0.20833333333212067</v>
      </c>
      <c r="AB175" s="236">
        <v>-23.4</v>
      </c>
      <c r="AC175" s="127">
        <f t="shared" si="17"/>
        <v>-23</v>
      </c>
    </row>
    <row r="176" ht="14.5" customHeight="1" spans="8:29" x14ac:dyDescent="0.25">
      <c r="H176" s="1"/>
      <c r="I176" s="1"/>
      <c r="K176" s="128"/>
      <c r="X176" s="234">
        <v>2022</v>
      </c>
      <c r="Y176" s="234">
        <v>1</v>
      </c>
      <c r="Z176" s="234">
        <v>8</v>
      </c>
      <c r="AA176" s="235">
        <v>0.25</v>
      </c>
      <c r="AB176" s="236">
        <v>-23.8</v>
      </c>
      <c r="AC176" s="127">
        <f t="shared" si="17"/>
        <v>-24</v>
      </c>
    </row>
    <row r="177" ht="14.5" customHeight="1" spans="8:29" x14ac:dyDescent="0.25">
      <c r="H177" s="1"/>
      <c r="I177" s="1"/>
      <c r="K177" s="128"/>
      <c r="X177" s="234">
        <v>2022</v>
      </c>
      <c r="Y177" s="234">
        <v>1</v>
      </c>
      <c r="Z177" s="234">
        <v>8</v>
      </c>
      <c r="AA177" s="235">
        <v>0.2916666666678793</v>
      </c>
      <c r="AB177" s="236">
        <v>-24</v>
      </c>
      <c r="AC177" s="127">
        <f t="shared" si="17"/>
        <v>-24</v>
      </c>
    </row>
    <row r="178" ht="14.5" customHeight="1" spans="8:29" x14ac:dyDescent="0.25">
      <c r="H178" s="1"/>
      <c r="I178" s="1"/>
      <c r="K178" s="128"/>
      <c r="X178" s="234">
        <v>2022</v>
      </c>
      <c r="Y178" s="234">
        <v>1</v>
      </c>
      <c r="Z178" s="234">
        <v>8</v>
      </c>
      <c r="AA178" s="235">
        <v>0.3333333333321207</v>
      </c>
      <c r="AB178" s="236">
        <v>-24.1</v>
      </c>
      <c r="AC178" s="127">
        <f t="shared" si="17"/>
        <v>-24</v>
      </c>
    </row>
    <row r="179" ht="14.5" customHeight="1" spans="8:29" x14ac:dyDescent="0.25">
      <c r="H179" s="1"/>
      <c r="I179" s="1"/>
      <c r="K179" s="128"/>
      <c r="X179" s="234">
        <v>2022</v>
      </c>
      <c r="Y179" s="234">
        <v>1</v>
      </c>
      <c r="Z179" s="234">
        <v>8</v>
      </c>
      <c r="AA179" s="235">
        <v>0.375</v>
      </c>
      <c r="AB179" s="236">
        <v>-23.5</v>
      </c>
      <c r="AC179" s="127">
        <f t="shared" si="17"/>
        <v>-24</v>
      </c>
    </row>
    <row r="180" ht="14.5" customHeight="1" spans="8:29" x14ac:dyDescent="0.25">
      <c r="H180" s="1"/>
      <c r="I180" s="1"/>
      <c r="K180" s="128"/>
      <c r="X180" s="234">
        <v>2022</v>
      </c>
      <c r="Y180" s="234">
        <v>1</v>
      </c>
      <c r="Z180" s="234">
        <v>8</v>
      </c>
      <c r="AA180" s="235">
        <v>0.4166666666678793</v>
      </c>
      <c r="AB180" s="236">
        <v>-21.8</v>
      </c>
      <c r="AC180" s="127">
        <f t="shared" si="17"/>
        <v>-22</v>
      </c>
    </row>
    <row r="181" ht="14.5" customHeight="1" spans="11:29" x14ac:dyDescent="0.25">
      <c r="K181" s="128"/>
      <c r="X181" s="234">
        <v>2022</v>
      </c>
      <c r="Y181" s="234">
        <v>1</v>
      </c>
      <c r="Z181" s="234">
        <v>8</v>
      </c>
      <c r="AA181" s="235">
        <v>0.4583333333321207</v>
      </c>
      <c r="AB181" s="236">
        <v>-21</v>
      </c>
      <c r="AC181" s="127">
        <f t="shared" si="17"/>
        <v>-21</v>
      </c>
    </row>
    <row r="182" ht="14.5" customHeight="1" spans="11:29" x14ac:dyDescent="0.25">
      <c r="K182" s="128"/>
      <c r="X182" s="234">
        <v>2022</v>
      </c>
      <c r="Y182" s="234">
        <v>1</v>
      </c>
      <c r="Z182" s="234">
        <v>8</v>
      </c>
      <c r="AA182" s="235">
        <v>0.5</v>
      </c>
      <c r="AB182" s="236">
        <v>-19</v>
      </c>
      <c r="AC182" s="127">
        <f t="shared" si="17"/>
        <v>-19</v>
      </c>
    </row>
    <row r="183" ht="14.5" customHeight="1" spans="11:29" x14ac:dyDescent="0.25">
      <c r="K183" s="128"/>
      <c r="X183" s="234">
        <v>2022</v>
      </c>
      <c r="Y183" s="234">
        <v>1</v>
      </c>
      <c r="Z183" s="234">
        <v>8</v>
      </c>
      <c r="AA183" s="235">
        <v>0.5416666666678793</v>
      </c>
      <c r="AB183" s="236">
        <v>-17.3</v>
      </c>
      <c r="AC183" s="127">
        <f t="shared" si="17"/>
        <v>-17</v>
      </c>
    </row>
    <row r="184" ht="14.5" customHeight="1" spans="11:29" x14ac:dyDescent="0.25">
      <c r="K184" s="128"/>
      <c r="X184" s="234">
        <v>2022</v>
      </c>
      <c r="Y184" s="234">
        <v>1</v>
      </c>
      <c r="Z184" s="234">
        <v>8</v>
      </c>
      <c r="AA184" s="235">
        <v>0.5833333333321207</v>
      </c>
      <c r="AB184" s="236">
        <v>-17.1</v>
      </c>
      <c r="AC184" s="127">
        <f t="shared" si="17"/>
        <v>-17</v>
      </c>
    </row>
    <row r="185" ht="14.5" customHeight="1" spans="11:29" x14ac:dyDescent="0.25">
      <c r="K185" s="128"/>
      <c r="X185" s="234">
        <v>2022</v>
      </c>
      <c r="Y185" s="234">
        <v>1</v>
      </c>
      <c r="Z185" s="234">
        <v>8</v>
      </c>
      <c r="AA185" s="235">
        <v>0.625</v>
      </c>
      <c r="AB185" s="236">
        <v>-18.2</v>
      </c>
      <c r="AC185" s="127">
        <f t="shared" si="17"/>
        <v>-18</v>
      </c>
    </row>
    <row r="186" ht="14.5" customHeight="1" spans="11:29" x14ac:dyDescent="0.25">
      <c r="K186" s="128"/>
      <c r="X186" s="234">
        <v>2022</v>
      </c>
      <c r="Y186" s="234">
        <v>1</v>
      </c>
      <c r="Z186" s="234">
        <v>8</v>
      </c>
      <c r="AA186" s="235">
        <v>0.6666666666678793</v>
      </c>
      <c r="AB186" s="236">
        <v>-18.2</v>
      </c>
      <c r="AC186" s="127">
        <f t="shared" si="17"/>
        <v>-18</v>
      </c>
    </row>
    <row r="187" ht="14.5" customHeight="1" spans="11:29" x14ac:dyDescent="0.25">
      <c r="K187" s="128"/>
      <c r="X187" s="234">
        <v>2022</v>
      </c>
      <c r="Y187" s="234">
        <v>1</v>
      </c>
      <c r="Z187" s="234">
        <v>8</v>
      </c>
      <c r="AA187" s="235">
        <v>0.7083333333321207</v>
      </c>
      <c r="AB187" s="236">
        <v>-18.6</v>
      </c>
      <c r="AC187" s="127">
        <f t="shared" si="17"/>
        <v>-19</v>
      </c>
    </row>
    <row r="188" ht="14.5" customHeight="1" spans="11:29" x14ac:dyDescent="0.25">
      <c r="K188" s="128"/>
      <c r="X188" s="234">
        <v>2022</v>
      </c>
      <c r="Y188" s="234">
        <v>1</v>
      </c>
      <c r="Z188" s="234">
        <v>8</v>
      </c>
      <c r="AA188" s="235">
        <v>0.75</v>
      </c>
      <c r="AB188" s="236">
        <v>-18.9</v>
      </c>
      <c r="AC188" s="127">
        <f t="shared" si="17"/>
        <v>-19</v>
      </c>
    </row>
    <row r="189" ht="14.5" customHeight="1" spans="11:29" x14ac:dyDescent="0.25">
      <c r="K189" s="128"/>
      <c r="X189" s="234">
        <v>2022</v>
      </c>
      <c r="Y189" s="234">
        <v>1</v>
      </c>
      <c r="Z189" s="234">
        <v>8</v>
      </c>
      <c r="AA189" s="235">
        <v>0.7916666666678793</v>
      </c>
      <c r="AB189" s="236">
        <v>-17.8</v>
      </c>
      <c r="AC189" s="127">
        <f t="shared" si="17"/>
        <v>-18</v>
      </c>
    </row>
    <row r="190" ht="14.5" customHeight="1" spans="11:29" x14ac:dyDescent="0.25">
      <c r="K190" s="128"/>
      <c r="X190" s="234">
        <v>2022</v>
      </c>
      <c r="Y190" s="234">
        <v>1</v>
      </c>
      <c r="Z190" s="234">
        <v>8</v>
      </c>
      <c r="AA190" s="235">
        <v>0.8333333333321207</v>
      </c>
      <c r="AB190" s="236">
        <v>-15.9</v>
      </c>
      <c r="AC190" s="127">
        <f t="shared" si="17"/>
        <v>-16</v>
      </c>
    </row>
    <row r="191" ht="14.5" customHeight="1" spans="11:29" x14ac:dyDescent="0.25">
      <c r="K191" s="128"/>
      <c r="X191" s="234">
        <v>2022</v>
      </c>
      <c r="Y191" s="234">
        <v>1</v>
      </c>
      <c r="Z191" s="234">
        <v>8</v>
      </c>
      <c r="AA191" s="235">
        <v>0.875</v>
      </c>
      <c r="AB191" s="236">
        <v>-17.8</v>
      </c>
      <c r="AC191" s="127">
        <f t="shared" si="17"/>
        <v>-18</v>
      </c>
    </row>
    <row r="192" ht="14.5" customHeight="1" spans="11:29" x14ac:dyDescent="0.25">
      <c r="K192" s="128"/>
      <c r="X192" s="234">
        <v>2022</v>
      </c>
      <c r="Y192" s="234">
        <v>1</v>
      </c>
      <c r="Z192" s="234">
        <v>8</v>
      </c>
      <c r="AA192" s="235">
        <v>0.9166666666678793</v>
      </c>
      <c r="AB192" s="236">
        <v>-15.9</v>
      </c>
      <c r="AC192" s="127">
        <f t="shared" si="17"/>
        <v>-16</v>
      </c>
    </row>
    <row r="193" ht="14.5" customHeight="1" spans="11:29" x14ac:dyDescent="0.25">
      <c r="K193" s="128"/>
      <c r="X193" s="234">
        <v>2022</v>
      </c>
      <c r="Y193" s="234">
        <v>1</v>
      </c>
      <c r="Z193" s="234">
        <v>8</v>
      </c>
      <c r="AA193" s="235">
        <v>0.9583333333321207</v>
      </c>
      <c r="AB193" s="236">
        <v>-15.9</v>
      </c>
      <c r="AC193" s="127">
        <f t="shared" si="17"/>
        <v>-16</v>
      </c>
    </row>
    <row r="194" ht="14.5" customHeight="1" spans="11:29" x14ac:dyDescent="0.25">
      <c r="K194" s="128"/>
      <c r="X194" s="234">
        <v>2022</v>
      </c>
      <c r="Y194" s="234">
        <v>1</v>
      </c>
      <c r="Z194" s="234">
        <v>9</v>
      </c>
      <c r="AA194" s="235">
        <v>0</v>
      </c>
      <c r="AB194" s="236">
        <v>-14.9</v>
      </c>
      <c r="AC194" s="127">
        <f t="shared" si="17"/>
        <v>-15</v>
      </c>
    </row>
    <row r="195" ht="14.5" customHeight="1" spans="11:29" x14ac:dyDescent="0.25">
      <c r="K195" s="128"/>
      <c r="X195" s="234">
        <v>2022</v>
      </c>
      <c r="Y195" s="234">
        <v>1</v>
      </c>
      <c r="Z195" s="234">
        <v>9</v>
      </c>
      <c r="AA195" s="235">
        <v>0.041666666667879326</v>
      </c>
      <c r="AB195" s="236">
        <v>-16.8</v>
      </c>
      <c r="AC195" s="127">
        <f t="shared" si="17"/>
        <v>-17</v>
      </c>
    </row>
    <row r="196" ht="14.5" customHeight="1" spans="11:29" x14ac:dyDescent="0.25">
      <c r="K196" s="128"/>
      <c r="X196" s="234">
        <v>2022</v>
      </c>
      <c r="Y196" s="234">
        <v>1</v>
      </c>
      <c r="Z196" s="234">
        <v>9</v>
      </c>
      <c r="AA196" s="235">
        <v>0.08333333333212067</v>
      </c>
      <c r="AB196" s="236">
        <v>-18</v>
      </c>
      <c r="AC196" s="127">
        <f t="shared" si="17"/>
        <v>-18</v>
      </c>
    </row>
    <row r="197" ht="14.5" customHeight="1" spans="11:29" x14ac:dyDescent="0.25">
      <c r="K197" s="128"/>
      <c r="X197" s="234">
        <v>2022</v>
      </c>
      <c r="Y197" s="234">
        <v>1</v>
      </c>
      <c r="Z197" s="234">
        <v>9</v>
      </c>
      <c r="AA197" s="235">
        <v>0.125</v>
      </c>
      <c r="AB197" s="236">
        <v>-17</v>
      </c>
      <c r="AC197" s="127">
        <f t="shared" si="17"/>
        <v>-17</v>
      </c>
    </row>
    <row r="198" ht="14.5" customHeight="1" spans="11:29" x14ac:dyDescent="0.25">
      <c r="K198" s="128"/>
      <c r="X198" s="234">
        <v>2022</v>
      </c>
      <c r="Y198" s="234">
        <v>1</v>
      </c>
      <c r="Z198" s="234">
        <v>9</v>
      </c>
      <c r="AA198" s="235">
        <v>0.16666666666787933</v>
      </c>
      <c r="AB198" s="236">
        <v>-22.8</v>
      </c>
      <c r="AC198" s="127">
        <f t="shared" si="17"/>
        <v>-23</v>
      </c>
    </row>
    <row r="199" ht="14.5" customHeight="1" spans="11:29" x14ac:dyDescent="0.25">
      <c r="K199" s="128"/>
      <c r="X199" s="234">
        <v>2022</v>
      </c>
      <c r="Y199" s="234">
        <v>1</v>
      </c>
      <c r="Z199" s="234">
        <v>9</v>
      </c>
      <c r="AA199" s="235">
        <v>0.20833333333212067</v>
      </c>
      <c r="AB199" s="236">
        <v>-23.9</v>
      </c>
      <c r="AC199" s="127">
        <f t="shared" si="17"/>
        <v>-24</v>
      </c>
    </row>
    <row r="200" ht="14.5" customHeight="1" spans="11:29" x14ac:dyDescent="0.25">
      <c r="K200" s="128"/>
      <c r="X200" s="234">
        <v>2022</v>
      </c>
      <c r="Y200" s="234">
        <v>1</v>
      </c>
      <c r="Z200" s="234">
        <v>9</v>
      </c>
      <c r="AA200" s="235">
        <v>0.25</v>
      </c>
      <c r="AB200" s="236">
        <v>-24.1</v>
      </c>
      <c r="AC200" s="127">
        <f t="shared" si="17"/>
        <v>-24</v>
      </c>
    </row>
    <row r="201" ht="14.5" customHeight="1" spans="11:29" x14ac:dyDescent="0.25">
      <c r="K201" s="128"/>
      <c r="X201" s="234">
        <v>2022</v>
      </c>
      <c r="Y201" s="234">
        <v>1</v>
      </c>
      <c r="Z201" s="234">
        <v>9</v>
      </c>
      <c r="AA201" s="235">
        <v>0.2916666666678793</v>
      </c>
      <c r="AB201" s="236">
        <v>-23.8</v>
      </c>
      <c r="AC201" s="127">
        <f t="shared" si="17"/>
        <v>-24</v>
      </c>
    </row>
    <row r="202" ht="14.5" customHeight="1" spans="11:29" x14ac:dyDescent="0.25">
      <c r="K202" s="128"/>
      <c r="X202" s="234">
        <v>2022</v>
      </c>
      <c r="Y202" s="234">
        <v>1</v>
      </c>
      <c r="Z202" s="234">
        <v>9</v>
      </c>
      <c r="AA202" s="235">
        <v>0.3333333333321207</v>
      </c>
      <c r="AB202" s="236">
        <v>-24.1</v>
      </c>
      <c r="AC202" s="127">
        <f t="shared" si="17"/>
        <v>-24</v>
      </c>
    </row>
    <row r="203" ht="14.5" customHeight="1" spans="11:29" x14ac:dyDescent="0.25">
      <c r="K203" s="128"/>
      <c r="X203" s="234">
        <v>2022</v>
      </c>
      <c r="Y203" s="234">
        <v>1</v>
      </c>
      <c r="Z203" s="234">
        <v>9</v>
      </c>
      <c r="AA203" s="235">
        <v>0.375</v>
      </c>
      <c r="AB203" s="236">
        <v>-23.2</v>
      </c>
      <c r="AC203" s="127">
        <f t="shared" ref="AC203:AC266" si="18">ROUND(AB203,0)</f>
        <v>-23</v>
      </c>
    </row>
    <row r="204" ht="14.5" customHeight="1" spans="11:29" x14ac:dyDescent="0.25">
      <c r="K204" s="128"/>
      <c r="X204" s="234">
        <v>2022</v>
      </c>
      <c r="Y204" s="234">
        <v>1</v>
      </c>
      <c r="Z204" s="234">
        <v>9</v>
      </c>
      <c r="AA204" s="235">
        <v>0.4166666666678793</v>
      </c>
      <c r="AB204" s="236">
        <v>-21.5</v>
      </c>
      <c r="AC204" s="127">
        <f t="shared" si="18"/>
        <v>-22</v>
      </c>
    </row>
    <row r="205" ht="14.5" customHeight="1" spans="11:29" x14ac:dyDescent="0.25">
      <c r="K205" s="128"/>
      <c r="X205" s="234">
        <v>2022</v>
      </c>
      <c r="Y205" s="234">
        <v>1</v>
      </c>
      <c r="Z205" s="234">
        <v>9</v>
      </c>
      <c r="AA205" s="235">
        <v>0.4583333333321207</v>
      </c>
      <c r="AB205" s="236">
        <v>-19.6</v>
      </c>
      <c r="AC205" s="127">
        <f t="shared" si="18"/>
        <v>-20</v>
      </c>
    </row>
    <row r="206" ht="14.5" customHeight="1" spans="11:29" x14ac:dyDescent="0.25">
      <c r="K206" s="128"/>
      <c r="X206" s="234">
        <v>2022</v>
      </c>
      <c r="Y206" s="234">
        <v>1</v>
      </c>
      <c r="Z206" s="234">
        <v>9</v>
      </c>
      <c r="AA206" s="235">
        <v>0.5</v>
      </c>
      <c r="AB206" s="236">
        <v>-17.3</v>
      </c>
      <c r="AC206" s="127">
        <f t="shared" si="18"/>
        <v>-17</v>
      </c>
    </row>
    <row r="207" ht="14.5" customHeight="1" spans="11:29" x14ac:dyDescent="0.25">
      <c r="K207" s="128"/>
      <c r="X207" s="234">
        <v>2022</v>
      </c>
      <c r="Y207" s="234">
        <v>1</v>
      </c>
      <c r="Z207" s="234">
        <v>9</v>
      </c>
      <c r="AA207" s="235">
        <v>0.5416666666678793</v>
      </c>
      <c r="AB207" s="236">
        <v>-15.3</v>
      </c>
      <c r="AC207" s="127">
        <f t="shared" si="18"/>
        <v>-15</v>
      </c>
    </row>
    <row r="208" ht="14.5" customHeight="1" spans="11:29" x14ac:dyDescent="0.25">
      <c r="K208" s="128"/>
      <c r="X208" s="234">
        <v>2022</v>
      </c>
      <c r="Y208" s="234">
        <v>1</v>
      </c>
      <c r="Z208" s="234">
        <v>9</v>
      </c>
      <c r="AA208" s="235">
        <v>0.5833333333321207</v>
      </c>
      <c r="AB208" s="236">
        <v>-15.2</v>
      </c>
      <c r="AC208" s="127">
        <f t="shared" si="18"/>
        <v>-15</v>
      </c>
    </row>
    <row r="209" ht="14.5" customHeight="1" spans="11:29" x14ac:dyDescent="0.25">
      <c r="K209" s="128"/>
      <c r="X209" s="234">
        <v>2022</v>
      </c>
      <c r="Y209" s="234">
        <v>1</v>
      </c>
      <c r="Z209" s="234">
        <v>9</v>
      </c>
      <c r="AA209" s="235">
        <v>0.625</v>
      </c>
      <c r="AB209" s="236">
        <v>-14.3</v>
      </c>
      <c r="AC209" s="127">
        <f t="shared" si="18"/>
        <v>-14</v>
      </c>
    </row>
    <row r="210" ht="14.5" customHeight="1" spans="11:29" x14ac:dyDescent="0.25">
      <c r="K210" s="128"/>
      <c r="X210" s="234">
        <v>2022</v>
      </c>
      <c r="Y210" s="234">
        <v>1</v>
      </c>
      <c r="Z210" s="234">
        <v>9</v>
      </c>
      <c r="AA210" s="235">
        <v>0.6666666666678793</v>
      </c>
      <c r="AB210" s="236">
        <v>-13.9</v>
      </c>
      <c r="AC210" s="127">
        <f t="shared" si="18"/>
        <v>-14</v>
      </c>
    </row>
    <row r="211" ht="14.5" customHeight="1" spans="11:29" x14ac:dyDescent="0.25">
      <c r="K211" s="128"/>
      <c r="X211" s="234">
        <v>2022</v>
      </c>
      <c r="Y211" s="234">
        <v>1</v>
      </c>
      <c r="Z211" s="234">
        <v>9</v>
      </c>
      <c r="AA211" s="235">
        <v>0.7083333333321207</v>
      </c>
      <c r="AB211" s="236">
        <v>-14.5</v>
      </c>
      <c r="AC211" s="127">
        <f t="shared" si="18"/>
        <v>-15</v>
      </c>
    </row>
    <row r="212" ht="14.5" customHeight="1" spans="11:29" x14ac:dyDescent="0.25">
      <c r="K212" s="128"/>
      <c r="X212" s="234">
        <v>2022</v>
      </c>
      <c r="Y212" s="234">
        <v>1</v>
      </c>
      <c r="Z212" s="234">
        <v>9</v>
      </c>
      <c r="AA212" s="235">
        <v>0.75</v>
      </c>
      <c r="AB212" s="236">
        <v>-14.7</v>
      </c>
      <c r="AC212" s="127">
        <f t="shared" si="18"/>
        <v>-15</v>
      </c>
    </row>
    <row r="213" ht="14.5" customHeight="1" spans="11:29" x14ac:dyDescent="0.25">
      <c r="K213" s="128"/>
      <c r="X213" s="234">
        <v>2022</v>
      </c>
      <c r="Y213" s="234">
        <v>1</v>
      </c>
      <c r="Z213" s="234">
        <v>9</v>
      </c>
      <c r="AA213" s="235">
        <v>0.7916666666678793</v>
      </c>
      <c r="AB213" s="236">
        <v>-16.2</v>
      </c>
      <c r="AC213" s="127">
        <f t="shared" si="18"/>
        <v>-16</v>
      </c>
    </row>
    <row r="214" ht="14.5" customHeight="1" spans="11:29" x14ac:dyDescent="0.25">
      <c r="K214" s="128"/>
      <c r="X214" s="234">
        <v>2022</v>
      </c>
      <c r="Y214" s="234">
        <v>1</v>
      </c>
      <c r="Z214" s="234">
        <v>9</v>
      </c>
      <c r="AA214" s="235">
        <v>0.8333333333321207</v>
      </c>
      <c r="AB214" s="236">
        <v>-11.9</v>
      </c>
      <c r="AC214" s="127">
        <f t="shared" si="18"/>
        <v>-12</v>
      </c>
    </row>
    <row r="215" ht="14.5" customHeight="1" spans="11:29" x14ac:dyDescent="0.25">
      <c r="K215" s="128"/>
      <c r="X215" s="234">
        <v>2022</v>
      </c>
      <c r="Y215" s="234">
        <v>1</v>
      </c>
      <c r="Z215" s="234">
        <v>9</v>
      </c>
      <c r="AA215" s="235">
        <v>0.875</v>
      </c>
      <c r="AB215" s="236">
        <v>-1.7</v>
      </c>
      <c r="AC215" s="127">
        <f t="shared" si="18"/>
        <v>-2</v>
      </c>
    </row>
    <row r="216" ht="14.5" customHeight="1" spans="11:29" x14ac:dyDescent="0.25">
      <c r="K216" s="128"/>
      <c r="X216" s="234">
        <v>2022</v>
      </c>
      <c r="Y216" s="234">
        <v>1</v>
      </c>
      <c r="Z216" s="234">
        <v>9</v>
      </c>
      <c r="AA216" s="235">
        <v>0.9166666666678793</v>
      </c>
      <c r="AB216" s="236">
        <v>-0.3</v>
      </c>
      <c r="AC216" s="127">
        <f t="shared" si="18"/>
        <v>0</v>
      </c>
    </row>
    <row r="217" ht="14.5" customHeight="1" spans="11:29" x14ac:dyDescent="0.25">
      <c r="K217" s="128"/>
      <c r="X217" s="234">
        <v>2022</v>
      </c>
      <c r="Y217" s="234">
        <v>1</v>
      </c>
      <c r="Z217" s="234">
        <v>9</v>
      </c>
      <c r="AA217" s="235">
        <v>0.9583333333321207</v>
      </c>
      <c r="AB217" s="236">
        <v>-0.3</v>
      </c>
      <c r="AC217" s="127">
        <f t="shared" si="18"/>
        <v>0</v>
      </c>
    </row>
    <row r="218" ht="14.5" customHeight="1" spans="11:29" x14ac:dyDescent="0.25">
      <c r="K218" s="128"/>
      <c r="X218" s="234">
        <v>2022</v>
      </c>
      <c r="Y218" s="234">
        <v>1</v>
      </c>
      <c r="Z218" s="234">
        <v>10</v>
      </c>
      <c r="AA218" s="235">
        <v>0</v>
      </c>
      <c r="AB218" s="236">
        <v>-2.5</v>
      </c>
      <c r="AC218" s="127">
        <f t="shared" si="18"/>
        <v>-3</v>
      </c>
    </row>
    <row r="219" ht="14.5" customHeight="1" spans="11:29" x14ac:dyDescent="0.25">
      <c r="K219" s="128"/>
      <c r="X219" s="234">
        <v>2022</v>
      </c>
      <c r="Y219" s="234">
        <v>1</v>
      </c>
      <c r="Z219" s="234">
        <v>10</v>
      </c>
      <c r="AA219" s="235">
        <v>0.041666666667879326</v>
      </c>
      <c r="AB219" s="236">
        <v>-3.5</v>
      </c>
      <c r="AC219" s="127">
        <f t="shared" si="18"/>
        <v>-4</v>
      </c>
    </row>
    <row r="220" ht="14.5" customHeight="1" spans="11:29" x14ac:dyDescent="0.25">
      <c r="K220" s="128"/>
      <c r="X220" s="234">
        <v>2022</v>
      </c>
      <c r="Y220" s="234">
        <v>1</v>
      </c>
      <c r="Z220" s="234">
        <v>10</v>
      </c>
      <c r="AA220" s="235">
        <v>0.08333333333212067</v>
      </c>
      <c r="AB220" s="236">
        <v>-3.5</v>
      </c>
      <c r="AC220" s="127">
        <f t="shared" si="18"/>
        <v>-4</v>
      </c>
    </row>
    <row r="221" ht="14.5" customHeight="1" spans="11:29" x14ac:dyDescent="0.25">
      <c r="K221" s="128"/>
      <c r="X221" s="234">
        <v>2022</v>
      </c>
      <c r="Y221" s="234">
        <v>1</v>
      </c>
      <c r="Z221" s="234">
        <v>10</v>
      </c>
      <c r="AA221" s="235">
        <v>0.125</v>
      </c>
      <c r="AB221" s="236">
        <v>-3.3</v>
      </c>
      <c r="AC221" s="127">
        <f t="shared" si="18"/>
        <v>-3</v>
      </c>
    </row>
    <row r="222" ht="14.5" customHeight="1" spans="11:29" x14ac:dyDescent="0.25">
      <c r="K222" s="128"/>
      <c r="X222" s="234">
        <v>2022</v>
      </c>
      <c r="Y222" s="234">
        <v>1</v>
      </c>
      <c r="Z222" s="234">
        <v>10</v>
      </c>
      <c r="AA222" s="235">
        <v>0.16666666666787933</v>
      </c>
      <c r="AB222" s="236">
        <v>-6</v>
      </c>
      <c r="AC222" s="127">
        <f t="shared" si="18"/>
        <v>-6</v>
      </c>
    </row>
    <row r="223" ht="14.5" customHeight="1" spans="11:29" x14ac:dyDescent="0.25">
      <c r="K223" s="128"/>
      <c r="X223" s="234">
        <v>2022</v>
      </c>
      <c r="Y223" s="234">
        <v>1</v>
      </c>
      <c r="Z223" s="234">
        <v>10</v>
      </c>
      <c r="AA223" s="235">
        <v>0.20833333333212067</v>
      </c>
      <c r="AB223" s="236">
        <v>-3.2</v>
      </c>
      <c r="AC223" s="127">
        <f t="shared" si="18"/>
        <v>-3</v>
      </c>
    </row>
    <row r="224" ht="14.5" customHeight="1" spans="11:29" x14ac:dyDescent="0.25">
      <c r="K224" s="128"/>
      <c r="X224" s="234">
        <v>2022</v>
      </c>
      <c r="Y224" s="234">
        <v>1</v>
      </c>
      <c r="Z224" s="234">
        <v>10</v>
      </c>
      <c r="AA224" s="235">
        <v>0.25</v>
      </c>
      <c r="AB224" s="236">
        <v>-2.3</v>
      </c>
      <c r="AC224" s="127">
        <f t="shared" si="18"/>
        <v>-2</v>
      </c>
    </row>
    <row r="225" ht="14.5" customHeight="1" spans="11:29" x14ac:dyDescent="0.25">
      <c r="K225" s="128"/>
      <c r="X225" s="234">
        <v>2022</v>
      </c>
      <c r="Y225" s="234">
        <v>1</v>
      </c>
      <c r="Z225" s="234">
        <v>10</v>
      </c>
      <c r="AA225" s="235">
        <v>0.2916666666678793</v>
      </c>
      <c r="AB225" s="236">
        <v>1.5</v>
      </c>
      <c r="AC225" s="127">
        <f t="shared" si="18"/>
        <v>2</v>
      </c>
    </row>
    <row r="226" ht="14.5" customHeight="1" spans="11:29" x14ac:dyDescent="0.25">
      <c r="K226" s="128"/>
      <c r="X226" s="234">
        <v>2022</v>
      </c>
      <c r="Y226" s="234">
        <v>1</v>
      </c>
      <c r="Z226" s="234">
        <v>10</v>
      </c>
      <c r="AA226" s="235">
        <v>0.3333333333321207</v>
      </c>
      <c r="AB226" s="236">
        <v>0.8</v>
      </c>
      <c r="AC226" s="127">
        <f t="shared" si="18"/>
        <v>1</v>
      </c>
    </row>
    <row r="227" ht="14.5" customHeight="1" spans="11:29" x14ac:dyDescent="0.25">
      <c r="K227" s="128"/>
      <c r="X227" s="234">
        <v>2022</v>
      </c>
      <c r="Y227" s="234">
        <v>1</v>
      </c>
      <c r="Z227" s="234">
        <v>10</v>
      </c>
      <c r="AA227" s="235">
        <v>0.375</v>
      </c>
      <c r="AB227" s="236">
        <v>5.9</v>
      </c>
      <c r="AC227" s="127">
        <f t="shared" si="18"/>
        <v>6</v>
      </c>
    </row>
    <row r="228" ht="14.5" customHeight="1" spans="11:29" x14ac:dyDescent="0.25">
      <c r="K228" s="128"/>
      <c r="X228" s="234">
        <v>2022</v>
      </c>
      <c r="Y228" s="234">
        <v>1</v>
      </c>
      <c r="Z228" s="234">
        <v>10</v>
      </c>
      <c r="AA228" s="235">
        <v>0.4166666666678793</v>
      </c>
      <c r="AB228" s="236">
        <v>4.3</v>
      </c>
      <c r="AC228" s="127">
        <f t="shared" si="18"/>
        <v>4</v>
      </c>
    </row>
    <row r="229" ht="14.5" customHeight="1" spans="11:29" x14ac:dyDescent="0.25">
      <c r="K229" s="128"/>
      <c r="X229" s="234">
        <v>2022</v>
      </c>
      <c r="Y229" s="234">
        <v>1</v>
      </c>
      <c r="Z229" s="234">
        <v>10</v>
      </c>
      <c r="AA229" s="235">
        <v>0.4583333333321207</v>
      </c>
      <c r="AB229" s="236">
        <v>4.3</v>
      </c>
      <c r="AC229" s="127">
        <f t="shared" si="18"/>
        <v>4</v>
      </c>
    </row>
    <row r="230" ht="14.5" customHeight="1" spans="11:29" x14ac:dyDescent="0.25">
      <c r="K230" s="128"/>
      <c r="X230" s="234">
        <v>2022</v>
      </c>
      <c r="Y230" s="234">
        <v>1</v>
      </c>
      <c r="Z230" s="234">
        <v>10</v>
      </c>
      <c r="AA230" s="235">
        <v>0.5</v>
      </c>
      <c r="AB230" s="236">
        <v>7.1</v>
      </c>
      <c r="AC230" s="127">
        <f t="shared" si="18"/>
        <v>7</v>
      </c>
    </row>
    <row r="231" ht="14.5" customHeight="1" spans="11:29" x14ac:dyDescent="0.25">
      <c r="K231" s="128"/>
      <c r="X231" s="234">
        <v>2022</v>
      </c>
      <c r="Y231" s="234">
        <v>1</v>
      </c>
      <c r="Z231" s="234">
        <v>10</v>
      </c>
      <c r="AA231" s="235">
        <v>0.5416666666678793</v>
      </c>
      <c r="AB231" s="236">
        <v>7.1</v>
      </c>
      <c r="AC231" s="127">
        <f t="shared" si="18"/>
        <v>7</v>
      </c>
    </row>
    <row r="232" ht="14.5" customHeight="1" spans="11:29" x14ac:dyDescent="0.25">
      <c r="K232" s="128"/>
      <c r="X232" s="234">
        <v>2022</v>
      </c>
      <c r="Y232" s="234">
        <v>1</v>
      </c>
      <c r="Z232" s="234">
        <v>10</v>
      </c>
      <c r="AA232" s="235">
        <v>0.5833333333321207</v>
      </c>
      <c r="AB232" s="236">
        <v>7.1</v>
      </c>
      <c r="AC232" s="127">
        <f t="shared" si="18"/>
        <v>7</v>
      </c>
    </row>
    <row r="233" ht="14.5" customHeight="1" spans="11:29" x14ac:dyDescent="0.25">
      <c r="K233" s="128"/>
      <c r="X233" s="234">
        <v>2022</v>
      </c>
      <c r="Y233" s="234">
        <v>1</v>
      </c>
      <c r="Z233" s="234">
        <v>10</v>
      </c>
      <c r="AA233" s="235">
        <v>0.625</v>
      </c>
      <c r="AB233" s="236">
        <v>7.5</v>
      </c>
      <c r="AC233" s="127">
        <f t="shared" si="18"/>
        <v>8</v>
      </c>
    </row>
    <row r="234" ht="14.5" customHeight="1" spans="11:29" x14ac:dyDescent="0.25">
      <c r="K234" s="128"/>
      <c r="X234" s="234">
        <v>2022</v>
      </c>
      <c r="Y234" s="234">
        <v>1</v>
      </c>
      <c r="Z234" s="234">
        <v>10</v>
      </c>
      <c r="AA234" s="235">
        <v>0.6666666666678793</v>
      </c>
      <c r="AB234" s="236">
        <v>7.4</v>
      </c>
      <c r="AC234" s="127">
        <f t="shared" si="18"/>
        <v>7</v>
      </c>
    </row>
    <row r="235" ht="14.5" customHeight="1" spans="11:29" x14ac:dyDescent="0.25">
      <c r="K235" s="128"/>
      <c r="X235" s="234">
        <v>2022</v>
      </c>
      <c r="Y235" s="234">
        <v>1</v>
      </c>
      <c r="Z235" s="234">
        <v>10</v>
      </c>
      <c r="AA235" s="235">
        <v>0.7083333333321207</v>
      </c>
      <c r="AB235" s="236">
        <v>7.1</v>
      </c>
      <c r="AC235" s="127">
        <f t="shared" si="18"/>
        <v>7</v>
      </c>
    </row>
    <row r="236" ht="14.5" customHeight="1" spans="11:29" x14ac:dyDescent="0.25">
      <c r="K236" s="128"/>
      <c r="X236" s="234">
        <v>2022</v>
      </c>
      <c r="Y236" s="234">
        <v>1</v>
      </c>
      <c r="Z236" s="234">
        <v>10</v>
      </c>
      <c r="AA236" s="235">
        <v>0.75</v>
      </c>
      <c r="AB236" s="236">
        <v>5.9</v>
      </c>
      <c r="AC236" s="127">
        <f t="shared" si="18"/>
        <v>6</v>
      </c>
    </row>
    <row r="237" ht="14.5" customHeight="1" spans="11:29" x14ac:dyDescent="0.25">
      <c r="K237" s="128"/>
      <c r="X237" s="234">
        <v>2022</v>
      </c>
      <c r="Y237" s="234">
        <v>1</v>
      </c>
      <c r="Z237" s="234">
        <v>10</v>
      </c>
      <c r="AA237" s="235">
        <v>0.7916666666678793</v>
      </c>
      <c r="AB237" s="236">
        <v>5</v>
      </c>
      <c r="AC237" s="127">
        <f t="shared" si="18"/>
        <v>5</v>
      </c>
    </row>
    <row r="238" ht="14.5" customHeight="1" spans="11:29" x14ac:dyDescent="0.25">
      <c r="K238" s="128"/>
      <c r="X238" s="234">
        <v>2022</v>
      </c>
      <c r="Y238" s="234">
        <v>1</v>
      </c>
      <c r="Z238" s="234">
        <v>10</v>
      </c>
      <c r="AA238" s="235">
        <v>0.8333333333321207</v>
      </c>
      <c r="AB238" s="236">
        <v>4.2</v>
      </c>
      <c r="AC238" s="127">
        <f t="shared" si="18"/>
        <v>4</v>
      </c>
    </row>
    <row r="239" ht="14.5" customHeight="1" spans="11:29" x14ac:dyDescent="0.25">
      <c r="K239" s="128"/>
      <c r="X239" s="234">
        <v>2022</v>
      </c>
      <c r="Y239" s="234">
        <v>1</v>
      </c>
      <c r="Z239" s="234">
        <v>10</v>
      </c>
      <c r="AA239" s="235">
        <v>0.875</v>
      </c>
      <c r="AB239" s="236">
        <v>4.6</v>
      </c>
      <c r="AC239" s="127">
        <f t="shared" si="18"/>
        <v>5</v>
      </c>
    </row>
    <row r="240" ht="14.5" customHeight="1" spans="11:29" x14ac:dyDescent="0.25">
      <c r="K240" s="128"/>
      <c r="X240" s="234">
        <v>2022</v>
      </c>
      <c r="Y240" s="234">
        <v>1</v>
      </c>
      <c r="Z240" s="234">
        <v>10</v>
      </c>
      <c r="AA240" s="235">
        <v>0.9166666666678793</v>
      </c>
      <c r="AB240" s="236">
        <v>2.6</v>
      </c>
      <c r="AC240" s="127">
        <f t="shared" si="18"/>
        <v>3</v>
      </c>
    </row>
    <row r="241" ht="14.5" customHeight="1" spans="11:29" x14ac:dyDescent="0.25">
      <c r="K241" s="128"/>
      <c r="X241" s="234">
        <v>2022</v>
      </c>
      <c r="Y241" s="234">
        <v>1</v>
      </c>
      <c r="Z241" s="234">
        <v>10</v>
      </c>
      <c r="AA241" s="235">
        <v>0.9583333333321207</v>
      </c>
      <c r="AB241" s="236">
        <v>1.8</v>
      </c>
      <c r="AC241" s="127">
        <f t="shared" si="18"/>
        <v>2</v>
      </c>
    </row>
    <row r="242" ht="14.5" customHeight="1" spans="11:29" x14ac:dyDescent="0.25">
      <c r="K242" s="128"/>
      <c r="X242" s="234">
        <v>2022</v>
      </c>
      <c r="Y242" s="234">
        <v>1</v>
      </c>
      <c r="Z242" s="234">
        <v>11</v>
      </c>
      <c r="AA242" s="235">
        <v>0</v>
      </c>
      <c r="AB242" s="236">
        <v>2.2</v>
      </c>
      <c r="AC242" s="127">
        <f t="shared" si="18"/>
        <v>2</v>
      </c>
    </row>
    <row r="243" ht="14.5" customHeight="1" spans="11:29" x14ac:dyDescent="0.25">
      <c r="K243" s="128"/>
      <c r="X243" s="234">
        <v>2022</v>
      </c>
      <c r="Y243" s="234">
        <v>1</v>
      </c>
      <c r="Z243" s="234">
        <v>11</v>
      </c>
      <c r="AA243" s="235">
        <v>0.041666666667879326</v>
      </c>
      <c r="AB243" s="236">
        <v>2.6</v>
      </c>
      <c r="AC243" s="127">
        <f t="shared" si="18"/>
        <v>3</v>
      </c>
    </row>
    <row r="244" ht="14.5" customHeight="1" spans="11:29" x14ac:dyDescent="0.25">
      <c r="K244" s="128"/>
      <c r="X244" s="234">
        <v>2022</v>
      </c>
      <c r="Y244" s="234">
        <v>1</v>
      </c>
      <c r="Z244" s="234">
        <v>11</v>
      </c>
      <c r="AA244" s="235">
        <v>0.08333333333212067</v>
      </c>
      <c r="AB244" s="236">
        <v>5.3</v>
      </c>
      <c r="AC244" s="127">
        <f t="shared" si="18"/>
        <v>5</v>
      </c>
    </row>
    <row r="245" ht="14.5" customHeight="1" spans="11:29" x14ac:dyDescent="0.25">
      <c r="K245" s="128"/>
      <c r="X245" s="234">
        <v>2022</v>
      </c>
      <c r="Y245" s="234">
        <v>1</v>
      </c>
      <c r="Z245" s="234">
        <v>11</v>
      </c>
      <c r="AA245" s="235">
        <v>0.125</v>
      </c>
      <c r="AB245" s="236">
        <v>4.8</v>
      </c>
      <c r="AC245" s="127">
        <f t="shared" si="18"/>
        <v>5</v>
      </c>
    </row>
    <row r="246" ht="14.5" customHeight="1" spans="11:29" x14ac:dyDescent="0.25">
      <c r="K246" s="128"/>
      <c r="X246" s="234">
        <v>2022</v>
      </c>
      <c r="Y246" s="234">
        <v>1</v>
      </c>
      <c r="Z246" s="234">
        <v>11</v>
      </c>
      <c r="AA246" s="235">
        <v>0.16666666666787933</v>
      </c>
      <c r="AB246" s="236">
        <v>3.7</v>
      </c>
      <c r="AC246" s="127">
        <f t="shared" si="18"/>
        <v>4</v>
      </c>
    </row>
    <row r="247" ht="14.5" customHeight="1" spans="11:29" x14ac:dyDescent="0.25">
      <c r="K247" s="128"/>
      <c r="X247" s="234">
        <v>2022</v>
      </c>
      <c r="Y247" s="234">
        <v>1</v>
      </c>
      <c r="Z247" s="234">
        <v>11</v>
      </c>
      <c r="AA247" s="235">
        <v>0.20833333333212067</v>
      </c>
      <c r="AB247" s="236">
        <v>0.6</v>
      </c>
      <c r="AC247" s="127">
        <f t="shared" si="18"/>
        <v>1</v>
      </c>
    </row>
    <row r="248" ht="14.5" customHeight="1" spans="11:29" x14ac:dyDescent="0.25">
      <c r="K248" s="128"/>
      <c r="X248" s="234">
        <v>2022</v>
      </c>
      <c r="Y248" s="234">
        <v>1</v>
      </c>
      <c r="Z248" s="234">
        <v>11</v>
      </c>
      <c r="AA248" s="235">
        <v>0.25</v>
      </c>
      <c r="AB248" s="236">
        <v>0.7</v>
      </c>
      <c r="AC248" s="127">
        <f t="shared" si="18"/>
        <v>1</v>
      </c>
    </row>
    <row r="249" ht="14.5" customHeight="1" spans="11:29" x14ac:dyDescent="0.25">
      <c r="K249" s="128"/>
      <c r="X249" s="234">
        <v>2022</v>
      </c>
      <c r="Y249" s="234">
        <v>1</v>
      </c>
      <c r="Z249" s="234">
        <v>11</v>
      </c>
      <c r="AA249" s="235">
        <v>0.2916666666678793</v>
      </c>
      <c r="AB249" s="236">
        <v>0.2</v>
      </c>
      <c r="AC249" s="127">
        <f t="shared" si="18"/>
        <v>0</v>
      </c>
    </row>
    <row r="250" ht="14.5" customHeight="1" spans="11:29" x14ac:dyDescent="0.25">
      <c r="K250" s="128"/>
      <c r="X250" s="234">
        <v>2022</v>
      </c>
      <c r="Y250" s="234">
        <v>1</v>
      </c>
      <c r="Z250" s="234">
        <v>11</v>
      </c>
      <c r="AA250" s="235">
        <v>0.3333333333321207</v>
      </c>
      <c r="AB250" s="236">
        <v>-4.5</v>
      </c>
      <c r="AC250" s="127">
        <f t="shared" si="18"/>
        <v>-5</v>
      </c>
    </row>
    <row r="251" ht="14.5" customHeight="1" spans="11:29" x14ac:dyDescent="0.25">
      <c r="K251" s="128"/>
      <c r="X251" s="234">
        <v>2022</v>
      </c>
      <c r="Y251" s="234">
        <v>1</v>
      </c>
      <c r="Z251" s="234">
        <v>11</v>
      </c>
      <c r="AA251" s="235">
        <v>0.375</v>
      </c>
      <c r="AB251" s="236">
        <v>-4.5</v>
      </c>
      <c r="AC251" s="127">
        <f t="shared" si="18"/>
        <v>-5</v>
      </c>
    </row>
    <row r="252" ht="14.5" customHeight="1" spans="11:29" x14ac:dyDescent="0.25">
      <c r="K252" s="128"/>
      <c r="X252" s="234">
        <v>2022</v>
      </c>
      <c r="Y252" s="234">
        <v>1</v>
      </c>
      <c r="Z252" s="234">
        <v>11</v>
      </c>
      <c r="AA252" s="235">
        <v>0.4166666666678793</v>
      </c>
      <c r="AB252" s="236">
        <v>0</v>
      </c>
      <c r="AC252" s="127">
        <f t="shared" si="18"/>
        <v>0</v>
      </c>
    </row>
    <row r="253" ht="14.5" customHeight="1" spans="11:29" x14ac:dyDescent="0.25">
      <c r="K253" s="128"/>
      <c r="X253" s="234">
        <v>2022</v>
      </c>
      <c r="Y253" s="234">
        <v>1</v>
      </c>
      <c r="Z253" s="234">
        <v>11</v>
      </c>
      <c r="AA253" s="235">
        <v>0.4583333333321207</v>
      </c>
      <c r="AB253" s="236">
        <v>4.8</v>
      </c>
      <c r="AC253" s="127">
        <f t="shared" si="18"/>
        <v>5</v>
      </c>
    </row>
    <row r="254" ht="14.5" customHeight="1" spans="11:29" x14ac:dyDescent="0.25">
      <c r="K254" s="128"/>
      <c r="X254" s="234">
        <v>2022</v>
      </c>
      <c r="Y254" s="234">
        <v>1</v>
      </c>
      <c r="Z254" s="234">
        <v>11</v>
      </c>
      <c r="AA254" s="235">
        <v>0.5</v>
      </c>
      <c r="AB254" s="236">
        <v>7.6</v>
      </c>
      <c r="AC254" s="127">
        <f t="shared" si="18"/>
        <v>8</v>
      </c>
    </row>
    <row r="255" ht="14.5" customHeight="1" spans="11:29" x14ac:dyDescent="0.25">
      <c r="K255" s="128"/>
      <c r="X255" s="234">
        <v>2022</v>
      </c>
      <c r="Y255" s="234">
        <v>1</v>
      </c>
      <c r="Z255" s="234">
        <v>11</v>
      </c>
      <c r="AA255" s="235">
        <v>0.5416666666678793</v>
      </c>
      <c r="AB255" s="236">
        <v>8.1</v>
      </c>
      <c r="AC255" s="127">
        <f t="shared" si="18"/>
        <v>8</v>
      </c>
    </row>
    <row r="256" ht="14.5" customHeight="1" spans="11:29" x14ac:dyDescent="0.25">
      <c r="K256" s="128"/>
      <c r="X256" s="234">
        <v>2022</v>
      </c>
      <c r="Y256" s="234">
        <v>1</v>
      </c>
      <c r="Z256" s="234">
        <v>11</v>
      </c>
      <c r="AA256" s="235">
        <v>0.5833333333321207</v>
      </c>
      <c r="AB256" s="236">
        <v>7.8</v>
      </c>
      <c r="AC256" s="127">
        <f t="shared" si="18"/>
        <v>8</v>
      </c>
    </row>
    <row r="257" ht="14.5" customHeight="1" spans="11:29" x14ac:dyDescent="0.25">
      <c r="K257" s="128"/>
      <c r="X257" s="234">
        <v>2022</v>
      </c>
      <c r="Y257" s="234">
        <v>1</v>
      </c>
      <c r="Z257" s="234">
        <v>11</v>
      </c>
      <c r="AA257" s="235">
        <v>0.625</v>
      </c>
      <c r="AB257" s="236">
        <v>7.3</v>
      </c>
      <c r="AC257" s="127">
        <f t="shared" si="18"/>
        <v>7</v>
      </c>
    </row>
    <row r="258" ht="14.5" customHeight="1" spans="11:29" x14ac:dyDescent="0.25">
      <c r="K258" s="128"/>
      <c r="X258" s="234">
        <v>2022</v>
      </c>
      <c r="Y258" s="234">
        <v>1</v>
      </c>
      <c r="Z258" s="234">
        <v>11</v>
      </c>
      <c r="AA258" s="235">
        <v>0.6666666666678793</v>
      </c>
      <c r="AB258" s="236">
        <v>7.5</v>
      </c>
      <c r="AC258" s="127">
        <f t="shared" si="18"/>
        <v>8</v>
      </c>
    </row>
    <row r="259" ht="14.5" customHeight="1" spans="11:29" x14ac:dyDescent="0.25">
      <c r="K259" s="128"/>
      <c r="X259" s="234">
        <v>2022</v>
      </c>
      <c r="Y259" s="234">
        <v>1</v>
      </c>
      <c r="Z259" s="234">
        <v>11</v>
      </c>
      <c r="AA259" s="235">
        <v>0.7083333333321207</v>
      </c>
      <c r="AB259" s="236">
        <v>6</v>
      </c>
      <c r="AC259" s="127">
        <f t="shared" si="18"/>
        <v>6</v>
      </c>
    </row>
    <row r="260" ht="14.5" customHeight="1" spans="11:29" x14ac:dyDescent="0.25">
      <c r="K260" s="128"/>
      <c r="X260" s="234">
        <v>2022</v>
      </c>
      <c r="Y260" s="234">
        <v>1</v>
      </c>
      <c r="Z260" s="234">
        <v>11</v>
      </c>
      <c r="AA260" s="235">
        <v>0.75</v>
      </c>
      <c r="AB260" s="236">
        <v>5.3</v>
      </c>
      <c r="AC260" s="127">
        <f t="shared" si="18"/>
        <v>5</v>
      </c>
    </row>
    <row r="261" ht="14.5" customHeight="1" spans="11:29" x14ac:dyDescent="0.25">
      <c r="K261" s="128"/>
      <c r="X261" s="234">
        <v>2022</v>
      </c>
      <c r="Y261" s="234">
        <v>1</v>
      </c>
      <c r="Z261" s="234">
        <v>11</v>
      </c>
      <c r="AA261" s="235">
        <v>0.7916666666678793</v>
      </c>
      <c r="AB261" s="236">
        <v>3.6</v>
      </c>
      <c r="AC261" s="127">
        <f t="shared" si="18"/>
        <v>4</v>
      </c>
    </row>
    <row r="262" ht="14.5" customHeight="1" spans="11:29" x14ac:dyDescent="0.25">
      <c r="K262" s="128"/>
      <c r="X262" s="234">
        <v>2022</v>
      </c>
      <c r="Y262" s="234">
        <v>1</v>
      </c>
      <c r="Z262" s="234">
        <v>11</v>
      </c>
      <c r="AA262" s="235">
        <v>0.8333333333321207</v>
      </c>
      <c r="AB262" s="236">
        <v>3.4</v>
      </c>
      <c r="AC262" s="127">
        <f t="shared" si="18"/>
        <v>3</v>
      </c>
    </row>
    <row r="263" ht="14.5" customHeight="1" spans="11:29" x14ac:dyDescent="0.25">
      <c r="K263" s="128"/>
      <c r="X263" s="234">
        <v>2022</v>
      </c>
      <c r="Y263" s="234">
        <v>1</v>
      </c>
      <c r="Z263" s="234">
        <v>11</v>
      </c>
      <c r="AA263" s="235">
        <v>0.875</v>
      </c>
      <c r="AB263" s="236">
        <v>4.8</v>
      </c>
      <c r="AC263" s="127">
        <f t="shared" si="18"/>
        <v>5</v>
      </c>
    </row>
    <row r="264" ht="14.5" customHeight="1" spans="11:29" x14ac:dyDescent="0.25">
      <c r="K264" s="128"/>
      <c r="X264" s="234">
        <v>2022</v>
      </c>
      <c r="Y264" s="234">
        <v>1</v>
      </c>
      <c r="Z264" s="234">
        <v>11</v>
      </c>
      <c r="AA264" s="235">
        <v>0.9166666666678793</v>
      </c>
      <c r="AB264" s="236">
        <v>5</v>
      </c>
      <c r="AC264" s="127">
        <f t="shared" si="18"/>
        <v>5</v>
      </c>
    </row>
    <row r="265" ht="14.5" customHeight="1" spans="11:29" x14ac:dyDescent="0.25">
      <c r="K265" s="128"/>
      <c r="X265" s="234">
        <v>2022</v>
      </c>
      <c r="Y265" s="234">
        <v>1</v>
      </c>
      <c r="Z265" s="234">
        <v>11</v>
      </c>
      <c r="AA265" s="235">
        <v>0.9583333333321207</v>
      </c>
      <c r="AB265" s="236">
        <v>3.4</v>
      </c>
      <c r="AC265" s="127">
        <f t="shared" si="18"/>
        <v>3</v>
      </c>
    </row>
    <row r="266" ht="14.5" customHeight="1" spans="11:29" x14ac:dyDescent="0.25">
      <c r="K266" s="128"/>
      <c r="X266" s="234">
        <v>2022</v>
      </c>
      <c r="Y266" s="234">
        <v>1</v>
      </c>
      <c r="Z266" s="234">
        <v>12</v>
      </c>
      <c r="AA266" s="235">
        <v>0</v>
      </c>
      <c r="AB266" s="236">
        <v>6.1</v>
      </c>
      <c r="AC266" s="127">
        <f t="shared" si="18"/>
        <v>6</v>
      </c>
    </row>
    <row r="267" ht="14.5" customHeight="1" spans="11:29" x14ac:dyDescent="0.25">
      <c r="K267" s="128"/>
      <c r="X267" s="234">
        <v>2022</v>
      </c>
      <c r="Y267" s="234">
        <v>1</v>
      </c>
      <c r="Z267" s="234">
        <v>12</v>
      </c>
      <c r="AA267" s="235">
        <v>0.041666666667879326</v>
      </c>
      <c r="AB267" s="236">
        <v>3.6</v>
      </c>
      <c r="AC267" s="127">
        <f t="shared" ref="AC267:AC330" si="19">ROUND(AB267,0)</f>
        <v>4</v>
      </c>
    </row>
    <row r="268" ht="14.5" customHeight="1" spans="11:29" x14ac:dyDescent="0.25">
      <c r="K268" s="128"/>
      <c r="X268" s="234">
        <v>2022</v>
      </c>
      <c r="Y268" s="234">
        <v>1</v>
      </c>
      <c r="Z268" s="234">
        <v>12</v>
      </c>
      <c r="AA268" s="235">
        <v>0.08333333333212067</v>
      </c>
      <c r="AB268" s="236">
        <v>4.5</v>
      </c>
      <c r="AC268" s="127">
        <f t="shared" si="19"/>
        <v>5</v>
      </c>
    </row>
    <row r="269" ht="14.5" customHeight="1" spans="11:29" x14ac:dyDescent="0.25">
      <c r="K269" s="128"/>
      <c r="X269" s="234">
        <v>2022</v>
      </c>
      <c r="Y269" s="234">
        <v>1</v>
      </c>
      <c r="Z269" s="234">
        <v>12</v>
      </c>
      <c r="AA269" s="235">
        <v>0.125</v>
      </c>
      <c r="AB269" s="236">
        <v>0.7</v>
      </c>
      <c r="AC269" s="127">
        <f t="shared" si="19"/>
        <v>1</v>
      </c>
    </row>
    <row r="270" ht="14.5" customHeight="1" spans="11:29" x14ac:dyDescent="0.25">
      <c r="K270" s="128"/>
      <c r="X270" s="234">
        <v>2022</v>
      </c>
      <c r="Y270" s="234">
        <v>1</v>
      </c>
      <c r="Z270" s="234">
        <v>12</v>
      </c>
      <c r="AA270" s="235">
        <v>0.16666666666787933</v>
      </c>
      <c r="AB270" s="236">
        <v>0.5</v>
      </c>
      <c r="AC270" s="127">
        <f t="shared" si="19"/>
        <v>1</v>
      </c>
    </row>
    <row r="271" ht="14.5" customHeight="1" spans="11:29" x14ac:dyDescent="0.25">
      <c r="K271" s="128"/>
      <c r="X271" s="234">
        <v>2022</v>
      </c>
      <c r="Y271" s="234">
        <v>1</v>
      </c>
      <c r="Z271" s="234">
        <v>12</v>
      </c>
      <c r="AA271" s="235">
        <v>0.20833333333212067</v>
      </c>
      <c r="AB271" s="236">
        <v>-0.2</v>
      </c>
      <c r="AC271" s="127">
        <f t="shared" si="19"/>
        <v>0</v>
      </c>
    </row>
    <row r="272" ht="14.5" customHeight="1" spans="11:29" x14ac:dyDescent="0.25">
      <c r="K272" s="128"/>
      <c r="X272" s="234">
        <v>2022</v>
      </c>
      <c r="Y272" s="234">
        <v>1</v>
      </c>
      <c r="Z272" s="234">
        <v>12</v>
      </c>
      <c r="AA272" s="235">
        <v>0.25</v>
      </c>
      <c r="AB272" s="236">
        <v>1.2</v>
      </c>
      <c r="AC272" s="127">
        <f t="shared" si="19"/>
        <v>1</v>
      </c>
    </row>
    <row r="273" ht="14.5" customHeight="1" spans="11:29" x14ac:dyDescent="0.25">
      <c r="K273" s="128"/>
      <c r="X273" s="234">
        <v>2022</v>
      </c>
      <c r="Y273" s="234">
        <v>1</v>
      </c>
      <c r="Z273" s="234">
        <v>12</v>
      </c>
      <c r="AA273" s="235">
        <v>0.2916666666678793</v>
      </c>
      <c r="AB273" s="236">
        <v>2.4</v>
      </c>
      <c r="AC273" s="127">
        <f t="shared" si="19"/>
        <v>2</v>
      </c>
    </row>
    <row r="274" ht="14.5" customHeight="1" spans="11:29" x14ac:dyDescent="0.25">
      <c r="K274" s="128"/>
      <c r="X274" s="234">
        <v>2022</v>
      </c>
      <c r="Y274" s="234">
        <v>1</v>
      </c>
      <c r="Z274" s="234">
        <v>12</v>
      </c>
      <c r="AA274" s="235">
        <v>0.3333333333321207</v>
      </c>
      <c r="AB274" s="236">
        <v>6.3</v>
      </c>
      <c r="AC274" s="127">
        <f t="shared" si="19"/>
        <v>6</v>
      </c>
    </row>
    <row r="275" ht="14.5" customHeight="1" spans="11:29" x14ac:dyDescent="0.25">
      <c r="K275" s="128"/>
      <c r="X275" s="234">
        <v>2022</v>
      </c>
      <c r="Y275" s="234">
        <v>1</v>
      </c>
      <c r="Z275" s="234">
        <v>12</v>
      </c>
      <c r="AA275" s="235">
        <v>0.375</v>
      </c>
      <c r="AB275" s="236">
        <v>7.5</v>
      </c>
      <c r="AC275" s="127">
        <f t="shared" si="19"/>
        <v>8</v>
      </c>
    </row>
    <row r="276" ht="14.5" customHeight="1" spans="11:29" x14ac:dyDescent="0.25">
      <c r="K276" s="128"/>
      <c r="X276" s="234">
        <v>2022</v>
      </c>
      <c r="Y276" s="234">
        <v>1</v>
      </c>
      <c r="Z276" s="234">
        <v>12</v>
      </c>
      <c r="AA276" s="235">
        <v>0.4166666666678793</v>
      </c>
      <c r="AB276" s="236">
        <v>7.3</v>
      </c>
      <c r="AC276" s="127">
        <f t="shared" si="19"/>
        <v>7</v>
      </c>
    </row>
    <row r="277" ht="14.5" customHeight="1" spans="11:29" x14ac:dyDescent="0.25">
      <c r="K277" s="128"/>
      <c r="X277" s="234">
        <v>2022</v>
      </c>
      <c r="Y277" s="234">
        <v>1</v>
      </c>
      <c r="Z277" s="234">
        <v>12</v>
      </c>
      <c r="AA277" s="235">
        <v>0.4583333333321207</v>
      </c>
      <c r="AB277" s="236">
        <v>7.6</v>
      </c>
      <c r="AC277" s="127">
        <f t="shared" si="19"/>
        <v>8</v>
      </c>
    </row>
    <row r="278" ht="14.5" customHeight="1" spans="11:29" x14ac:dyDescent="0.25">
      <c r="K278" s="128"/>
      <c r="X278" s="234">
        <v>2022</v>
      </c>
      <c r="Y278" s="234">
        <v>1</v>
      </c>
      <c r="Z278" s="234">
        <v>12</v>
      </c>
      <c r="AA278" s="235">
        <v>0.5</v>
      </c>
      <c r="AB278" s="236">
        <v>7.7</v>
      </c>
      <c r="AC278" s="127">
        <f t="shared" si="19"/>
        <v>8</v>
      </c>
    </row>
    <row r="279" ht="14.5" customHeight="1" spans="11:29" x14ac:dyDescent="0.25">
      <c r="K279" s="128"/>
      <c r="X279" s="234">
        <v>2022</v>
      </c>
      <c r="Y279" s="234">
        <v>1</v>
      </c>
      <c r="Z279" s="234">
        <v>12</v>
      </c>
      <c r="AA279" s="235">
        <v>0.5416666666678793</v>
      </c>
      <c r="AB279" s="236">
        <v>7.3</v>
      </c>
      <c r="AC279" s="127">
        <f t="shared" si="19"/>
        <v>7</v>
      </c>
    </row>
    <row r="280" ht="14.5" customHeight="1" spans="11:29" x14ac:dyDescent="0.25">
      <c r="K280" s="128"/>
      <c r="X280" s="234">
        <v>2022</v>
      </c>
      <c r="Y280" s="234">
        <v>1</v>
      </c>
      <c r="Z280" s="234">
        <v>12</v>
      </c>
      <c r="AA280" s="235">
        <v>0.5833333333321207</v>
      </c>
      <c r="AB280" s="236">
        <v>7.5</v>
      </c>
      <c r="AC280" s="127">
        <f t="shared" si="19"/>
        <v>8</v>
      </c>
    </row>
    <row r="281" ht="14.5" customHeight="1" spans="11:29" x14ac:dyDescent="0.25">
      <c r="K281" s="128"/>
      <c r="X281" s="234">
        <v>2022</v>
      </c>
      <c r="Y281" s="234">
        <v>1</v>
      </c>
      <c r="Z281" s="234">
        <v>12</v>
      </c>
      <c r="AA281" s="235">
        <v>0.625</v>
      </c>
      <c r="AB281" s="236">
        <v>8</v>
      </c>
      <c r="AC281" s="127">
        <f t="shared" si="19"/>
        <v>8</v>
      </c>
    </row>
    <row r="282" ht="14.5" customHeight="1" spans="11:29" x14ac:dyDescent="0.25">
      <c r="K282" s="128"/>
      <c r="X282" s="234">
        <v>2022</v>
      </c>
      <c r="Y282" s="234">
        <v>1</v>
      </c>
      <c r="Z282" s="234">
        <v>12</v>
      </c>
      <c r="AA282" s="235">
        <v>0.6666666666678793</v>
      </c>
      <c r="AB282" s="236">
        <v>7.8</v>
      </c>
      <c r="AC282" s="127">
        <f t="shared" si="19"/>
        <v>8</v>
      </c>
    </row>
    <row r="283" ht="14.5" customHeight="1" spans="11:29" x14ac:dyDescent="0.25">
      <c r="K283" s="128"/>
      <c r="X283" s="234">
        <v>2022</v>
      </c>
      <c r="Y283" s="234">
        <v>1</v>
      </c>
      <c r="Z283" s="234">
        <v>12</v>
      </c>
      <c r="AA283" s="235">
        <v>0.7083333333321207</v>
      </c>
      <c r="AB283" s="236">
        <v>8</v>
      </c>
      <c r="AC283" s="127">
        <f t="shared" si="19"/>
        <v>8</v>
      </c>
    </row>
    <row r="284" ht="14.5" customHeight="1" spans="11:29" x14ac:dyDescent="0.25">
      <c r="K284" s="128"/>
      <c r="X284" s="234">
        <v>2022</v>
      </c>
      <c r="Y284" s="234">
        <v>1</v>
      </c>
      <c r="Z284" s="234">
        <v>12</v>
      </c>
      <c r="AA284" s="235">
        <v>0.75</v>
      </c>
      <c r="AB284" s="236">
        <v>8.1</v>
      </c>
      <c r="AC284" s="127">
        <f t="shared" si="19"/>
        <v>8</v>
      </c>
    </row>
    <row r="285" ht="14.5" customHeight="1" spans="11:29" x14ac:dyDescent="0.25">
      <c r="K285" s="128"/>
      <c r="X285" s="234">
        <v>2022</v>
      </c>
      <c r="Y285" s="234">
        <v>1</v>
      </c>
      <c r="Z285" s="234">
        <v>12</v>
      </c>
      <c r="AA285" s="235">
        <v>0.7916666666678793</v>
      </c>
      <c r="AB285" s="236">
        <v>3</v>
      </c>
      <c r="AC285" s="127">
        <f t="shared" si="19"/>
        <v>3</v>
      </c>
    </row>
    <row r="286" ht="14.5" customHeight="1" spans="11:29" x14ac:dyDescent="0.25">
      <c r="K286" s="128"/>
      <c r="X286" s="234">
        <v>2022</v>
      </c>
      <c r="Y286" s="234">
        <v>1</v>
      </c>
      <c r="Z286" s="234">
        <v>12</v>
      </c>
      <c r="AA286" s="235">
        <v>0.8333333333321207</v>
      </c>
      <c r="AB286" s="236">
        <v>2.3</v>
      </c>
      <c r="AC286" s="127">
        <f t="shared" si="19"/>
        <v>2</v>
      </c>
    </row>
    <row r="287" ht="14.5" customHeight="1" spans="11:29" x14ac:dyDescent="0.25">
      <c r="K287" s="128"/>
      <c r="X287" s="234">
        <v>2022</v>
      </c>
      <c r="Y287" s="234">
        <v>1</v>
      </c>
      <c r="Z287" s="234">
        <v>12</v>
      </c>
      <c r="AA287" s="235">
        <v>0.875</v>
      </c>
      <c r="AB287" s="236">
        <v>2.5</v>
      </c>
      <c r="AC287" s="127">
        <f t="shared" si="19"/>
        <v>3</v>
      </c>
    </row>
    <row r="288" ht="14.5" customHeight="1" spans="11:29" x14ac:dyDescent="0.25">
      <c r="K288" s="128"/>
      <c r="X288" s="234">
        <v>2022</v>
      </c>
      <c r="Y288" s="234">
        <v>1</v>
      </c>
      <c r="Z288" s="234">
        <v>12</v>
      </c>
      <c r="AA288" s="235">
        <v>0.9166666666678793</v>
      </c>
      <c r="AB288" s="236">
        <v>2.1</v>
      </c>
      <c r="AC288" s="127">
        <f t="shared" si="19"/>
        <v>2</v>
      </c>
    </row>
    <row r="289" ht="14.5" customHeight="1" spans="11:29" x14ac:dyDescent="0.25">
      <c r="K289" s="128"/>
      <c r="X289" s="234">
        <v>2022</v>
      </c>
      <c r="Y289" s="234">
        <v>1</v>
      </c>
      <c r="Z289" s="234">
        <v>12</v>
      </c>
      <c r="AA289" s="235">
        <v>0.9583333333321207</v>
      </c>
      <c r="AB289" s="236">
        <v>2.2</v>
      </c>
      <c r="AC289" s="127">
        <f t="shared" si="19"/>
        <v>2</v>
      </c>
    </row>
    <row r="290" ht="14.5" customHeight="1" spans="11:29" x14ac:dyDescent="0.25">
      <c r="K290" s="128"/>
      <c r="X290" s="234">
        <v>2022</v>
      </c>
      <c r="Y290" s="234">
        <v>1</v>
      </c>
      <c r="Z290" s="234">
        <v>13</v>
      </c>
      <c r="AA290" s="235">
        <v>0</v>
      </c>
      <c r="AB290" s="236">
        <v>2</v>
      </c>
      <c r="AC290" s="127">
        <f t="shared" si="19"/>
        <v>2</v>
      </c>
    </row>
    <row r="291" ht="14.5" customHeight="1" spans="11:29" x14ac:dyDescent="0.25">
      <c r="K291" s="128"/>
      <c r="X291" s="234">
        <v>2022</v>
      </c>
      <c r="Y291" s="234">
        <v>1</v>
      </c>
      <c r="Z291" s="234">
        <v>13</v>
      </c>
      <c r="AA291" s="235">
        <v>0.041666666667879326</v>
      </c>
      <c r="AB291" s="236">
        <v>1.7</v>
      </c>
      <c r="AC291" s="127">
        <f t="shared" si="19"/>
        <v>2</v>
      </c>
    </row>
    <row r="292" ht="14.5" customHeight="1" spans="11:29" x14ac:dyDescent="0.25">
      <c r="K292" s="128"/>
      <c r="X292" s="234">
        <v>2022</v>
      </c>
      <c r="Y292" s="234">
        <v>1</v>
      </c>
      <c r="Z292" s="234">
        <v>13</v>
      </c>
      <c r="AA292" s="235">
        <v>0.08333333333212067</v>
      </c>
      <c r="AB292" s="236">
        <v>-0.9</v>
      </c>
      <c r="AC292" s="127">
        <f t="shared" si="19"/>
        <v>-1</v>
      </c>
    </row>
    <row r="293" ht="14.5" customHeight="1" spans="11:29" x14ac:dyDescent="0.25">
      <c r="K293" s="128"/>
      <c r="X293" s="234">
        <v>2022</v>
      </c>
      <c r="Y293" s="234">
        <v>1</v>
      </c>
      <c r="Z293" s="234">
        <v>13</v>
      </c>
      <c r="AA293" s="235">
        <v>0.125</v>
      </c>
      <c r="AB293" s="236">
        <v>-2</v>
      </c>
      <c r="AC293" s="127">
        <f t="shared" si="19"/>
        <v>-2</v>
      </c>
    </row>
    <row r="294" ht="14.5" customHeight="1" spans="11:29" x14ac:dyDescent="0.25">
      <c r="K294" s="128"/>
      <c r="X294" s="234">
        <v>2022</v>
      </c>
      <c r="Y294" s="234">
        <v>1</v>
      </c>
      <c r="Z294" s="234">
        <v>13</v>
      </c>
      <c r="AA294" s="235">
        <v>0.16666666666787933</v>
      </c>
      <c r="AB294" s="236">
        <v>-1.9</v>
      </c>
      <c r="AC294" s="127">
        <f t="shared" si="19"/>
        <v>-2</v>
      </c>
    </row>
    <row r="295" ht="14.5" customHeight="1" spans="11:29" x14ac:dyDescent="0.25">
      <c r="K295" s="128"/>
      <c r="X295" s="234">
        <v>2022</v>
      </c>
      <c r="Y295" s="234">
        <v>1</v>
      </c>
      <c r="Z295" s="234">
        <v>13</v>
      </c>
      <c r="AA295" s="235">
        <v>0.20833333333212067</v>
      </c>
      <c r="AB295" s="236">
        <v>-1.9</v>
      </c>
      <c r="AC295" s="127">
        <f t="shared" si="19"/>
        <v>-2</v>
      </c>
    </row>
    <row r="296" ht="14.5" customHeight="1" spans="11:29" x14ac:dyDescent="0.25">
      <c r="K296" s="128"/>
      <c r="X296" s="234">
        <v>2022</v>
      </c>
      <c r="Y296" s="234">
        <v>1</v>
      </c>
      <c r="Z296" s="234">
        <v>13</v>
      </c>
      <c r="AA296" s="235">
        <v>0.25</v>
      </c>
      <c r="AB296" s="236">
        <v>-1</v>
      </c>
      <c r="AC296" s="127">
        <f t="shared" si="19"/>
        <v>-1</v>
      </c>
    </row>
    <row r="297" ht="14.5" customHeight="1" spans="11:29" x14ac:dyDescent="0.25">
      <c r="K297" s="128"/>
      <c r="X297" s="234">
        <v>2022</v>
      </c>
      <c r="Y297" s="234">
        <v>1</v>
      </c>
      <c r="Z297" s="234">
        <v>13</v>
      </c>
      <c r="AA297" s="235">
        <v>0.2916666666678793</v>
      </c>
      <c r="AB297" s="236">
        <v>-1.9</v>
      </c>
      <c r="AC297" s="127">
        <f t="shared" si="19"/>
        <v>-2</v>
      </c>
    </row>
    <row r="298" ht="14.5" customHeight="1" spans="11:29" x14ac:dyDescent="0.25">
      <c r="K298" s="128"/>
      <c r="X298" s="234">
        <v>2022</v>
      </c>
      <c r="Y298" s="234">
        <v>1</v>
      </c>
      <c r="Z298" s="234">
        <v>13</v>
      </c>
      <c r="AA298" s="235">
        <v>0.3333333333321207</v>
      </c>
      <c r="AB298" s="236">
        <v>2.2</v>
      </c>
      <c r="AC298" s="127">
        <f t="shared" si="19"/>
        <v>2</v>
      </c>
    </row>
    <row r="299" ht="14.5" customHeight="1" spans="11:29" x14ac:dyDescent="0.25">
      <c r="K299" s="128"/>
      <c r="X299" s="234">
        <v>2022</v>
      </c>
      <c r="Y299" s="234">
        <v>1</v>
      </c>
      <c r="Z299" s="234">
        <v>13</v>
      </c>
      <c r="AA299" s="235">
        <v>0.375</v>
      </c>
      <c r="AB299" s="236">
        <v>3</v>
      </c>
      <c r="AC299" s="127">
        <f t="shared" si="19"/>
        <v>3</v>
      </c>
    </row>
    <row r="300" ht="14.5" customHeight="1" spans="11:29" x14ac:dyDescent="0.25">
      <c r="K300" s="128"/>
      <c r="X300" s="234">
        <v>2022</v>
      </c>
      <c r="Y300" s="234">
        <v>1</v>
      </c>
      <c r="Z300" s="234">
        <v>13</v>
      </c>
      <c r="AA300" s="235">
        <v>0.4166666666678793</v>
      </c>
      <c r="AB300" s="236">
        <v>8.7</v>
      </c>
      <c r="AC300" s="127">
        <f t="shared" si="19"/>
        <v>9</v>
      </c>
    </row>
    <row r="301" ht="14.5" customHeight="1" spans="11:29" x14ac:dyDescent="0.25">
      <c r="K301" s="128"/>
      <c r="X301" s="234">
        <v>2022</v>
      </c>
      <c r="Y301" s="234">
        <v>1</v>
      </c>
      <c r="Z301" s="234">
        <v>13</v>
      </c>
      <c r="AA301" s="235">
        <v>0.4583333333321207</v>
      </c>
      <c r="AB301" s="236">
        <v>3.4</v>
      </c>
      <c r="AC301" s="127">
        <f t="shared" si="19"/>
        <v>3</v>
      </c>
    </row>
    <row r="302" ht="14.5" customHeight="1" spans="11:29" x14ac:dyDescent="0.25">
      <c r="K302" s="128"/>
      <c r="X302" s="234">
        <v>2022</v>
      </c>
      <c r="Y302" s="234">
        <v>1</v>
      </c>
      <c r="Z302" s="234">
        <v>13</v>
      </c>
      <c r="AA302" s="235">
        <v>0.5</v>
      </c>
      <c r="AB302" s="236">
        <v>3.1</v>
      </c>
      <c r="AC302" s="127">
        <f t="shared" si="19"/>
        <v>3</v>
      </c>
    </row>
    <row r="303" ht="14.5" customHeight="1" spans="11:29" x14ac:dyDescent="0.25">
      <c r="K303" s="128"/>
      <c r="X303" s="234">
        <v>2022</v>
      </c>
      <c r="Y303" s="234">
        <v>1</v>
      </c>
      <c r="Z303" s="234">
        <v>13</v>
      </c>
      <c r="AA303" s="235">
        <v>0.5416666666678793</v>
      </c>
      <c r="AB303" s="236">
        <v>3.2</v>
      </c>
      <c r="AC303" s="127">
        <f t="shared" si="19"/>
        <v>3</v>
      </c>
    </row>
    <row r="304" ht="14.5" customHeight="1" spans="11:29" x14ac:dyDescent="0.25">
      <c r="K304" s="128"/>
      <c r="X304" s="234">
        <v>2022</v>
      </c>
      <c r="Y304" s="234">
        <v>1</v>
      </c>
      <c r="Z304" s="234">
        <v>13</v>
      </c>
      <c r="AA304" s="235">
        <v>0.5833333333321207</v>
      </c>
      <c r="AB304" s="236">
        <v>2.1</v>
      </c>
      <c r="AC304" s="127">
        <f t="shared" si="19"/>
        <v>2</v>
      </c>
    </row>
    <row r="305" ht="14.5" customHeight="1" spans="11:29" x14ac:dyDescent="0.25">
      <c r="K305" s="128"/>
      <c r="X305" s="234">
        <v>2022</v>
      </c>
      <c r="Y305" s="234">
        <v>1</v>
      </c>
      <c r="Z305" s="234">
        <v>13</v>
      </c>
      <c r="AA305" s="235">
        <v>0.625</v>
      </c>
      <c r="AB305" s="236">
        <v>1.4</v>
      </c>
      <c r="AC305" s="127">
        <f t="shared" si="19"/>
        <v>1</v>
      </c>
    </row>
    <row r="306" ht="14.5" customHeight="1" spans="11:29" x14ac:dyDescent="0.25">
      <c r="K306" s="128"/>
      <c r="X306" s="234">
        <v>2022</v>
      </c>
      <c r="Y306" s="234">
        <v>1</v>
      </c>
      <c r="Z306" s="234">
        <v>13</v>
      </c>
      <c r="AA306" s="235">
        <v>0.6666666666678793</v>
      </c>
      <c r="AB306" s="236">
        <v>1.2</v>
      </c>
      <c r="AC306" s="127">
        <f t="shared" si="19"/>
        <v>1</v>
      </c>
    </row>
    <row r="307" ht="14.5" customHeight="1" spans="11:29" x14ac:dyDescent="0.25">
      <c r="K307" s="128"/>
      <c r="X307" s="234">
        <v>2022</v>
      </c>
      <c r="Y307" s="234">
        <v>1</v>
      </c>
      <c r="Z307" s="234">
        <v>13</v>
      </c>
      <c r="AA307" s="235">
        <v>0.7083333333321207</v>
      </c>
      <c r="AB307" s="236">
        <v>1</v>
      </c>
      <c r="AC307" s="127">
        <f t="shared" si="19"/>
        <v>1</v>
      </c>
    </row>
    <row r="308" ht="14.5" customHeight="1" spans="11:29" x14ac:dyDescent="0.25">
      <c r="K308" s="128"/>
      <c r="X308" s="234">
        <v>2022</v>
      </c>
      <c r="Y308" s="234">
        <v>1</v>
      </c>
      <c r="Z308" s="234">
        <v>13</v>
      </c>
      <c r="AA308" s="235">
        <v>0.75</v>
      </c>
      <c r="AB308" s="236">
        <v>1.2</v>
      </c>
      <c r="AC308" s="127">
        <f t="shared" si="19"/>
        <v>1</v>
      </c>
    </row>
    <row r="309" ht="14.5" customHeight="1" spans="11:29" x14ac:dyDescent="0.25">
      <c r="K309" s="128"/>
      <c r="X309" s="234">
        <v>2022</v>
      </c>
      <c r="Y309" s="234">
        <v>1</v>
      </c>
      <c r="Z309" s="234">
        <v>13</v>
      </c>
      <c r="AA309" s="235">
        <v>0.7916666666678793</v>
      </c>
      <c r="AB309" s="236">
        <v>1.1</v>
      </c>
      <c r="AC309" s="127">
        <f t="shared" si="19"/>
        <v>1</v>
      </c>
    </row>
    <row r="310" ht="14.5" customHeight="1" spans="11:29" x14ac:dyDescent="0.25">
      <c r="K310" s="128"/>
      <c r="X310" s="234">
        <v>2022</v>
      </c>
      <c r="Y310" s="234">
        <v>1</v>
      </c>
      <c r="Z310" s="234">
        <v>13</v>
      </c>
      <c r="AA310" s="235">
        <v>0.8333333333321207</v>
      </c>
      <c r="AB310" s="236">
        <v>0.9</v>
      </c>
      <c r="AC310" s="127">
        <f t="shared" si="19"/>
        <v>1</v>
      </c>
    </row>
    <row r="311" ht="14.5" customHeight="1" spans="11:29" x14ac:dyDescent="0.25">
      <c r="K311" s="128"/>
      <c r="X311" s="234">
        <v>2022</v>
      </c>
      <c r="Y311" s="234">
        <v>1</v>
      </c>
      <c r="Z311" s="234">
        <v>13</v>
      </c>
      <c r="AA311" s="235">
        <v>0.875</v>
      </c>
      <c r="AB311" s="236">
        <v>1.2</v>
      </c>
      <c r="AC311" s="127">
        <f t="shared" si="19"/>
        <v>1</v>
      </c>
    </row>
    <row r="312" ht="14.5" customHeight="1" spans="11:29" x14ac:dyDescent="0.25">
      <c r="K312" s="128"/>
      <c r="X312" s="234">
        <v>2022</v>
      </c>
      <c r="Y312" s="234">
        <v>1</v>
      </c>
      <c r="Z312" s="234">
        <v>13</v>
      </c>
      <c r="AA312" s="235">
        <v>0.9166666666678793</v>
      </c>
      <c r="AB312" s="236">
        <v>1.2</v>
      </c>
      <c r="AC312" s="127">
        <f t="shared" si="19"/>
        <v>1</v>
      </c>
    </row>
    <row r="313" ht="14.5" customHeight="1" spans="11:29" x14ac:dyDescent="0.25">
      <c r="K313" s="128"/>
      <c r="X313" s="234">
        <v>2022</v>
      </c>
      <c r="Y313" s="234">
        <v>1</v>
      </c>
      <c r="Z313" s="234">
        <v>13</v>
      </c>
      <c r="AA313" s="235">
        <v>0.9583333333321207</v>
      </c>
      <c r="AB313" s="236">
        <v>0.9</v>
      </c>
      <c r="AC313" s="127">
        <f t="shared" si="19"/>
        <v>1</v>
      </c>
    </row>
    <row r="314" ht="14.5" customHeight="1" spans="11:29" x14ac:dyDescent="0.25">
      <c r="K314" s="128"/>
      <c r="X314" s="234">
        <v>2022</v>
      </c>
      <c r="Y314" s="234">
        <v>1</v>
      </c>
      <c r="Z314" s="234">
        <v>14</v>
      </c>
      <c r="AA314" s="235">
        <v>0</v>
      </c>
      <c r="AB314" s="236">
        <v>1</v>
      </c>
      <c r="AC314" s="127">
        <f t="shared" si="19"/>
        <v>1</v>
      </c>
    </row>
    <row r="315" ht="14.5" customHeight="1" spans="11:29" x14ac:dyDescent="0.25">
      <c r="K315" s="128"/>
      <c r="X315" s="234">
        <v>2022</v>
      </c>
      <c r="Y315" s="234">
        <v>1</v>
      </c>
      <c r="Z315" s="234">
        <v>14</v>
      </c>
      <c r="AA315" s="235">
        <v>0.041666666667879326</v>
      </c>
      <c r="AB315" s="236">
        <v>0.6</v>
      </c>
      <c r="AC315" s="127">
        <f t="shared" si="19"/>
        <v>1</v>
      </c>
    </row>
    <row r="316" ht="14.5" customHeight="1" spans="11:29" x14ac:dyDescent="0.25">
      <c r="K316" s="128"/>
      <c r="X316" s="234">
        <v>2022</v>
      </c>
      <c r="Y316" s="234">
        <v>1</v>
      </c>
      <c r="Z316" s="234">
        <v>14</v>
      </c>
      <c r="AA316" s="235">
        <v>0.08333333333212067</v>
      </c>
      <c r="AB316" s="236">
        <v>0.5</v>
      </c>
      <c r="AC316" s="127">
        <f t="shared" si="19"/>
        <v>1</v>
      </c>
    </row>
    <row r="317" ht="14.5" customHeight="1" spans="11:29" x14ac:dyDescent="0.25">
      <c r="K317" s="128"/>
      <c r="X317" s="234">
        <v>2022</v>
      </c>
      <c r="Y317" s="234">
        <v>1</v>
      </c>
      <c r="Z317" s="234">
        <v>14</v>
      </c>
      <c r="AA317" s="235">
        <v>0.125</v>
      </c>
      <c r="AB317" s="236">
        <v>0.4</v>
      </c>
      <c r="AC317" s="127">
        <f t="shared" si="19"/>
        <v>0</v>
      </c>
    </row>
    <row r="318" ht="14.5" customHeight="1" spans="11:29" x14ac:dyDescent="0.25">
      <c r="K318" s="128"/>
      <c r="X318" s="234">
        <v>2022</v>
      </c>
      <c r="Y318" s="234">
        <v>1</v>
      </c>
      <c r="Z318" s="234">
        <v>14</v>
      </c>
      <c r="AA318" s="235">
        <v>0.16666666666787933</v>
      </c>
      <c r="AB318" s="236">
        <v>0.3</v>
      </c>
      <c r="AC318" s="127">
        <f t="shared" si="19"/>
        <v>0</v>
      </c>
    </row>
    <row r="319" ht="14.5" customHeight="1" spans="11:29" x14ac:dyDescent="0.25">
      <c r="K319" s="128"/>
      <c r="X319" s="234">
        <v>2022</v>
      </c>
      <c r="Y319" s="234">
        <v>1</v>
      </c>
      <c r="Z319" s="234">
        <v>14</v>
      </c>
      <c r="AA319" s="235">
        <v>0.20833333333212067</v>
      </c>
      <c r="AB319" s="236">
        <v>0</v>
      </c>
      <c r="AC319" s="127">
        <f t="shared" si="19"/>
        <v>0</v>
      </c>
    </row>
    <row r="320" ht="14.5" customHeight="1" spans="11:29" x14ac:dyDescent="0.25">
      <c r="K320" s="128"/>
      <c r="X320" s="234">
        <v>2022</v>
      </c>
      <c r="Y320" s="234">
        <v>1</v>
      </c>
      <c r="Z320" s="234">
        <v>14</v>
      </c>
      <c r="AA320" s="235">
        <v>0.25</v>
      </c>
      <c r="AB320" s="236">
        <v>-0.1</v>
      </c>
      <c r="AC320" s="127">
        <f t="shared" si="19"/>
        <v>0</v>
      </c>
    </row>
    <row r="321" ht="14.5" customHeight="1" spans="11:29" x14ac:dyDescent="0.25">
      <c r="K321" s="128"/>
      <c r="X321" s="234">
        <v>2022</v>
      </c>
      <c r="Y321" s="234">
        <v>1</v>
      </c>
      <c r="Z321" s="234">
        <v>14</v>
      </c>
      <c r="AA321" s="235">
        <v>0.2916666666678793</v>
      </c>
      <c r="AB321" s="236">
        <v>-0.8</v>
      </c>
      <c r="AC321" s="127">
        <f t="shared" si="19"/>
        <v>-1</v>
      </c>
    </row>
    <row r="322" ht="14.5" customHeight="1" spans="11:29" x14ac:dyDescent="0.25">
      <c r="K322" s="128"/>
      <c r="X322" s="234">
        <v>2022</v>
      </c>
      <c r="Y322" s="234">
        <v>1</v>
      </c>
      <c r="Z322" s="234">
        <v>14</v>
      </c>
      <c r="AA322" s="235">
        <v>0.3333333333321207</v>
      </c>
      <c r="AB322" s="236">
        <v>-0.3</v>
      </c>
      <c r="AC322" s="127">
        <f t="shared" si="19"/>
        <v>0</v>
      </c>
    </row>
    <row r="323" ht="14.5" customHeight="1" spans="11:29" x14ac:dyDescent="0.25">
      <c r="K323" s="128"/>
      <c r="X323" s="234">
        <v>2022</v>
      </c>
      <c r="Y323" s="234">
        <v>1</v>
      </c>
      <c r="Z323" s="234">
        <v>14</v>
      </c>
      <c r="AA323" s="235">
        <v>0.375</v>
      </c>
      <c r="AB323" s="236">
        <v>-1.4</v>
      </c>
      <c r="AC323" s="127">
        <f t="shared" si="19"/>
        <v>-1</v>
      </c>
    </row>
    <row r="324" ht="14.5" customHeight="1" spans="11:29" x14ac:dyDescent="0.25">
      <c r="K324" s="128"/>
      <c r="X324" s="234">
        <v>2022</v>
      </c>
      <c r="Y324" s="234">
        <v>1</v>
      </c>
      <c r="Z324" s="234">
        <v>14</v>
      </c>
      <c r="AA324" s="235">
        <v>0.4166666666678793</v>
      </c>
      <c r="AB324" s="236">
        <v>-1.1</v>
      </c>
      <c r="AC324" s="127">
        <f t="shared" si="19"/>
        <v>-1</v>
      </c>
    </row>
    <row r="325" ht="14.5" customHeight="1" spans="11:29" x14ac:dyDescent="0.25">
      <c r="K325" s="128"/>
      <c r="X325" s="234">
        <v>2022</v>
      </c>
      <c r="Y325" s="234">
        <v>1</v>
      </c>
      <c r="Z325" s="234">
        <v>14</v>
      </c>
      <c r="AA325" s="235">
        <v>0.4583333333321207</v>
      </c>
      <c r="AB325" s="236">
        <v>0</v>
      </c>
      <c r="AC325" s="127">
        <f t="shared" si="19"/>
        <v>0</v>
      </c>
    </row>
    <row r="326" ht="14.5" customHeight="1" spans="11:29" x14ac:dyDescent="0.25">
      <c r="K326" s="128"/>
      <c r="X326" s="234">
        <v>2022</v>
      </c>
      <c r="Y326" s="234">
        <v>1</v>
      </c>
      <c r="Z326" s="234">
        <v>14</v>
      </c>
      <c r="AA326" s="235">
        <v>0.5</v>
      </c>
      <c r="AB326" s="236">
        <v>0.2</v>
      </c>
      <c r="AC326" s="127">
        <f t="shared" si="19"/>
        <v>0</v>
      </c>
    </row>
    <row r="327" ht="14.5" customHeight="1" spans="11:29" x14ac:dyDescent="0.25">
      <c r="K327" s="128"/>
      <c r="X327" s="234">
        <v>2022</v>
      </c>
      <c r="Y327" s="234">
        <v>1</v>
      </c>
      <c r="Z327" s="234">
        <v>14</v>
      </c>
      <c r="AA327" s="235">
        <v>0.5416666666678793</v>
      </c>
      <c r="AB327" s="236">
        <v>0.2</v>
      </c>
      <c r="AC327" s="127">
        <f t="shared" si="19"/>
        <v>0</v>
      </c>
    </row>
    <row r="328" ht="14.5" customHeight="1" spans="11:29" x14ac:dyDescent="0.25">
      <c r="K328" s="128"/>
      <c r="X328" s="234">
        <v>2022</v>
      </c>
      <c r="Y328" s="234">
        <v>1</v>
      </c>
      <c r="Z328" s="234">
        <v>14</v>
      </c>
      <c r="AA328" s="235">
        <v>0.5833333333321207</v>
      </c>
      <c r="AB328" s="236">
        <v>0</v>
      </c>
      <c r="AC328" s="127">
        <f t="shared" si="19"/>
        <v>0</v>
      </c>
    </row>
    <row r="329" ht="14.5" customHeight="1" spans="11:29" x14ac:dyDescent="0.25">
      <c r="K329" s="128"/>
      <c r="X329" s="234">
        <v>2022</v>
      </c>
      <c r="Y329" s="234">
        <v>1</v>
      </c>
      <c r="Z329" s="234">
        <v>14</v>
      </c>
      <c r="AA329" s="235">
        <v>0.625</v>
      </c>
      <c r="AB329" s="236">
        <v>0.4</v>
      </c>
      <c r="AC329" s="127">
        <f t="shared" si="19"/>
        <v>0</v>
      </c>
    </row>
    <row r="330" ht="14.5" customHeight="1" spans="11:29" x14ac:dyDescent="0.25">
      <c r="K330" s="128"/>
      <c r="X330" s="234">
        <v>2022</v>
      </c>
      <c r="Y330" s="234">
        <v>1</v>
      </c>
      <c r="Z330" s="234">
        <v>14</v>
      </c>
      <c r="AA330" s="235">
        <v>0.6666666666678793</v>
      </c>
      <c r="AB330" s="236">
        <v>0.2</v>
      </c>
      <c r="AC330" s="127">
        <f t="shared" si="19"/>
        <v>0</v>
      </c>
    </row>
    <row r="331" ht="14.5" customHeight="1" spans="11:29" x14ac:dyDescent="0.25">
      <c r="K331" s="128"/>
      <c r="X331" s="234">
        <v>2022</v>
      </c>
      <c r="Y331" s="234">
        <v>1</v>
      </c>
      <c r="Z331" s="234">
        <v>14</v>
      </c>
      <c r="AA331" s="235">
        <v>0.7083333333321207</v>
      </c>
      <c r="AB331" s="236">
        <v>-0.2</v>
      </c>
      <c r="AC331" s="127">
        <f t="shared" ref="AC331:AC394" si="20">ROUND(AB331,0)</f>
        <v>0</v>
      </c>
    </row>
    <row r="332" ht="14.5" customHeight="1" spans="11:29" x14ac:dyDescent="0.25">
      <c r="K332" s="128"/>
      <c r="X332" s="234">
        <v>2022</v>
      </c>
      <c r="Y332" s="234">
        <v>1</v>
      </c>
      <c r="Z332" s="234">
        <v>14</v>
      </c>
      <c r="AA332" s="235">
        <v>0.75</v>
      </c>
      <c r="AB332" s="236">
        <v>-0.2</v>
      </c>
      <c r="AC332" s="127">
        <f t="shared" si="20"/>
        <v>0</v>
      </c>
    </row>
    <row r="333" ht="14.5" customHeight="1" spans="11:29" x14ac:dyDescent="0.25">
      <c r="K333" s="128"/>
      <c r="X333" s="234">
        <v>2022</v>
      </c>
      <c r="Y333" s="234">
        <v>1</v>
      </c>
      <c r="Z333" s="234">
        <v>14</v>
      </c>
      <c r="AA333" s="235">
        <v>0.7916666666678793</v>
      </c>
      <c r="AB333" s="236">
        <v>-0.5</v>
      </c>
      <c r="AC333" s="127">
        <f t="shared" si="20"/>
        <v>-1</v>
      </c>
    </row>
    <row r="334" ht="14.5" customHeight="1" spans="11:29" x14ac:dyDescent="0.25">
      <c r="K334" s="128"/>
      <c r="X334" s="234">
        <v>2022</v>
      </c>
      <c r="Y334" s="234">
        <v>1</v>
      </c>
      <c r="Z334" s="234">
        <v>14</v>
      </c>
      <c r="AA334" s="235">
        <v>0.8333333333321207</v>
      </c>
      <c r="AB334" s="236">
        <v>-1.2</v>
      </c>
      <c r="AC334" s="127">
        <f t="shared" si="20"/>
        <v>-1</v>
      </c>
    </row>
    <row r="335" ht="14.5" customHeight="1" spans="11:29" x14ac:dyDescent="0.25">
      <c r="K335" s="128"/>
      <c r="X335" s="234">
        <v>2022</v>
      </c>
      <c r="Y335" s="234">
        <v>1</v>
      </c>
      <c r="Z335" s="234">
        <v>14</v>
      </c>
      <c r="AA335" s="235">
        <v>0.875</v>
      </c>
      <c r="AB335" s="236">
        <v>-1.1</v>
      </c>
      <c r="AC335" s="127">
        <f t="shared" si="20"/>
        <v>-1</v>
      </c>
    </row>
    <row r="336" ht="14.5" customHeight="1" spans="11:29" x14ac:dyDescent="0.25">
      <c r="K336" s="128"/>
      <c r="X336" s="234">
        <v>2022</v>
      </c>
      <c r="Y336" s="234">
        <v>1</v>
      </c>
      <c r="Z336" s="234">
        <v>14</v>
      </c>
      <c r="AA336" s="235">
        <v>0.9166666666678793</v>
      </c>
      <c r="AB336" s="236">
        <v>4.7</v>
      </c>
      <c r="AC336" s="127">
        <f t="shared" si="20"/>
        <v>5</v>
      </c>
    </row>
    <row r="337" ht="14.5" customHeight="1" spans="11:29" x14ac:dyDescent="0.25">
      <c r="K337" s="128"/>
      <c r="X337" s="234">
        <v>2022</v>
      </c>
      <c r="Y337" s="234">
        <v>1</v>
      </c>
      <c r="Z337" s="234">
        <v>14</v>
      </c>
      <c r="AA337" s="235">
        <v>0.9583333333321207</v>
      </c>
      <c r="AB337" s="236">
        <v>7.8</v>
      </c>
      <c r="AC337" s="127">
        <f t="shared" si="20"/>
        <v>8</v>
      </c>
    </row>
    <row r="338" ht="14.5" customHeight="1" spans="11:29" x14ac:dyDescent="0.25">
      <c r="K338" s="128"/>
      <c r="X338" s="234">
        <v>2022</v>
      </c>
      <c r="Y338" s="234">
        <v>1</v>
      </c>
      <c r="Z338" s="234">
        <v>15</v>
      </c>
      <c r="AA338" s="235">
        <v>0</v>
      </c>
      <c r="AB338" s="236">
        <v>7.6</v>
      </c>
      <c r="AC338" s="127">
        <f t="shared" si="20"/>
        <v>8</v>
      </c>
    </row>
    <row r="339" ht="14.5" customHeight="1" spans="11:29" x14ac:dyDescent="0.25">
      <c r="K339" s="128"/>
      <c r="X339" s="234">
        <v>2022</v>
      </c>
      <c r="Y339" s="234">
        <v>1</v>
      </c>
      <c r="Z339" s="234">
        <v>15</v>
      </c>
      <c r="AA339" s="235">
        <v>0.041666666667879326</v>
      </c>
      <c r="AB339" s="236">
        <v>7.8</v>
      </c>
      <c r="AC339" s="127">
        <f t="shared" si="20"/>
        <v>8</v>
      </c>
    </row>
    <row r="340" ht="14.5" customHeight="1" spans="11:29" x14ac:dyDescent="0.25">
      <c r="K340" s="128"/>
      <c r="X340" s="234">
        <v>2022</v>
      </c>
      <c r="Y340" s="234">
        <v>1</v>
      </c>
      <c r="Z340" s="234">
        <v>15</v>
      </c>
      <c r="AA340" s="235">
        <v>0.08333333333212067</v>
      </c>
      <c r="AB340" s="236">
        <v>7.2</v>
      </c>
      <c r="AC340" s="127">
        <f t="shared" si="20"/>
        <v>7</v>
      </c>
    </row>
    <row r="341" ht="14.5" customHeight="1" spans="11:29" x14ac:dyDescent="0.25">
      <c r="K341" s="128"/>
      <c r="X341" s="234">
        <v>2022</v>
      </c>
      <c r="Y341" s="234">
        <v>1</v>
      </c>
      <c r="Z341" s="234">
        <v>15</v>
      </c>
      <c r="AA341" s="235">
        <v>0.125</v>
      </c>
      <c r="AB341" s="236">
        <v>7.8</v>
      </c>
      <c r="AC341" s="127">
        <f t="shared" si="20"/>
        <v>8</v>
      </c>
    </row>
    <row r="342" ht="14.5" customHeight="1" spans="11:29" x14ac:dyDescent="0.25">
      <c r="K342" s="128"/>
      <c r="X342" s="234">
        <v>2022</v>
      </c>
      <c r="Y342" s="234">
        <v>1</v>
      </c>
      <c r="Z342" s="234">
        <v>15</v>
      </c>
      <c r="AA342" s="235">
        <v>0.16666666666787933</v>
      </c>
      <c r="AB342" s="236">
        <v>6.1</v>
      </c>
      <c r="AC342" s="127">
        <f t="shared" si="20"/>
        <v>6</v>
      </c>
    </row>
    <row r="343" ht="14.5" customHeight="1" spans="11:29" x14ac:dyDescent="0.25">
      <c r="K343" s="128"/>
      <c r="X343" s="234">
        <v>2022</v>
      </c>
      <c r="Y343" s="234">
        <v>1</v>
      </c>
      <c r="Z343" s="234">
        <v>15</v>
      </c>
      <c r="AA343" s="235">
        <v>0.20833333333212067</v>
      </c>
      <c r="AB343" s="236">
        <v>4.3</v>
      </c>
      <c r="AC343" s="127">
        <f t="shared" si="20"/>
        <v>4</v>
      </c>
    </row>
    <row r="344" ht="14.5" customHeight="1" spans="11:29" x14ac:dyDescent="0.25">
      <c r="K344" s="128"/>
      <c r="X344" s="234">
        <v>2022</v>
      </c>
      <c r="Y344" s="234">
        <v>1</v>
      </c>
      <c r="Z344" s="234">
        <v>15</v>
      </c>
      <c r="AA344" s="235">
        <v>0.25</v>
      </c>
      <c r="AB344" s="236">
        <v>5</v>
      </c>
      <c r="AC344" s="127">
        <f t="shared" si="20"/>
        <v>5</v>
      </c>
    </row>
    <row r="345" ht="14.5" customHeight="1" spans="11:29" x14ac:dyDescent="0.25">
      <c r="K345" s="128"/>
      <c r="X345" s="234">
        <v>2022</v>
      </c>
      <c r="Y345" s="234">
        <v>1</v>
      </c>
      <c r="Z345" s="234">
        <v>15</v>
      </c>
      <c r="AA345" s="235">
        <v>0.2916666666678793</v>
      </c>
      <c r="AB345" s="236">
        <v>6</v>
      </c>
      <c r="AC345" s="127">
        <f t="shared" si="20"/>
        <v>6</v>
      </c>
    </row>
    <row r="346" ht="14.5" customHeight="1" spans="11:29" x14ac:dyDescent="0.25">
      <c r="K346" s="128"/>
      <c r="X346" s="234">
        <v>2022</v>
      </c>
      <c r="Y346" s="234">
        <v>1</v>
      </c>
      <c r="Z346" s="234">
        <v>15</v>
      </c>
      <c r="AA346" s="235">
        <v>0.3333333333321207</v>
      </c>
      <c r="AB346" s="236">
        <v>6</v>
      </c>
      <c r="AC346" s="127">
        <f t="shared" si="20"/>
        <v>6</v>
      </c>
    </row>
    <row r="347" ht="14.5" customHeight="1" spans="11:29" x14ac:dyDescent="0.25">
      <c r="K347" s="128"/>
      <c r="X347" s="234">
        <v>2022</v>
      </c>
      <c r="Y347" s="234">
        <v>1</v>
      </c>
      <c r="Z347" s="234">
        <v>15</v>
      </c>
      <c r="AA347" s="235">
        <v>0.375</v>
      </c>
      <c r="AB347" s="236">
        <v>6.4</v>
      </c>
      <c r="AC347" s="127">
        <f t="shared" si="20"/>
        <v>6</v>
      </c>
    </row>
    <row r="348" ht="14.5" customHeight="1" spans="11:29" x14ac:dyDescent="0.25">
      <c r="K348" s="128"/>
      <c r="X348" s="234">
        <v>2022</v>
      </c>
      <c r="Y348" s="234">
        <v>1</v>
      </c>
      <c r="Z348" s="234">
        <v>15</v>
      </c>
      <c r="AA348" s="235">
        <v>0.4166666666678793</v>
      </c>
      <c r="AB348" s="236">
        <v>6.8</v>
      </c>
      <c r="AC348" s="127">
        <f t="shared" si="20"/>
        <v>7</v>
      </c>
    </row>
    <row r="349" ht="14.5" customHeight="1" spans="11:29" x14ac:dyDescent="0.25">
      <c r="K349" s="128"/>
      <c r="X349" s="234">
        <v>2022</v>
      </c>
      <c r="Y349" s="234">
        <v>1</v>
      </c>
      <c r="Z349" s="234">
        <v>15</v>
      </c>
      <c r="AA349" s="235">
        <v>0.4583333333321207</v>
      </c>
      <c r="AB349" s="236">
        <v>7.4</v>
      </c>
      <c r="AC349" s="127">
        <f t="shared" si="20"/>
        <v>7</v>
      </c>
    </row>
    <row r="350" ht="14.5" customHeight="1" spans="11:29" x14ac:dyDescent="0.25">
      <c r="K350" s="128"/>
      <c r="X350" s="234">
        <v>2022</v>
      </c>
      <c r="Y350" s="234">
        <v>1</v>
      </c>
      <c r="Z350" s="234">
        <v>15</v>
      </c>
      <c r="AA350" s="235">
        <v>0.5</v>
      </c>
      <c r="AB350" s="236">
        <v>7.6</v>
      </c>
      <c r="AC350" s="127">
        <f t="shared" si="20"/>
        <v>8</v>
      </c>
    </row>
    <row r="351" ht="14.5" customHeight="1" spans="11:29" x14ac:dyDescent="0.25">
      <c r="K351" s="128"/>
      <c r="X351" s="234">
        <v>2022</v>
      </c>
      <c r="Y351" s="234">
        <v>1</v>
      </c>
      <c r="Z351" s="234">
        <v>15</v>
      </c>
      <c r="AA351" s="235">
        <v>0.5416666666678793</v>
      </c>
      <c r="AB351" s="236">
        <v>8.3</v>
      </c>
      <c r="AC351" s="127">
        <f t="shared" si="20"/>
        <v>8</v>
      </c>
    </row>
    <row r="352" ht="14.5" customHeight="1" spans="11:29" x14ac:dyDescent="0.25">
      <c r="K352" s="128"/>
      <c r="X352" s="234">
        <v>2022</v>
      </c>
      <c r="Y352" s="234">
        <v>1</v>
      </c>
      <c r="Z352" s="234">
        <v>15</v>
      </c>
      <c r="AA352" s="235">
        <v>0.5833333333321207</v>
      </c>
      <c r="AB352" s="236">
        <v>8.2</v>
      </c>
      <c r="AC352" s="127">
        <f t="shared" si="20"/>
        <v>8</v>
      </c>
    </row>
    <row r="353" ht="14.5" customHeight="1" spans="11:29" x14ac:dyDescent="0.25">
      <c r="K353" s="128"/>
      <c r="X353" s="234">
        <v>2022</v>
      </c>
      <c r="Y353" s="234">
        <v>1</v>
      </c>
      <c r="Z353" s="234">
        <v>15</v>
      </c>
      <c r="AA353" s="235">
        <v>0.625</v>
      </c>
      <c r="AB353" s="236">
        <v>8.5</v>
      </c>
      <c r="AC353" s="127">
        <f t="shared" si="20"/>
        <v>9</v>
      </c>
    </row>
    <row r="354" ht="14.5" customHeight="1" spans="11:29" x14ac:dyDescent="0.25">
      <c r="K354" s="128"/>
      <c r="X354" s="234">
        <v>2022</v>
      </c>
      <c r="Y354" s="234">
        <v>1</v>
      </c>
      <c r="Z354" s="234">
        <v>15</v>
      </c>
      <c r="AA354" s="235">
        <v>0.6666666666678793</v>
      </c>
      <c r="AB354" s="236">
        <v>7.6</v>
      </c>
      <c r="AC354" s="127">
        <f t="shared" si="20"/>
        <v>8</v>
      </c>
    </row>
    <row r="355" ht="14.5" customHeight="1" spans="11:29" x14ac:dyDescent="0.25">
      <c r="K355" s="128"/>
      <c r="X355" s="234">
        <v>2022</v>
      </c>
      <c r="Y355" s="234">
        <v>1</v>
      </c>
      <c r="Z355" s="234">
        <v>15</v>
      </c>
      <c r="AA355" s="235">
        <v>0.7083333333321207</v>
      </c>
      <c r="AB355" s="236">
        <v>5.9</v>
      </c>
      <c r="AC355" s="127">
        <f t="shared" si="20"/>
        <v>6</v>
      </c>
    </row>
    <row r="356" ht="14.5" customHeight="1" spans="11:29" x14ac:dyDescent="0.25">
      <c r="K356" s="128"/>
      <c r="X356" s="234">
        <v>2022</v>
      </c>
      <c r="Y356" s="234">
        <v>1</v>
      </c>
      <c r="Z356" s="234">
        <v>15</v>
      </c>
      <c r="AA356" s="235">
        <v>0.75</v>
      </c>
      <c r="AB356" s="236">
        <v>5.3</v>
      </c>
      <c r="AC356" s="127">
        <f t="shared" si="20"/>
        <v>5</v>
      </c>
    </row>
    <row r="357" ht="14.5" customHeight="1" spans="11:29" x14ac:dyDescent="0.25">
      <c r="K357" s="128"/>
      <c r="X357" s="234">
        <v>2022</v>
      </c>
      <c r="Y357" s="234">
        <v>1</v>
      </c>
      <c r="Z357" s="234">
        <v>15</v>
      </c>
      <c r="AA357" s="235">
        <v>0.7916666666678793</v>
      </c>
      <c r="AB357" s="236">
        <v>3</v>
      </c>
      <c r="AC357" s="127">
        <f t="shared" si="20"/>
        <v>3</v>
      </c>
    </row>
    <row r="358" ht="14.5" customHeight="1" spans="11:29" x14ac:dyDescent="0.25">
      <c r="K358" s="128"/>
      <c r="X358" s="234">
        <v>2022</v>
      </c>
      <c r="Y358" s="234">
        <v>1</v>
      </c>
      <c r="Z358" s="234">
        <v>15</v>
      </c>
      <c r="AA358" s="235">
        <v>0.8333333333321207</v>
      </c>
      <c r="AB358" s="236">
        <v>2.1</v>
      </c>
      <c r="AC358" s="127">
        <f t="shared" si="20"/>
        <v>2</v>
      </c>
    </row>
    <row r="359" ht="14.5" customHeight="1" spans="11:29" x14ac:dyDescent="0.25">
      <c r="K359" s="128"/>
      <c r="X359" s="234">
        <v>2022</v>
      </c>
      <c r="Y359" s="234">
        <v>1</v>
      </c>
      <c r="Z359" s="234">
        <v>15</v>
      </c>
      <c r="AA359" s="235">
        <v>0.875</v>
      </c>
      <c r="AB359" s="236">
        <v>1.5</v>
      </c>
      <c r="AC359" s="127">
        <f t="shared" si="20"/>
        <v>2</v>
      </c>
    </row>
    <row r="360" ht="14.5" customHeight="1" spans="11:29" x14ac:dyDescent="0.25">
      <c r="K360" s="128"/>
      <c r="X360" s="234">
        <v>2022</v>
      </c>
      <c r="Y360" s="234">
        <v>1</v>
      </c>
      <c r="Z360" s="234">
        <v>15</v>
      </c>
      <c r="AA360" s="235">
        <v>0.9166666666678793</v>
      </c>
      <c r="AB360" s="236">
        <v>0.7</v>
      </c>
      <c r="AC360" s="127">
        <f t="shared" si="20"/>
        <v>1</v>
      </c>
    </row>
    <row r="361" ht="14.5" customHeight="1" spans="11:29" x14ac:dyDescent="0.25">
      <c r="K361" s="128"/>
      <c r="X361" s="234">
        <v>2022</v>
      </c>
      <c r="Y361" s="234">
        <v>1</v>
      </c>
      <c r="Z361" s="234">
        <v>15</v>
      </c>
      <c r="AA361" s="235">
        <v>0.9583333333321207</v>
      </c>
      <c r="AB361" s="236">
        <v>-1</v>
      </c>
      <c r="AC361" s="127">
        <f t="shared" si="20"/>
        <v>-1</v>
      </c>
    </row>
    <row r="362" ht="14.5" customHeight="1" spans="11:29" x14ac:dyDescent="0.25">
      <c r="K362" s="128"/>
      <c r="X362" s="234">
        <v>2022</v>
      </c>
      <c r="Y362" s="234">
        <v>1</v>
      </c>
      <c r="Z362" s="234">
        <v>16</v>
      </c>
      <c r="AA362" s="235">
        <v>0</v>
      </c>
      <c r="AB362" s="236">
        <v>-0.3</v>
      </c>
      <c r="AC362" s="127">
        <f t="shared" si="20"/>
        <v>0</v>
      </c>
    </row>
    <row r="363" ht="14.5" customHeight="1" spans="11:29" x14ac:dyDescent="0.25">
      <c r="K363" s="128"/>
      <c r="X363" s="234">
        <v>2022</v>
      </c>
      <c r="Y363" s="234">
        <v>1</v>
      </c>
      <c r="Z363" s="234">
        <v>16</v>
      </c>
      <c r="AA363" s="235">
        <v>0.041666666667879326</v>
      </c>
      <c r="AB363" s="236">
        <v>-1.4</v>
      </c>
      <c r="AC363" s="127">
        <f t="shared" si="20"/>
        <v>-1</v>
      </c>
    </row>
    <row r="364" ht="14.5" customHeight="1" spans="11:29" x14ac:dyDescent="0.25">
      <c r="K364" s="128"/>
      <c r="X364" s="234">
        <v>2022</v>
      </c>
      <c r="Y364" s="234">
        <v>1</v>
      </c>
      <c r="Z364" s="234">
        <v>16</v>
      </c>
      <c r="AA364" s="235">
        <v>0.08333333333212067</v>
      </c>
      <c r="AB364" s="236">
        <v>-1.9</v>
      </c>
      <c r="AC364" s="127">
        <f t="shared" si="20"/>
        <v>-2</v>
      </c>
    </row>
    <row r="365" ht="14.5" customHeight="1" spans="11:29" x14ac:dyDescent="0.25">
      <c r="K365" s="128"/>
      <c r="X365" s="234">
        <v>2022</v>
      </c>
      <c r="Y365" s="234">
        <v>1</v>
      </c>
      <c r="Z365" s="234">
        <v>16</v>
      </c>
      <c r="AA365" s="235">
        <v>0.125</v>
      </c>
      <c r="AB365" s="236">
        <v>-2.3</v>
      </c>
      <c r="AC365" s="127">
        <f t="shared" si="20"/>
        <v>-2</v>
      </c>
    </row>
    <row r="366" ht="14.5" customHeight="1" spans="11:29" x14ac:dyDescent="0.25">
      <c r="K366" s="128"/>
      <c r="X366" s="234">
        <v>2022</v>
      </c>
      <c r="Y366" s="234">
        <v>1</v>
      </c>
      <c r="Z366" s="234">
        <v>16</v>
      </c>
      <c r="AA366" s="235">
        <v>0.16666666666787933</v>
      </c>
      <c r="AB366" s="236">
        <v>0.5</v>
      </c>
      <c r="AC366" s="127">
        <f t="shared" si="20"/>
        <v>1</v>
      </c>
    </row>
    <row r="367" ht="14.5" customHeight="1" spans="11:29" x14ac:dyDescent="0.25">
      <c r="K367" s="128"/>
      <c r="X367" s="234">
        <v>2022</v>
      </c>
      <c r="Y367" s="234">
        <v>1</v>
      </c>
      <c r="Z367" s="234">
        <v>16</v>
      </c>
      <c r="AA367" s="235">
        <v>0.20833333333212067</v>
      </c>
      <c r="AB367" s="236">
        <v>-2.8</v>
      </c>
      <c r="AC367" s="127">
        <f t="shared" si="20"/>
        <v>-3</v>
      </c>
    </row>
    <row r="368" ht="14.5" customHeight="1" spans="11:29" x14ac:dyDescent="0.25">
      <c r="K368" s="128"/>
      <c r="X368" s="234">
        <v>2022</v>
      </c>
      <c r="Y368" s="234">
        <v>1</v>
      </c>
      <c r="Z368" s="234">
        <v>16</v>
      </c>
      <c r="AA368" s="235">
        <v>0.25</v>
      </c>
      <c r="AB368" s="236">
        <v>-4</v>
      </c>
      <c r="AC368" s="127">
        <f t="shared" si="20"/>
        <v>-4</v>
      </c>
    </row>
    <row r="369" ht="14.5" customHeight="1" spans="11:29" x14ac:dyDescent="0.25">
      <c r="K369" s="128"/>
      <c r="X369" s="234">
        <v>2022</v>
      </c>
      <c r="Y369" s="234">
        <v>1</v>
      </c>
      <c r="Z369" s="234">
        <v>16</v>
      </c>
      <c r="AA369" s="235">
        <v>0.2916666666678793</v>
      </c>
      <c r="AB369" s="236">
        <v>-4.5</v>
      </c>
      <c r="AC369" s="127">
        <f t="shared" si="20"/>
        <v>-5</v>
      </c>
    </row>
    <row r="370" ht="14.5" customHeight="1" spans="11:29" x14ac:dyDescent="0.25">
      <c r="K370" s="128"/>
      <c r="X370" s="234">
        <v>2022</v>
      </c>
      <c r="Y370" s="234">
        <v>1</v>
      </c>
      <c r="Z370" s="234">
        <v>16</v>
      </c>
      <c r="AA370" s="235">
        <v>0.3333333333321207</v>
      </c>
      <c r="AB370" s="236">
        <v>-5.9</v>
      </c>
      <c r="AC370" s="127">
        <f t="shared" si="20"/>
        <v>-6</v>
      </c>
    </row>
    <row r="371" ht="14.5" customHeight="1" spans="11:29" x14ac:dyDescent="0.25">
      <c r="K371" s="128"/>
      <c r="X371" s="234">
        <v>2022</v>
      </c>
      <c r="Y371" s="234">
        <v>1</v>
      </c>
      <c r="Z371" s="234">
        <v>16</v>
      </c>
      <c r="AA371" s="235">
        <v>0.375</v>
      </c>
      <c r="AB371" s="236">
        <v>-3.3</v>
      </c>
      <c r="AC371" s="127">
        <f t="shared" si="20"/>
        <v>-3</v>
      </c>
    </row>
    <row r="372" ht="14.5" customHeight="1" spans="11:29" x14ac:dyDescent="0.25">
      <c r="K372" s="128"/>
      <c r="X372" s="234">
        <v>2022</v>
      </c>
      <c r="Y372" s="234">
        <v>1</v>
      </c>
      <c r="Z372" s="234">
        <v>16</v>
      </c>
      <c r="AA372" s="235">
        <v>0.4166666666678793</v>
      </c>
      <c r="AB372" s="236">
        <v>-1.9</v>
      </c>
      <c r="AC372" s="127">
        <f t="shared" si="20"/>
        <v>-2</v>
      </c>
    </row>
    <row r="373" ht="14.5" customHeight="1" spans="11:29" x14ac:dyDescent="0.25">
      <c r="K373" s="128"/>
      <c r="X373" s="234">
        <v>2022</v>
      </c>
      <c r="Y373" s="234">
        <v>1</v>
      </c>
      <c r="Z373" s="234">
        <v>16</v>
      </c>
      <c r="AA373" s="235">
        <v>0.4583333333321207</v>
      </c>
      <c r="AB373" s="236">
        <v>0.8</v>
      </c>
      <c r="AC373" s="127">
        <f t="shared" si="20"/>
        <v>1</v>
      </c>
    </row>
    <row r="374" ht="14.5" customHeight="1" spans="11:29" x14ac:dyDescent="0.25">
      <c r="K374" s="128"/>
      <c r="X374" s="234">
        <v>2022</v>
      </c>
      <c r="Y374" s="234">
        <v>1</v>
      </c>
      <c r="Z374" s="234">
        <v>16</v>
      </c>
      <c r="AA374" s="235">
        <v>0.5</v>
      </c>
      <c r="AB374" s="236">
        <v>1.7</v>
      </c>
      <c r="AC374" s="127">
        <f t="shared" si="20"/>
        <v>2</v>
      </c>
    </row>
    <row r="375" ht="14.5" customHeight="1" spans="11:29" x14ac:dyDescent="0.25">
      <c r="K375" s="128"/>
      <c r="X375" s="234">
        <v>2022</v>
      </c>
      <c r="Y375" s="234">
        <v>1</v>
      </c>
      <c r="Z375" s="234">
        <v>16</v>
      </c>
      <c r="AA375" s="235">
        <v>0.5416666666678793</v>
      </c>
      <c r="AB375" s="236">
        <v>1.3</v>
      </c>
      <c r="AC375" s="127">
        <f t="shared" si="20"/>
        <v>1</v>
      </c>
    </row>
    <row r="376" ht="14.5" customHeight="1" spans="11:29" x14ac:dyDescent="0.25">
      <c r="K376" s="128"/>
      <c r="X376" s="234">
        <v>2022</v>
      </c>
      <c r="Y376" s="234">
        <v>1</v>
      </c>
      <c r="Z376" s="234">
        <v>16</v>
      </c>
      <c r="AA376" s="235">
        <v>0.5833333333321207</v>
      </c>
      <c r="AB376" s="236">
        <v>1</v>
      </c>
      <c r="AC376" s="127">
        <f t="shared" si="20"/>
        <v>1</v>
      </c>
    </row>
    <row r="377" ht="14.5" customHeight="1" spans="11:29" x14ac:dyDescent="0.25">
      <c r="K377" s="128"/>
      <c r="X377" s="234">
        <v>2022</v>
      </c>
      <c r="Y377" s="234">
        <v>1</v>
      </c>
      <c r="Z377" s="234">
        <v>16</v>
      </c>
      <c r="AA377" s="235">
        <v>0.625</v>
      </c>
      <c r="AB377" s="236">
        <v>0.5</v>
      </c>
      <c r="AC377" s="127">
        <f t="shared" si="20"/>
        <v>1</v>
      </c>
    </row>
    <row r="378" ht="14.5" customHeight="1" spans="11:29" x14ac:dyDescent="0.25">
      <c r="K378" s="128"/>
      <c r="X378" s="234">
        <v>2022</v>
      </c>
      <c r="Y378" s="234">
        <v>1</v>
      </c>
      <c r="Z378" s="234">
        <v>16</v>
      </c>
      <c r="AA378" s="235">
        <v>0.6666666666678793</v>
      </c>
      <c r="AB378" s="236">
        <v>0.5</v>
      </c>
      <c r="AC378" s="127">
        <f t="shared" si="20"/>
        <v>1</v>
      </c>
    </row>
    <row r="379" ht="14.5" customHeight="1" spans="11:29" x14ac:dyDescent="0.25">
      <c r="K379" s="128"/>
      <c r="X379" s="234">
        <v>2022</v>
      </c>
      <c r="Y379" s="234">
        <v>1</v>
      </c>
      <c r="Z379" s="234">
        <v>16</v>
      </c>
      <c r="AA379" s="235">
        <v>0.7083333333321207</v>
      </c>
      <c r="AB379" s="236">
        <v>0.1</v>
      </c>
      <c r="AC379" s="127">
        <f t="shared" si="20"/>
        <v>0</v>
      </c>
    </row>
    <row r="380" ht="14.5" customHeight="1" spans="11:29" x14ac:dyDescent="0.25">
      <c r="K380" s="128"/>
      <c r="X380" s="234">
        <v>2022</v>
      </c>
      <c r="Y380" s="234">
        <v>1</v>
      </c>
      <c r="Z380" s="234">
        <v>16</v>
      </c>
      <c r="AA380" s="235">
        <v>0.75</v>
      </c>
      <c r="AB380" s="236">
        <v>-1.5</v>
      </c>
      <c r="AC380" s="127">
        <f t="shared" si="20"/>
        <v>-2</v>
      </c>
    </row>
    <row r="381" ht="14.5" customHeight="1" spans="11:29" x14ac:dyDescent="0.25">
      <c r="K381" s="128"/>
      <c r="X381" s="234">
        <v>2022</v>
      </c>
      <c r="Y381" s="234">
        <v>1</v>
      </c>
      <c r="Z381" s="234">
        <v>16</v>
      </c>
      <c r="AA381" s="235">
        <v>0.7916666666678793</v>
      </c>
      <c r="AB381" s="236">
        <v>-1.3</v>
      </c>
      <c r="AC381" s="127">
        <f t="shared" si="20"/>
        <v>-1</v>
      </c>
    </row>
    <row r="382" ht="14.5" customHeight="1" spans="11:29" x14ac:dyDescent="0.25">
      <c r="K382" s="128"/>
      <c r="X382" s="234">
        <v>2022</v>
      </c>
      <c r="Y382" s="234">
        <v>1</v>
      </c>
      <c r="Z382" s="234">
        <v>16</v>
      </c>
      <c r="AA382" s="235">
        <v>0.8333333333321207</v>
      </c>
      <c r="AB382" s="236">
        <v>0.4</v>
      </c>
      <c r="AC382" s="127">
        <f t="shared" si="20"/>
        <v>0</v>
      </c>
    </row>
    <row r="383" ht="14.5" customHeight="1" spans="11:29" x14ac:dyDescent="0.25">
      <c r="K383" s="128"/>
      <c r="X383" s="234">
        <v>2022</v>
      </c>
      <c r="Y383" s="234">
        <v>1</v>
      </c>
      <c r="Z383" s="234">
        <v>16</v>
      </c>
      <c r="AA383" s="235">
        <v>0.875</v>
      </c>
      <c r="AB383" s="236">
        <v>2.8</v>
      </c>
      <c r="AC383" s="127">
        <f t="shared" si="20"/>
        <v>3</v>
      </c>
    </row>
    <row r="384" ht="14.5" customHeight="1" spans="11:29" x14ac:dyDescent="0.25">
      <c r="K384" s="128"/>
      <c r="X384" s="234">
        <v>2022</v>
      </c>
      <c r="Y384" s="234">
        <v>1</v>
      </c>
      <c r="Z384" s="234">
        <v>16</v>
      </c>
      <c r="AA384" s="235">
        <v>0.9166666666678793</v>
      </c>
      <c r="AB384" s="236">
        <v>2.2</v>
      </c>
      <c r="AC384" s="127">
        <f t="shared" si="20"/>
        <v>2</v>
      </c>
    </row>
    <row r="385" ht="14.5" customHeight="1" spans="11:29" x14ac:dyDescent="0.25">
      <c r="K385" s="128"/>
      <c r="X385" s="234">
        <v>2022</v>
      </c>
      <c r="Y385" s="234">
        <v>1</v>
      </c>
      <c r="Z385" s="234">
        <v>16</v>
      </c>
      <c r="AA385" s="235">
        <v>0.9583333333321207</v>
      </c>
      <c r="AB385" s="236">
        <v>5.4</v>
      </c>
      <c r="AC385" s="127">
        <f t="shared" si="20"/>
        <v>5</v>
      </c>
    </row>
    <row r="386" ht="14.5" customHeight="1" spans="11:29" x14ac:dyDescent="0.25">
      <c r="K386" s="128"/>
      <c r="X386" s="234">
        <v>2022</v>
      </c>
      <c r="Y386" s="234">
        <v>1</v>
      </c>
      <c r="Z386" s="234">
        <v>17</v>
      </c>
      <c r="AA386" s="235">
        <v>0</v>
      </c>
      <c r="AB386" s="236">
        <v>6.7</v>
      </c>
      <c r="AC386" s="127">
        <f t="shared" si="20"/>
        <v>7</v>
      </c>
    </row>
    <row r="387" ht="14.5" customHeight="1" spans="11:29" x14ac:dyDescent="0.25">
      <c r="K387" s="128"/>
      <c r="X387" s="234">
        <v>2022</v>
      </c>
      <c r="Y387" s="234">
        <v>1</v>
      </c>
      <c r="Z387" s="234">
        <v>17</v>
      </c>
      <c r="AA387" s="235">
        <v>0.041666666667879326</v>
      </c>
      <c r="AB387" s="236">
        <v>8.5</v>
      </c>
      <c r="AC387" s="127">
        <f t="shared" si="20"/>
        <v>9</v>
      </c>
    </row>
    <row r="388" ht="14.5" customHeight="1" spans="11:29" x14ac:dyDescent="0.25">
      <c r="K388" s="128"/>
      <c r="X388" s="234">
        <v>2022</v>
      </c>
      <c r="Y388" s="234">
        <v>1</v>
      </c>
      <c r="Z388" s="234">
        <v>17</v>
      </c>
      <c r="AA388" s="235">
        <v>0.08333333333212067</v>
      </c>
      <c r="AB388" s="236">
        <v>8.6</v>
      </c>
      <c r="AC388" s="127">
        <f t="shared" si="20"/>
        <v>9</v>
      </c>
    </row>
    <row r="389" ht="14.5" customHeight="1" spans="11:29" x14ac:dyDescent="0.25">
      <c r="K389" s="128"/>
      <c r="X389" s="234">
        <v>2022</v>
      </c>
      <c r="Y389" s="234">
        <v>1</v>
      </c>
      <c r="Z389" s="234">
        <v>17</v>
      </c>
      <c r="AA389" s="235">
        <v>0.125</v>
      </c>
      <c r="AB389" s="236">
        <v>7.9</v>
      </c>
      <c r="AC389" s="127">
        <f t="shared" si="20"/>
        <v>8</v>
      </c>
    </row>
    <row r="390" ht="14.5" customHeight="1" spans="11:29" x14ac:dyDescent="0.25">
      <c r="K390" s="128"/>
      <c r="X390" s="234">
        <v>2022</v>
      </c>
      <c r="Y390" s="234">
        <v>1</v>
      </c>
      <c r="Z390" s="234">
        <v>17</v>
      </c>
      <c r="AA390" s="235">
        <v>0.16666666666787933</v>
      </c>
      <c r="AB390" s="236">
        <v>6.6</v>
      </c>
      <c r="AC390" s="127">
        <f t="shared" si="20"/>
        <v>7</v>
      </c>
    </row>
    <row r="391" ht="14.5" customHeight="1" spans="11:29" x14ac:dyDescent="0.25">
      <c r="K391" s="128"/>
      <c r="X391" s="234">
        <v>2022</v>
      </c>
      <c r="Y391" s="234">
        <v>1</v>
      </c>
      <c r="Z391" s="234">
        <v>17</v>
      </c>
      <c r="AA391" s="235">
        <v>0.20833333333212067</v>
      </c>
      <c r="AB391" s="236">
        <v>7.3</v>
      </c>
      <c r="AC391" s="127">
        <f t="shared" si="20"/>
        <v>7</v>
      </c>
    </row>
    <row r="392" ht="14.5" customHeight="1" spans="11:29" x14ac:dyDescent="0.25">
      <c r="K392" s="128"/>
      <c r="X392" s="234">
        <v>2022</v>
      </c>
      <c r="Y392" s="234">
        <v>1</v>
      </c>
      <c r="Z392" s="234">
        <v>17</v>
      </c>
      <c r="AA392" s="235">
        <v>0.25</v>
      </c>
      <c r="AB392" s="236">
        <v>7.2</v>
      </c>
      <c r="AC392" s="127">
        <f t="shared" si="20"/>
        <v>7</v>
      </c>
    </row>
    <row r="393" ht="14.5" customHeight="1" spans="11:29" x14ac:dyDescent="0.25">
      <c r="K393" s="128"/>
      <c r="X393" s="234">
        <v>2022</v>
      </c>
      <c r="Y393" s="234">
        <v>1</v>
      </c>
      <c r="Z393" s="234">
        <v>17</v>
      </c>
      <c r="AA393" s="235">
        <v>0.2916666666678793</v>
      </c>
      <c r="AB393" s="236">
        <v>6.6</v>
      </c>
      <c r="AC393" s="127">
        <f t="shared" si="20"/>
        <v>7</v>
      </c>
    </row>
    <row r="394" ht="14.5" customHeight="1" spans="11:29" x14ac:dyDescent="0.25">
      <c r="K394" s="128"/>
      <c r="X394" s="234">
        <v>2022</v>
      </c>
      <c r="Y394" s="234">
        <v>1</v>
      </c>
      <c r="Z394" s="234">
        <v>17</v>
      </c>
      <c r="AA394" s="235">
        <v>0.3333333333321207</v>
      </c>
      <c r="AB394" s="236">
        <v>5.1</v>
      </c>
      <c r="AC394" s="127">
        <f t="shared" si="20"/>
        <v>5</v>
      </c>
    </row>
    <row r="395" ht="14.5" customHeight="1" spans="11:29" x14ac:dyDescent="0.25">
      <c r="K395" s="128"/>
      <c r="X395" s="234">
        <v>2022</v>
      </c>
      <c r="Y395" s="234">
        <v>1</v>
      </c>
      <c r="Z395" s="234">
        <v>17</v>
      </c>
      <c r="AA395" s="235">
        <v>0.375</v>
      </c>
      <c r="AB395" s="236">
        <v>7.9</v>
      </c>
      <c r="AC395" s="127">
        <f t="shared" ref="AC395:AC458" si="21">ROUND(AB395,0)</f>
        <v>8</v>
      </c>
    </row>
    <row r="396" ht="14.5" customHeight="1" spans="11:29" x14ac:dyDescent="0.25">
      <c r="K396" s="128"/>
      <c r="X396" s="234">
        <v>2022</v>
      </c>
      <c r="Y396" s="234">
        <v>1</v>
      </c>
      <c r="Z396" s="234">
        <v>17</v>
      </c>
      <c r="AA396" s="235">
        <v>0.4166666666678793</v>
      </c>
      <c r="AB396" s="236">
        <v>8.7</v>
      </c>
      <c r="AC396" s="127">
        <f t="shared" si="21"/>
        <v>9</v>
      </c>
    </row>
    <row r="397" ht="14.5" customHeight="1" spans="11:29" x14ac:dyDescent="0.25">
      <c r="K397" s="128"/>
      <c r="X397" s="234">
        <v>2022</v>
      </c>
      <c r="Y397" s="234">
        <v>1</v>
      </c>
      <c r="Z397" s="234">
        <v>17</v>
      </c>
      <c r="AA397" s="235">
        <v>0.4583333333321207</v>
      </c>
      <c r="AB397" s="236">
        <v>8.4</v>
      </c>
      <c r="AC397" s="127">
        <f t="shared" si="21"/>
        <v>8</v>
      </c>
    </row>
    <row r="398" ht="14.5" customHeight="1" spans="11:29" x14ac:dyDescent="0.25">
      <c r="K398" s="128"/>
      <c r="X398" s="234">
        <v>2022</v>
      </c>
      <c r="Y398" s="234">
        <v>1</v>
      </c>
      <c r="Z398" s="234">
        <v>17</v>
      </c>
      <c r="AA398" s="235">
        <v>0.5</v>
      </c>
      <c r="AB398" s="236">
        <v>10.8</v>
      </c>
      <c r="AC398" s="127">
        <f t="shared" si="21"/>
        <v>11</v>
      </c>
    </row>
    <row r="399" ht="14.5" customHeight="1" spans="11:29" x14ac:dyDescent="0.25">
      <c r="K399" s="128"/>
      <c r="X399" s="234">
        <v>2022</v>
      </c>
      <c r="Y399" s="234">
        <v>1</v>
      </c>
      <c r="Z399" s="234">
        <v>17</v>
      </c>
      <c r="AA399" s="235">
        <v>0.5416666666678793</v>
      </c>
      <c r="AB399" s="236">
        <v>10.5</v>
      </c>
      <c r="AC399" s="127">
        <f t="shared" si="21"/>
        <v>11</v>
      </c>
    </row>
    <row r="400" ht="14.5" customHeight="1" spans="11:29" x14ac:dyDescent="0.25">
      <c r="K400" s="128"/>
      <c r="X400" s="234">
        <v>2022</v>
      </c>
      <c r="Y400" s="234">
        <v>1</v>
      </c>
      <c r="Z400" s="234">
        <v>17</v>
      </c>
      <c r="AA400" s="235">
        <v>0.5833333333321207</v>
      </c>
      <c r="AB400" s="236">
        <v>10.6</v>
      </c>
      <c r="AC400" s="127">
        <f t="shared" si="21"/>
        <v>11</v>
      </c>
    </row>
    <row r="401" ht="14.5" customHeight="1" spans="11:29" x14ac:dyDescent="0.25">
      <c r="K401" s="128"/>
      <c r="X401" s="234">
        <v>2022</v>
      </c>
      <c r="Y401" s="234">
        <v>1</v>
      </c>
      <c r="Z401" s="234">
        <v>17</v>
      </c>
      <c r="AA401" s="235">
        <v>0.625</v>
      </c>
      <c r="AB401" s="236">
        <v>10.3</v>
      </c>
      <c r="AC401" s="127">
        <f t="shared" si="21"/>
        <v>10</v>
      </c>
    </row>
    <row r="402" ht="14.5" customHeight="1" spans="11:29" x14ac:dyDescent="0.25">
      <c r="K402" s="128"/>
      <c r="X402" s="234">
        <v>2022</v>
      </c>
      <c r="Y402" s="234">
        <v>1</v>
      </c>
      <c r="Z402" s="234">
        <v>17</v>
      </c>
      <c r="AA402" s="235">
        <v>0.6666666666678793</v>
      </c>
      <c r="AB402" s="236">
        <v>9.1</v>
      </c>
      <c r="AC402" s="127">
        <f t="shared" si="21"/>
        <v>9</v>
      </c>
    </row>
    <row r="403" ht="14.5" customHeight="1" spans="11:29" x14ac:dyDescent="0.25">
      <c r="K403" s="128"/>
      <c r="X403" s="234">
        <v>2022</v>
      </c>
      <c r="Y403" s="234">
        <v>1</v>
      </c>
      <c r="Z403" s="234">
        <v>17</v>
      </c>
      <c r="AA403" s="235">
        <v>0.7083333333321207</v>
      </c>
      <c r="AB403" s="236">
        <v>6.9</v>
      </c>
      <c r="AC403" s="127">
        <f t="shared" si="21"/>
        <v>7</v>
      </c>
    </row>
    <row r="404" ht="14.5" customHeight="1" spans="11:29" x14ac:dyDescent="0.25">
      <c r="K404" s="128"/>
      <c r="X404" s="234">
        <v>2022</v>
      </c>
      <c r="Y404" s="234">
        <v>1</v>
      </c>
      <c r="Z404" s="234">
        <v>17</v>
      </c>
      <c r="AA404" s="235">
        <v>0.75</v>
      </c>
      <c r="AB404" s="236">
        <v>6.9</v>
      </c>
      <c r="AC404" s="127">
        <f t="shared" si="21"/>
        <v>7</v>
      </c>
    </row>
    <row r="405" ht="14.5" customHeight="1" spans="11:29" x14ac:dyDescent="0.25">
      <c r="K405" s="128"/>
      <c r="X405" s="234">
        <v>2022</v>
      </c>
      <c r="Y405" s="234">
        <v>1</v>
      </c>
      <c r="Z405" s="234">
        <v>17</v>
      </c>
      <c r="AA405" s="235">
        <v>0.7916666666678793</v>
      </c>
      <c r="AB405" s="236">
        <v>1</v>
      </c>
      <c r="AC405" s="127">
        <f t="shared" si="21"/>
        <v>1</v>
      </c>
    </row>
    <row r="406" ht="14.5" customHeight="1" spans="11:29" x14ac:dyDescent="0.25">
      <c r="K406" s="128"/>
      <c r="X406" s="234">
        <v>2022</v>
      </c>
      <c r="Y406" s="234">
        <v>1</v>
      </c>
      <c r="Z406" s="234">
        <v>17</v>
      </c>
      <c r="AA406" s="235">
        <v>0.8333333333321207</v>
      </c>
      <c r="AB406" s="236">
        <v>-2.1</v>
      </c>
      <c r="AC406" s="127">
        <f t="shared" si="21"/>
        <v>-2</v>
      </c>
    </row>
    <row r="407" ht="14.5" customHeight="1" spans="11:29" x14ac:dyDescent="0.25">
      <c r="K407" s="128"/>
      <c r="X407" s="234">
        <v>2022</v>
      </c>
      <c r="Y407" s="234">
        <v>1</v>
      </c>
      <c r="Z407" s="234">
        <v>17</v>
      </c>
      <c r="AA407" s="235">
        <v>0.875</v>
      </c>
      <c r="AB407" s="236">
        <v>-6.8</v>
      </c>
      <c r="AC407" s="127">
        <f t="shared" si="21"/>
        <v>-7</v>
      </c>
    </row>
    <row r="408" ht="14.5" customHeight="1" spans="11:29" x14ac:dyDescent="0.25">
      <c r="K408" s="128"/>
      <c r="X408" s="234">
        <v>2022</v>
      </c>
      <c r="Y408" s="234">
        <v>1</v>
      </c>
      <c r="Z408" s="234">
        <v>17</v>
      </c>
      <c r="AA408" s="235">
        <v>0.9166666666678793</v>
      </c>
      <c r="AB408" s="236">
        <v>-8.6</v>
      </c>
      <c r="AC408" s="127">
        <f t="shared" si="21"/>
        <v>-9</v>
      </c>
    </row>
    <row r="409" ht="14.5" customHeight="1" spans="11:29" x14ac:dyDescent="0.25">
      <c r="K409" s="128"/>
      <c r="X409" s="234">
        <v>2022</v>
      </c>
      <c r="Y409" s="234">
        <v>1</v>
      </c>
      <c r="Z409" s="234">
        <v>17</v>
      </c>
      <c r="AA409" s="235">
        <v>0.9583333333321207</v>
      </c>
      <c r="AB409" s="236">
        <v>-11.3</v>
      </c>
      <c r="AC409" s="127">
        <f t="shared" si="21"/>
        <v>-11</v>
      </c>
    </row>
    <row r="410" ht="14.5" customHeight="1" spans="11:29" x14ac:dyDescent="0.25">
      <c r="K410" s="128"/>
      <c r="X410" s="234">
        <v>2022</v>
      </c>
      <c r="Y410" s="234">
        <v>1</v>
      </c>
      <c r="Z410" s="234">
        <v>18</v>
      </c>
      <c r="AA410" s="235">
        <v>0</v>
      </c>
      <c r="AB410" s="236">
        <v>-12.8</v>
      </c>
      <c r="AC410" s="127">
        <f t="shared" si="21"/>
        <v>-13</v>
      </c>
    </row>
    <row r="411" ht="14.5" customHeight="1" spans="11:29" x14ac:dyDescent="0.25">
      <c r="K411" s="128"/>
      <c r="X411" s="234">
        <v>2022</v>
      </c>
      <c r="Y411" s="234">
        <v>1</v>
      </c>
      <c r="Z411" s="234">
        <v>18</v>
      </c>
      <c r="AA411" s="235">
        <v>0.041666666667879326</v>
      </c>
      <c r="AB411" s="236">
        <v>-13</v>
      </c>
      <c r="AC411" s="127">
        <f t="shared" si="21"/>
        <v>-13</v>
      </c>
    </row>
    <row r="412" ht="14.5" customHeight="1" spans="11:29" x14ac:dyDescent="0.25">
      <c r="K412" s="128"/>
      <c r="X412" s="234">
        <v>2022</v>
      </c>
      <c r="Y412" s="234">
        <v>1</v>
      </c>
      <c r="Z412" s="234">
        <v>18</v>
      </c>
      <c r="AA412" s="235">
        <v>0.08333333333212067</v>
      </c>
      <c r="AB412" s="236">
        <v>-13.6</v>
      </c>
      <c r="AC412" s="127">
        <f t="shared" si="21"/>
        <v>-14</v>
      </c>
    </row>
    <row r="413" ht="14.5" customHeight="1" spans="11:29" x14ac:dyDescent="0.25">
      <c r="K413" s="128"/>
      <c r="X413" s="234">
        <v>2022</v>
      </c>
      <c r="Y413" s="234">
        <v>1</v>
      </c>
      <c r="Z413" s="234">
        <v>18</v>
      </c>
      <c r="AA413" s="235">
        <v>0.125</v>
      </c>
      <c r="AB413" s="236">
        <v>-14.1</v>
      </c>
      <c r="AC413" s="127">
        <f t="shared" si="21"/>
        <v>-14</v>
      </c>
    </row>
    <row r="414" ht="14.5" customHeight="1" spans="11:29" x14ac:dyDescent="0.25">
      <c r="K414" s="128"/>
      <c r="X414" s="234">
        <v>2022</v>
      </c>
      <c r="Y414" s="234">
        <v>1</v>
      </c>
      <c r="Z414" s="234">
        <v>18</v>
      </c>
      <c r="AA414" s="235">
        <v>0.16666666666787933</v>
      </c>
      <c r="AB414" s="236">
        <v>-14.8</v>
      </c>
      <c r="AC414" s="127">
        <f t="shared" si="21"/>
        <v>-15</v>
      </c>
    </row>
    <row r="415" ht="14.5" customHeight="1" spans="11:29" x14ac:dyDescent="0.25">
      <c r="K415" s="128"/>
      <c r="X415" s="234">
        <v>2022</v>
      </c>
      <c r="Y415" s="234">
        <v>1</v>
      </c>
      <c r="Z415" s="234">
        <v>18</v>
      </c>
      <c r="AA415" s="235">
        <v>0.20833333333212067</v>
      </c>
      <c r="AB415" s="236">
        <v>-15.5</v>
      </c>
      <c r="AC415" s="127">
        <f t="shared" si="21"/>
        <v>-16</v>
      </c>
    </row>
    <row r="416" ht="14.5" customHeight="1" spans="11:29" x14ac:dyDescent="0.25">
      <c r="K416" s="128"/>
      <c r="X416" s="234">
        <v>2022</v>
      </c>
      <c r="Y416" s="234">
        <v>1</v>
      </c>
      <c r="Z416" s="234">
        <v>18</v>
      </c>
      <c r="AA416" s="235">
        <v>0.25</v>
      </c>
      <c r="AB416" s="236">
        <v>-15.6</v>
      </c>
      <c r="AC416" s="127">
        <f t="shared" si="21"/>
        <v>-16</v>
      </c>
    </row>
    <row r="417" ht="14.5" customHeight="1" spans="11:29" x14ac:dyDescent="0.25">
      <c r="K417" s="128"/>
      <c r="X417" s="234">
        <v>2022</v>
      </c>
      <c r="Y417" s="234">
        <v>1</v>
      </c>
      <c r="Z417" s="234">
        <v>18</v>
      </c>
      <c r="AA417" s="235">
        <v>0.2916666666678793</v>
      </c>
      <c r="AB417" s="236">
        <v>-16.1</v>
      </c>
      <c r="AC417" s="127">
        <f t="shared" si="21"/>
        <v>-16</v>
      </c>
    </row>
    <row r="418" ht="14.5" customHeight="1" spans="11:29" x14ac:dyDescent="0.25">
      <c r="K418" s="128"/>
      <c r="X418" s="234">
        <v>2022</v>
      </c>
      <c r="Y418" s="234">
        <v>1</v>
      </c>
      <c r="Z418" s="234">
        <v>18</v>
      </c>
      <c r="AA418" s="235">
        <v>0.3333333333321207</v>
      </c>
      <c r="AB418" s="236">
        <v>-16</v>
      </c>
      <c r="AC418" s="127">
        <f t="shared" si="21"/>
        <v>-16</v>
      </c>
    </row>
    <row r="419" ht="14.5" customHeight="1" spans="11:29" x14ac:dyDescent="0.25">
      <c r="K419" s="128"/>
      <c r="X419" s="234">
        <v>2022</v>
      </c>
      <c r="Y419" s="234">
        <v>1</v>
      </c>
      <c r="Z419" s="234">
        <v>18</v>
      </c>
      <c r="AA419" s="235">
        <v>0.375</v>
      </c>
      <c r="AB419" s="236">
        <v>-16.6</v>
      </c>
      <c r="AC419" s="127">
        <f t="shared" si="21"/>
        <v>-17</v>
      </c>
    </row>
    <row r="420" ht="14.5" customHeight="1" spans="11:29" x14ac:dyDescent="0.25">
      <c r="K420" s="128"/>
      <c r="X420" s="234">
        <v>2022</v>
      </c>
      <c r="Y420" s="234">
        <v>1</v>
      </c>
      <c r="Z420" s="234">
        <v>18</v>
      </c>
      <c r="AA420" s="235">
        <v>0.4166666666678793</v>
      </c>
      <c r="AB420" s="236">
        <v>-18.2</v>
      </c>
      <c r="AC420" s="127">
        <f t="shared" si="21"/>
        <v>-18</v>
      </c>
    </row>
    <row r="421" ht="14.5" customHeight="1" spans="11:29" x14ac:dyDescent="0.25">
      <c r="K421" s="128"/>
      <c r="X421" s="234">
        <v>2022</v>
      </c>
      <c r="Y421" s="234">
        <v>1</v>
      </c>
      <c r="Z421" s="234">
        <v>18</v>
      </c>
      <c r="AA421" s="235">
        <v>0.4583333333321207</v>
      </c>
      <c r="AB421" s="236">
        <v>-18</v>
      </c>
      <c r="AC421" s="127">
        <f t="shared" si="21"/>
        <v>-18</v>
      </c>
    </row>
    <row r="422" ht="14.5" customHeight="1" spans="11:29" x14ac:dyDescent="0.25">
      <c r="K422" s="128"/>
      <c r="X422" s="234">
        <v>2022</v>
      </c>
      <c r="Y422" s="234">
        <v>1</v>
      </c>
      <c r="Z422" s="234">
        <v>18</v>
      </c>
      <c r="AA422" s="235">
        <v>0.5</v>
      </c>
      <c r="AB422" s="236">
        <v>-18.2</v>
      </c>
      <c r="AC422" s="127">
        <f t="shared" si="21"/>
        <v>-18</v>
      </c>
    </row>
    <row r="423" ht="14.5" customHeight="1" spans="11:29" x14ac:dyDescent="0.25">
      <c r="K423" s="128"/>
      <c r="X423" s="234">
        <v>2022</v>
      </c>
      <c r="Y423" s="234">
        <v>1</v>
      </c>
      <c r="Z423" s="234">
        <v>18</v>
      </c>
      <c r="AA423" s="235">
        <v>0.5416666666678793</v>
      </c>
      <c r="AB423" s="236">
        <v>-17.2</v>
      </c>
      <c r="AC423" s="127">
        <f t="shared" si="21"/>
        <v>-17</v>
      </c>
    </row>
    <row r="424" ht="14.5" customHeight="1" spans="11:29" x14ac:dyDescent="0.25">
      <c r="K424" s="128"/>
      <c r="X424" s="234">
        <v>2022</v>
      </c>
      <c r="Y424" s="234">
        <v>1</v>
      </c>
      <c r="Z424" s="234">
        <v>18</v>
      </c>
      <c r="AA424" s="235">
        <v>0.5833333333321207</v>
      </c>
      <c r="AB424" s="236">
        <v>-16.8</v>
      </c>
      <c r="AC424" s="127">
        <f t="shared" si="21"/>
        <v>-17</v>
      </c>
    </row>
    <row r="425" ht="14.5" customHeight="1" spans="11:29" x14ac:dyDescent="0.25">
      <c r="K425" s="128"/>
      <c r="X425" s="234">
        <v>2022</v>
      </c>
      <c r="Y425" s="234">
        <v>1</v>
      </c>
      <c r="Z425" s="234">
        <v>18</v>
      </c>
      <c r="AA425" s="235">
        <v>0.625</v>
      </c>
      <c r="AB425" s="236">
        <v>-16.6</v>
      </c>
      <c r="AC425" s="127">
        <f t="shared" si="21"/>
        <v>-17</v>
      </c>
    </row>
    <row r="426" ht="14.5" customHeight="1" spans="11:29" x14ac:dyDescent="0.25">
      <c r="K426" s="128"/>
      <c r="X426" s="234">
        <v>2022</v>
      </c>
      <c r="Y426" s="234">
        <v>1</v>
      </c>
      <c r="Z426" s="234">
        <v>18</v>
      </c>
      <c r="AA426" s="235">
        <v>0.6666666666678793</v>
      </c>
      <c r="AB426" s="236">
        <v>-16.6</v>
      </c>
      <c r="AC426" s="127">
        <f t="shared" si="21"/>
        <v>-17</v>
      </c>
    </row>
    <row r="427" ht="14.5" customHeight="1" spans="11:29" x14ac:dyDescent="0.25">
      <c r="K427" s="128"/>
      <c r="X427" s="234">
        <v>2022</v>
      </c>
      <c r="Y427" s="234">
        <v>1</v>
      </c>
      <c r="Z427" s="234">
        <v>18</v>
      </c>
      <c r="AA427" s="235">
        <v>0.7083333333321207</v>
      </c>
      <c r="AB427" s="236">
        <v>-16.8</v>
      </c>
      <c r="AC427" s="127">
        <f t="shared" si="21"/>
        <v>-17</v>
      </c>
    </row>
    <row r="428" ht="14.5" customHeight="1" spans="11:29" x14ac:dyDescent="0.25">
      <c r="K428" s="128"/>
      <c r="X428" s="234">
        <v>2022</v>
      </c>
      <c r="Y428" s="234">
        <v>1</v>
      </c>
      <c r="Z428" s="234">
        <v>18</v>
      </c>
      <c r="AA428" s="235">
        <v>0.75</v>
      </c>
      <c r="AB428" s="236">
        <v>-17.9</v>
      </c>
      <c r="AC428" s="127">
        <f t="shared" si="21"/>
        <v>-18</v>
      </c>
    </row>
    <row r="429" ht="14.5" customHeight="1" spans="11:29" x14ac:dyDescent="0.25">
      <c r="K429" s="128"/>
      <c r="X429" s="234">
        <v>2022</v>
      </c>
      <c r="Y429" s="234">
        <v>1</v>
      </c>
      <c r="Z429" s="234">
        <v>18</v>
      </c>
      <c r="AA429" s="235">
        <v>0.7916666666678793</v>
      </c>
      <c r="AB429" s="236">
        <v>-18</v>
      </c>
      <c r="AC429" s="127">
        <f t="shared" si="21"/>
        <v>-18</v>
      </c>
    </row>
    <row r="430" ht="14.5" customHeight="1" spans="11:29" x14ac:dyDescent="0.25">
      <c r="K430" s="128"/>
      <c r="X430" s="234">
        <v>2022</v>
      </c>
      <c r="Y430" s="234">
        <v>1</v>
      </c>
      <c r="Z430" s="234">
        <v>18</v>
      </c>
      <c r="AA430" s="235">
        <v>0.8333333333321207</v>
      </c>
      <c r="AB430" s="236">
        <v>-17.5</v>
      </c>
      <c r="AC430" s="127">
        <f t="shared" si="21"/>
        <v>-18</v>
      </c>
    </row>
    <row r="431" ht="14.5" customHeight="1" spans="11:29" x14ac:dyDescent="0.25">
      <c r="K431" s="128"/>
      <c r="X431" s="234">
        <v>2022</v>
      </c>
      <c r="Y431" s="234">
        <v>1</v>
      </c>
      <c r="Z431" s="234">
        <v>18</v>
      </c>
      <c r="AA431" s="235">
        <v>0.875</v>
      </c>
      <c r="AB431" s="236">
        <v>-17.3</v>
      </c>
      <c r="AC431" s="127">
        <f t="shared" si="21"/>
        <v>-17</v>
      </c>
    </row>
    <row r="432" ht="14.5" customHeight="1" spans="11:29" x14ac:dyDescent="0.25">
      <c r="K432" s="128"/>
      <c r="X432" s="234">
        <v>2022</v>
      </c>
      <c r="Y432" s="234">
        <v>1</v>
      </c>
      <c r="Z432" s="234">
        <v>18</v>
      </c>
      <c r="AA432" s="235">
        <v>0.9166666666678793</v>
      </c>
      <c r="AB432" s="236">
        <v>-17.7</v>
      </c>
      <c r="AC432" s="127">
        <f t="shared" si="21"/>
        <v>-18</v>
      </c>
    </row>
    <row r="433" ht="14.5" customHeight="1" spans="11:29" x14ac:dyDescent="0.25">
      <c r="K433" s="128"/>
      <c r="X433" s="234">
        <v>2022</v>
      </c>
      <c r="Y433" s="234">
        <v>1</v>
      </c>
      <c r="Z433" s="234">
        <v>18</v>
      </c>
      <c r="AA433" s="235">
        <v>0.9583333333321207</v>
      </c>
      <c r="AB433" s="236">
        <v>-17.9</v>
      </c>
      <c r="AC433" s="127">
        <f t="shared" si="21"/>
        <v>-18</v>
      </c>
    </row>
    <row r="434" ht="14.5" customHeight="1" spans="11:29" x14ac:dyDescent="0.25">
      <c r="K434" s="128"/>
      <c r="X434" s="234">
        <v>2022</v>
      </c>
      <c r="Y434" s="234">
        <v>1</v>
      </c>
      <c r="Z434" s="234">
        <v>19</v>
      </c>
      <c r="AA434" s="235">
        <v>0</v>
      </c>
      <c r="AB434" s="236">
        <v>-18</v>
      </c>
      <c r="AC434" s="127">
        <f t="shared" si="21"/>
        <v>-18</v>
      </c>
    </row>
    <row r="435" ht="14.5" customHeight="1" spans="11:29" x14ac:dyDescent="0.25">
      <c r="K435" s="128"/>
      <c r="X435" s="234">
        <v>2022</v>
      </c>
      <c r="Y435" s="234">
        <v>1</v>
      </c>
      <c r="Z435" s="234">
        <v>19</v>
      </c>
      <c r="AA435" s="235">
        <v>0.041666666667879326</v>
      </c>
      <c r="AB435" s="236">
        <v>-18.7</v>
      </c>
      <c r="AC435" s="127">
        <f t="shared" si="21"/>
        <v>-19</v>
      </c>
    </row>
    <row r="436" ht="14.5" customHeight="1" spans="11:29" x14ac:dyDescent="0.25">
      <c r="K436" s="128"/>
      <c r="X436" s="234">
        <v>2022</v>
      </c>
      <c r="Y436" s="234">
        <v>1</v>
      </c>
      <c r="Z436" s="234">
        <v>19</v>
      </c>
      <c r="AA436" s="235">
        <v>0.08333333333212067</v>
      </c>
      <c r="AB436" s="236">
        <v>-18.8</v>
      </c>
      <c r="AC436" s="127">
        <f t="shared" si="21"/>
        <v>-19</v>
      </c>
    </row>
    <row r="437" ht="14.5" customHeight="1" spans="11:29" x14ac:dyDescent="0.25">
      <c r="K437" s="128"/>
      <c r="X437" s="234">
        <v>2022</v>
      </c>
      <c r="Y437" s="234">
        <v>1</v>
      </c>
      <c r="Z437" s="234">
        <v>19</v>
      </c>
      <c r="AA437" s="235">
        <v>0.125</v>
      </c>
      <c r="AB437" s="236">
        <v>-18.4</v>
      </c>
      <c r="AC437" s="127">
        <f t="shared" si="21"/>
        <v>-18</v>
      </c>
    </row>
    <row r="438" ht="14.5" customHeight="1" spans="11:29" x14ac:dyDescent="0.25">
      <c r="K438" s="128"/>
      <c r="X438" s="234">
        <v>2022</v>
      </c>
      <c r="Y438" s="234">
        <v>1</v>
      </c>
      <c r="Z438" s="234">
        <v>19</v>
      </c>
      <c r="AA438" s="235">
        <v>0.16666666666787933</v>
      </c>
      <c r="AB438" s="236">
        <v>-18.8</v>
      </c>
      <c r="AC438" s="127">
        <f t="shared" si="21"/>
        <v>-19</v>
      </c>
    </row>
    <row r="439" ht="14.5" customHeight="1" spans="11:29" x14ac:dyDescent="0.25">
      <c r="K439" s="128"/>
      <c r="X439" s="234">
        <v>2022</v>
      </c>
      <c r="Y439" s="234">
        <v>1</v>
      </c>
      <c r="Z439" s="234">
        <v>19</v>
      </c>
      <c r="AA439" s="235">
        <v>0.20833333333212067</v>
      </c>
      <c r="AB439" s="236">
        <v>-19.5</v>
      </c>
      <c r="AC439" s="127">
        <f t="shared" si="21"/>
        <v>-20</v>
      </c>
    </row>
    <row r="440" ht="14.5" customHeight="1" spans="11:29" x14ac:dyDescent="0.25">
      <c r="K440" s="128"/>
      <c r="X440" s="234">
        <v>2022</v>
      </c>
      <c r="Y440" s="234">
        <v>1</v>
      </c>
      <c r="Z440" s="234">
        <v>19</v>
      </c>
      <c r="AA440" s="235">
        <v>0.25</v>
      </c>
      <c r="AB440" s="236">
        <v>-19.7</v>
      </c>
      <c r="AC440" s="127">
        <f t="shared" si="21"/>
        <v>-20</v>
      </c>
    </row>
    <row r="441" ht="14.5" customHeight="1" spans="11:29" x14ac:dyDescent="0.25">
      <c r="K441" s="128"/>
      <c r="X441" s="234">
        <v>2022</v>
      </c>
      <c r="Y441" s="234">
        <v>1</v>
      </c>
      <c r="Z441" s="234">
        <v>19</v>
      </c>
      <c r="AA441" s="235">
        <v>0.2916666666678793</v>
      </c>
      <c r="AB441" s="236">
        <v>-20.5</v>
      </c>
      <c r="AC441" s="127">
        <f t="shared" si="21"/>
        <v>-21</v>
      </c>
    </row>
    <row r="442" ht="14.5" customHeight="1" spans="11:29" x14ac:dyDescent="0.25">
      <c r="K442" s="128"/>
      <c r="X442" s="234">
        <v>2022</v>
      </c>
      <c r="Y442" s="234">
        <v>1</v>
      </c>
      <c r="Z442" s="234">
        <v>19</v>
      </c>
      <c r="AA442" s="235">
        <v>0.3333333333321207</v>
      </c>
      <c r="AB442" s="236">
        <v>-20</v>
      </c>
      <c r="AC442" s="127">
        <f t="shared" si="21"/>
        <v>-20</v>
      </c>
    </row>
    <row r="443" ht="14.5" customHeight="1" spans="11:29" x14ac:dyDescent="0.25">
      <c r="K443" s="128"/>
      <c r="X443" s="234">
        <v>2022</v>
      </c>
      <c r="Y443" s="234">
        <v>1</v>
      </c>
      <c r="Z443" s="234">
        <v>19</v>
      </c>
      <c r="AA443" s="235">
        <v>0.375</v>
      </c>
      <c r="AB443" s="236">
        <v>-20</v>
      </c>
      <c r="AC443" s="127">
        <f t="shared" si="21"/>
        <v>-20</v>
      </c>
    </row>
    <row r="444" ht="14.5" customHeight="1" spans="11:29" x14ac:dyDescent="0.25">
      <c r="K444" s="128"/>
      <c r="X444" s="234">
        <v>2022</v>
      </c>
      <c r="Y444" s="234">
        <v>1</v>
      </c>
      <c r="Z444" s="234">
        <v>19</v>
      </c>
      <c r="AA444" s="235">
        <v>0.4166666666678793</v>
      </c>
      <c r="AB444" s="236">
        <v>-18.6</v>
      </c>
      <c r="AC444" s="127">
        <f t="shared" si="21"/>
        <v>-19</v>
      </c>
    </row>
    <row r="445" ht="14.5" customHeight="1" spans="11:29" x14ac:dyDescent="0.25">
      <c r="K445" s="128"/>
      <c r="X445" s="234">
        <v>2022</v>
      </c>
      <c r="Y445" s="234">
        <v>1</v>
      </c>
      <c r="Z445" s="234">
        <v>19</v>
      </c>
      <c r="AA445" s="235">
        <v>0.4583333333321207</v>
      </c>
      <c r="AB445" s="236">
        <v>-16.8</v>
      </c>
      <c r="AC445" s="127">
        <f t="shared" si="21"/>
        <v>-17</v>
      </c>
    </row>
    <row r="446" ht="14.5" customHeight="1" spans="11:29" x14ac:dyDescent="0.25">
      <c r="K446" s="128"/>
      <c r="X446" s="234">
        <v>2022</v>
      </c>
      <c r="Y446" s="234">
        <v>1</v>
      </c>
      <c r="Z446" s="234">
        <v>19</v>
      </c>
      <c r="AA446" s="235">
        <v>0.5</v>
      </c>
      <c r="AB446" s="236">
        <v>-15.4</v>
      </c>
      <c r="AC446" s="127">
        <f t="shared" si="21"/>
        <v>-15</v>
      </c>
    </row>
    <row r="447" ht="14.5" customHeight="1" spans="11:29" x14ac:dyDescent="0.25">
      <c r="K447" s="128"/>
      <c r="X447" s="234">
        <v>2022</v>
      </c>
      <c r="Y447" s="234">
        <v>1</v>
      </c>
      <c r="Z447" s="234">
        <v>19</v>
      </c>
      <c r="AA447" s="235">
        <v>0.5416666666678793</v>
      </c>
      <c r="AB447" s="236">
        <v>-14.3</v>
      </c>
      <c r="AC447" s="127">
        <f t="shared" si="21"/>
        <v>-14</v>
      </c>
    </row>
    <row r="448" ht="14.5" customHeight="1" spans="11:29" x14ac:dyDescent="0.25">
      <c r="K448" s="128"/>
      <c r="X448" s="234">
        <v>2022</v>
      </c>
      <c r="Y448" s="234">
        <v>1</v>
      </c>
      <c r="Z448" s="234">
        <v>19</v>
      </c>
      <c r="AA448" s="235">
        <v>0.5833333333321207</v>
      </c>
      <c r="AB448" s="236">
        <v>-12.4</v>
      </c>
      <c r="AC448" s="127">
        <f t="shared" si="21"/>
        <v>-12</v>
      </c>
    </row>
    <row r="449" ht="14.5" customHeight="1" spans="11:29" x14ac:dyDescent="0.25">
      <c r="K449" s="128"/>
      <c r="X449" s="234">
        <v>2022</v>
      </c>
      <c r="Y449" s="234">
        <v>1</v>
      </c>
      <c r="Z449" s="234">
        <v>19</v>
      </c>
      <c r="AA449" s="235">
        <v>0.625</v>
      </c>
      <c r="AB449" s="236">
        <v>-12.9</v>
      </c>
      <c r="AC449" s="127">
        <f t="shared" si="21"/>
        <v>-13</v>
      </c>
    </row>
    <row r="450" ht="14.5" customHeight="1" spans="11:29" x14ac:dyDescent="0.25">
      <c r="K450" s="128"/>
      <c r="X450" s="234">
        <v>2022</v>
      </c>
      <c r="Y450" s="234">
        <v>1</v>
      </c>
      <c r="Z450" s="234">
        <v>19</v>
      </c>
      <c r="AA450" s="235">
        <v>0.6666666666678793</v>
      </c>
      <c r="AB450" s="236">
        <v>-13.1</v>
      </c>
      <c r="AC450" s="127">
        <f t="shared" si="21"/>
        <v>-13</v>
      </c>
    </row>
    <row r="451" ht="14.5" customHeight="1" spans="11:29" x14ac:dyDescent="0.25">
      <c r="K451" s="128"/>
      <c r="X451" s="234">
        <v>2022</v>
      </c>
      <c r="Y451" s="234">
        <v>1</v>
      </c>
      <c r="Z451" s="234">
        <v>19</v>
      </c>
      <c r="AA451" s="235">
        <v>0.7083333333321207</v>
      </c>
      <c r="AB451" s="236">
        <v>-14.8</v>
      </c>
      <c r="AC451" s="127">
        <f t="shared" si="21"/>
        <v>-15</v>
      </c>
    </row>
    <row r="452" ht="14.5" customHeight="1" spans="11:29" x14ac:dyDescent="0.25">
      <c r="K452" s="128"/>
      <c r="X452" s="234">
        <v>2022</v>
      </c>
      <c r="Y452" s="234">
        <v>1</v>
      </c>
      <c r="Z452" s="234">
        <v>19</v>
      </c>
      <c r="AA452" s="235">
        <v>0.75</v>
      </c>
      <c r="AB452" s="236">
        <v>-15.2</v>
      </c>
      <c r="AC452" s="127">
        <f t="shared" si="21"/>
        <v>-15</v>
      </c>
    </row>
    <row r="453" ht="14.5" customHeight="1" spans="11:29" x14ac:dyDescent="0.25">
      <c r="K453" s="128"/>
      <c r="X453" s="234">
        <v>2022</v>
      </c>
      <c r="Y453" s="234">
        <v>1</v>
      </c>
      <c r="Z453" s="234">
        <v>19</v>
      </c>
      <c r="AA453" s="235">
        <v>0.7916666666678793</v>
      </c>
      <c r="AB453" s="236">
        <v>-14.9</v>
      </c>
      <c r="AC453" s="127">
        <f t="shared" si="21"/>
        <v>-15</v>
      </c>
    </row>
    <row r="454" ht="14.5" customHeight="1" spans="11:29" x14ac:dyDescent="0.25">
      <c r="K454" s="128"/>
      <c r="X454" s="234">
        <v>2022</v>
      </c>
      <c r="Y454" s="234">
        <v>1</v>
      </c>
      <c r="Z454" s="234">
        <v>19</v>
      </c>
      <c r="AA454" s="235">
        <v>0.8333333333321207</v>
      </c>
      <c r="AB454" s="236">
        <v>-14.6</v>
      </c>
      <c r="AC454" s="127">
        <f t="shared" si="21"/>
        <v>-15</v>
      </c>
    </row>
    <row r="455" ht="14.5" customHeight="1" spans="11:29" x14ac:dyDescent="0.25">
      <c r="K455" s="128"/>
      <c r="X455" s="234">
        <v>2022</v>
      </c>
      <c r="Y455" s="234">
        <v>1</v>
      </c>
      <c r="Z455" s="234">
        <v>19</v>
      </c>
      <c r="AA455" s="235">
        <v>0.875</v>
      </c>
      <c r="AB455" s="236">
        <v>-13.4</v>
      </c>
      <c r="AC455" s="127">
        <f t="shared" si="21"/>
        <v>-13</v>
      </c>
    </row>
    <row r="456" ht="14.5" customHeight="1" spans="11:29" x14ac:dyDescent="0.25">
      <c r="K456" s="128"/>
      <c r="X456" s="234">
        <v>2022</v>
      </c>
      <c r="Y456" s="234">
        <v>1</v>
      </c>
      <c r="Z456" s="234">
        <v>19</v>
      </c>
      <c r="AA456" s="235">
        <v>0.9166666666678793</v>
      </c>
      <c r="AB456" s="236">
        <v>-12.7</v>
      </c>
      <c r="AC456" s="127">
        <f t="shared" si="21"/>
        <v>-13</v>
      </c>
    </row>
    <row r="457" ht="14.5" customHeight="1" spans="11:29" x14ac:dyDescent="0.25">
      <c r="K457" s="128"/>
      <c r="X457" s="234">
        <v>2022</v>
      </c>
      <c r="Y457" s="234">
        <v>1</v>
      </c>
      <c r="Z457" s="234">
        <v>19</v>
      </c>
      <c r="AA457" s="235">
        <v>0.9583333333321207</v>
      </c>
      <c r="AB457" s="236">
        <v>-11.8</v>
      </c>
      <c r="AC457" s="127">
        <f t="shared" si="21"/>
        <v>-12</v>
      </c>
    </row>
    <row r="458" ht="14.5" customHeight="1" spans="11:29" x14ac:dyDescent="0.25">
      <c r="K458" s="128"/>
      <c r="X458" s="234">
        <v>2022</v>
      </c>
      <c r="Y458" s="234">
        <v>1</v>
      </c>
      <c r="Z458" s="234">
        <v>20</v>
      </c>
      <c r="AA458" s="235">
        <v>0</v>
      </c>
      <c r="AB458" s="236">
        <v>-11</v>
      </c>
      <c r="AC458" s="127">
        <f t="shared" si="21"/>
        <v>-11</v>
      </c>
    </row>
    <row r="459" ht="14.5" customHeight="1" spans="11:29" x14ac:dyDescent="0.25">
      <c r="K459" s="128"/>
      <c r="X459" s="234">
        <v>2022</v>
      </c>
      <c r="Y459" s="234">
        <v>1</v>
      </c>
      <c r="Z459" s="234">
        <v>20</v>
      </c>
      <c r="AA459" s="235">
        <v>0.041666666667879326</v>
      </c>
      <c r="AB459" s="236">
        <v>-10.4</v>
      </c>
      <c r="AC459" s="127">
        <f t="shared" ref="AC459:AC522" si="22">ROUND(AB459,0)</f>
        <v>-10</v>
      </c>
    </row>
    <row r="460" ht="14.5" customHeight="1" spans="11:29" x14ac:dyDescent="0.25">
      <c r="K460" s="128"/>
      <c r="X460" s="234">
        <v>2022</v>
      </c>
      <c r="Y460" s="234">
        <v>1</v>
      </c>
      <c r="Z460" s="234">
        <v>20</v>
      </c>
      <c r="AA460" s="235">
        <v>0.08333333333212067</v>
      </c>
      <c r="AB460" s="236">
        <v>-8.2</v>
      </c>
      <c r="AC460" s="127">
        <f t="shared" si="22"/>
        <v>-8</v>
      </c>
    </row>
    <row r="461" ht="14.5" customHeight="1" spans="11:29" x14ac:dyDescent="0.25">
      <c r="K461" s="128"/>
      <c r="X461" s="234">
        <v>2022</v>
      </c>
      <c r="Y461" s="234">
        <v>1</v>
      </c>
      <c r="Z461" s="234">
        <v>20</v>
      </c>
      <c r="AA461" s="235">
        <v>0.125</v>
      </c>
      <c r="AB461" s="236">
        <v>-7.3</v>
      </c>
      <c r="AC461" s="127">
        <f t="shared" si="22"/>
        <v>-7</v>
      </c>
    </row>
    <row r="462" ht="14.5" customHeight="1" spans="11:29" x14ac:dyDescent="0.25">
      <c r="K462" s="128"/>
      <c r="X462" s="234">
        <v>2022</v>
      </c>
      <c r="Y462" s="234">
        <v>1</v>
      </c>
      <c r="Z462" s="234">
        <v>20</v>
      </c>
      <c r="AA462" s="235">
        <v>0.16666666666787933</v>
      </c>
      <c r="AB462" s="236">
        <v>-5</v>
      </c>
      <c r="AC462" s="127">
        <f t="shared" si="22"/>
        <v>-5</v>
      </c>
    </row>
    <row r="463" ht="14.5" customHeight="1" spans="11:29" x14ac:dyDescent="0.25">
      <c r="K463" s="128"/>
      <c r="X463" s="234">
        <v>2022</v>
      </c>
      <c r="Y463" s="234">
        <v>1</v>
      </c>
      <c r="Z463" s="234">
        <v>20</v>
      </c>
      <c r="AA463" s="235">
        <v>0.20833333333212067</v>
      </c>
      <c r="AB463" s="236">
        <v>2.4</v>
      </c>
      <c r="AC463" s="127">
        <f t="shared" si="22"/>
        <v>2</v>
      </c>
    </row>
    <row r="464" ht="14.5" customHeight="1" spans="11:29" x14ac:dyDescent="0.25">
      <c r="K464" s="128"/>
      <c r="X464" s="234">
        <v>2022</v>
      </c>
      <c r="Y464" s="234">
        <v>1</v>
      </c>
      <c r="Z464" s="234">
        <v>20</v>
      </c>
      <c r="AA464" s="235">
        <v>0.25</v>
      </c>
      <c r="AB464" s="236">
        <v>3.8</v>
      </c>
      <c r="AC464" s="127">
        <f t="shared" si="22"/>
        <v>4</v>
      </c>
    </row>
    <row r="465" ht="14.5" customHeight="1" spans="11:29" x14ac:dyDescent="0.25">
      <c r="K465" s="128"/>
      <c r="X465" s="234">
        <v>2022</v>
      </c>
      <c r="Y465" s="234">
        <v>1</v>
      </c>
      <c r="Z465" s="234">
        <v>20</v>
      </c>
      <c r="AA465" s="235">
        <v>0.2916666666678793</v>
      </c>
      <c r="AB465" s="236">
        <v>4.4</v>
      </c>
      <c r="AC465" s="127">
        <f t="shared" si="22"/>
        <v>4</v>
      </c>
    </row>
    <row r="466" ht="14.5" customHeight="1" spans="11:29" x14ac:dyDescent="0.25">
      <c r="K466" s="128"/>
      <c r="X466" s="234">
        <v>2022</v>
      </c>
      <c r="Y466" s="234">
        <v>1</v>
      </c>
      <c r="Z466" s="234">
        <v>20</v>
      </c>
      <c r="AA466" s="235">
        <v>0.3333333333321207</v>
      </c>
      <c r="AB466" s="236">
        <v>4.4</v>
      </c>
      <c r="AC466" s="127">
        <f t="shared" si="22"/>
        <v>4</v>
      </c>
    </row>
    <row r="467" ht="14.5" customHeight="1" spans="11:29" x14ac:dyDescent="0.25">
      <c r="K467" s="128"/>
      <c r="X467" s="234">
        <v>2022</v>
      </c>
      <c r="Y467" s="234">
        <v>1</v>
      </c>
      <c r="Z467" s="234">
        <v>20</v>
      </c>
      <c r="AA467" s="235">
        <v>0.375</v>
      </c>
      <c r="AB467" s="236">
        <v>4.2</v>
      </c>
      <c r="AC467" s="127">
        <f t="shared" si="22"/>
        <v>4</v>
      </c>
    </row>
    <row r="468" ht="14.5" customHeight="1" spans="11:29" x14ac:dyDescent="0.25">
      <c r="K468" s="128"/>
      <c r="X468" s="234">
        <v>2022</v>
      </c>
      <c r="Y468" s="234">
        <v>1</v>
      </c>
      <c r="Z468" s="234">
        <v>20</v>
      </c>
      <c r="AA468" s="235">
        <v>0.4166666666678793</v>
      </c>
      <c r="AB468" s="236">
        <v>4.2</v>
      </c>
      <c r="AC468" s="127">
        <f t="shared" si="22"/>
        <v>4</v>
      </c>
    </row>
    <row r="469" ht="14.5" customHeight="1" spans="11:29" x14ac:dyDescent="0.25">
      <c r="K469" s="128"/>
      <c r="X469" s="234">
        <v>2022</v>
      </c>
      <c r="Y469" s="234">
        <v>1</v>
      </c>
      <c r="Z469" s="234">
        <v>20</v>
      </c>
      <c r="AA469" s="235">
        <v>0.4583333333321207</v>
      </c>
      <c r="AB469" s="236">
        <v>3</v>
      </c>
      <c r="AC469" s="127">
        <f t="shared" si="22"/>
        <v>3</v>
      </c>
    </row>
    <row r="470" ht="14.5" customHeight="1" spans="11:29" x14ac:dyDescent="0.25">
      <c r="K470" s="128"/>
      <c r="X470" s="234">
        <v>2022</v>
      </c>
      <c r="Y470" s="234">
        <v>1</v>
      </c>
      <c r="Z470" s="234">
        <v>20</v>
      </c>
      <c r="AA470" s="235">
        <v>0.5</v>
      </c>
      <c r="AB470" s="236">
        <v>4.8</v>
      </c>
      <c r="AC470" s="127">
        <f t="shared" si="22"/>
        <v>5</v>
      </c>
    </row>
    <row r="471" ht="14.5" customHeight="1" spans="11:29" x14ac:dyDescent="0.25">
      <c r="K471" s="128"/>
      <c r="X471" s="234">
        <v>2022</v>
      </c>
      <c r="Y471" s="234">
        <v>1</v>
      </c>
      <c r="Z471" s="234">
        <v>20</v>
      </c>
      <c r="AA471" s="235">
        <v>0.5416666666678793</v>
      </c>
      <c r="AB471" s="236">
        <v>8.6</v>
      </c>
      <c r="AC471" s="127">
        <f t="shared" si="22"/>
        <v>9</v>
      </c>
    </row>
    <row r="472" ht="14.5" customHeight="1" spans="11:29" x14ac:dyDescent="0.25">
      <c r="K472" s="128"/>
      <c r="X472" s="234">
        <v>2022</v>
      </c>
      <c r="Y472" s="234">
        <v>1</v>
      </c>
      <c r="Z472" s="234">
        <v>20</v>
      </c>
      <c r="AA472" s="235">
        <v>0.5833333333321207</v>
      </c>
      <c r="AB472" s="236">
        <v>8.6</v>
      </c>
      <c r="AC472" s="127">
        <f t="shared" si="22"/>
        <v>9</v>
      </c>
    </row>
    <row r="473" ht="14.5" customHeight="1" spans="11:29" x14ac:dyDescent="0.25">
      <c r="K473" s="128"/>
      <c r="X473" s="234">
        <v>2022</v>
      </c>
      <c r="Y473" s="234">
        <v>1</v>
      </c>
      <c r="Z473" s="234">
        <v>20</v>
      </c>
      <c r="AA473" s="235">
        <v>0.625</v>
      </c>
      <c r="AB473" s="236">
        <v>8.1</v>
      </c>
      <c r="AC473" s="127">
        <f t="shared" si="22"/>
        <v>8</v>
      </c>
    </row>
    <row r="474" ht="14.5" customHeight="1" spans="11:29" x14ac:dyDescent="0.25">
      <c r="K474" s="128"/>
      <c r="X474" s="234">
        <v>2022</v>
      </c>
      <c r="Y474" s="234">
        <v>1</v>
      </c>
      <c r="Z474" s="234">
        <v>20</v>
      </c>
      <c r="AA474" s="235">
        <v>0.6666666666678793</v>
      </c>
      <c r="AB474" s="236">
        <v>8.1</v>
      </c>
      <c r="AC474" s="127">
        <f t="shared" si="22"/>
        <v>8</v>
      </c>
    </row>
    <row r="475" ht="14.5" customHeight="1" spans="11:29" x14ac:dyDescent="0.25">
      <c r="K475" s="128"/>
      <c r="X475" s="234">
        <v>2022</v>
      </c>
      <c r="Y475" s="234">
        <v>1</v>
      </c>
      <c r="Z475" s="234">
        <v>20</v>
      </c>
      <c r="AA475" s="235">
        <v>0.7083333333321207</v>
      </c>
      <c r="AB475" s="236">
        <v>6.6</v>
      </c>
      <c r="AC475" s="127">
        <f t="shared" si="22"/>
        <v>7</v>
      </c>
    </row>
    <row r="476" ht="14.5" customHeight="1" spans="11:29" x14ac:dyDescent="0.25">
      <c r="K476" s="128"/>
      <c r="X476" s="234">
        <v>2022</v>
      </c>
      <c r="Y476" s="234">
        <v>1</v>
      </c>
      <c r="Z476" s="234">
        <v>20</v>
      </c>
      <c r="AA476" s="235">
        <v>0.75</v>
      </c>
      <c r="AB476" s="236">
        <v>5.6</v>
      </c>
      <c r="AC476" s="127">
        <f t="shared" si="22"/>
        <v>6</v>
      </c>
    </row>
    <row r="477" ht="14.5" customHeight="1" spans="11:29" x14ac:dyDescent="0.25">
      <c r="K477" s="128"/>
      <c r="X477" s="234">
        <v>2022</v>
      </c>
      <c r="Y477" s="234">
        <v>1</v>
      </c>
      <c r="Z477" s="234">
        <v>20</v>
      </c>
      <c r="AA477" s="235">
        <v>0.7916666666678793</v>
      </c>
      <c r="AB477" s="236">
        <v>4.8</v>
      </c>
      <c r="AC477" s="127">
        <f t="shared" si="22"/>
        <v>5</v>
      </c>
    </row>
    <row r="478" ht="14.5" customHeight="1" spans="11:29" x14ac:dyDescent="0.25">
      <c r="K478" s="128"/>
      <c r="X478" s="234">
        <v>2022</v>
      </c>
      <c r="Y478" s="234">
        <v>1</v>
      </c>
      <c r="Z478" s="234">
        <v>20</v>
      </c>
      <c r="AA478" s="235">
        <v>0.8333333333321207</v>
      </c>
      <c r="AB478" s="236">
        <v>3.9</v>
      </c>
      <c r="AC478" s="127">
        <f t="shared" si="22"/>
        <v>4</v>
      </c>
    </row>
    <row r="479" ht="14.5" customHeight="1" spans="11:29" x14ac:dyDescent="0.25">
      <c r="K479" s="128"/>
      <c r="X479" s="234">
        <v>2022</v>
      </c>
      <c r="Y479" s="234">
        <v>1</v>
      </c>
      <c r="Z479" s="234">
        <v>20</v>
      </c>
      <c r="AA479" s="235">
        <v>0.875</v>
      </c>
      <c r="AB479" s="236">
        <v>3.4</v>
      </c>
      <c r="AC479" s="127">
        <f t="shared" si="22"/>
        <v>3</v>
      </c>
    </row>
    <row r="480" ht="14.5" customHeight="1" spans="11:29" x14ac:dyDescent="0.25">
      <c r="K480" s="128"/>
      <c r="X480" s="234">
        <v>2022</v>
      </c>
      <c r="Y480" s="234">
        <v>1</v>
      </c>
      <c r="Z480" s="234">
        <v>20</v>
      </c>
      <c r="AA480" s="235">
        <v>0.9166666666678793</v>
      </c>
      <c r="AB480" s="236">
        <v>3.1</v>
      </c>
      <c r="AC480" s="127">
        <f t="shared" si="22"/>
        <v>3</v>
      </c>
    </row>
    <row r="481" ht="14.5" customHeight="1" spans="11:29" x14ac:dyDescent="0.25">
      <c r="K481" s="128"/>
      <c r="X481" s="234">
        <v>2022</v>
      </c>
      <c r="Y481" s="234">
        <v>1</v>
      </c>
      <c r="Z481" s="234">
        <v>20</v>
      </c>
      <c r="AA481" s="235">
        <v>0.9583333333321207</v>
      </c>
      <c r="AB481" s="236">
        <v>4.7</v>
      </c>
      <c r="AC481" s="127">
        <f t="shared" si="22"/>
        <v>5</v>
      </c>
    </row>
    <row r="482" ht="14.5" customHeight="1" spans="11:29" x14ac:dyDescent="0.25">
      <c r="K482" s="128"/>
      <c r="X482" s="234">
        <v>2022</v>
      </c>
      <c r="Y482" s="234">
        <v>1</v>
      </c>
      <c r="Z482" s="234">
        <v>21</v>
      </c>
      <c r="AA482" s="235">
        <v>0</v>
      </c>
      <c r="AB482" s="236">
        <v>2.9</v>
      </c>
      <c r="AC482" s="127">
        <f t="shared" si="22"/>
        <v>3</v>
      </c>
    </row>
    <row r="483" ht="14.5" customHeight="1" spans="11:29" x14ac:dyDescent="0.25">
      <c r="K483" s="128"/>
      <c r="X483" s="234">
        <v>2022</v>
      </c>
      <c r="Y483" s="234">
        <v>1</v>
      </c>
      <c r="Z483" s="234">
        <v>21</v>
      </c>
      <c r="AA483" s="235">
        <v>0.041666666667879326</v>
      </c>
      <c r="AB483" s="236">
        <v>1</v>
      </c>
      <c r="AC483" s="127">
        <f t="shared" si="22"/>
        <v>1</v>
      </c>
    </row>
    <row r="484" ht="14.5" customHeight="1" spans="11:29" x14ac:dyDescent="0.25">
      <c r="K484" s="128"/>
      <c r="X484" s="234">
        <v>2022</v>
      </c>
      <c r="Y484" s="234">
        <v>1</v>
      </c>
      <c r="Z484" s="234">
        <v>21</v>
      </c>
      <c r="AA484" s="235">
        <v>0.08333333333212067</v>
      </c>
      <c r="AB484" s="236">
        <v>1.7</v>
      </c>
      <c r="AC484" s="127">
        <f t="shared" si="22"/>
        <v>2</v>
      </c>
    </row>
    <row r="485" ht="14.5" customHeight="1" spans="11:29" x14ac:dyDescent="0.25">
      <c r="K485" s="128"/>
      <c r="X485" s="234">
        <v>2022</v>
      </c>
      <c r="Y485" s="234">
        <v>1</v>
      </c>
      <c r="Z485" s="234">
        <v>21</v>
      </c>
      <c r="AA485" s="235">
        <v>0.125</v>
      </c>
      <c r="AB485" s="236">
        <v>1.4</v>
      </c>
      <c r="AC485" s="127">
        <f t="shared" si="22"/>
        <v>1</v>
      </c>
    </row>
    <row r="486" ht="14.5" customHeight="1" spans="11:29" x14ac:dyDescent="0.25">
      <c r="K486" s="128"/>
      <c r="X486" s="234">
        <v>2022</v>
      </c>
      <c r="Y486" s="234">
        <v>1</v>
      </c>
      <c r="Z486" s="234">
        <v>21</v>
      </c>
      <c r="AA486" s="235">
        <v>0.16666666666787933</v>
      </c>
      <c r="AB486" s="236">
        <v>1.5</v>
      </c>
      <c r="AC486" s="127">
        <f t="shared" si="22"/>
        <v>2</v>
      </c>
    </row>
    <row r="487" ht="14.5" customHeight="1" spans="11:29" x14ac:dyDescent="0.25">
      <c r="K487" s="128"/>
      <c r="X487" s="234">
        <v>2022</v>
      </c>
      <c r="Y487" s="234">
        <v>1</v>
      </c>
      <c r="Z487" s="234">
        <v>21</v>
      </c>
      <c r="AA487" s="235">
        <v>0.20833333333212067</v>
      </c>
      <c r="AB487" s="236">
        <v>1.3</v>
      </c>
      <c r="AC487" s="127">
        <f t="shared" si="22"/>
        <v>1</v>
      </c>
    </row>
    <row r="488" ht="14.5" customHeight="1" spans="11:29" x14ac:dyDescent="0.25">
      <c r="K488" s="128"/>
      <c r="X488" s="234">
        <v>2022</v>
      </c>
      <c r="Y488" s="234">
        <v>1</v>
      </c>
      <c r="Z488" s="234">
        <v>21</v>
      </c>
      <c r="AA488" s="235">
        <v>0.25</v>
      </c>
      <c r="AB488" s="236">
        <v>0.5</v>
      </c>
      <c r="AC488" s="127">
        <f t="shared" si="22"/>
        <v>1</v>
      </c>
    </row>
    <row r="489" ht="14.5" customHeight="1" spans="11:29" x14ac:dyDescent="0.25">
      <c r="K489" s="128"/>
      <c r="X489" s="234">
        <v>2022</v>
      </c>
      <c r="Y489" s="234">
        <v>1</v>
      </c>
      <c r="Z489" s="234">
        <v>21</v>
      </c>
      <c r="AA489" s="235">
        <v>0.2916666666678793</v>
      </c>
      <c r="AB489" s="236">
        <v>-2</v>
      </c>
      <c r="AC489" s="127">
        <f t="shared" si="22"/>
        <v>-2</v>
      </c>
    </row>
    <row r="490" ht="14.5" customHeight="1" spans="11:29" x14ac:dyDescent="0.25">
      <c r="K490" s="128"/>
      <c r="X490" s="234">
        <v>2022</v>
      </c>
      <c r="Y490" s="234">
        <v>1</v>
      </c>
      <c r="Z490" s="234">
        <v>21</v>
      </c>
      <c r="AA490" s="235">
        <v>0.3333333333321207</v>
      </c>
      <c r="AB490" s="236">
        <v>-2.8</v>
      </c>
      <c r="AC490" s="127">
        <f t="shared" si="22"/>
        <v>-3</v>
      </c>
    </row>
    <row r="491" ht="14.5" customHeight="1" spans="11:29" x14ac:dyDescent="0.25">
      <c r="K491" s="128"/>
      <c r="X491" s="234">
        <v>2022</v>
      </c>
      <c r="Y491" s="234">
        <v>1</v>
      </c>
      <c r="Z491" s="234">
        <v>21</v>
      </c>
      <c r="AA491" s="235">
        <v>0.375</v>
      </c>
      <c r="AB491" s="236">
        <v>-3.3</v>
      </c>
      <c r="AC491" s="127">
        <f t="shared" si="22"/>
        <v>-3</v>
      </c>
    </row>
    <row r="492" ht="14.5" customHeight="1" spans="11:29" x14ac:dyDescent="0.25">
      <c r="K492" s="128"/>
      <c r="X492" s="234">
        <v>2022</v>
      </c>
      <c r="Y492" s="234">
        <v>1</v>
      </c>
      <c r="Z492" s="234">
        <v>21</v>
      </c>
      <c r="AA492" s="235">
        <v>0.4166666666678793</v>
      </c>
      <c r="AB492" s="236">
        <v>-0.1</v>
      </c>
      <c r="AC492" s="127">
        <f t="shared" si="22"/>
        <v>0</v>
      </c>
    </row>
    <row r="493" ht="14.5" customHeight="1" spans="11:29" x14ac:dyDescent="0.25">
      <c r="K493" s="128"/>
      <c r="X493" s="234">
        <v>2022</v>
      </c>
      <c r="Y493" s="234">
        <v>1</v>
      </c>
      <c r="Z493" s="234">
        <v>21</v>
      </c>
      <c r="AA493" s="235">
        <v>0.4583333333321207</v>
      </c>
      <c r="AB493" s="236">
        <v>1.5</v>
      </c>
      <c r="AC493" s="127">
        <f t="shared" si="22"/>
        <v>2</v>
      </c>
    </row>
    <row r="494" ht="14.5" customHeight="1" spans="11:29" x14ac:dyDescent="0.25">
      <c r="K494" s="128"/>
      <c r="X494" s="234">
        <v>2022</v>
      </c>
      <c r="Y494" s="234">
        <v>1</v>
      </c>
      <c r="Z494" s="234">
        <v>21</v>
      </c>
      <c r="AA494" s="235">
        <v>0.5</v>
      </c>
      <c r="AB494" s="236">
        <v>3.2</v>
      </c>
      <c r="AC494" s="127">
        <f t="shared" si="22"/>
        <v>3</v>
      </c>
    </row>
    <row r="495" ht="14.5" customHeight="1" spans="11:29" x14ac:dyDescent="0.25">
      <c r="K495" s="128"/>
      <c r="X495" s="234">
        <v>2022</v>
      </c>
      <c r="Y495" s="234">
        <v>1</v>
      </c>
      <c r="Z495" s="234">
        <v>21</v>
      </c>
      <c r="AA495" s="235">
        <v>0.5416666666678793</v>
      </c>
      <c r="AB495" s="236">
        <v>4.3</v>
      </c>
      <c r="AC495" s="127">
        <f t="shared" si="22"/>
        <v>4</v>
      </c>
    </row>
    <row r="496" ht="14.5" customHeight="1" spans="11:29" x14ac:dyDescent="0.25">
      <c r="K496" s="128"/>
      <c r="X496" s="234">
        <v>2022</v>
      </c>
      <c r="Y496" s="234">
        <v>1</v>
      </c>
      <c r="Z496" s="234">
        <v>21</v>
      </c>
      <c r="AA496" s="235">
        <v>0.5833333333321207</v>
      </c>
      <c r="AB496" s="236">
        <v>4.6</v>
      </c>
      <c r="AC496" s="127">
        <f t="shared" si="22"/>
        <v>5</v>
      </c>
    </row>
    <row r="497" ht="14.5" customHeight="1" spans="11:29" x14ac:dyDescent="0.25">
      <c r="K497" s="128"/>
      <c r="X497" s="234">
        <v>2022</v>
      </c>
      <c r="Y497" s="234">
        <v>1</v>
      </c>
      <c r="Z497" s="234">
        <v>21</v>
      </c>
      <c r="AA497" s="235">
        <v>0.625</v>
      </c>
      <c r="AB497" s="236">
        <v>4</v>
      </c>
      <c r="AC497" s="127">
        <f t="shared" si="22"/>
        <v>4</v>
      </c>
    </row>
    <row r="498" ht="14.5" customHeight="1" spans="11:29" x14ac:dyDescent="0.25">
      <c r="K498" s="128"/>
      <c r="X498" s="234">
        <v>2022</v>
      </c>
      <c r="Y498" s="234">
        <v>1</v>
      </c>
      <c r="Z498" s="234">
        <v>21</v>
      </c>
      <c r="AA498" s="235">
        <v>0.6666666666678793</v>
      </c>
      <c r="AB498" s="236">
        <v>3.5</v>
      </c>
      <c r="AC498" s="127">
        <f t="shared" si="22"/>
        <v>4</v>
      </c>
    </row>
    <row r="499" ht="14.5" customHeight="1" spans="11:29" x14ac:dyDescent="0.25">
      <c r="K499" s="128"/>
      <c r="X499" s="234">
        <v>2022</v>
      </c>
      <c r="Y499" s="234">
        <v>1</v>
      </c>
      <c r="Z499" s="234">
        <v>21</v>
      </c>
      <c r="AA499" s="235">
        <v>0.7083333333321207</v>
      </c>
      <c r="AB499" s="236">
        <v>2.8</v>
      </c>
      <c r="AC499" s="127">
        <f t="shared" si="22"/>
        <v>3</v>
      </c>
    </row>
    <row r="500" ht="14.5" customHeight="1" spans="11:29" x14ac:dyDescent="0.25">
      <c r="K500" s="128"/>
      <c r="X500" s="234">
        <v>2022</v>
      </c>
      <c r="Y500" s="234">
        <v>1</v>
      </c>
      <c r="Z500" s="234">
        <v>21</v>
      </c>
      <c r="AA500" s="235">
        <v>0.75</v>
      </c>
      <c r="AB500" s="236">
        <v>0.6</v>
      </c>
      <c r="AC500" s="127">
        <f t="shared" si="22"/>
        <v>1</v>
      </c>
    </row>
    <row r="501" ht="14.5" customHeight="1" spans="11:29" x14ac:dyDescent="0.25">
      <c r="K501" s="128"/>
      <c r="X501" s="234">
        <v>2022</v>
      </c>
      <c r="Y501" s="234">
        <v>1</v>
      </c>
      <c r="Z501" s="234">
        <v>21</v>
      </c>
      <c r="AA501" s="235">
        <v>0.7916666666678793</v>
      </c>
      <c r="AB501" s="236">
        <v>0.1</v>
      </c>
      <c r="AC501" s="127">
        <f t="shared" si="22"/>
        <v>0</v>
      </c>
    </row>
    <row r="502" ht="14.5" customHeight="1" spans="11:29" x14ac:dyDescent="0.25">
      <c r="K502" s="128"/>
      <c r="X502" s="234">
        <v>2022</v>
      </c>
      <c r="Y502" s="234">
        <v>1</v>
      </c>
      <c r="Z502" s="234">
        <v>21</v>
      </c>
      <c r="AA502" s="235">
        <v>0.8333333333321207</v>
      </c>
      <c r="AB502" s="236">
        <v>0.4</v>
      </c>
      <c r="AC502" s="127">
        <f t="shared" si="22"/>
        <v>0</v>
      </c>
    </row>
    <row r="503" ht="14.5" customHeight="1" spans="11:29" x14ac:dyDescent="0.25">
      <c r="K503" s="128"/>
      <c r="X503" s="234">
        <v>2022</v>
      </c>
      <c r="Y503" s="234">
        <v>1</v>
      </c>
      <c r="Z503" s="234">
        <v>21</v>
      </c>
      <c r="AA503" s="235">
        <v>0.875</v>
      </c>
      <c r="AB503" s="236">
        <v>1.3</v>
      </c>
      <c r="AC503" s="127">
        <f t="shared" si="22"/>
        <v>1</v>
      </c>
    </row>
    <row r="504" ht="14.5" customHeight="1" spans="11:29" x14ac:dyDescent="0.25">
      <c r="K504" s="128"/>
      <c r="X504" s="234">
        <v>2022</v>
      </c>
      <c r="Y504" s="234">
        <v>1</v>
      </c>
      <c r="Z504" s="234">
        <v>21</v>
      </c>
      <c r="AA504" s="235">
        <v>0.9166666666678793</v>
      </c>
      <c r="AB504" s="236">
        <v>0.8</v>
      </c>
      <c r="AC504" s="127">
        <f t="shared" si="22"/>
        <v>1</v>
      </c>
    </row>
    <row r="505" ht="14.5" customHeight="1" spans="11:29" x14ac:dyDescent="0.25">
      <c r="K505" s="128"/>
      <c r="X505" s="234">
        <v>2022</v>
      </c>
      <c r="Y505" s="234">
        <v>1</v>
      </c>
      <c r="Z505" s="234">
        <v>21</v>
      </c>
      <c r="AA505" s="235">
        <v>0.9583333333321207</v>
      </c>
      <c r="AB505" s="236">
        <v>1.8</v>
      </c>
      <c r="AC505" s="127">
        <f t="shared" si="22"/>
        <v>2</v>
      </c>
    </row>
    <row r="506" ht="14.5" customHeight="1" spans="11:29" x14ac:dyDescent="0.25">
      <c r="K506" s="128"/>
      <c r="X506" s="234">
        <v>2022</v>
      </c>
      <c r="Y506" s="234">
        <v>1</v>
      </c>
      <c r="Z506" s="234">
        <v>22</v>
      </c>
      <c r="AA506" s="235">
        <v>0</v>
      </c>
      <c r="AB506" s="236">
        <v>2</v>
      </c>
      <c r="AC506" s="127">
        <f t="shared" si="22"/>
        <v>2</v>
      </c>
    </row>
    <row r="507" ht="14.5" customHeight="1" spans="11:29" x14ac:dyDescent="0.25">
      <c r="K507" s="128"/>
      <c r="X507" s="234">
        <v>2022</v>
      </c>
      <c r="Y507" s="234">
        <v>1</v>
      </c>
      <c r="Z507" s="234">
        <v>22</v>
      </c>
      <c r="AA507" s="235">
        <v>0.041666666667879326</v>
      </c>
      <c r="AB507" s="236">
        <v>1.1</v>
      </c>
      <c r="AC507" s="127">
        <f t="shared" si="22"/>
        <v>1</v>
      </c>
    </row>
    <row r="508" ht="14.5" customHeight="1" spans="11:29" x14ac:dyDescent="0.25">
      <c r="K508" s="128"/>
      <c r="X508" s="234">
        <v>2022</v>
      </c>
      <c r="Y508" s="234">
        <v>1</v>
      </c>
      <c r="Z508" s="234">
        <v>22</v>
      </c>
      <c r="AA508" s="235">
        <v>0.08333333333212067</v>
      </c>
      <c r="AB508" s="236">
        <v>0.3</v>
      </c>
      <c r="AC508" s="127">
        <f t="shared" si="22"/>
        <v>0</v>
      </c>
    </row>
    <row r="509" ht="14.5" customHeight="1" spans="11:29" x14ac:dyDescent="0.25">
      <c r="K509" s="128"/>
      <c r="X509" s="234">
        <v>2022</v>
      </c>
      <c r="Y509" s="234">
        <v>1</v>
      </c>
      <c r="Z509" s="234">
        <v>22</v>
      </c>
      <c r="AA509" s="235">
        <v>0.125</v>
      </c>
      <c r="AB509" s="236">
        <v>1.2</v>
      </c>
      <c r="AC509" s="127">
        <f t="shared" si="22"/>
        <v>1</v>
      </c>
    </row>
    <row r="510" ht="14.5" customHeight="1" spans="11:29" x14ac:dyDescent="0.25">
      <c r="K510" s="128"/>
      <c r="X510" s="234">
        <v>2022</v>
      </c>
      <c r="Y510" s="234">
        <v>1</v>
      </c>
      <c r="Z510" s="234">
        <v>22</v>
      </c>
      <c r="AA510" s="235">
        <v>0.16666666666787933</v>
      </c>
      <c r="AB510" s="236">
        <v>1.6</v>
      </c>
      <c r="AC510" s="127">
        <f t="shared" si="22"/>
        <v>2</v>
      </c>
    </row>
    <row r="511" ht="14.5" customHeight="1" spans="11:29" x14ac:dyDescent="0.25">
      <c r="K511" s="128"/>
      <c r="X511" s="234">
        <v>2022</v>
      </c>
      <c r="Y511" s="234">
        <v>1</v>
      </c>
      <c r="Z511" s="234">
        <v>22</v>
      </c>
      <c r="AA511" s="235">
        <v>0.20833333333212067</v>
      </c>
      <c r="AB511" s="236">
        <v>2.5</v>
      </c>
      <c r="AC511" s="127">
        <f t="shared" si="22"/>
        <v>3</v>
      </c>
    </row>
    <row r="512" ht="14.5" customHeight="1" spans="11:29" x14ac:dyDescent="0.25">
      <c r="K512" s="128"/>
      <c r="X512" s="234">
        <v>2022</v>
      </c>
      <c r="Y512" s="234">
        <v>1</v>
      </c>
      <c r="Z512" s="234">
        <v>22</v>
      </c>
      <c r="AA512" s="235">
        <v>0.25</v>
      </c>
      <c r="AB512" s="236">
        <v>2.8</v>
      </c>
      <c r="AC512" s="127">
        <f t="shared" si="22"/>
        <v>3</v>
      </c>
    </row>
    <row r="513" ht="14.5" customHeight="1" spans="11:29" x14ac:dyDescent="0.25">
      <c r="K513" s="128"/>
      <c r="X513" s="234">
        <v>2022</v>
      </c>
      <c r="Y513" s="234">
        <v>1</v>
      </c>
      <c r="Z513" s="234">
        <v>22</v>
      </c>
      <c r="AA513" s="235">
        <v>0.2916666666678793</v>
      </c>
      <c r="AB513" s="236">
        <v>4.5</v>
      </c>
      <c r="AC513" s="127">
        <f t="shared" si="22"/>
        <v>5</v>
      </c>
    </row>
    <row r="514" ht="14.5" customHeight="1" spans="11:29" x14ac:dyDescent="0.25">
      <c r="K514" s="128"/>
      <c r="X514" s="234">
        <v>2022</v>
      </c>
      <c r="Y514" s="234">
        <v>1</v>
      </c>
      <c r="Z514" s="234">
        <v>22</v>
      </c>
      <c r="AA514" s="235">
        <v>0.3333333333321207</v>
      </c>
      <c r="AB514" s="236">
        <v>5.2</v>
      </c>
      <c r="AC514" s="127">
        <f t="shared" si="22"/>
        <v>5</v>
      </c>
    </row>
    <row r="515" ht="14.5" customHeight="1" spans="11:29" x14ac:dyDescent="0.25">
      <c r="K515" s="128"/>
      <c r="X515" s="234">
        <v>2022</v>
      </c>
      <c r="Y515" s="234">
        <v>1</v>
      </c>
      <c r="Z515" s="234">
        <v>22</v>
      </c>
      <c r="AA515" s="235">
        <v>0.375</v>
      </c>
      <c r="AB515" s="236">
        <v>6.7</v>
      </c>
      <c r="AC515" s="127">
        <f t="shared" si="22"/>
        <v>7</v>
      </c>
    </row>
    <row r="516" ht="14.5" customHeight="1" spans="11:29" x14ac:dyDescent="0.25">
      <c r="K516" s="128"/>
      <c r="X516" s="234">
        <v>2022</v>
      </c>
      <c r="Y516" s="234">
        <v>1</v>
      </c>
      <c r="Z516" s="234">
        <v>22</v>
      </c>
      <c r="AA516" s="235">
        <v>0.4166666666678793</v>
      </c>
      <c r="AB516" s="236">
        <v>7.2</v>
      </c>
      <c r="AC516" s="127">
        <f t="shared" si="22"/>
        <v>7</v>
      </c>
    </row>
    <row r="517" ht="14.5" customHeight="1" spans="11:29" x14ac:dyDescent="0.25">
      <c r="K517" s="128"/>
      <c r="X517" s="234">
        <v>2022</v>
      </c>
      <c r="Y517" s="234">
        <v>1</v>
      </c>
      <c r="Z517" s="234">
        <v>22</v>
      </c>
      <c r="AA517" s="235">
        <v>0.4583333333321207</v>
      </c>
      <c r="AB517" s="236">
        <v>9.5</v>
      </c>
      <c r="AC517" s="127">
        <f t="shared" si="22"/>
        <v>10</v>
      </c>
    </row>
    <row r="518" ht="14.5" customHeight="1" spans="11:29" x14ac:dyDescent="0.25">
      <c r="K518" s="128"/>
      <c r="X518" s="234">
        <v>2022</v>
      </c>
      <c r="Y518" s="234">
        <v>1</v>
      </c>
      <c r="Z518" s="234">
        <v>22</v>
      </c>
      <c r="AA518" s="235">
        <v>0.5</v>
      </c>
      <c r="AB518" s="236">
        <v>10.9</v>
      </c>
      <c r="AC518" s="127">
        <f t="shared" si="22"/>
        <v>11</v>
      </c>
    </row>
    <row r="519" ht="14.5" customHeight="1" spans="11:29" x14ac:dyDescent="0.25">
      <c r="K519" s="128"/>
      <c r="X519" s="234">
        <v>2022</v>
      </c>
      <c r="Y519" s="234">
        <v>1</v>
      </c>
      <c r="Z519" s="234">
        <v>22</v>
      </c>
      <c r="AA519" s="235">
        <v>0.5416666666678793</v>
      </c>
      <c r="AB519" s="236">
        <v>10.9</v>
      </c>
      <c r="AC519" s="127">
        <f t="shared" si="22"/>
        <v>11</v>
      </c>
    </row>
    <row r="520" ht="14.5" customHeight="1" spans="11:29" x14ac:dyDescent="0.25">
      <c r="K520" s="128"/>
      <c r="X520" s="234">
        <v>2022</v>
      </c>
      <c r="Y520" s="234">
        <v>1</v>
      </c>
      <c r="Z520" s="234">
        <v>22</v>
      </c>
      <c r="AA520" s="235">
        <v>0.5833333333321207</v>
      </c>
      <c r="AB520" s="236">
        <v>9.3</v>
      </c>
      <c r="AC520" s="127">
        <f t="shared" si="22"/>
        <v>9</v>
      </c>
    </row>
    <row r="521" ht="14.5" customHeight="1" spans="11:29" x14ac:dyDescent="0.25">
      <c r="K521" s="128"/>
      <c r="X521" s="234">
        <v>2022</v>
      </c>
      <c r="Y521" s="234">
        <v>1</v>
      </c>
      <c r="Z521" s="234">
        <v>22</v>
      </c>
      <c r="AA521" s="235">
        <v>0.625</v>
      </c>
      <c r="AB521" s="236">
        <v>10.9</v>
      </c>
      <c r="AC521" s="127">
        <f t="shared" si="22"/>
        <v>11</v>
      </c>
    </row>
    <row r="522" ht="14.5" customHeight="1" spans="11:29" x14ac:dyDescent="0.25">
      <c r="K522" s="128"/>
      <c r="X522" s="234">
        <v>2022</v>
      </c>
      <c r="Y522" s="234">
        <v>1</v>
      </c>
      <c r="Z522" s="234">
        <v>22</v>
      </c>
      <c r="AA522" s="235">
        <v>0.6666666666678793</v>
      </c>
      <c r="AB522" s="236">
        <v>10.5</v>
      </c>
      <c r="AC522" s="127">
        <f t="shared" si="22"/>
        <v>11</v>
      </c>
    </row>
    <row r="523" ht="14.5" customHeight="1" spans="11:29" x14ac:dyDescent="0.25">
      <c r="K523" s="128"/>
      <c r="X523" s="234">
        <v>2022</v>
      </c>
      <c r="Y523" s="234">
        <v>1</v>
      </c>
      <c r="Z523" s="234">
        <v>22</v>
      </c>
      <c r="AA523" s="235">
        <v>0.7083333333321207</v>
      </c>
      <c r="AB523" s="236">
        <v>10.3</v>
      </c>
      <c r="AC523" s="127">
        <f t="shared" ref="AC523:AC586" si="23">ROUND(AB523,0)</f>
        <v>10</v>
      </c>
    </row>
    <row r="524" ht="14.5" customHeight="1" spans="11:29" x14ac:dyDescent="0.25">
      <c r="K524" s="128"/>
      <c r="X524" s="234">
        <v>2022</v>
      </c>
      <c r="Y524" s="234">
        <v>1</v>
      </c>
      <c r="Z524" s="234">
        <v>22</v>
      </c>
      <c r="AA524" s="235">
        <v>0.75</v>
      </c>
      <c r="AB524" s="236">
        <v>9.8</v>
      </c>
      <c r="AC524" s="127">
        <f t="shared" si="23"/>
        <v>10</v>
      </c>
    </row>
    <row r="525" ht="14.5" customHeight="1" spans="11:29" x14ac:dyDescent="0.25">
      <c r="K525" s="128"/>
      <c r="X525" s="234">
        <v>2022</v>
      </c>
      <c r="Y525" s="234">
        <v>1</v>
      </c>
      <c r="Z525" s="234">
        <v>22</v>
      </c>
      <c r="AA525" s="235">
        <v>0.7916666666678793</v>
      </c>
      <c r="AB525" s="236">
        <v>9.6</v>
      </c>
      <c r="AC525" s="127">
        <f t="shared" si="23"/>
        <v>10</v>
      </c>
    </row>
    <row r="526" ht="14.5" customHeight="1" spans="11:29" x14ac:dyDescent="0.25">
      <c r="K526" s="128"/>
      <c r="X526" s="234">
        <v>2022</v>
      </c>
      <c r="Y526" s="234">
        <v>1</v>
      </c>
      <c r="Z526" s="234">
        <v>22</v>
      </c>
      <c r="AA526" s="235">
        <v>0.8333333333321207</v>
      </c>
      <c r="AB526" s="236">
        <v>8.5</v>
      </c>
      <c r="AC526" s="127">
        <f t="shared" si="23"/>
        <v>9</v>
      </c>
    </row>
    <row r="527" ht="14.5" customHeight="1" spans="11:29" x14ac:dyDescent="0.25">
      <c r="K527" s="128"/>
      <c r="X527" s="234">
        <v>2022</v>
      </c>
      <c r="Y527" s="234">
        <v>1</v>
      </c>
      <c r="Z527" s="234">
        <v>22</v>
      </c>
      <c r="AA527" s="235">
        <v>0.875</v>
      </c>
      <c r="AB527" s="236">
        <v>8.5</v>
      </c>
      <c r="AC527" s="127">
        <f t="shared" si="23"/>
        <v>9</v>
      </c>
    </row>
    <row r="528" ht="14.5" customHeight="1" spans="11:29" x14ac:dyDescent="0.25">
      <c r="K528" s="128"/>
      <c r="X528" s="234">
        <v>2022</v>
      </c>
      <c r="Y528" s="234">
        <v>1</v>
      </c>
      <c r="Z528" s="234">
        <v>22</v>
      </c>
      <c r="AA528" s="235">
        <v>0.9166666666678793</v>
      </c>
      <c r="AB528" s="236">
        <v>7.4</v>
      </c>
      <c r="AC528" s="127">
        <f t="shared" si="23"/>
        <v>7</v>
      </c>
    </row>
    <row r="529" ht="14.5" customHeight="1" spans="11:29" x14ac:dyDescent="0.25">
      <c r="K529" s="128"/>
      <c r="X529" s="234">
        <v>2022</v>
      </c>
      <c r="Y529" s="234">
        <v>1</v>
      </c>
      <c r="Z529" s="234">
        <v>22</v>
      </c>
      <c r="AA529" s="235">
        <v>0.9583333333321207</v>
      </c>
      <c r="AB529" s="236">
        <v>7</v>
      </c>
      <c r="AC529" s="127">
        <f t="shared" si="23"/>
        <v>7</v>
      </c>
    </row>
    <row r="530" ht="14.5" customHeight="1" spans="11:29" x14ac:dyDescent="0.25">
      <c r="K530" s="128"/>
      <c r="X530" s="234">
        <v>2022</v>
      </c>
      <c r="Y530" s="234">
        <v>1</v>
      </c>
      <c r="Z530" s="234">
        <v>23</v>
      </c>
      <c r="AA530" s="235">
        <v>0</v>
      </c>
      <c r="AB530" s="236">
        <v>8.1</v>
      </c>
      <c r="AC530" s="127">
        <f t="shared" si="23"/>
        <v>8</v>
      </c>
    </row>
    <row r="531" ht="14.5" customHeight="1" spans="11:29" x14ac:dyDescent="0.25">
      <c r="K531" s="128"/>
      <c r="X531" s="234">
        <v>2022</v>
      </c>
      <c r="Y531" s="234">
        <v>1</v>
      </c>
      <c r="Z531" s="234">
        <v>23</v>
      </c>
      <c r="AA531" s="235">
        <v>0.041666666667879326</v>
      </c>
      <c r="AB531" s="236">
        <v>8</v>
      </c>
      <c r="AC531" s="127">
        <f t="shared" si="23"/>
        <v>8</v>
      </c>
    </row>
    <row r="532" ht="14.5" customHeight="1" spans="11:29" x14ac:dyDescent="0.25">
      <c r="K532" s="128"/>
      <c r="X532" s="234">
        <v>2022</v>
      </c>
      <c r="Y532" s="234">
        <v>1</v>
      </c>
      <c r="Z532" s="234">
        <v>23</v>
      </c>
      <c r="AA532" s="235">
        <v>0.08333333333212067</v>
      </c>
      <c r="AB532" s="236">
        <v>7.8</v>
      </c>
      <c r="AC532" s="127">
        <f t="shared" si="23"/>
        <v>8</v>
      </c>
    </row>
    <row r="533" ht="14.5" customHeight="1" spans="11:29" x14ac:dyDescent="0.25">
      <c r="K533" s="128"/>
      <c r="X533" s="234">
        <v>2022</v>
      </c>
      <c r="Y533" s="234">
        <v>1</v>
      </c>
      <c r="Z533" s="234">
        <v>23</v>
      </c>
      <c r="AA533" s="235">
        <v>0.125</v>
      </c>
      <c r="AB533" s="236">
        <v>7.3</v>
      </c>
      <c r="AC533" s="127">
        <f t="shared" si="23"/>
        <v>7</v>
      </c>
    </row>
    <row r="534" ht="14.5" customHeight="1" spans="11:29" x14ac:dyDescent="0.25">
      <c r="K534" s="128"/>
      <c r="X534" s="234">
        <v>2022</v>
      </c>
      <c r="Y534" s="234">
        <v>1</v>
      </c>
      <c r="Z534" s="234">
        <v>23</v>
      </c>
      <c r="AA534" s="235">
        <v>0.16666666666787933</v>
      </c>
      <c r="AB534" s="236">
        <v>6.3</v>
      </c>
      <c r="AC534" s="127">
        <f t="shared" si="23"/>
        <v>6</v>
      </c>
    </row>
    <row r="535" ht="14.5" customHeight="1" spans="11:29" x14ac:dyDescent="0.25">
      <c r="K535" s="128"/>
      <c r="X535" s="234">
        <v>2022</v>
      </c>
      <c r="Y535" s="234">
        <v>1</v>
      </c>
      <c r="Z535" s="234">
        <v>23</v>
      </c>
      <c r="AA535" s="235">
        <v>0.20833333333212067</v>
      </c>
      <c r="AB535" s="236">
        <v>7.3</v>
      </c>
      <c r="AC535" s="127">
        <f t="shared" si="23"/>
        <v>7</v>
      </c>
    </row>
    <row r="536" ht="14.5" customHeight="1" spans="11:29" x14ac:dyDescent="0.25">
      <c r="K536" s="128"/>
      <c r="X536" s="234">
        <v>2022</v>
      </c>
      <c r="Y536" s="234">
        <v>1</v>
      </c>
      <c r="Z536" s="234">
        <v>23</v>
      </c>
      <c r="AA536" s="235">
        <v>0.25</v>
      </c>
      <c r="AB536" s="236">
        <v>7.8</v>
      </c>
      <c r="AC536" s="127">
        <f t="shared" si="23"/>
        <v>8</v>
      </c>
    </row>
    <row r="537" ht="14.5" customHeight="1" spans="11:29" x14ac:dyDescent="0.25">
      <c r="K537" s="128"/>
      <c r="X537" s="234">
        <v>2022</v>
      </c>
      <c r="Y537" s="234">
        <v>1</v>
      </c>
      <c r="Z537" s="234">
        <v>23</v>
      </c>
      <c r="AA537" s="235">
        <v>0.2916666666678793</v>
      </c>
      <c r="AB537" s="236">
        <v>7.7</v>
      </c>
      <c r="AC537" s="127">
        <f t="shared" si="23"/>
        <v>8</v>
      </c>
    </row>
    <row r="538" ht="14.5" customHeight="1" spans="11:29" x14ac:dyDescent="0.25">
      <c r="K538" s="128"/>
      <c r="X538" s="234">
        <v>2022</v>
      </c>
      <c r="Y538" s="234">
        <v>1</v>
      </c>
      <c r="Z538" s="234">
        <v>23</v>
      </c>
      <c r="AA538" s="235">
        <v>0.3333333333321207</v>
      </c>
      <c r="AB538" s="236">
        <v>7.1</v>
      </c>
      <c r="AC538" s="127">
        <f t="shared" si="23"/>
        <v>7</v>
      </c>
    </row>
    <row r="539" ht="14.5" customHeight="1" spans="11:29" x14ac:dyDescent="0.25">
      <c r="K539" s="128"/>
      <c r="X539" s="234">
        <v>2022</v>
      </c>
      <c r="Y539" s="234">
        <v>1</v>
      </c>
      <c r="Z539" s="234">
        <v>23</v>
      </c>
      <c r="AA539" s="235">
        <v>0.375</v>
      </c>
      <c r="AB539" s="236">
        <v>7.8</v>
      </c>
      <c r="AC539" s="127">
        <f t="shared" si="23"/>
        <v>8</v>
      </c>
    </row>
    <row r="540" ht="14.5" customHeight="1" spans="11:29" x14ac:dyDescent="0.25">
      <c r="K540" s="128"/>
      <c r="X540" s="234">
        <v>2022</v>
      </c>
      <c r="Y540" s="234">
        <v>1</v>
      </c>
      <c r="Z540" s="234">
        <v>23</v>
      </c>
      <c r="AA540" s="235">
        <v>0.4166666666678793</v>
      </c>
      <c r="AB540" s="236">
        <v>8.4</v>
      </c>
      <c r="AC540" s="127">
        <f t="shared" si="23"/>
        <v>8</v>
      </c>
    </row>
    <row r="541" ht="14.5" customHeight="1" spans="11:29" x14ac:dyDescent="0.25">
      <c r="K541" s="128"/>
      <c r="X541" s="234">
        <v>2022</v>
      </c>
      <c r="Y541" s="234">
        <v>1</v>
      </c>
      <c r="Z541" s="234">
        <v>23</v>
      </c>
      <c r="AA541" s="235">
        <v>0.4583333333321207</v>
      </c>
      <c r="AB541" s="236">
        <v>9.7</v>
      </c>
      <c r="AC541" s="127">
        <f t="shared" si="23"/>
        <v>10</v>
      </c>
    </row>
    <row r="542" ht="14.5" customHeight="1" spans="11:29" x14ac:dyDescent="0.25">
      <c r="K542" s="128"/>
      <c r="X542" s="234">
        <v>2022</v>
      </c>
      <c r="Y542" s="234">
        <v>1</v>
      </c>
      <c r="Z542" s="234">
        <v>23</v>
      </c>
      <c r="AA542" s="235">
        <v>0.5</v>
      </c>
      <c r="AB542" s="236">
        <v>10.9</v>
      </c>
      <c r="AC542" s="127">
        <f t="shared" si="23"/>
        <v>11</v>
      </c>
    </row>
    <row r="543" ht="14.5" customHeight="1" spans="11:29" x14ac:dyDescent="0.25">
      <c r="K543" s="128"/>
      <c r="X543" s="234">
        <v>2022</v>
      </c>
      <c r="Y543" s="234">
        <v>1</v>
      </c>
      <c r="Z543" s="234">
        <v>23</v>
      </c>
      <c r="AA543" s="235">
        <v>0.5416666666678793</v>
      </c>
      <c r="AB543" s="236">
        <v>12.1</v>
      </c>
      <c r="AC543" s="127">
        <f t="shared" si="23"/>
        <v>12</v>
      </c>
    </row>
    <row r="544" ht="14.5" customHeight="1" spans="11:29" x14ac:dyDescent="0.25">
      <c r="K544" s="128"/>
      <c r="X544" s="234">
        <v>2022</v>
      </c>
      <c r="Y544" s="234">
        <v>1</v>
      </c>
      <c r="Z544" s="234">
        <v>23</v>
      </c>
      <c r="AA544" s="235">
        <v>0.5833333333321207</v>
      </c>
      <c r="AB544" s="236">
        <v>10.5</v>
      </c>
      <c r="AC544" s="127">
        <f t="shared" si="23"/>
        <v>11</v>
      </c>
    </row>
    <row r="545" ht="14.5" customHeight="1" spans="11:29" x14ac:dyDescent="0.25">
      <c r="K545" s="128"/>
      <c r="X545" s="234">
        <v>2022</v>
      </c>
      <c r="Y545" s="234">
        <v>1</v>
      </c>
      <c r="Z545" s="234">
        <v>23</v>
      </c>
      <c r="AA545" s="235">
        <v>0.625</v>
      </c>
      <c r="AB545" s="236">
        <v>10.1</v>
      </c>
      <c r="AC545" s="127">
        <f t="shared" si="23"/>
        <v>10</v>
      </c>
    </row>
    <row r="546" ht="14.5" customHeight="1" spans="11:29" x14ac:dyDescent="0.25">
      <c r="K546" s="128"/>
      <c r="X546" s="234">
        <v>2022</v>
      </c>
      <c r="Y546" s="234">
        <v>1</v>
      </c>
      <c r="Z546" s="234">
        <v>23</v>
      </c>
      <c r="AA546" s="235">
        <v>0.6666666666678793</v>
      </c>
      <c r="AB546" s="236">
        <v>8.8</v>
      </c>
      <c r="AC546" s="127">
        <f t="shared" si="23"/>
        <v>9</v>
      </c>
    </row>
    <row r="547" ht="14.5" customHeight="1" spans="11:29" x14ac:dyDescent="0.25">
      <c r="K547" s="128"/>
      <c r="X547" s="234">
        <v>2022</v>
      </c>
      <c r="Y547" s="234">
        <v>1</v>
      </c>
      <c r="Z547" s="234">
        <v>23</v>
      </c>
      <c r="AA547" s="235">
        <v>0.7083333333321207</v>
      </c>
      <c r="AB547" s="236">
        <v>5</v>
      </c>
      <c r="AC547" s="127">
        <f t="shared" si="23"/>
        <v>5</v>
      </c>
    </row>
    <row r="548" ht="14.5" customHeight="1" spans="11:29" x14ac:dyDescent="0.25">
      <c r="K548" s="128"/>
      <c r="X548" s="234">
        <v>2022</v>
      </c>
      <c r="Y548" s="234">
        <v>1</v>
      </c>
      <c r="Z548" s="234">
        <v>23</v>
      </c>
      <c r="AA548" s="235">
        <v>0.75</v>
      </c>
      <c r="AB548" s="236">
        <v>1.4</v>
      </c>
      <c r="AC548" s="127">
        <f t="shared" si="23"/>
        <v>1</v>
      </c>
    </row>
    <row r="549" ht="14.5" customHeight="1" spans="11:29" x14ac:dyDescent="0.25">
      <c r="K549" s="128"/>
      <c r="X549" s="234">
        <v>2022</v>
      </c>
      <c r="Y549" s="234">
        <v>1</v>
      </c>
      <c r="Z549" s="234">
        <v>23</v>
      </c>
      <c r="AA549" s="235">
        <v>0.7916666666678793</v>
      </c>
      <c r="AB549" s="236">
        <v>0.3</v>
      </c>
      <c r="AC549" s="127">
        <f t="shared" si="23"/>
        <v>0</v>
      </c>
    </row>
    <row r="550" ht="14.5" customHeight="1" spans="11:29" x14ac:dyDescent="0.25">
      <c r="K550" s="128"/>
      <c r="X550" s="234">
        <v>2022</v>
      </c>
      <c r="Y550" s="234">
        <v>1</v>
      </c>
      <c r="Z550" s="234">
        <v>23</v>
      </c>
      <c r="AA550" s="235">
        <v>0.8333333333321207</v>
      </c>
      <c r="AB550" s="236">
        <v>0.2</v>
      </c>
      <c r="AC550" s="127">
        <f t="shared" si="23"/>
        <v>0</v>
      </c>
    </row>
    <row r="551" ht="14.5" customHeight="1" spans="11:29" x14ac:dyDescent="0.25">
      <c r="K551" s="128"/>
      <c r="X551" s="234">
        <v>2022</v>
      </c>
      <c r="Y551" s="234">
        <v>1</v>
      </c>
      <c r="Z551" s="234">
        <v>23</v>
      </c>
      <c r="AA551" s="235">
        <v>0.875</v>
      </c>
      <c r="AB551" s="236">
        <v>0.2</v>
      </c>
      <c r="AC551" s="127">
        <f t="shared" si="23"/>
        <v>0</v>
      </c>
    </row>
    <row r="552" ht="14.5" customHeight="1" spans="11:29" x14ac:dyDescent="0.25">
      <c r="K552" s="128"/>
      <c r="X552" s="234">
        <v>2022</v>
      </c>
      <c r="Y552" s="234">
        <v>1</v>
      </c>
      <c r="Z552" s="234">
        <v>23</v>
      </c>
      <c r="AA552" s="235">
        <v>0.9166666666678793</v>
      </c>
      <c r="AB552" s="236">
        <v>-0.7</v>
      </c>
      <c r="AC552" s="127">
        <f t="shared" si="23"/>
        <v>-1</v>
      </c>
    </row>
    <row r="553" ht="14.5" customHeight="1" spans="11:29" x14ac:dyDescent="0.25">
      <c r="K553" s="128"/>
      <c r="X553" s="234">
        <v>2022</v>
      </c>
      <c r="Y553" s="234">
        <v>1</v>
      </c>
      <c r="Z553" s="234">
        <v>23</v>
      </c>
      <c r="AA553" s="235">
        <v>0.9583333333321207</v>
      </c>
      <c r="AB553" s="236">
        <v>-2.7</v>
      </c>
      <c r="AC553" s="127">
        <f t="shared" si="23"/>
        <v>-3</v>
      </c>
    </row>
    <row r="554" ht="14.5" customHeight="1" spans="11:29" x14ac:dyDescent="0.25">
      <c r="K554" s="128"/>
      <c r="X554" s="234">
        <v>2022</v>
      </c>
      <c r="Y554" s="234">
        <v>1</v>
      </c>
      <c r="Z554" s="234">
        <v>24</v>
      </c>
      <c r="AA554" s="235">
        <v>0</v>
      </c>
      <c r="AB554" s="236">
        <v>-1.7</v>
      </c>
      <c r="AC554" s="127">
        <f t="shared" si="23"/>
        <v>-2</v>
      </c>
    </row>
    <row r="555" ht="14.5" customHeight="1" spans="11:29" x14ac:dyDescent="0.25">
      <c r="K555" s="128"/>
      <c r="X555" s="234">
        <v>2022</v>
      </c>
      <c r="Y555" s="234">
        <v>1</v>
      </c>
      <c r="Z555" s="234">
        <v>24</v>
      </c>
      <c r="AA555" s="235">
        <v>0.041666666667879326</v>
      </c>
      <c r="AB555" s="236">
        <v>-3.1</v>
      </c>
      <c r="AC555" s="127">
        <f t="shared" si="23"/>
        <v>-3</v>
      </c>
    </row>
    <row r="556" ht="14.5" customHeight="1" spans="11:29" x14ac:dyDescent="0.25">
      <c r="K556" s="128"/>
      <c r="X556" s="234">
        <v>2022</v>
      </c>
      <c r="Y556" s="234">
        <v>1</v>
      </c>
      <c r="Z556" s="234">
        <v>24</v>
      </c>
      <c r="AA556" s="235">
        <v>0.08333333333212067</v>
      </c>
      <c r="AB556" s="236">
        <v>-0.6</v>
      </c>
      <c r="AC556" s="127">
        <f t="shared" si="23"/>
        <v>-1</v>
      </c>
    </row>
    <row r="557" ht="14.5" customHeight="1" spans="11:29" x14ac:dyDescent="0.25">
      <c r="K557" s="128"/>
      <c r="X557" s="234">
        <v>2022</v>
      </c>
      <c r="Y557" s="234">
        <v>1</v>
      </c>
      <c r="Z557" s="234">
        <v>24</v>
      </c>
      <c r="AA557" s="235">
        <v>0.125</v>
      </c>
      <c r="AB557" s="236">
        <v>-0.4</v>
      </c>
      <c r="AC557" s="127">
        <f t="shared" si="23"/>
        <v>0</v>
      </c>
    </row>
    <row r="558" ht="14.5" customHeight="1" spans="11:29" x14ac:dyDescent="0.25">
      <c r="K558" s="128"/>
      <c r="X558" s="234">
        <v>2022</v>
      </c>
      <c r="Y558" s="234">
        <v>1</v>
      </c>
      <c r="Z558" s="234">
        <v>24</v>
      </c>
      <c r="AA558" s="235">
        <v>0.16666666666787933</v>
      </c>
      <c r="AB558" s="236">
        <v>0</v>
      </c>
      <c r="AC558" s="127">
        <f t="shared" si="23"/>
        <v>0</v>
      </c>
    </row>
    <row r="559" ht="14.5" customHeight="1" spans="11:29" x14ac:dyDescent="0.25">
      <c r="K559" s="128"/>
      <c r="X559" s="234">
        <v>2022</v>
      </c>
      <c r="Y559" s="234">
        <v>1</v>
      </c>
      <c r="Z559" s="234">
        <v>24</v>
      </c>
      <c r="AA559" s="235">
        <v>0.20833333333212067</v>
      </c>
      <c r="AB559" s="236">
        <v>1.6</v>
      </c>
      <c r="AC559" s="127">
        <f t="shared" si="23"/>
        <v>2</v>
      </c>
    </row>
    <row r="560" ht="14.5" customHeight="1" spans="11:29" x14ac:dyDescent="0.25">
      <c r="K560" s="128"/>
      <c r="X560" s="234">
        <v>2022</v>
      </c>
      <c r="Y560" s="234">
        <v>1</v>
      </c>
      <c r="Z560" s="234">
        <v>24</v>
      </c>
      <c r="AA560" s="235">
        <v>0.25</v>
      </c>
      <c r="AB560" s="236">
        <v>0.9</v>
      </c>
      <c r="AC560" s="127">
        <f t="shared" si="23"/>
        <v>1</v>
      </c>
    </row>
    <row r="561" ht="14.5" customHeight="1" spans="11:29" x14ac:dyDescent="0.25">
      <c r="K561" s="128"/>
      <c r="X561" s="234">
        <v>2022</v>
      </c>
      <c r="Y561" s="234">
        <v>1</v>
      </c>
      <c r="Z561" s="234">
        <v>24</v>
      </c>
      <c r="AA561" s="235">
        <v>0.2916666666678793</v>
      </c>
      <c r="AB561" s="236">
        <v>0.7</v>
      </c>
      <c r="AC561" s="127">
        <f t="shared" si="23"/>
        <v>1</v>
      </c>
    </row>
    <row r="562" ht="14.5" customHeight="1" spans="11:29" x14ac:dyDescent="0.25">
      <c r="K562" s="128"/>
      <c r="X562" s="234">
        <v>2022</v>
      </c>
      <c r="Y562" s="234">
        <v>1</v>
      </c>
      <c r="Z562" s="234">
        <v>24</v>
      </c>
      <c r="AA562" s="235">
        <v>0.3333333333321207</v>
      </c>
      <c r="AB562" s="236">
        <v>0.4</v>
      </c>
      <c r="AC562" s="127">
        <f t="shared" si="23"/>
        <v>0</v>
      </c>
    </row>
    <row r="563" ht="14.5" customHeight="1" spans="11:29" x14ac:dyDescent="0.25">
      <c r="K563" s="128"/>
      <c r="X563" s="234">
        <v>2022</v>
      </c>
      <c r="Y563" s="234">
        <v>1</v>
      </c>
      <c r="Z563" s="234">
        <v>24</v>
      </c>
      <c r="AA563" s="235">
        <v>0.375</v>
      </c>
      <c r="AB563" s="236">
        <v>0</v>
      </c>
      <c r="AC563" s="127">
        <f t="shared" si="23"/>
        <v>0</v>
      </c>
    </row>
    <row r="564" ht="14.5" customHeight="1" spans="11:29" x14ac:dyDescent="0.25">
      <c r="K564" s="128"/>
      <c r="X564" s="234">
        <v>2022</v>
      </c>
      <c r="Y564" s="234">
        <v>1</v>
      </c>
      <c r="Z564" s="234">
        <v>24</v>
      </c>
      <c r="AA564" s="235">
        <v>0.4166666666678793</v>
      </c>
      <c r="AB564" s="236">
        <v>0.3</v>
      </c>
      <c r="AC564" s="127">
        <f t="shared" si="23"/>
        <v>0</v>
      </c>
    </row>
    <row r="565" ht="14.5" customHeight="1" spans="11:29" x14ac:dyDescent="0.25">
      <c r="K565" s="128"/>
      <c r="X565" s="234">
        <v>2022</v>
      </c>
      <c r="Y565" s="234">
        <v>1</v>
      </c>
      <c r="Z565" s="234">
        <v>24</v>
      </c>
      <c r="AA565" s="235">
        <v>0.4583333333321207</v>
      </c>
      <c r="AB565" s="236">
        <v>0.8</v>
      </c>
      <c r="AC565" s="127">
        <f t="shared" si="23"/>
        <v>1</v>
      </c>
    </row>
    <row r="566" ht="14.5" customHeight="1" spans="11:29" x14ac:dyDescent="0.25">
      <c r="K566" s="128"/>
      <c r="X566" s="234">
        <v>2022</v>
      </c>
      <c r="Y566" s="234">
        <v>1</v>
      </c>
      <c r="Z566" s="234">
        <v>24</v>
      </c>
      <c r="AA566" s="235">
        <v>0.5</v>
      </c>
      <c r="AB566" s="236">
        <v>1.3</v>
      </c>
      <c r="AC566" s="127">
        <f t="shared" si="23"/>
        <v>1</v>
      </c>
    </row>
    <row r="567" ht="14.5" customHeight="1" spans="11:29" x14ac:dyDescent="0.25">
      <c r="K567" s="128"/>
      <c r="X567" s="234">
        <v>2022</v>
      </c>
      <c r="Y567" s="234">
        <v>1</v>
      </c>
      <c r="Z567" s="234">
        <v>24</v>
      </c>
      <c r="AA567" s="235">
        <v>0.5416666666678793</v>
      </c>
      <c r="AB567" s="236">
        <v>1.2</v>
      </c>
      <c r="AC567" s="127">
        <f t="shared" si="23"/>
        <v>1</v>
      </c>
    </row>
    <row r="568" ht="14.5" customHeight="1" spans="11:29" x14ac:dyDescent="0.25">
      <c r="K568" s="128"/>
      <c r="X568" s="234">
        <v>2022</v>
      </c>
      <c r="Y568" s="234">
        <v>1</v>
      </c>
      <c r="Z568" s="234">
        <v>24</v>
      </c>
      <c r="AA568" s="235">
        <v>0.5833333333321207</v>
      </c>
      <c r="AB568" s="236">
        <v>1.1</v>
      </c>
      <c r="AC568" s="127">
        <f t="shared" si="23"/>
        <v>1</v>
      </c>
    </row>
    <row r="569" ht="14.5" customHeight="1" spans="11:29" x14ac:dyDescent="0.25">
      <c r="K569" s="128"/>
      <c r="X569" s="234">
        <v>2022</v>
      </c>
      <c r="Y569" s="234">
        <v>1</v>
      </c>
      <c r="Z569" s="234">
        <v>24</v>
      </c>
      <c r="AA569" s="235">
        <v>0.625</v>
      </c>
      <c r="AB569" s="236">
        <v>1.9</v>
      </c>
      <c r="AC569" s="127">
        <f t="shared" si="23"/>
        <v>2</v>
      </c>
    </row>
    <row r="570" ht="14.5" customHeight="1" spans="11:29" x14ac:dyDescent="0.25">
      <c r="K570" s="128"/>
      <c r="X570" s="234">
        <v>2022</v>
      </c>
      <c r="Y570" s="234">
        <v>1</v>
      </c>
      <c r="Z570" s="234">
        <v>24</v>
      </c>
      <c r="AA570" s="235">
        <v>0.6666666666678793</v>
      </c>
      <c r="AB570" s="236">
        <v>1.6</v>
      </c>
      <c r="AC570" s="127">
        <f t="shared" si="23"/>
        <v>2</v>
      </c>
    </row>
    <row r="571" ht="14.5" customHeight="1" spans="11:29" x14ac:dyDescent="0.25">
      <c r="K571" s="128"/>
      <c r="X571" s="234">
        <v>2022</v>
      </c>
      <c r="Y571" s="234">
        <v>1</v>
      </c>
      <c r="Z571" s="234">
        <v>24</v>
      </c>
      <c r="AA571" s="235">
        <v>0.7083333333321207</v>
      </c>
      <c r="AB571" s="236">
        <v>1.1</v>
      </c>
      <c r="AC571" s="127">
        <f t="shared" si="23"/>
        <v>1</v>
      </c>
    </row>
    <row r="572" ht="14.5" customHeight="1" spans="11:29" x14ac:dyDescent="0.25">
      <c r="K572" s="128"/>
      <c r="X572" s="234">
        <v>2022</v>
      </c>
      <c r="Y572" s="234">
        <v>1</v>
      </c>
      <c r="Z572" s="234">
        <v>24</v>
      </c>
      <c r="AA572" s="235">
        <v>0.75</v>
      </c>
      <c r="AB572" s="236">
        <v>0.9</v>
      </c>
      <c r="AC572" s="127">
        <f t="shared" si="23"/>
        <v>1</v>
      </c>
    </row>
    <row r="573" ht="14.5" customHeight="1" spans="11:29" x14ac:dyDescent="0.25">
      <c r="K573" s="128"/>
      <c r="X573" s="234">
        <v>2022</v>
      </c>
      <c r="Y573" s="234">
        <v>1</v>
      </c>
      <c r="Z573" s="234">
        <v>24</v>
      </c>
      <c r="AA573" s="235">
        <v>0.7916666666678793</v>
      </c>
      <c r="AB573" s="236">
        <v>0.5</v>
      </c>
      <c r="AC573" s="127">
        <f t="shared" si="23"/>
        <v>1</v>
      </c>
    </row>
    <row r="574" ht="14.5" customHeight="1" spans="11:29" x14ac:dyDescent="0.25">
      <c r="K574" s="128"/>
      <c r="X574" s="234">
        <v>2022</v>
      </c>
      <c r="Y574" s="234">
        <v>1</v>
      </c>
      <c r="Z574" s="234">
        <v>24</v>
      </c>
      <c r="AA574" s="235">
        <v>0.8333333333321207</v>
      </c>
      <c r="AB574" s="236">
        <v>0.9</v>
      </c>
      <c r="AC574" s="127">
        <f t="shared" si="23"/>
        <v>1</v>
      </c>
    </row>
    <row r="575" ht="14.5" customHeight="1" spans="11:29" x14ac:dyDescent="0.25">
      <c r="K575" s="128"/>
      <c r="X575" s="234">
        <v>2022</v>
      </c>
      <c r="Y575" s="234">
        <v>1</v>
      </c>
      <c r="Z575" s="234">
        <v>24</v>
      </c>
      <c r="AA575" s="235">
        <v>0.875</v>
      </c>
      <c r="AB575" s="236">
        <v>0.8</v>
      </c>
      <c r="AC575" s="127">
        <f t="shared" si="23"/>
        <v>1</v>
      </c>
    </row>
    <row r="576" ht="14.5" customHeight="1" spans="11:29" x14ac:dyDescent="0.25">
      <c r="K576" s="128"/>
      <c r="X576" s="234">
        <v>2022</v>
      </c>
      <c r="Y576" s="234">
        <v>1</v>
      </c>
      <c r="Z576" s="234">
        <v>24</v>
      </c>
      <c r="AA576" s="235">
        <v>0.9166666666678793</v>
      </c>
      <c r="AB576" s="236">
        <v>-0.2</v>
      </c>
      <c r="AC576" s="127">
        <f t="shared" si="23"/>
        <v>0</v>
      </c>
    </row>
    <row r="577" ht="14.5" customHeight="1" spans="11:29" x14ac:dyDescent="0.25">
      <c r="K577" s="128"/>
      <c r="X577" s="234">
        <v>2022</v>
      </c>
      <c r="Y577" s="234">
        <v>1</v>
      </c>
      <c r="Z577" s="234">
        <v>24</v>
      </c>
      <c r="AA577" s="235">
        <v>0.9583333333321207</v>
      </c>
      <c r="AB577" s="236">
        <v>-1.8</v>
      </c>
      <c r="AC577" s="127">
        <f t="shared" si="23"/>
        <v>-2</v>
      </c>
    </row>
    <row r="578" ht="14.5" customHeight="1" spans="11:29" x14ac:dyDescent="0.25">
      <c r="K578" s="128"/>
      <c r="X578" s="234">
        <v>2022</v>
      </c>
      <c r="Y578" s="234">
        <v>1</v>
      </c>
      <c r="Z578" s="234">
        <v>25</v>
      </c>
      <c r="AA578" s="235">
        <v>0</v>
      </c>
      <c r="AB578" s="236">
        <v>-3</v>
      </c>
      <c r="AC578" s="127">
        <f t="shared" si="23"/>
        <v>-3</v>
      </c>
    </row>
    <row r="579" ht="14.5" customHeight="1" spans="11:29" x14ac:dyDescent="0.25">
      <c r="K579" s="128"/>
      <c r="X579" s="234">
        <v>2022</v>
      </c>
      <c r="Y579" s="234">
        <v>1</v>
      </c>
      <c r="Z579" s="234">
        <v>25</v>
      </c>
      <c r="AA579" s="235">
        <v>0.041666666667879326</v>
      </c>
      <c r="AB579" s="236">
        <v>-4.6</v>
      </c>
      <c r="AC579" s="127">
        <f t="shared" si="23"/>
        <v>-5</v>
      </c>
    </row>
    <row r="580" ht="14.5" customHeight="1" spans="11:29" x14ac:dyDescent="0.25">
      <c r="K580" s="128"/>
      <c r="X580" s="234">
        <v>2022</v>
      </c>
      <c r="Y580" s="234">
        <v>1</v>
      </c>
      <c r="Z580" s="234">
        <v>25</v>
      </c>
      <c r="AA580" s="235">
        <v>0.08333333333212067</v>
      </c>
      <c r="AB580" s="236">
        <v>-4.5</v>
      </c>
      <c r="AC580" s="127">
        <f t="shared" si="23"/>
        <v>-5</v>
      </c>
    </row>
    <row r="581" ht="14.5" customHeight="1" spans="11:29" x14ac:dyDescent="0.25">
      <c r="K581" s="128"/>
      <c r="X581" s="234">
        <v>2022</v>
      </c>
      <c r="Y581" s="234">
        <v>1</v>
      </c>
      <c r="Z581" s="234">
        <v>25</v>
      </c>
      <c r="AA581" s="235">
        <v>0.125</v>
      </c>
      <c r="AB581" s="236">
        <v>-5</v>
      </c>
      <c r="AC581" s="127">
        <f t="shared" si="23"/>
        <v>-5</v>
      </c>
    </row>
    <row r="582" ht="14.5" customHeight="1" spans="11:29" x14ac:dyDescent="0.25">
      <c r="K582" s="128"/>
      <c r="X582" s="234">
        <v>2022</v>
      </c>
      <c r="Y582" s="234">
        <v>1</v>
      </c>
      <c r="Z582" s="234">
        <v>25</v>
      </c>
      <c r="AA582" s="235">
        <v>0.16666666666787933</v>
      </c>
      <c r="AB582" s="236">
        <v>-5.5</v>
      </c>
      <c r="AC582" s="127">
        <f t="shared" si="23"/>
        <v>-6</v>
      </c>
    </row>
    <row r="583" ht="14.5" customHeight="1" spans="11:29" x14ac:dyDescent="0.25">
      <c r="K583" s="128"/>
      <c r="X583" s="234">
        <v>2022</v>
      </c>
      <c r="Y583" s="234">
        <v>1</v>
      </c>
      <c r="Z583" s="234">
        <v>25</v>
      </c>
      <c r="AA583" s="235">
        <v>0.20833333333212067</v>
      </c>
      <c r="AB583" s="236">
        <v>-6</v>
      </c>
      <c r="AC583" s="127">
        <f t="shared" si="23"/>
        <v>-6</v>
      </c>
    </row>
    <row r="584" ht="14.5" customHeight="1" spans="11:29" x14ac:dyDescent="0.25">
      <c r="K584" s="128"/>
      <c r="X584" s="234">
        <v>2022</v>
      </c>
      <c r="Y584" s="234">
        <v>1</v>
      </c>
      <c r="Z584" s="234">
        <v>25</v>
      </c>
      <c r="AA584" s="235">
        <v>0.25</v>
      </c>
      <c r="AB584" s="236">
        <v>-6</v>
      </c>
      <c r="AC584" s="127">
        <f t="shared" si="23"/>
        <v>-6</v>
      </c>
    </row>
    <row r="585" ht="14.5" customHeight="1" spans="11:29" x14ac:dyDescent="0.25">
      <c r="K585" s="128"/>
      <c r="X585" s="234">
        <v>2022</v>
      </c>
      <c r="Y585" s="234">
        <v>1</v>
      </c>
      <c r="Z585" s="234">
        <v>25</v>
      </c>
      <c r="AA585" s="235">
        <v>0.2916666666678793</v>
      </c>
      <c r="AB585" s="236">
        <v>-6.4</v>
      </c>
      <c r="AC585" s="127">
        <f t="shared" si="23"/>
        <v>-6</v>
      </c>
    </row>
    <row r="586" ht="14.5" customHeight="1" spans="11:29" x14ac:dyDescent="0.25">
      <c r="K586" s="128"/>
      <c r="X586" s="234">
        <v>2022</v>
      </c>
      <c r="Y586" s="234">
        <v>1</v>
      </c>
      <c r="Z586" s="234">
        <v>25</v>
      </c>
      <c r="AA586" s="235">
        <v>0.3333333333321207</v>
      </c>
      <c r="AB586" s="236">
        <v>-5.2</v>
      </c>
      <c r="AC586" s="127">
        <f t="shared" si="23"/>
        <v>-5</v>
      </c>
    </row>
    <row r="587" ht="14.5" customHeight="1" spans="11:29" x14ac:dyDescent="0.25">
      <c r="K587" s="128"/>
      <c r="X587" s="234">
        <v>2022</v>
      </c>
      <c r="Y587" s="234">
        <v>1</v>
      </c>
      <c r="Z587" s="234">
        <v>25</v>
      </c>
      <c r="AA587" s="235">
        <v>0.375</v>
      </c>
      <c r="AB587" s="236">
        <v>-4.5</v>
      </c>
      <c r="AC587" s="127">
        <f t="shared" ref="AC587:AC650" si="24">ROUND(AB587,0)</f>
        <v>-5</v>
      </c>
    </row>
    <row r="588" ht="14.5" customHeight="1" spans="11:29" x14ac:dyDescent="0.25">
      <c r="K588" s="128"/>
      <c r="X588" s="234">
        <v>2022</v>
      </c>
      <c r="Y588" s="234">
        <v>1</v>
      </c>
      <c r="Z588" s="234">
        <v>25</v>
      </c>
      <c r="AA588" s="235">
        <v>0.4166666666678793</v>
      </c>
      <c r="AB588" s="236">
        <v>-3.9</v>
      </c>
      <c r="AC588" s="127">
        <f t="shared" si="24"/>
        <v>-4</v>
      </c>
    </row>
    <row r="589" ht="14.5" customHeight="1" spans="11:29" x14ac:dyDescent="0.25">
      <c r="K589" s="128"/>
      <c r="X589" s="234">
        <v>2022</v>
      </c>
      <c r="Y589" s="234">
        <v>1</v>
      </c>
      <c r="Z589" s="234">
        <v>25</v>
      </c>
      <c r="AA589" s="235">
        <v>0.4583333333321207</v>
      </c>
      <c r="AB589" s="236">
        <v>-0.7</v>
      </c>
      <c r="AC589" s="127">
        <f t="shared" si="24"/>
        <v>-1</v>
      </c>
    </row>
    <row r="590" ht="14.5" customHeight="1" spans="11:29" x14ac:dyDescent="0.25">
      <c r="K590" s="128"/>
      <c r="X590" s="234">
        <v>2022</v>
      </c>
      <c r="Y590" s="234">
        <v>1</v>
      </c>
      <c r="Z590" s="234">
        <v>25</v>
      </c>
      <c r="AA590" s="235">
        <v>0.5</v>
      </c>
      <c r="AB590" s="236">
        <v>2.1</v>
      </c>
      <c r="AC590" s="127">
        <f t="shared" si="24"/>
        <v>2</v>
      </c>
    </row>
    <row r="591" ht="14.5" customHeight="1" spans="11:29" x14ac:dyDescent="0.25">
      <c r="K591" s="128"/>
      <c r="X591" s="234">
        <v>2022</v>
      </c>
      <c r="Y591" s="234">
        <v>1</v>
      </c>
      <c r="Z591" s="234">
        <v>25</v>
      </c>
      <c r="AA591" s="235">
        <v>0.5416666666678793</v>
      </c>
      <c r="AB591" s="236">
        <v>3.6</v>
      </c>
      <c r="AC591" s="127">
        <f t="shared" si="24"/>
        <v>4</v>
      </c>
    </row>
    <row r="592" ht="14.5" customHeight="1" spans="11:29" x14ac:dyDescent="0.25">
      <c r="K592" s="128"/>
      <c r="X592" s="234">
        <v>2022</v>
      </c>
      <c r="Y592" s="234">
        <v>1</v>
      </c>
      <c r="Z592" s="234">
        <v>25</v>
      </c>
      <c r="AA592" s="235">
        <v>0.5833333333321207</v>
      </c>
      <c r="AB592" s="236">
        <v>7.4</v>
      </c>
      <c r="AC592" s="127">
        <f t="shared" si="24"/>
        <v>7</v>
      </c>
    </row>
    <row r="593" ht="14.5" customHeight="1" spans="11:29" x14ac:dyDescent="0.25">
      <c r="K593" s="128"/>
      <c r="X593" s="234">
        <v>2022</v>
      </c>
      <c r="Y593" s="234">
        <v>1</v>
      </c>
      <c r="Z593" s="234">
        <v>25</v>
      </c>
      <c r="AA593" s="235">
        <v>0.625</v>
      </c>
      <c r="AB593" s="236">
        <v>8</v>
      </c>
      <c r="AC593" s="127">
        <f t="shared" si="24"/>
        <v>8</v>
      </c>
    </row>
    <row r="594" ht="14.5" customHeight="1" spans="11:29" x14ac:dyDescent="0.25">
      <c r="K594" s="128"/>
      <c r="X594" s="234">
        <v>2022</v>
      </c>
      <c r="Y594" s="234">
        <v>1</v>
      </c>
      <c r="Z594" s="234">
        <v>25</v>
      </c>
      <c r="AA594" s="235">
        <v>0.6666666666678793</v>
      </c>
      <c r="AB594" s="236">
        <v>8.8</v>
      </c>
      <c r="AC594" s="127">
        <f t="shared" si="24"/>
        <v>9</v>
      </c>
    </row>
    <row r="595" ht="14.5" customHeight="1" spans="11:29" x14ac:dyDescent="0.25">
      <c r="K595" s="128"/>
      <c r="X595" s="234">
        <v>2022</v>
      </c>
      <c r="Y595" s="234">
        <v>1</v>
      </c>
      <c r="Z595" s="234">
        <v>25</v>
      </c>
      <c r="AA595" s="235">
        <v>0.7083333333321207</v>
      </c>
      <c r="AB595" s="236">
        <v>7</v>
      </c>
      <c r="AC595" s="127">
        <f t="shared" si="24"/>
        <v>7</v>
      </c>
    </row>
    <row r="596" ht="14.5" customHeight="1" spans="11:29" x14ac:dyDescent="0.25">
      <c r="K596" s="128"/>
      <c r="X596" s="234">
        <v>2022</v>
      </c>
      <c r="Y596" s="234">
        <v>1</v>
      </c>
      <c r="Z596" s="234">
        <v>25</v>
      </c>
      <c r="AA596" s="235">
        <v>0.75</v>
      </c>
      <c r="AB596" s="236">
        <v>6.8</v>
      </c>
      <c r="AC596" s="127">
        <f t="shared" si="24"/>
        <v>7</v>
      </c>
    </row>
    <row r="597" ht="14.5" customHeight="1" spans="11:29" x14ac:dyDescent="0.25">
      <c r="K597" s="128"/>
      <c r="X597" s="234">
        <v>2022</v>
      </c>
      <c r="Y597" s="234">
        <v>1</v>
      </c>
      <c r="Z597" s="234">
        <v>25</v>
      </c>
      <c r="AA597" s="235">
        <v>0.7916666666678793</v>
      </c>
      <c r="AB597" s="236">
        <v>6.4</v>
      </c>
      <c r="AC597" s="127">
        <f t="shared" si="24"/>
        <v>6</v>
      </c>
    </row>
    <row r="598" ht="14.5" customHeight="1" spans="11:29" x14ac:dyDescent="0.25">
      <c r="K598" s="128"/>
      <c r="X598" s="234">
        <v>2022</v>
      </c>
      <c r="Y598" s="234">
        <v>1</v>
      </c>
      <c r="Z598" s="234">
        <v>25</v>
      </c>
      <c r="AA598" s="235">
        <v>0.8333333333321207</v>
      </c>
      <c r="AB598" s="236">
        <v>6.1</v>
      </c>
      <c r="AC598" s="127">
        <f t="shared" si="24"/>
        <v>6</v>
      </c>
    </row>
    <row r="599" ht="14.5" customHeight="1" spans="11:29" x14ac:dyDescent="0.25">
      <c r="K599" s="128"/>
      <c r="X599" s="234">
        <v>2022</v>
      </c>
      <c r="Y599" s="234">
        <v>1</v>
      </c>
      <c r="Z599" s="234">
        <v>25</v>
      </c>
      <c r="AA599" s="235">
        <v>0.875</v>
      </c>
      <c r="AB599" s="236">
        <v>5.6</v>
      </c>
      <c r="AC599" s="127">
        <f t="shared" si="24"/>
        <v>6</v>
      </c>
    </row>
    <row r="600" ht="14.5" customHeight="1" spans="11:29" x14ac:dyDescent="0.25">
      <c r="K600" s="128"/>
      <c r="X600" s="234">
        <v>2022</v>
      </c>
      <c r="Y600" s="234">
        <v>1</v>
      </c>
      <c r="Z600" s="234">
        <v>25</v>
      </c>
      <c r="AA600" s="235">
        <v>0.9166666666678793</v>
      </c>
      <c r="AB600" s="236">
        <v>5.2</v>
      </c>
      <c r="AC600" s="127">
        <f t="shared" si="24"/>
        <v>5</v>
      </c>
    </row>
    <row r="601" ht="14.5" customHeight="1" spans="11:29" x14ac:dyDescent="0.25">
      <c r="K601" s="128"/>
      <c r="X601" s="234">
        <v>2022</v>
      </c>
      <c r="Y601" s="234">
        <v>1</v>
      </c>
      <c r="Z601" s="234">
        <v>25</v>
      </c>
      <c r="AA601" s="235">
        <v>0.9583333333321207</v>
      </c>
      <c r="AB601" s="236">
        <v>4.6</v>
      </c>
      <c r="AC601" s="127">
        <f t="shared" si="24"/>
        <v>5</v>
      </c>
    </row>
    <row r="602" ht="14.5" customHeight="1" spans="11:29" x14ac:dyDescent="0.25">
      <c r="K602" s="128"/>
      <c r="X602" s="234">
        <v>2022</v>
      </c>
      <c r="Y602" s="234">
        <v>1</v>
      </c>
      <c r="Z602" s="234">
        <v>26</v>
      </c>
      <c r="AA602" s="235">
        <v>0</v>
      </c>
      <c r="AB602" s="236">
        <v>4.1</v>
      </c>
      <c r="AC602" s="127">
        <f t="shared" si="24"/>
        <v>4</v>
      </c>
    </row>
    <row r="603" ht="14.5" customHeight="1" spans="11:29" x14ac:dyDescent="0.25">
      <c r="K603" s="128"/>
      <c r="X603" s="234">
        <v>2022</v>
      </c>
      <c r="Y603" s="234">
        <v>1</v>
      </c>
      <c r="Z603" s="234">
        <v>26</v>
      </c>
      <c r="AA603" s="235">
        <v>0.041666666667879326</v>
      </c>
      <c r="AB603" s="236">
        <v>4.2</v>
      </c>
      <c r="AC603" s="127">
        <f t="shared" si="24"/>
        <v>4</v>
      </c>
    </row>
    <row r="604" ht="14.5" customHeight="1" spans="11:29" x14ac:dyDescent="0.25">
      <c r="K604" s="128"/>
      <c r="X604" s="234">
        <v>2022</v>
      </c>
      <c r="Y604" s="234">
        <v>1</v>
      </c>
      <c r="Z604" s="234">
        <v>26</v>
      </c>
      <c r="AA604" s="235">
        <v>0.08333333333212067</v>
      </c>
      <c r="AB604" s="236">
        <v>1.3</v>
      </c>
      <c r="AC604" s="127">
        <f t="shared" si="24"/>
        <v>1</v>
      </c>
    </row>
    <row r="605" ht="14.5" customHeight="1" spans="11:29" x14ac:dyDescent="0.25">
      <c r="K605" s="128"/>
      <c r="X605" s="234">
        <v>2022</v>
      </c>
      <c r="Y605" s="234">
        <v>1</v>
      </c>
      <c r="Z605" s="234">
        <v>26</v>
      </c>
      <c r="AA605" s="235">
        <v>0.125</v>
      </c>
      <c r="AB605" s="236">
        <v>0.7</v>
      </c>
      <c r="AC605" s="127">
        <f t="shared" si="24"/>
        <v>1</v>
      </c>
    </row>
    <row r="606" ht="14.5" customHeight="1" spans="11:29" x14ac:dyDescent="0.25">
      <c r="K606" s="128"/>
      <c r="X606" s="234">
        <v>2022</v>
      </c>
      <c r="Y606" s="234">
        <v>1</v>
      </c>
      <c r="Z606" s="234">
        <v>26</v>
      </c>
      <c r="AA606" s="235">
        <v>0.16666666666787933</v>
      </c>
      <c r="AB606" s="236">
        <v>-0.6</v>
      </c>
      <c r="AC606" s="127">
        <f t="shared" si="24"/>
        <v>-1</v>
      </c>
    </row>
    <row r="607" ht="14.5" customHeight="1" spans="11:29" x14ac:dyDescent="0.25">
      <c r="K607" s="128"/>
      <c r="X607" s="234">
        <v>2022</v>
      </c>
      <c r="Y607" s="234">
        <v>1</v>
      </c>
      <c r="Z607" s="234">
        <v>26</v>
      </c>
      <c r="AA607" s="235">
        <v>0.20833333333212067</v>
      </c>
      <c r="AB607" s="236">
        <v>-1.4</v>
      </c>
      <c r="AC607" s="127">
        <f t="shared" si="24"/>
        <v>-1</v>
      </c>
    </row>
    <row r="608" ht="14.5" customHeight="1" spans="11:29" x14ac:dyDescent="0.25">
      <c r="K608" s="128"/>
      <c r="X608" s="234">
        <v>2022</v>
      </c>
      <c r="Y608" s="234">
        <v>1</v>
      </c>
      <c r="Z608" s="234">
        <v>26</v>
      </c>
      <c r="AA608" s="235">
        <v>0.25</v>
      </c>
      <c r="AB608" s="236">
        <v>-0.5</v>
      </c>
      <c r="AC608" s="127">
        <f t="shared" si="24"/>
        <v>-1</v>
      </c>
    </row>
    <row r="609" ht="14.5" customHeight="1" spans="11:29" x14ac:dyDescent="0.25">
      <c r="K609" s="128"/>
      <c r="X609" s="234">
        <v>2022</v>
      </c>
      <c r="Y609" s="234">
        <v>1</v>
      </c>
      <c r="Z609" s="234">
        <v>26</v>
      </c>
      <c r="AA609" s="235">
        <v>0.2916666666678793</v>
      </c>
      <c r="AB609" s="236">
        <v>-2.6</v>
      </c>
      <c r="AC609" s="127">
        <f t="shared" si="24"/>
        <v>-3</v>
      </c>
    </row>
    <row r="610" ht="14.5" customHeight="1" spans="11:29" x14ac:dyDescent="0.25">
      <c r="K610" s="128"/>
      <c r="X610" s="234">
        <v>2022</v>
      </c>
      <c r="Y610" s="234">
        <v>1</v>
      </c>
      <c r="Z610" s="234">
        <v>26</v>
      </c>
      <c r="AA610" s="235">
        <v>0.3333333333321207</v>
      </c>
      <c r="AB610" s="236">
        <v>-1.7</v>
      </c>
      <c r="AC610" s="127">
        <f t="shared" si="24"/>
        <v>-2</v>
      </c>
    </row>
    <row r="611" ht="14.5" customHeight="1" spans="11:29" x14ac:dyDescent="0.25">
      <c r="K611" s="128"/>
      <c r="X611" s="234">
        <v>2022</v>
      </c>
      <c r="Y611" s="234">
        <v>1</v>
      </c>
      <c r="Z611" s="234">
        <v>26</v>
      </c>
      <c r="AA611" s="235">
        <v>0.375</v>
      </c>
      <c r="AB611" s="236">
        <v>-0.6</v>
      </c>
      <c r="AC611" s="127">
        <f t="shared" si="24"/>
        <v>-1</v>
      </c>
    </row>
    <row r="612" ht="14.5" customHeight="1" spans="11:29" x14ac:dyDescent="0.25">
      <c r="K612" s="128"/>
      <c r="X612" s="234">
        <v>2022</v>
      </c>
      <c r="Y612" s="234">
        <v>1</v>
      </c>
      <c r="Z612" s="234">
        <v>26</v>
      </c>
      <c r="AA612" s="235">
        <v>0.4166666666678793</v>
      </c>
      <c r="AB612" s="236">
        <v>1.7</v>
      </c>
      <c r="AC612" s="127">
        <f t="shared" si="24"/>
        <v>2</v>
      </c>
    </row>
    <row r="613" ht="14.5" customHeight="1" spans="11:29" x14ac:dyDescent="0.25">
      <c r="K613" s="128"/>
      <c r="X613" s="234">
        <v>2022</v>
      </c>
      <c r="Y613" s="234">
        <v>1</v>
      </c>
      <c r="Z613" s="234">
        <v>26</v>
      </c>
      <c r="AA613" s="235">
        <v>0.4583333333321207</v>
      </c>
      <c r="AB613" s="236">
        <v>2.1</v>
      </c>
      <c r="AC613" s="127">
        <f t="shared" si="24"/>
        <v>2</v>
      </c>
    </row>
    <row r="614" ht="14.5" customHeight="1" spans="11:29" x14ac:dyDescent="0.25">
      <c r="K614" s="128"/>
      <c r="X614" s="234">
        <v>2022</v>
      </c>
      <c r="Y614" s="234">
        <v>1</v>
      </c>
      <c r="Z614" s="234">
        <v>26</v>
      </c>
      <c r="AA614" s="235">
        <v>0.5</v>
      </c>
      <c r="AB614" s="236">
        <v>2.8</v>
      </c>
      <c r="AC614" s="127">
        <f t="shared" si="24"/>
        <v>3</v>
      </c>
    </row>
    <row r="615" ht="14.5" customHeight="1" spans="11:29" x14ac:dyDescent="0.25">
      <c r="K615" s="128"/>
      <c r="X615" s="234">
        <v>2022</v>
      </c>
      <c r="Y615" s="234">
        <v>1</v>
      </c>
      <c r="Z615" s="234">
        <v>26</v>
      </c>
      <c r="AA615" s="235">
        <v>0.5416666666678793</v>
      </c>
      <c r="AB615" s="236">
        <v>2.8</v>
      </c>
      <c r="AC615" s="127">
        <f t="shared" si="24"/>
        <v>3</v>
      </c>
    </row>
    <row r="616" ht="14.5" customHeight="1" spans="11:29" x14ac:dyDescent="0.25">
      <c r="K616" s="128"/>
      <c r="X616" s="234">
        <v>2022</v>
      </c>
      <c r="Y616" s="234">
        <v>1</v>
      </c>
      <c r="Z616" s="234">
        <v>26</v>
      </c>
      <c r="AA616" s="235">
        <v>0.5833333333321207</v>
      </c>
      <c r="AB616" s="236">
        <v>3</v>
      </c>
      <c r="AC616" s="127">
        <f t="shared" si="24"/>
        <v>3</v>
      </c>
    </row>
    <row r="617" ht="14.5" customHeight="1" spans="11:29" x14ac:dyDescent="0.25">
      <c r="K617" s="128"/>
      <c r="X617" s="234">
        <v>2022</v>
      </c>
      <c r="Y617" s="234">
        <v>1</v>
      </c>
      <c r="Z617" s="234">
        <v>26</v>
      </c>
      <c r="AA617" s="235">
        <v>0.625</v>
      </c>
      <c r="AB617" s="236">
        <v>2.7</v>
      </c>
      <c r="AC617" s="127">
        <f t="shared" si="24"/>
        <v>3</v>
      </c>
    </row>
    <row r="618" ht="14.5" customHeight="1" spans="11:29" x14ac:dyDescent="0.25">
      <c r="K618" s="128"/>
      <c r="X618" s="234">
        <v>2022</v>
      </c>
      <c r="Y618" s="234">
        <v>1</v>
      </c>
      <c r="Z618" s="234">
        <v>26</v>
      </c>
      <c r="AA618" s="235">
        <v>0.6666666666678793</v>
      </c>
      <c r="AB618" s="236">
        <v>2.2</v>
      </c>
      <c r="AC618" s="127">
        <f t="shared" si="24"/>
        <v>2</v>
      </c>
    </row>
    <row r="619" ht="14.5" customHeight="1" spans="11:29" x14ac:dyDescent="0.25">
      <c r="K619" s="128"/>
      <c r="X619" s="234">
        <v>2022</v>
      </c>
      <c r="Y619" s="234">
        <v>1</v>
      </c>
      <c r="Z619" s="234">
        <v>26</v>
      </c>
      <c r="AA619" s="235">
        <v>0.7083333333321207</v>
      </c>
      <c r="AB619" s="236">
        <v>0.6</v>
      </c>
      <c r="AC619" s="127">
        <f t="shared" si="24"/>
        <v>1</v>
      </c>
    </row>
    <row r="620" ht="14.5" customHeight="1" spans="11:29" x14ac:dyDescent="0.25">
      <c r="K620" s="128"/>
      <c r="X620" s="234">
        <v>2022</v>
      </c>
      <c r="Y620" s="234">
        <v>1</v>
      </c>
      <c r="Z620" s="234">
        <v>26</v>
      </c>
      <c r="AA620" s="235">
        <v>0.75</v>
      </c>
      <c r="AB620" s="236">
        <v>-0.5</v>
      </c>
      <c r="AC620" s="127">
        <f t="shared" si="24"/>
        <v>-1</v>
      </c>
    </row>
    <row r="621" ht="14.5" customHeight="1" spans="11:29" x14ac:dyDescent="0.25">
      <c r="K621" s="128"/>
      <c r="X621" s="234">
        <v>2022</v>
      </c>
      <c r="Y621" s="234">
        <v>1</v>
      </c>
      <c r="Z621" s="234">
        <v>26</v>
      </c>
      <c r="AA621" s="235">
        <v>0.7916666666678793</v>
      </c>
      <c r="AB621" s="236">
        <v>-0.4</v>
      </c>
      <c r="AC621" s="127">
        <f t="shared" si="24"/>
        <v>0</v>
      </c>
    </row>
    <row r="622" ht="14.5" customHeight="1" spans="11:29" x14ac:dyDescent="0.25">
      <c r="K622" s="128"/>
      <c r="X622" s="234">
        <v>2022</v>
      </c>
      <c r="Y622" s="234">
        <v>1</v>
      </c>
      <c r="Z622" s="234">
        <v>26</v>
      </c>
      <c r="AA622" s="235">
        <v>0.8333333333321207</v>
      </c>
      <c r="AB622" s="236">
        <v>-2.2</v>
      </c>
      <c r="AC622" s="127">
        <f t="shared" si="24"/>
        <v>-2</v>
      </c>
    </row>
    <row r="623" ht="14.5" customHeight="1" spans="11:29" x14ac:dyDescent="0.25">
      <c r="K623" s="128"/>
      <c r="X623" s="234">
        <v>2022</v>
      </c>
      <c r="Y623" s="234">
        <v>1</v>
      </c>
      <c r="Z623" s="234">
        <v>26</v>
      </c>
      <c r="AA623" s="235">
        <v>0.875</v>
      </c>
      <c r="AB623" s="236">
        <v>-2.6</v>
      </c>
      <c r="AC623" s="127">
        <f t="shared" si="24"/>
        <v>-3</v>
      </c>
    </row>
    <row r="624" ht="14.5" customHeight="1" spans="11:29" x14ac:dyDescent="0.25">
      <c r="K624" s="128"/>
      <c r="X624" s="234">
        <v>2022</v>
      </c>
      <c r="Y624" s="234">
        <v>1</v>
      </c>
      <c r="Z624" s="234">
        <v>26</v>
      </c>
      <c r="AA624" s="235">
        <v>0.9166666666678793</v>
      </c>
      <c r="AB624" s="236">
        <v>-2.1</v>
      </c>
      <c r="AC624" s="127">
        <f t="shared" si="24"/>
        <v>-2</v>
      </c>
    </row>
    <row r="625" ht="14.5" customHeight="1" spans="11:29" x14ac:dyDescent="0.25">
      <c r="K625" s="128"/>
      <c r="X625" s="234">
        <v>2022</v>
      </c>
      <c r="Y625" s="234">
        <v>1</v>
      </c>
      <c r="Z625" s="234">
        <v>26</v>
      </c>
      <c r="AA625" s="235">
        <v>0.9583333333321207</v>
      </c>
      <c r="AB625" s="236">
        <v>-3.4</v>
      </c>
      <c r="AC625" s="127">
        <f t="shared" si="24"/>
        <v>-3</v>
      </c>
    </row>
    <row r="626" ht="14.5" customHeight="1" spans="11:29" x14ac:dyDescent="0.25">
      <c r="K626" s="128"/>
      <c r="X626" s="234">
        <v>2022</v>
      </c>
      <c r="Y626" s="234">
        <v>1</v>
      </c>
      <c r="Z626" s="234">
        <v>27</v>
      </c>
      <c r="AA626" s="235">
        <v>0</v>
      </c>
      <c r="AB626" s="236">
        <v>-3.9</v>
      </c>
      <c r="AC626" s="127">
        <f t="shared" si="24"/>
        <v>-4</v>
      </c>
    </row>
    <row r="627" ht="14.5" customHeight="1" spans="11:29" x14ac:dyDescent="0.25">
      <c r="K627" s="128"/>
      <c r="X627" s="234">
        <v>2022</v>
      </c>
      <c r="Y627" s="234">
        <v>1</v>
      </c>
      <c r="Z627" s="234">
        <v>27</v>
      </c>
      <c r="AA627" s="235">
        <v>0.041666666667879326</v>
      </c>
      <c r="AB627" s="236">
        <v>-7</v>
      </c>
      <c r="AC627" s="127">
        <f t="shared" si="24"/>
        <v>-7</v>
      </c>
    </row>
    <row r="628" ht="14.5" customHeight="1" spans="11:29" x14ac:dyDescent="0.25">
      <c r="K628" s="128"/>
      <c r="X628" s="234">
        <v>2022</v>
      </c>
      <c r="Y628" s="234">
        <v>1</v>
      </c>
      <c r="Z628" s="234">
        <v>27</v>
      </c>
      <c r="AA628" s="235">
        <v>0.08333333333212067</v>
      </c>
      <c r="AB628" s="236">
        <v>-6.5</v>
      </c>
      <c r="AC628" s="127">
        <f t="shared" si="24"/>
        <v>-7</v>
      </c>
    </row>
    <row r="629" ht="14.5" customHeight="1" spans="11:29" x14ac:dyDescent="0.25">
      <c r="K629" s="128"/>
      <c r="X629" s="234">
        <v>2022</v>
      </c>
      <c r="Y629" s="234">
        <v>1</v>
      </c>
      <c r="Z629" s="234">
        <v>27</v>
      </c>
      <c r="AA629" s="235">
        <v>0.125</v>
      </c>
      <c r="AB629" s="236">
        <v>-6.7</v>
      </c>
      <c r="AC629" s="127">
        <f t="shared" si="24"/>
        <v>-7</v>
      </c>
    </row>
    <row r="630" ht="14.5" customHeight="1" spans="11:29" x14ac:dyDescent="0.25">
      <c r="K630" s="128"/>
      <c r="X630" s="234">
        <v>2022</v>
      </c>
      <c r="Y630" s="234">
        <v>1</v>
      </c>
      <c r="Z630" s="234">
        <v>27</v>
      </c>
      <c r="AA630" s="235">
        <v>0.16666666666787933</v>
      </c>
      <c r="AB630" s="236">
        <v>-7.9</v>
      </c>
      <c r="AC630" s="127">
        <f t="shared" si="24"/>
        <v>-8</v>
      </c>
    </row>
    <row r="631" ht="14.5" customHeight="1" spans="11:29" x14ac:dyDescent="0.25">
      <c r="K631" s="128"/>
      <c r="X631" s="234">
        <v>2022</v>
      </c>
      <c r="Y631" s="234">
        <v>1</v>
      </c>
      <c r="Z631" s="234">
        <v>27</v>
      </c>
      <c r="AA631" s="235">
        <v>0.20833333333212067</v>
      </c>
      <c r="AB631" s="236">
        <v>-6.9</v>
      </c>
      <c r="AC631" s="127">
        <f t="shared" si="24"/>
        <v>-7</v>
      </c>
    </row>
    <row r="632" ht="14.5" customHeight="1" spans="11:29" x14ac:dyDescent="0.25">
      <c r="K632" s="128"/>
      <c r="X632" s="234">
        <v>2022</v>
      </c>
      <c r="Y632" s="234">
        <v>1</v>
      </c>
      <c r="Z632" s="234">
        <v>27</v>
      </c>
      <c r="AA632" s="235">
        <v>0.25</v>
      </c>
      <c r="AB632" s="236">
        <v>-5.9</v>
      </c>
      <c r="AC632" s="127">
        <f t="shared" si="24"/>
        <v>-6</v>
      </c>
    </row>
    <row r="633" ht="14.5" customHeight="1" spans="11:29" x14ac:dyDescent="0.25">
      <c r="K633" s="128"/>
      <c r="X633" s="234">
        <v>2022</v>
      </c>
      <c r="Y633" s="234">
        <v>1</v>
      </c>
      <c r="Z633" s="234">
        <v>27</v>
      </c>
      <c r="AA633" s="235">
        <v>0.2916666666678793</v>
      </c>
      <c r="AB633" s="236">
        <v>-8.8</v>
      </c>
      <c r="AC633" s="127">
        <f t="shared" si="24"/>
        <v>-9</v>
      </c>
    </row>
    <row r="634" ht="14.5" customHeight="1" spans="11:29" x14ac:dyDescent="0.25">
      <c r="K634" s="128"/>
      <c r="X634" s="234">
        <v>2022</v>
      </c>
      <c r="Y634" s="234">
        <v>1</v>
      </c>
      <c r="Z634" s="234">
        <v>27</v>
      </c>
      <c r="AA634" s="235">
        <v>0.3333333333321207</v>
      </c>
      <c r="AB634" s="236">
        <v>-7.8</v>
      </c>
      <c r="AC634" s="127">
        <f t="shared" si="24"/>
        <v>-8</v>
      </c>
    </row>
    <row r="635" ht="14.5" customHeight="1" spans="11:29" x14ac:dyDescent="0.25">
      <c r="K635" s="128"/>
      <c r="X635" s="234">
        <v>2022</v>
      </c>
      <c r="Y635" s="234">
        <v>1</v>
      </c>
      <c r="Z635" s="234">
        <v>27</v>
      </c>
      <c r="AA635" s="235">
        <v>0.375</v>
      </c>
      <c r="AB635" s="236">
        <v>-7.4</v>
      </c>
      <c r="AC635" s="127">
        <f t="shared" si="24"/>
        <v>-7</v>
      </c>
    </row>
    <row r="636" ht="14.5" customHeight="1" spans="11:29" x14ac:dyDescent="0.25">
      <c r="K636" s="128"/>
      <c r="X636" s="234">
        <v>2022</v>
      </c>
      <c r="Y636" s="234">
        <v>1</v>
      </c>
      <c r="Z636" s="234">
        <v>27</v>
      </c>
      <c r="AA636" s="235">
        <v>0.4166666666678793</v>
      </c>
      <c r="AB636" s="236">
        <v>-4.5</v>
      </c>
      <c r="AC636" s="127">
        <f t="shared" si="24"/>
        <v>-5</v>
      </c>
    </row>
    <row r="637" ht="14.5" customHeight="1" spans="11:29" x14ac:dyDescent="0.25">
      <c r="K637" s="128"/>
      <c r="X637" s="234">
        <v>2022</v>
      </c>
      <c r="Y637" s="234">
        <v>1</v>
      </c>
      <c r="Z637" s="234">
        <v>27</v>
      </c>
      <c r="AA637" s="235">
        <v>0.4583333333321207</v>
      </c>
      <c r="AB637" s="236">
        <v>-2.6</v>
      </c>
      <c r="AC637" s="127">
        <f t="shared" si="24"/>
        <v>-3</v>
      </c>
    </row>
    <row r="638" ht="14.5" customHeight="1" spans="11:29" x14ac:dyDescent="0.25">
      <c r="K638" s="128"/>
      <c r="X638" s="234">
        <v>2022</v>
      </c>
      <c r="Y638" s="234">
        <v>1</v>
      </c>
      <c r="Z638" s="234">
        <v>27</v>
      </c>
      <c r="AA638" s="235">
        <v>0.5</v>
      </c>
      <c r="AB638" s="236">
        <v>0.5</v>
      </c>
      <c r="AC638" s="127">
        <f t="shared" si="24"/>
        <v>1</v>
      </c>
    </row>
    <row r="639" ht="14.5" customHeight="1" spans="11:29" x14ac:dyDescent="0.25">
      <c r="K639" s="128"/>
      <c r="X639" s="234">
        <v>2022</v>
      </c>
      <c r="Y639" s="234">
        <v>1</v>
      </c>
      <c r="Z639" s="234">
        <v>27</v>
      </c>
      <c r="AA639" s="235">
        <v>0.5416666666678793</v>
      </c>
      <c r="AB639" s="236">
        <v>2.8</v>
      </c>
      <c r="AC639" s="127">
        <f t="shared" si="24"/>
        <v>3</v>
      </c>
    </row>
    <row r="640" ht="14.5" customHeight="1" spans="11:29" x14ac:dyDescent="0.25">
      <c r="K640" s="128"/>
      <c r="X640" s="234">
        <v>2022</v>
      </c>
      <c r="Y640" s="234">
        <v>1</v>
      </c>
      <c r="Z640" s="234">
        <v>27</v>
      </c>
      <c r="AA640" s="235">
        <v>0.5833333333321207</v>
      </c>
      <c r="AB640" s="236">
        <v>6</v>
      </c>
      <c r="AC640" s="127">
        <f t="shared" si="24"/>
        <v>6</v>
      </c>
    </row>
    <row r="641" ht="14.5" customHeight="1" spans="11:29" x14ac:dyDescent="0.25">
      <c r="K641" s="128"/>
      <c r="X641" s="234">
        <v>2022</v>
      </c>
      <c r="Y641" s="234">
        <v>1</v>
      </c>
      <c r="Z641" s="234">
        <v>27</v>
      </c>
      <c r="AA641" s="235">
        <v>0.625</v>
      </c>
      <c r="AB641" s="236">
        <v>7.8</v>
      </c>
      <c r="AC641" s="127">
        <f t="shared" si="24"/>
        <v>8</v>
      </c>
    </row>
    <row r="642" ht="14.5" customHeight="1" spans="11:29" x14ac:dyDescent="0.25">
      <c r="K642" s="128"/>
      <c r="X642" s="234">
        <v>2022</v>
      </c>
      <c r="Y642" s="234">
        <v>1</v>
      </c>
      <c r="Z642" s="234">
        <v>27</v>
      </c>
      <c r="AA642" s="235">
        <v>0.6666666666678793</v>
      </c>
      <c r="AB642" s="236">
        <v>8.5</v>
      </c>
      <c r="AC642" s="127">
        <f t="shared" si="24"/>
        <v>9</v>
      </c>
    </row>
    <row r="643" ht="14.5" customHeight="1" spans="11:29" x14ac:dyDescent="0.25">
      <c r="K643" s="128"/>
      <c r="X643" s="234">
        <v>2022</v>
      </c>
      <c r="Y643" s="234">
        <v>1</v>
      </c>
      <c r="Z643" s="234">
        <v>27</v>
      </c>
      <c r="AA643" s="235">
        <v>0.7083333333321207</v>
      </c>
      <c r="AB643" s="236">
        <v>6.5</v>
      </c>
      <c r="AC643" s="127">
        <f t="shared" si="24"/>
        <v>7</v>
      </c>
    </row>
    <row r="644" ht="14.5" customHeight="1" spans="11:29" x14ac:dyDescent="0.25">
      <c r="K644" s="128"/>
      <c r="X644" s="234">
        <v>2022</v>
      </c>
      <c r="Y644" s="234">
        <v>1</v>
      </c>
      <c r="Z644" s="234">
        <v>27</v>
      </c>
      <c r="AA644" s="235">
        <v>0.75</v>
      </c>
      <c r="AB644" s="236">
        <v>5.3</v>
      </c>
      <c r="AC644" s="127">
        <f t="shared" si="24"/>
        <v>5</v>
      </c>
    </row>
    <row r="645" ht="14.5" customHeight="1" spans="11:29" x14ac:dyDescent="0.25">
      <c r="K645" s="128"/>
      <c r="X645" s="234">
        <v>2022</v>
      </c>
      <c r="Y645" s="234">
        <v>1</v>
      </c>
      <c r="Z645" s="234">
        <v>27</v>
      </c>
      <c r="AA645" s="235">
        <v>0.7916666666678793</v>
      </c>
      <c r="AB645" s="236">
        <v>5.1</v>
      </c>
      <c r="AC645" s="127">
        <f t="shared" si="24"/>
        <v>5</v>
      </c>
    </row>
    <row r="646" ht="14.5" customHeight="1" spans="11:29" x14ac:dyDescent="0.25">
      <c r="K646" s="128"/>
      <c r="X646" s="234">
        <v>2022</v>
      </c>
      <c r="Y646" s="234">
        <v>1</v>
      </c>
      <c r="Z646" s="234">
        <v>27</v>
      </c>
      <c r="AA646" s="235">
        <v>0.8333333333321207</v>
      </c>
      <c r="AB646" s="236">
        <v>5.5</v>
      </c>
      <c r="AC646" s="127">
        <f t="shared" si="24"/>
        <v>6</v>
      </c>
    </row>
    <row r="647" ht="14.5" customHeight="1" spans="11:29" x14ac:dyDescent="0.25">
      <c r="K647" s="128"/>
      <c r="X647" s="234">
        <v>2022</v>
      </c>
      <c r="Y647" s="234">
        <v>1</v>
      </c>
      <c r="Z647" s="234">
        <v>27</v>
      </c>
      <c r="AA647" s="235">
        <v>0.875</v>
      </c>
      <c r="AB647" s="236">
        <v>5.9</v>
      </c>
      <c r="AC647" s="127">
        <f t="shared" si="24"/>
        <v>6</v>
      </c>
    </row>
    <row r="648" ht="14.5" customHeight="1" spans="11:29" x14ac:dyDescent="0.25">
      <c r="K648" s="128"/>
      <c r="X648" s="234">
        <v>2022</v>
      </c>
      <c r="Y648" s="234">
        <v>1</v>
      </c>
      <c r="Z648" s="234">
        <v>27</v>
      </c>
      <c r="AA648" s="235">
        <v>0.9166666666678793</v>
      </c>
      <c r="AB648" s="236">
        <v>5.5</v>
      </c>
      <c r="AC648" s="127">
        <f t="shared" si="24"/>
        <v>6</v>
      </c>
    </row>
    <row r="649" ht="14.5" customHeight="1" spans="11:29" x14ac:dyDescent="0.25">
      <c r="K649" s="128"/>
      <c r="X649" s="234">
        <v>2022</v>
      </c>
      <c r="Y649" s="234">
        <v>1</v>
      </c>
      <c r="Z649" s="234">
        <v>27</v>
      </c>
      <c r="AA649" s="235">
        <v>0.9583333333321207</v>
      </c>
      <c r="AB649" s="236">
        <v>4.2</v>
      </c>
      <c r="AC649" s="127">
        <f t="shared" si="24"/>
        <v>4</v>
      </c>
    </row>
    <row r="650" ht="14.5" customHeight="1" spans="11:29" x14ac:dyDescent="0.25">
      <c r="K650" s="128"/>
      <c r="X650" s="234">
        <v>2022</v>
      </c>
      <c r="Y650" s="234">
        <v>1</v>
      </c>
      <c r="Z650" s="234">
        <v>28</v>
      </c>
      <c r="AA650" s="235">
        <v>0</v>
      </c>
      <c r="AB650" s="236">
        <v>5.3</v>
      </c>
      <c r="AC650" s="127">
        <f t="shared" si="24"/>
        <v>5</v>
      </c>
    </row>
    <row r="651" ht="14.5" customHeight="1" spans="11:29" x14ac:dyDescent="0.25">
      <c r="K651" s="128"/>
      <c r="X651" s="234">
        <v>2022</v>
      </c>
      <c r="Y651" s="234">
        <v>1</v>
      </c>
      <c r="Z651" s="234">
        <v>28</v>
      </c>
      <c r="AA651" s="235">
        <v>0.041666666667879326</v>
      </c>
      <c r="AB651" s="236">
        <v>4.9</v>
      </c>
      <c r="AC651" s="127">
        <f t="shared" ref="AC651:AC714" si="25">ROUND(AB651,0)</f>
        <v>5</v>
      </c>
    </row>
    <row r="652" ht="14.5" customHeight="1" spans="11:29" x14ac:dyDescent="0.25">
      <c r="K652" s="128"/>
      <c r="X652" s="234">
        <v>2022</v>
      </c>
      <c r="Y652" s="234">
        <v>1</v>
      </c>
      <c r="Z652" s="234">
        <v>28</v>
      </c>
      <c r="AA652" s="235">
        <v>0.08333333333212067</v>
      </c>
      <c r="AB652" s="236">
        <v>5.3</v>
      </c>
      <c r="AC652" s="127">
        <f t="shared" si="25"/>
        <v>5</v>
      </c>
    </row>
    <row r="653" ht="14.5" customHeight="1" spans="11:29" x14ac:dyDescent="0.25">
      <c r="K653" s="128"/>
      <c r="X653" s="234">
        <v>2022</v>
      </c>
      <c r="Y653" s="234">
        <v>1</v>
      </c>
      <c r="Z653" s="234">
        <v>28</v>
      </c>
      <c r="AA653" s="235">
        <v>0.125</v>
      </c>
      <c r="AB653" s="236">
        <v>3.3</v>
      </c>
      <c r="AC653" s="127">
        <f t="shared" si="25"/>
        <v>3</v>
      </c>
    </row>
    <row r="654" ht="14.5" customHeight="1" spans="11:29" x14ac:dyDescent="0.25">
      <c r="K654" s="128"/>
      <c r="X654" s="234">
        <v>2022</v>
      </c>
      <c r="Y654" s="234">
        <v>1</v>
      </c>
      <c r="Z654" s="234">
        <v>28</v>
      </c>
      <c r="AA654" s="235">
        <v>0.16666666666787933</v>
      </c>
      <c r="AB654" s="236">
        <v>2.6</v>
      </c>
      <c r="AC654" s="127">
        <f t="shared" si="25"/>
        <v>3</v>
      </c>
    </row>
    <row r="655" ht="14.5" customHeight="1" spans="11:29" x14ac:dyDescent="0.25">
      <c r="K655" s="128"/>
      <c r="X655" s="234">
        <v>2022</v>
      </c>
      <c r="Y655" s="234">
        <v>1</v>
      </c>
      <c r="Z655" s="234">
        <v>28</v>
      </c>
      <c r="AA655" s="235">
        <v>0.20833333333212067</v>
      </c>
      <c r="AB655" s="236">
        <v>6.4</v>
      </c>
      <c r="AC655" s="127">
        <f t="shared" si="25"/>
        <v>6</v>
      </c>
    </row>
    <row r="656" ht="14.5" customHeight="1" spans="11:29" x14ac:dyDescent="0.25">
      <c r="K656" s="128"/>
      <c r="X656" s="234">
        <v>2022</v>
      </c>
      <c r="Y656" s="234">
        <v>1</v>
      </c>
      <c r="Z656" s="234">
        <v>28</v>
      </c>
      <c r="AA656" s="235">
        <v>0.25</v>
      </c>
      <c r="AB656" s="236">
        <v>6.5</v>
      </c>
      <c r="AC656" s="127">
        <f t="shared" si="25"/>
        <v>7</v>
      </c>
    </row>
    <row r="657" ht="14.5" customHeight="1" spans="11:29" x14ac:dyDescent="0.25">
      <c r="K657" s="128"/>
      <c r="X657" s="234">
        <v>2022</v>
      </c>
      <c r="Y657" s="234">
        <v>1</v>
      </c>
      <c r="Z657" s="234">
        <v>28</v>
      </c>
      <c r="AA657" s="235">
        <v>0.2916666666678793</v>
      </c>
      <c r="AB657" s="236">
        <v>7</v>
      </c>
      <c r="AC657" s="127">
        <f t="shared" si="25"/>
        <v>7</v>
      </c>
    </row>
    <row r="658" ht="14.5" customHeight="1" spans="11:29" x14ac:dyDescent="0.25">
      <c r="K658" s="128"/>
      <c r="X658" s="234">
        <v>2022</v>
      </c>
      <c r="Y658" s="234">
        <v>1</v>
      </c>
      <c r="Z658" s="234">
        <v>28</v>
      </c>
      <c r="AA658" s="235">
        <v>0.3333333333321207</v>
      </c>
      <c r="AB658" s="236">
        <v>5.1</v>
      </c>
      <c r="AC658" s="127">
        <f t="shared" si="25"/>
        <v>5</v>
      </c>
    </row>
    <row r="659" ht="14.5" customHeight="1" spans="11:29" x14ac:dyDescent="0.25">
      <c r="K659" s="128"/>
      <c r="X659" s="234">
        <v>2022</v>
      </c>
      <c r="Y659" s="234">
        <v>1</v>
      </c>
      <c r="Z659" s="234">
        <v>28</v>
      </c>
      <c r="AA659" s="235">
        <v>0.375</v>
      </c>
      <c r="AB659" s="236">
        <v>6.4</v>
      </c>
      <c r="AC659" s="127">
        <f t="shared" si="25"/>
        <v>6</v>
      </c>
    </row>
    <row r="660" ht="14.5" customHeight="1" spans="11:29" x14ac:dyDescent="0.25">
      <c r="K660" s="128"/>
      <c r="X660" s="234">
        <v>2022</v>
      </c>
      <c r="Y660" s="234">
        <v>1</v>
      </c>
      <c r="Z660" s="234">
        <v>28</v>
      </c>
      <c r="AA660" s="235">
        <v>0.4166666666678793</v>
      </c>
      <c r="AB660" s="236">
        <v>7.5</v>
      </c>
      <c r="AC660" s="127">
        <f t="shared" si="25"/>
        <v>8</v>
      </c>
    </row>
    <row r="661" ht="14.5" customHeight="1" spans="11:29" x14ac:dyDescent="0.25">
      <c r="K661" s="128"/>
      <c r="X661" s="234">
        <v>2022</v>
      </c>
      <c r="Y661" s="234">
        <v>1</v>
      </c>
      <c r="Z661" s="234">
        <v>28</v>
      </c>
      <c r="AA661" s="235">
        <v>0.4583333333321207</v>
      </c>
      <c r="AB661" s="236">
        <v>9.3</v>
      </c>
      <c r="AC661" s="127">
        <f t="shared" si="25"/>
        <v>9</v>
      </c>
    </row>
    <row r="662" ht="14.5" customHeight="1" spans="11:29" x14ac:dyDescent="0.25">
      <c r="K662" s="128"/>
      <c r="X662" s="234">
        <v>2022</v>
      </c>
      <c r="Y662" s="234">
        <v>1</v>
      </c>
      <c r="Z662" s="234">
        <v>28</v>
      </c>
      <c r="AA662" s="235">
        <v>0.5</v>
      </c>
      <c r="AB662" s="236">
        <v>8.4</v>
      </c>
      <c r="AC662" s="127">
        <f t="shared" si="25"/>
        <v>8</v>
      </c>
    </row>
    <row r="663" ht="14.5" customHeight="1" spans="11:29" x14ac:dyDescent="0.25">
      <c r="K663" s="128"/>
      <c r="X663" s="234">
        <v>2022</v>
      </c>
      <c r="Y663" s="234">
        <v>1</v>
      </c>
      <c r="Z663" s="234">
        <v>28</v>
      </c>
      <c r="AA663" s="235">
        <v>0.5416666666678793</v>
      </c>
      <c r="AB663" s="236">
        <v>10.3</v>
      </c>
      <c r="AC663" s="127">
        <f t="shared" si="25"/>
        <v>10</v>
      </c>
    </row>
    <row r="664" ht="14.5" customHeight="1" spans="11:29" x14ac:dyDescent="0.25">
      <c r="K664" s="128"/>
      <c r="X664" s="234">
        <v>2022</v>
      </c>
      <c r="Y664" s="234">
        <v>1</v>
      </c>
      <c r="Z664" s="234">
        <v>28</v>
      </c>
      <c r="AA664" s="235">
        <v>0.5833333333321207</v>
      </c>
      <c r="AB664" s="236">
        <v>10.1</v>
      </c>
      <c r="AC664" s="127">
        <f t="shared" si="25"/>
        <v>10</v>
      </c>
    </row>
    <row r="665" ht="14.5" customHeight="1" spans="11:29" x14ac:dyDescent="0.25">
      <c r="K665" s="128"/>
      <c r="X665" s="234">
        <v>2022</v>
      </c>
      <c r="Y665" s="234">
        <v>1</v>
      </c>
      <c r="Z665" s="234">
        <v>28</v>
      </c>
      <c r="AA665" s="235">
        <v>0.625</v>
      </c>
      <c r="AB665" s="236">
        <v>11.6</v>
      </c>
      <c r="AC665" s="127">
        <f t="shared" si="25"/>
        <v>12</v>
      </c>
    </row>
    <row r="666" ht="14.5" customHeight="1" spans="11:29" x14ac:dyDescent="0.25">
      <c r="K666" s="128"/>
      <c r="X666" s="234">
        <v>2022</v>
      </c>
      <c r="Y666" s="234">
        <v>1</v>
      </c>
      <c r="Z666" s="234">
        <v>28</v>
      </c>
      <c r="AA666" s="235">
        <v>0.6666666666678793</v>
      </c>
      <c r="AB666" s="236">
        <v>9.7</v>
      </c>
      <c r="AC666" s="127">
        <f t="shared" si="25"/>
        <v>10</v>
      </c>
    </row>
    <row r="667" ht="14.5" customHeight="1" spans="11:29" x14ac:dyDescent="0.25">
      <c r="K667" s="128"/>
      <c r="X667" s="234">
        <v>2022</v>
      </c>
      <c r="Y667" s="234">
        <v>1</v>
      </c>
      <c r="Z667" s="234">
        <v>28</v>
      </c>
      <c r="AA667" s="235">
        <v>0.7083333333321207</v>
      </c>
      <c r="AB667" s="236">
        <v>10.2</v>
      </c>
      <c r="AC667" s="127">
        <f t="shared" si="25"/>
        <v>10</v>
      </c>
    </row>
    <row r="668" ht="14.5" customHeight="1" spans="11:29" x14ac:dyDescent="0.25">
      <c r="K668" s="128"/>
      <c r="X668" s="234">
        <v>2022</v>
      </c>
      <c r="Y668" s="234">
        <v>1</v>
      </c>
      <c r="Z668" s="234">
        <v>28</v>
      </c>
      <c r="AA668" s="235">
        <v>0.75</v>
      </c>
      <c r="AB668" s="236">
        <v>8.9</v>
      </c>
      <c r="AC668" s="127">
        <f t="shared" si="25"/>
        <v>9</v>
      </c>
    </row>
    <row r="669" ht="14.5" customHeight="1" spans="11:29" x14ac:dyDescent="0.25">
      <c r="K669" s="128"/>
      <c r="X669" s="234">
        <v>2022</v>
      </c>
      <c r="Y669" s="234">
        <v>1</v>
      </c>
      <c r="Z669" s="234">
        <v>28</v>
      </c>
      <c r="AA669" s="235">
        <v>0.7916666666678793</v>
      </c>
      <c r="AB669" s="236">
        <v>8.2</v>
      </c>
      <c r="AC669" s="127">
        <f t="shared" si="25"/>
        <v>8</v>
      </c>
    </row>
    <row r="670" ht="14.5" customHeight="1" spans="11:29" x14ac:dyDescent="0.25">
      <c r="K670" s="128"/>
      <c r="X670" s="234">
        <v>2022</v>
      </c>
      <c r="Y670" s="234">
        <v>1</v>
      </c>
      <c r="Z670" s="234">
        <v>28</v>
      </c>
      <c r="AA670" s="235">
        <v>0.8333333333321207</v>
      </c>
      <c r="AB670" s="236">
        <v>6.2</v>
      </c>
      <c r="AC670" s="127">
        <f t="shared" si="25"/>
        <v>6</v>
      </c>
    </row>
    <row r="671" ht="14.5" customHeight="1" spans="11:29" x14ac:dyDescent="0.25">
      <c r="K671" s="128"/>
      <c r="X671" s="234">
        <v>2022</v>
      </c>
      <c r="Y671" s="234">
        <v>1</v>
      </c>
      <c r="Z671" s="234">
        <v>28</v>
      </c>
      <c r="AA671" s="235">
        <v>0.875</v>
      </c>
      <c r="AB671" s="236">
        <v>4.6</v>
      </c>
      <c r="AC671" s="127">
        <f t="shared" si="25"/>
        <v>5</v>
      </c>
    </row>
    <row r="672" ht="14.5" customHeight="1" spans="11:29" x14ac:dyDescent="0.25">
      <c r="K672" s="128"/>
      <c r="X672" s="234">
        <v>2022</v>
      </c>
      <c r="Y672" s="234">
        <v>1</v>
      </c>
      <c r="Z672" s="234">
        <v>28</v>
      </c>
      <c r="AA672" s="235">
        <v>0.9166666666678793</v>
      </c>
      <c r="AB672" s="236">
        <v>3.9</v>
      </c>
      <c r="AC672" s="127">
        <f t="shared" si="25"/>
        <v>4</v>
      </c>
    </row>
    <row r="673" ht="14.5" customHeight="1" spans="11:29" x14ac:dyDescent="0.25">
      <c r="K673" s="128"/>
      <c r="X673" s="234">
        <v>2022</v>
      </c>
      <c r="Y673" s="234">
        <v>1</v>
      </c>
      <c r="Z673" s="234">
        <v>28</v>
      </c>
      <c r="AA673" s="235">
        <v>0.9583333333321207</v>
      </c>
      <c r="AB673" s="236">
        <v>1.7</v>
      </c>
      <c r="AC673" s="127">
        <f t="shared" si="25"/>
        <v>2</v>
      </c>
    </row>
    <row r="674" ht="14.5" customHeight="1" spans="11:29" x14ac:dyDescent="0.25">
      <c r="K674" s="128"/>
      <c r="X674" s="234">
        <v>2022</v>
      </c>
      <c r="Y674" s="234">
        <v>1</v>
      </c>
      <c r="Z674" s="234">
        <v>29</v>
      </c>
      <c r="AA674" s="235">
        <v>0</v>
      </c>
      <c r="AB674" s="236">
        <v>2.5</v>
      </c>
      <c r="AC674" s="127">
        <f t="shared" si="25"/>
        <v>3</v>
      </c>
    </row>
    <row r="675" ht="14.5" customHeight="1" spans="11:29" x14ac:dyDescent="0.25">
      <c r="K675" s="128"/>
      <c r="X675" s="234">
        <v>2022</v>
      </c>
      <c r="Y675" s="234">
        <v>1</v>
      </c>
      <c r="Z675" s="234">
        <v>29</v>
      </c>
      <c r="AA675" s="235">
        <v>0.041666666667879326</v>
      </c>
      <c r="AB675" s="236">
        <v>0.5</v>
      </c>
      <c r="AC675" s="127">
        <f t="shared" si="25"/>
        <v>1</v>
      </c>
    </row>
    <row r="676" ht="14.5" customHeight="1" spans="11:29" x14ac:dyDescent="0.25">
      <c r="K676" s="128"/>
      <c r="X676" s="234">
        <v>2022</v>
      </c>
      <c r="Y676" s="234">
        <v>1</v>
      </c>
      <c r="Z676" s="234">
        <v>29</v>
      </c>
      <c r="AA676" s="235">
        <v>0.08333333333212067</v>
      </c>
      <c r="AB676" s="236">
        <v>-0.4</v>
      </c>
      <c r="AC676" s="127">
        <f t="shared" si="25"/>
        <v>0</v>
      </c>
    </row>
    <row r="677" ht="14.5" customHeight="1" spans="11:29" x14ac:dyDescent="0.25">
      <c r="K677" s="128"/>
      <c r="X677" s="234">
        <v>2022</v>
      </c>
      <c r="Y677" s="234">
        <v>1</v>
      </c>
      <c r="Z677" s="234">
        <v>29</v>
      </c>
      <c r="AA677" s="235">
        <v>0.125</v>
      </c>
      <c r="AB677" s="236">
        <v>-0.8</v>
      </c>
      <c r="AC677" s="127">
        <f t="shared" si="25"/>
        <v>-1</v>
      </c>
    </row>
    <row r="678" ht="14.5" customHeight="1" spans="11:29" x14ac:dyDescent="0.25">
      <c r="K678" s="128"/>
      <c r="X678" s="234">
        <v>2022</v>
      </c>
      <c r="Y678" s="234">
        <v>1</v>
      </c>
      <c r="Z678" s="234">
        <v>29</v>
      </c>
      <c r="AA678" s="235">
        <v>0.16666666666787933</v>
      </c>
      <c r="AB678" s="236">
        <v>-1.8</v>
      </c>
      <c r="AC678" s="127">
        <f t="shared" si="25"/>
        <v>-2</v>
      </c>
    </row>
    <row r="679" ht="14.5" customHeight="1" spans="11:29" x14ac:dyDescent="0.25">
      <c r="K679" s="128"/>
      <c r="X679" s="234">
        <v>2022</v>
      </c>
      <c r="Y679" s="234">
        <v>1</v>
      </c>
      <c r="Z679" s="234">
        <v>29</v>
      </c>
      <c r="AA679" s="235">
        <v>0.20833333333212067</v>
      </c>
      <c r="AB679" s="236">
        <v>-2.7</v>
      </c>
      <c r="AC679" s="127">
        <f t="shared" si="25"/>
        <v>-3</v>
      </c>
    </row>
    <row r="680" ht="14.5" customHeight="1" spans="11:29" x14ac:dyDescent="0.25">
      <c r="K680" s="128"/>
      <c r="X680" s="234">
        <v>2022</v>
      </c>
      <c r="Y680" s="234">
        <v>1</v>
      </c>
      <c r="Z680" s="234">
        <v>29</v>
      </c>
      <c r="AA680" s="235">
        <v>0.25</v>
      </c>
      <c r="AB680" s="236">
        <v>-3.2</v>
      </c>
      <c r="AC680" s="127">
        <f t="shared" si="25"/>
        <v>-3</v>
      </c>
    </row>
    <row r="681" ht="14.5" customHeight="1" spans="11:29" x14ac:dyDescent="0.25">
      <c r="K681" s="128"/>
      <c r="X681" s="234">
        <v>2022</v>
      </c>
      <c r="Y681" s="234">
        <v>1</v>
      </c>
      <c r="Z681" s="234">
        <v>29</v>
      </c>
      <c r="AA681" s="235">
        <v>0.2916666666678793</v>
      </c>
      <c r="AB681" s="236">
        <v>-4.1</v>
      </c>
      <c r="AC681" s="127">
        <f t="shared" si="25"/>
        <v>-4</v>
      </c>
    </row>
    <row r="682" ht="14.5" customHeight="1" spans="11:29" x14ac:dyDescent="0.25">
      <c r="K682" s="128"/>
      <c r="X682" s="234">
        <v>2022</v>
      </c>
      <c r="Y682" s="234">
        <v>1</v>
      </c>
      <c r="Z682" s="234">
        <v>29</v>
      </c>
      <c r="AA682" s="235">
        <v>0.3333333333321207</v>
      </c>
      <c r="AB682" s="236">
        <v>-2.6</v>
      </c>
      <c r="AC682" s="127">
        <f t="shared" si="25"/>
        <v>-3</v>
      </c>
    </row>
    <row r="683" ht="14.5" customHeight="1" spans="11:29" x14ac:dyDescent="0.25">
      <c r="K683" s="128"/>
      <c r="X683" s="234">
        <v>2022</v>
      </c>
      <c r="Y683" s="234">
        <v>1</v>
      </c>
      <c r="Z683" s="234">
        <v>29</v>
      </c>
      <c r="AA683" s="235">
        <v>0.375</v>
      </c>
      <c r="AB683" s="236">
        <v>-3.3</v>
      </c>
      <c r="AC683" s="127">
        <f t="shared" si="25"/>
        <v>-3</v>
      </c>
    </row>
    <row r="684" ht="14.5" customHeight="1" spans="11:29" x14ac:dyDescent="0.25">
      <c r="K684" s="128"/>
      <c r="X684" s="234">
        <v>2022</v>
      </c>
      <c r="Y684" s="234">
        <v>1</v>
      </c>
      <c r="Z684" s="234">
        <v>29</v>
      </c>
      <c r="AA684" s="235">
        <v>0.4166666666678793</v>
      </c>
      <c r="AB684" s="236">
        <v>2.3</v>
      </c>
      <c r="AC684" s="127">
        <f t="shared" si="25"/>
        <v>2</v>
      </c>
    </row>
    <row r="685" ht="14.5" customHeight="1" spans="11:29" x14ac:dyDescent="0.25">
      <c r="K685" s="128"/>
      <c r="X685" s="234">
        <v>2022</v>
      </c>
      <c r="Y685" s="234">
        <v>1</v>
      </c>
      <c r="Z685" s="234">
        <v>29</v>
      </c>
      <c r="AA685" s="235">
        <v>0.4583333333321207</v>
      </c>
      <c r="AB685" s="236">
        <v>4.3</v>
      </c>
      <c r="AC685" s="127">
        <f t="shared" si="25"/>
        <v>4</v>
      </c>
    </row>
    <row r="686" ht="14.5" customHeight="1" spans="11:29" x14ac:dyDescent="0.25">
      <c r="K686" s="128"/>
      <c r="X686" s="234">
        <v>2022</v>
      </c>
      <c r="Y686" s="234">
        <v>1</v>
      </c>
      <c r="Z686" s="234">
        <v>29</v>
      </c>
      <c r="AA686" s="235">
        <v>0.5</v>
      </c>
      <c r="AB686" s="236">
        <v>5.4</v>
      </c>
      <c r="AC686" s="127">
        <f t="shared" si="25"/>
        <v>5</v>
      </c>
    </row>
    <row r="687" ht="14.5" customHeight="1" spans="11:29" x14ac:dyDescent="0.25">
      <c r="K687" s="128"/>
      <c r="X687" s="234">
        <v>2022</v>
      </c>
      <c r="Y687" s="234">
        <v>1</v>
      </c>
      <c r="Z687" s="234">
        <v>29</v>
      </c>
      <c r="AA687" s="235">
        <v>0.5416666666678793</v>
      </c>
      <c r="AB687" s="236">
        <v>7.4</v>
      </c>
      <c r="AC687" s="127">
        <f t="shared" si="25"/>
        <v>7</v>
      </c>
    </row>
    <row r="688" ht="14.5" customHeight="1" spans="11:29" x14ac:dyDescent="0.25">
      <c r="K688" s="128"/>
      <c r="X688" s="234">
        <v>2022</v>
      </c>
      <c r="Y688" s="234">
        <v>1</v>
      </c>
      <c r="Z688" s="234">
        <v>29</v>
      </c>
      <c r="AA688" s="235">
        <v>0.5833333333321207</v>
      </c>
      <c r="AB688" s="236">
        <v>8.7</v>
      </c>
      <c r="AC688" s="127">
        <f t="shared" si="25"/>
        <v>9</v>
      </c>
    </row>
    <row r="689" ht="14.5" customHeight="1" spans="11:29" x14ac:dyDescent="0.25">
      <c r="K689" s="128"/>
      <c r="X689" s="234">
        <v>2022</v>
      </c>
      <c r="Y689" s="234">
        <v>1</v>
      </c>
      <c r="Z689" s="234">
        <v>29</v>
      </c>
      <c r="AA689" s="235">
        <v>0.625</v>
      </c>
      <c r="AB689" s="236">
        <v>7.4</v>
      </c>
      <c r="AC689" s="127">
        <f t="shared" si="25"/>
        <v>7</v>
      </c>
    </row>
    <row r="690" ht="14.5" customHeight="1" spans="11:29" x14ac:dyDescent="0.25">
      <c r="K690" s="128"/>
      <c r="X690" s="234">
        <v>2022</v>
      </c>
      <c r="Y690" s="234">
        <v>1</v>
      </c>
      <c r="Z690" s="234">
        <v>29</v>
      </c>
      <c r="AA690" s="235">
        <v>0.6666666666678793</v>
      </c>
      <c r="AB690" s="236">
        <v>6.2</v>
      </c>
      <c r="AC690" s="127">
        <f t="shared" si="25"/>
        <v>6</v>
      </c>
    </row>
    <row r="691" ht="14.5" customHeight="1" spans="11:29" x14ac:dyDescent="0.25">
      <c r="K691" s="128"/>
      <c r="X691" s="234">
        <v>2022</v>
      </c>
      <c r="Y691" s="234">
        <v>1</v>
      </c>
      <c r="Z691" s="234">
        <v>29</v>
      </c>
      <c r="AA691" s="235">
        <v>0.7083333333321207</v>
      </c>
      <c r="AB691" s="236">
        <v>6</v>
      </c>
      <c r="AC691" s="127">
        <f t="shared" si="25"/>
        <v>6</v>
      </c>
    </row>
    <row r="692" ht="14.5" customHeight="1" spans="11:29" x14ac:dyDescent="0.25">
      <c r="K692" s="128"/>
      <c r="X692" s="234">
        <v>2022</v>
      </c>
      <c r="Y692" s="234">
        <v>1</v>
      </c>
      <c r="Z692" s="234">
        <v>29</v>
      </c>
      <c r="AA692" s="235">
        <v>0.75</v>
      </c>
      <c r="AB692" s="236">
        <v>6.8</v>
      </c>
      <c r="AC692" s="127">
        <f t="shared" si="25"/>
        <v>7</v>
      </c>
    </row>
    <row r="693" ht="14.5" customHeight="1" spans="11:29" x14ac:dyDescent="0.25">
      <c r="K693" s="128"/>
      <c r="X693" s="234">
        <v>2022</v>
      </c>
      <c r="Y693" s="234">
        <v>1</v>
      </c>
      <c r="Z693" s="234">
        <v>29</v>
      </c>
      <c r="AA693" s="235">
        <v>0.7916666666678793</v>
      </c>
      <c r="AB693" s="236">
        <v>5.9</v>
      </c>
      <c r="AC693" s="127">
        <f t="shared" si="25"/>
        <v>6</v>
      </c>
    </row>
    <row r="694" ht="14.5" customHeight="1" spans="11:29" x14ac:dyDescent="0.25">
      <c r="K694" s="128"/>
      <c r="X694" s="234">
        <v>2022</v>
      </c>
      <c r="Y694" s="234">
        <v>1</v>
      </c>
      <c r="Z694" s="234">
        <v>29</v>
      </c>
      <c r="AA694" s="235">
        <v>0.8333333333321207</v>
      </c>
      <c r="AB694" s="236">
        <v>5.2</v>
      </c>
      <c r="AC694" s="127">
        <f t="shared" si="25"/>
        <v>5</v>
      </c>
    </row>
    <row r="695" ht="14.5" customHeight="1" spans="11:29" x14ac:dyDescent="0.25">
      <c r="K695" s="128"/>
      <c r="X695" s="234">
        <v>2022</v>
      </c>
      <c r="Y695" s="234">
        <v>1</v>
      </c>
      <c r="Z695" s="234">
        <v>29</v>
      </c>
      <c r="AA695" s="235">
        <v>0.875</v>
      </c>
      <c r="AB695" s="236">
        <v>5.2</v>
      </c>
      <c r="AC695" s="127">
        <f t="shared" si="25"/>
        <v>5</v>
      </c>
    </row>
    <row r="696" ht="14.5" customHeight="1" spans="11:29" x14ac:dyDescent="0.25">
      <c r="K696" s="128"/>
      <c r="X696" s="234">
        <v>2022</v>
      </c>
      <c r="Y696" s="234">
        <v>1</v>
      </c>
      <c r="Z696" s="234">
        <v>29</v>
      </c>
      <c r="AA696" s="235">
        <v>0.9166666666678793</v>
      </c>
      <c r="AB696" s="236">
        <v>5.7</v>
      </c>
      <c r="AC696" s="127">
        <f t="shared" si="25"/>
        <v>6</v>
      </c>
    </row>
    <row r="697" ht="14.5" customHeight="1" spans="11:29" x14ac:dyDescent="0.25">
      <c r="K697" s="128"/>
      <c r="X697" s="234">
        <v>2022</v>
      </c>
      <c r="Y697" s="234">
        <v>1</v>
      </c>
      <c r="Z697" s="234">
        <v>29</v>
      </c>
      <c r="AA697" s="235">
        <v>0.9583333333321207</v>
      </c>
      <c r="AB697" s="236">
        <v>5.5</v>
      </c>
      <c r="AC697" s="127">
        <f t="shared" si="25"/>
        <v>6</v>
      </c>
    </row>
    <row r="698" ht="14.5" customHeight="1" spans="11:29" x14ac:dyDescent="0.25">
      <c r="K698" s="128"/>
      <c r="X698" s="234">
        <v>2022</v>
      </c>
      <c r="Y698" s="234">
        <v>1</v>
      </c>
      <c r="Z698" s="234">
        <v>30</v>
      </c>
      <c r="AA698" s="235">
        <v>0</v>
      </c>
      <c r="AB698" s="236">
        <v>5.1</v>
      </c>
      <c r="AC698" s="127">
        <f t="shared" si="25"/>
        <v>5</v>
      </c>
    </row>
    <row r="699" ht="14.5" customHeight="1" spans="11:29" x14ac:dyDescent="0.25">
      <c r="K699" s="128"/>
      <c r="X699" s="234">
        <v>2022</v>
      </c>
      <c r="Y699" s="234">
        <v>1</v>
      </c>
      <c r="Z699" s="234">
        <v>30</v>
      </c>
      <c r="AA699" s="235">
        <v>0.041666666667879326</v>
      </c>
      <c r="AB699" s="236">
        <v>5.4</v>
      </c>
      <c r="AC699" s="127">
        <f t="shared" si="25"/>
        <v>5</v>
      </c>
    </row>
    <row r="700" ht="14.5" customHeight="1" spans="11:29" x14ac:dyDescent="0.25">
      <c r="K700" s="128"/>
      <c r="X700" s="234">
        <v>2022</v>
      </c>
      <c r="Y700" s="234">
        <v>1</v>
      </c>
      <c r="Z700" s="234">
        <v>30</v>
      </c>
      <c r="AA700" s="235">
        <v>0.08333333333212067</v>
      </c>
      <c r="AB700" s="236">
        <v>5.4</v>
      </c>
      <c r="AC700" s="127">
        <f t="shared" si="25"/>
        <v>5</v>
      </c>
    </row>
    <row r="701" ht="14.5" customHeight="1" spans="11:29" x14ac:dyDescent="0.25">
      <c r="K701" s="128"/>
      <c r="X701" s="234">
        <v>2022</v>
      </c>
      <c r="Y701" s="234">
        <v>1</v>
      </c>
      <c r="Z701" s="234">
        <v>30</v>
      </c>
      <c r="AA701" s="235">
        <v>0.125</v>
      </c>
      <c r="AB701" s="236">
        <v>5.3</v>
      </c>
      <c r="AC701" s="127">
        <f t="shared" si="25"/>
        <v>5</v>
      </c>
    </row>
    <row r="702" ht="14.5" customHeight="1" spans="11:29" x14ac:dyDescent="0.25">
      <c r="K702" s="128"/>
      <c r="X702" s="234">
        <v>2022</v>
      </c>
      <c r="Y702" s="234">
        <v>1</v>
      </c>
      <c r="Z702" s="234">
        <v>30</v>
      </c>
      <c r="AA702" s="235">
        <v>0.16666666666787933</v>
      </c>
      <c r="AB702" s="236">
        <v>5.4</v>
      </c>
      <c r="AC702" s="127">
        <f t="shared" si="25"/>
        <v>5</v>
      </c>
    </row>
    <row r="703" ht="14.5" customHeight="1" spans="11:29" x14ac:dyDescent="0.25">
      <c r="K703" s="128"/>
      <c r="X703" s="234">
        <v>2022</v>
      </c>
      <c r="Y703" s="234">
        <v>1</v>
      </c>
      <c r="Z703" s="234">
        <v>30</v>
      </c>
      <c r="AA703" s="235">
        <v>0.20833333333212067</v>
      </c>
      <c r="AB703" s="236">
        <v>5.4</v>
      </c>
      <c r="AC703" s="127">
        <f t="shared" si="25"/>
        <v>5</v>
      </c>
    </row>
    <row r="704" ht="14.5" customHeight="1" spans="11:29" x14ac:dyDescent="0.25">
      <c r="K704" s="128"/>
      <c r="X704" s="234">
        <v>2022</v>
      </c>
      <c r="Y704" s="234">
        <v>1</v>
      </c>
      <c r="Z704" s="234">
        <v>30</v>
      </c>
      <c r="AA704" s="235">
        <v>0.25</v>
      </c>
      <c r="AB704" s="236">
        <v>5.2</v>
      </c>
      <c r="AC704" s="127">
        <f t="shared" si="25"/>
        <v>5</v>
      </c>
    </row>
    <row r="705" ht="14.5" customHeight="1" spans="11:29" x14ac:dyDescent="0.25">
      <c r="K705" s="128"/>
      <c r="X705" s="234">
        <v>2022</v>
      </c>
      <c r="Y705" s="234">
        <v>1</v>
      </c>
      <c r="Z705" s="234">
        <v>30</v>
      </c>
      <c r="AA705" s="235">
        <v>0.2916666666678793</v>
      </c>
      <c r="AB705" s="236">
        <v>5.5</v>
      </c>
      <c r="AC705" s="127">
        <f t="shared" si="25"/>
        <v>6</v>
      </c>
    </row>
    <row r="706" ht="14.5" customHeight="1" spans="11:29" x14ac:dyDescent="0.25">
      <c r="K706" s="128"/>
      <c r="X706" s="234">
        <v>2022</v>
      </c>
      <c r="Y706" s="234">
        <v>1</v>
      </c>
      <c r="Z706" s="234">
        <v>30</v>
      </c>
      <c r="AA706" s="235">
        <v>0.3333333333321207</v>
      </c>
      <c r="AB706" s="236">
        <v>4.4</v>
      </c>
      <c r="AC706" s="127">
        <f t="shared" si="25"/>
        <v>4</v>
      </c>
    </row>
    <row r="707" ht="14.5" customHeight="1" spans="11:29" x14ac:dyDescent="0.25">
      <c r="K707" s="128"/>
      <c r="X707" s="234">
        <v>2022</v>
      </c>
      <c r="Y707" s="234">
        <v>1</v>
      </c>
      <c r="Z707" s="234">
        <v>30</v>
      </c>
      <c r="AA707" s="235">
        <v>0.375</v>
      </c>
      <c r="AB707" s="236">
        <v>5</v>
      </c>
      <c r="AC707" s="127">
        <f t="shared" si="25"/>
        <v>5</v>
      </c>
    </row>
    <row r="708" ht="14.5" customHeight="1" spans="11:29" x14ac:dyDescent="0.25">
      <c r="K708" s="128"/>
      <c r="X708" s="234">
        <v>2022</v>
      </c>
      <c r="Y708" s="234">
        <v>1</v>
      </c>
      <c r="Z708" s="234">
        <v>30</v>
      </c>
      <c r="AA708" s="235">
        <v>0.4166666666678793</v>
      </c>
      <c r="AB708" s="236">
        <v>4.7</v>
      </c>
      <c r="AC708" s="127">
        <f t="shared" si="25"/>
        <v>5</v>
      </c>
    </row>
    <row r="709" ht="14.5" customHeight="1" spans="11:29" x14ac:dyDescent="0.25">
      <c r="K709" s="128"/>
      <c r="X709" s="234">
        <v>2022</v>
      </c>
      <c r="Y709" s="234">
        <v>1</v>
      </c>
      <c r="Z709" s="234">
        <v>30</v>
      </c>
      <c r="AA709" s="235">
        <v>0.4583333333321207</v>
      </c>
      <c r="AB709" s="236">
        <v>5.7</v>
      </c>
      <c r="AC709" s="127">
        <f t="shared" si="25"/>
        <v>6</v>
      </c>
    </row>
    <row r="710" ht="14.5" customHeight="1" spans="11:29" x14ac:dyDescent="0.25">
      <c r="K710" s="128"/>
      <c r="X710" s="234">
        <v>2022</v>
      </c>
      <c r="Y710" s="234">
        <v>1</v>
      </c>
      <c r="Z710" s="234">
        <v>30</v>
      </c>
      <c r="AA710" s="235">
        <v>0.5</v>
      </c>
      <c r="AB710" s="236">
        <v>6.6</v>
      </c>
      <c r="AC710" s="127">
        <f t="shared" si="25"/>
        <v>7</v>
      </c>
    </row>
    <row r="711" ht="14.5" customHeight="1" spans="11:29" x14ac:dyDescent="0.25">
      <c r="K711" s="128"/>
      <c r="X711" s="234">
        <v>2022</v>
      </c>
      <c r="Y711" s="234">
        <v>1</v>
      </c>
      <c r="Z711" s="234">
        <v>30</v>
      </c>
      <c r="AA711" s="235">
        <v>0.5416666666678793</v>
      </c>
      <c r="AB711" s="236">
        <v>7.6</v>
      </c>
      <c r="AC711" s="127">
        <f t="shared" si="25"/>
        <v>8</v>
      </c>
    </row>
    <row r="712" ht="14.5" customHeight="1" spans="11:29" x14ac:dyDescent="0.25">
      <c r="K712" s="128"/>
      <c r="X712" s="234">
        <v>2022</v>
      </c>
      <c r="Y712" s="234">
        <v>1</v>
      </c>
      <c r="Z712" s="234">
        <v>30</v>
      </c>
      <c r="AA712" s="235">
        <v>0.5833333333321207</v>
      </c>
      <c r="AB712" s="236">
        <v>9.1</v>
      </c>
      <c r="AC712" s="127">
        <f t="shared" si="25"/>
        <v>9</v>
      </c>
    </row>
    <row r="713" ht="14.5" customHeight="1" spans="11:29" x14ac:dyDescent="0.25">
      <c r="K713" s="128"/>
      <c r="X713" s="234">
        <v>2022</v>
      </c>
      <c r="Y713" s="234">
        <v>1</v>
      </c>
      <c r="Z713" s="234">
        <v>30</v>
      </c>
      <c r="AA713" s="235">
        <v>0.625</v>
      </c>
      <c r="AB713" s="236">
        <v>9.5</v>
      </c>
      <c r="AC713" s="127">
        <f t="shared" si="25"/>
        <v>10</v>
      </c>
    </row>
    <row r="714" ht="14.5" customHeight="1" spans="11:29" x14ac:dyDescent="0.25">
      <c r="K714" s="128"/>
      <c r="X714" s="234">
        <v>2022</v>
      </c>
      <c r="Y714" s="234">
        <v>1</v>
      </c>
      <c r="Z714" s="234">
        <v>30</v>
      </c>
      <c r="AA714" s="235">
        <v>0.6666666666678793</v>
      </c>
      <c r="AB714" s="236">
        <v>7.5</v>
      </c>
      <c r="AC714" s="127">
        <f t="shared" si="25"/>
        <v>8</v>
      </c>
    </row>
    <row r="715" ht="14.5" customHeight="1" spans="11:29" x14ac:dyDescent="0.25">
      <c r="K715" s="128"/>
      <c r="X715" s="234">
        <v>2022</v>
      </c>
      <c r="Y715" s="234">
        <v>1</v>
      </c>
      <c r="Z715" s="234">
        <v>30</v>
      </c>
      <c r="AA715" s="235">
        <v>0.7083333333321207</v>
      </c>
      <c r="AB715" s="236">
        <v>5.6</v>
      </c>
      <c r="AC715" s="127">
        <f t="shared" ref="AC715:AC778" si="26">ROUND(AB715,0)</f>
        <v>6</v>
      </c>
    </row>
    <row r="716" ht="14.5" customHeight="1" spans="11:29" x14ac:dyDescent="0.25">
      <c r="K716" s="128"/>
      <c r="X716" s="234">
        <v>2022</v>
      </c>
      <c r="Y716" s="234">
        <v>1</v>
      </c>
      <c r="Z716" s="234">
        <v>30</v>
      </c>
      <c r="AA716" s="235">
        <v>0.75</v>
      </c>
      <c r="AB716" s="236">
        <v>3.3</v>
      </c>
      <c r="AC716" s="127">
        <f t="shared" si="26"/>
        <v>3</v>
      </c>
    </row>
    <row r="717" ht="14.5" customHeight="1" spans="11:29" x14ac:dyDescent="0.25">
      <c r="K717" s="128"/>
      <c r="X717" s="234">
        <v>2022</v>
      </c>
      <c r="Y717" s="234">
        <v>1</v>
      </c>
      <c r="Z717" s="234">
        <v>30</v>
      </c>
      <c r="AA717" s="235">
        <v>0.7916666666678793</v>
      </c>
      <c r="AB717" s="236">
        <v>3.8</v>
      </c>
      <c r="AC717" s="127">
        <f t="shared" si="26"/>
        <v>4</v>
      </c>
    </row>
    <row r="718" ht="14.5" customHeight="1" spans="11:29" x14ac:dyDescent="0.25">
      <c r="K718" s="128"/>
      <c r="X718" s="234">
        <v>2022</v>
      </c>
      <c r="Y718" s="234">
        <v>1</v>
      </c>
      <c r="Z718" s="234">
        <v>30</v>
      </c>
      <c r="AA718" s="235">
        <v>0.8333333333321207</v>
      </c>
      <c r="AB718" s="236">
        <v>-0.4</v>
      </c>
      <c r="AC718" s="127">
        <f t="shared" si="26"/>
        <v>0</v>
      </c>
    </row>
    <row r="719" ht="14.5" customHeight="1" spans="11:29" x14ac:dyDescent="0.25">
      <c r="K719" s="128"/>
      <c r="X719" s="234">
        <v>2022</v>
      </c>
      <c r="Y719" s="234">
        <v>1</v>
      </c>
      <c r="Z719" s="234">
        <v>30</v>
      </c>
      <c r="AA719" s="235">
        <v>0.875</v>
      </c>
      <c r="AB719" s="236">
        <v>0.7</v>
      </c>
      <c r="AC719" s="127">
        <f t="shared" si="26"/>
        <v>1</v>
      </c>
    </row>
    <row r="720" ht="14.5" customHeight="1" spans="11:29" x14ac:dyDescent="0.25">
      <c r="K720" s="128"/>
      <c r="X720" s="234">
        <v>2022</v>
      </c>
      <c r="Y720" s="234">
        <v>1</v>
      </c>
      <c r="Z720" s="234">
        <v>30</v>
      </c>
      <c r="AA720" s="235">
        <v>0.9166666666678793</v>
      </c>
      <c r="AB720" s="236">
        <v>-2.3</v>
      </c>
      <c r="AC720" s="127">
        <f t="shared" si="26"/>
        <v>-2</v>
      </c>
    </row>
    <row r="721" ht="14.5" customHeight="1" spans="11:29" x14ac:dyDescent="0.25">
      <c r="K721" s="128"/>
      <c r="X721" s="234">
        <v>2022</v>
      </c>
      <c r="Y721" s="234">
        <v>1</v>
      </c>
      <c r="Z721" s="234">
        <v>30</v>
      </c>
      <c r="AA721" s="235">
        <v>0.9583333333321207</v>
      </c>
      <c r="AB721" s="236">
        <v>1.5</v>
      </c>
      <c r="AC721" s="127">
        <f t="shared" si="26"/>
        <v>2</v>
      </c>
    </row>
    <row r="722" ht="14.5" customHeight="1" spans="11:29" x14ac:dyDescent="0.25">
      <c r="K722" s="128"/>
      <c r="X722" s="234">
        <v>2022</v>
      </c>
      <c r="Y722" s="234">
        <v>1</v>
      </c>
      <c r="Z722" s="234">
        <v>31</v>
      </c>
      <c r="AA722" s="235">
        <v>0</v>
      </c>
      <c r="AB722" s="236">
        <v>-2.4</v>
      </c>
      <c r="AC722" s="127">
        <f t="shared" si="26"/>
        <v>-2</v>
      </c>
    </row>
    <row r="723" ht="14.5" customHeight="1" spans="11:29" x14ac:dyDescent="0.25">
      <c r="K723" s="128"/>
      <c r="X723" s="234">
        <v>2022</v>
      </c>
      <c r="Y723" s="234">
        <v>1</v>
      </c>
      <c r="Z723" s="234">
        <v>31</v>
      </c>
      <c r="AA723" s="235">
        <v>0.041666666667879326</v>
      </c>
      <c r="AB723" s="236">
        <v>-3.9</v>
      </c>
      <c r="AC723" s="127">
        <f t="shared" si="26"/>
        <v>-4</v>
      </c>
    </row>
    <row r="724" ht="14.5" customHeight="1" spans="11:29" x14ac:dyDescent="0.25">
      <c r="K724" s="128"/>
      <c r="X724" s="234">
        <v>2022</v>
      </c>
      <c r="Y724" s="234">
        <v>1</v>
      </c>
      <c r="Z724" s="234">
        <v>31</v>
      </c>
      <c r="AA724" s="235">
        <v>0.08333333333212067</v>
      </c>
      <c r="AB724" s="236">
        <v>-3.5</v>
      </c>
      <c r="AC724" s="127">
        <f t="shared" si="26"/>
        <v>-4</v>
      </c>
    </row>
    <row r="725" ht="14.5" customHeight="1" spans="11:29" x14ac:dyDescent="0.25">
      <c r="K725" s="128"/>
      <c r="X725" s="234">
        <v>2022</v>
      </c>
      <c r="Y725" s="234">
        <v>1</v>
      </c>
      <c r="Z725" s="234">
        <v>31</v>
      </c>
      <c r="AA725" s="235">
        <v>0.125</v>
      </c>
      <c r="AB725" s="236">
        <v>-2.9</v>
      </c>
      <c r="AC725" s="127">
        <f t="shared" si="26"/>
        <v>-3</v>
      </c>
    </row>
    <row r="726" ht="14.5" customHeight="1" spans="11:29" x14ac:dyDescent="0.25">
      <c r="K726" s="128"/>
      <c r="X726" s="234">
        <v>2022</v>
      </c>
      <c r="Y726" s="234">
        <v>1</v>
      </c>
      <c r="Z726" s="234">
        <v>31</v>
      </c>
      <c r="AA726" s="235">
        <v>0.16666666666787933</v>
      </c>
      <c r="AB726" s="236">
        <v>1.4</v>
      </c>
      <c r="AC726" s="127">
        <f t="shared" si="26"/>
        <v>1</v>
      </c>
    </row>
    <row r="727" ht="14.5" customHeight="1" spans="11:29" x14ac:dyDescent="0.25">
      <c r="K727" s="128"/>
      <c r="X727" s="234">
        <v>2022</v>
      </c>
      <c r="Y727" s="234">
        <v>1</v>
      </c>
      <c r="Z727" s="234">
        <v>31</v>
      </c>
      <c r="AA727" s="235">
        <v>0.20833333333212067</v>
      </c>
      <c r="AB727" s="236">
        <v>0.2</v>
      </c>
      <c r="AC727" s="127">
        <f t="shared" si="26"/>
        <v>0</v>
      </c>
    </row>
    <row r="728" ht="14.5" customHeight="1" spans="11:29" x14ac:dyDescent="0.25">
      <c r="K728" s="128"/>
      <c r="X728" s="234">
        <v>2022</v>
      </c>
      <c r="Y728" s="234">
        <v>1</v>
      </c>
      <c r="Z728" s="234">
        <v>31</v>
      </c>
      <c r="AA728" s="235">
        <v>0.25</v>
      </c>
      <c r="AB728" s="236">
        <v>0.2</v>
      </c>
      <c r="AC728" s="127">
        <f t="shared" si="26"/>
        <v>0</v>
      </c>
    </row>
    <row r="729" ht="14.5" customHeight="1" spans="11:29" x14ac:dyDescent="0.25">
      <c r="K729" s="128"/>
      <c r="X729" s="234">
        <v>2022</v>
      </c>
      <c r="Y729" s="234">
        <v>1</v>
      </c>
      <c r="Z729" s="234">
        <v>31</v>
      </c>
      <c r="AA729" s="235">
        <v>0.2916666666678793</v>
      </c>
      <c r="AB729" s="236">
        <v>-2.9</v>
      </c>
      <c r="AC729" s="127">
        <f t="shared" si="26"/>
        <v>-3</v>
      </c>
    </row>
    <row r="730" ht="14.5" customHeight="1" spans="11:29" x14ac:dyDescent="0.25">
      <c r="K730" s="128"/>
      <c r="X730" s="234">
        <v>2022</v>
      </c>
      <c r="Y730" s="234">
        <v>1</v>
      </c>
      <c r="Z730" s="234">
        <v>31</v>
      </c>
      <c r="AA730" s="235">
        <v>0.3333333333321207</v>
      </c>
      <c r="AB730" s="236">
        <v>-6.3</v>
      </c>
      <c r="AC730" s="127">
        <f t="shared" si="26"/>
        <v>-6</v>
      </c>
    </row>
    <row r="731" ht="14.5" customHeight="1" spans="11:29" x14ac:dyDescent="0.25">
      <c r="K731" s="128"/>
      <c r="X731" s="234">
        <v>2022</v>
      </c>
      <c r="Y731" s="234">
        <v>1</v>
      </c>
      <c r="Z731" s="234">
        <v>31</v>
      </c>
      <c r="AA731" s="235">
        <v>0.375</v>
      </c>
      <c r="AB731" s="236">
        <v>-8.7</v>
      </c>
      <c r="AC731" s="127">
        <f t="shared" si="26"/>
        <v>-9</v>
      </c>
    </row>
    <row r="732" ht="14.5" customHeight="1" spans="11:29" x14ac:dyDescent="0.25">
      <c r="K732" s="128"/>
      <c r="X732" s="234">
        <v>2022</v>
      </c>
      <c r="Y732" s="234">
        <v>1</v>
      </c>
      <c r="Z732" s="234">
        <v>31</v>
      </c>
      <c r="AA732" s="235">
        <v>0.4166666666678793</v>
      </c>
      <c r="AB732" s="236">
        <v>-9.7</v>
      </c>
      <c r="AC732" s="127">
        <f t="shared" si="26"/>
        <v>-10</v>
      </c>
    </row>
    <row r="733" ht="14.5" customHeight="1" spans="11:29" x14ac:dyDescent="0.25">
      <c r="K733" s="128"/>
      <c r="X733" s="234">
        <v>2022</v>
      </c>
      <c r="Y733" s="234">
        <v>1</v>
      </c>
      <c r="Z733" s="234">
        <v>31</v>
      </c>
      <c r="AA733" s="235">
        <v>0.4583333333321207</v>
      </c>
      <c r="AB733" s="236">
        <v>-10.3</v>
      </c>
      <c r="AC733" s="127">
        <f t="shared" si="26"/>
        <v>-10</v>
      </c>
    </row>
    <row r="734" ht="14.5" customHeight="1" spans="11:29" x14ac:dyDescent="0.25">
      <c r="K734" s="128"/>
      <c r="X734" s="234">
        <v>2022</v>
      </c>
      <c r="Y734" s="234">
        <v>1</v>
      </c>
      <c r="Z734" s="234">
        <v>31</v>
      </c>
      <c r="AA734" s="235">
        <v>0.5</v>
      </c>
      <c r="AB734" s="236">
        <v>-11</v>
      </c>
      <c r="AC734" s="127">
        <f t="shared" si="26"/>
        <v>-11</v>
      </c>
    </row>
    <row r="735" ht="14.5" customHeight="1" spans="11:29" x14ac:dyDescent="0.25">
      <c r="K735" s="128"/>
      <c r="X735" s="234">
        <v>2022</v>
      </c>
      <c r="Y735" s="234">
        <v>1</v>
      </c>
      <c r="Z735" s="234">
        <v>31</v>
      </c>
      <c r="AA735" s="235">
        <v>0.5416666666678793</v>
      </c>
      <c r="AB735" s="236">
        <v>-11.1</v>
      </c>
      <c r="AC735" s="127">
        <f t="shared" si="26"/>
        <v>-11</v>
      </c>
    </row>
    <row r="736" ht="14.5" customHeight="1" spans="11:29" x14ac:dyDescent="0.25">
      <c r="K736" s="128"/>
      <c r="X736" s="234">
        <v>2022</v>
      </c>
      <c r="Y736" s="234">
        <v>1</v>
      </c>
      <c r="Z736" s="234">
        <v>31</v>
      </c>
      <c r="AA736" s="235">
        <v>0.5833333333321207</v>
      </c>
      <c r="AB736" s="236">
        <v>-10.9</v>
      </c>
      <c r="AC736" s="127">
        <f t="shared" si="26"/>
        <v>-11</v>
      </c>
    </row>
    <row r="737" ht="14.5" customHeight="1" spans="11:29" x14ac:dyDescent="0.25">
      <c r="K737" s="128"/>
      <c r="X737" s="234">
        <v>2022</v>
      </c>
      <c r="Y737" s="234">
        <v>1</v>
      </c>
      <c r="Z737" s="234">
        <v>31</v>
      </c>
      <c r="AA737" s="235">
        <v>0.625</v>
      </c>
      <c r="AB737" s="236">
        <v>-11.5</v>
      </c>
      <c r="AC737" s="127">
        <f t="shared" si="26"/>
        <v>-12</v>
      </c>
    </row>
    <row r="738" ht="14.5" customHeight="1" spans="11:29" x14ac:dyDescent="0.25">
      <c r="K738" s="128"/>
      <c r="X738" s="234">
        <v>2022</v>
      </c>
      <c r="Y738" s="234">
        <v>1</v>
      </c>
      <c r="Z738" s="234">
        <v>31</v>
      </c>
      <c r="AA738" s="235">
        <v>0.6666666666678793</v>
      </c>
      <c r="AB738" s="236">
        <v>-11.7</v>
      </c>
      <c r="AC738" s="127">
        <f t="shared" si="26"/>
        <v>-12</v>
      </c>
    </row>
    <row r="739" ht="14.5" customHeight="1" spans="11:29" x14ac:dyDescent="0.25">
      <c r="K739" s="128"/>
      <c r="X739" s="234">
        <v>2022</v>
      </c>
      <c r="Y739" s="234">
        <v>1</v>
      </c>
      <c r="Z739" s="234">
        <v>31</v>
      </c>
      <c r="AA739" s="235">
        <v>0.7083333333321207</v>
      </c>
      <c r="AB739" s="236">
        <v>-12.3</v>
      </c>
      <c r="AC739" s="127">
        <f t="shared" si="26"/>
        <v>-12</v>
      </c>
    </row>
    <row r="740" ht="14.5" customHeight="1" spans="11:29" x14ac:dyDescent="0.25">
      <c r="K740" s="128"/>
      <c r="X740" s="234">
        <v>2022</v>
      </c>
      <c r="Y740" s="234">
        <v>1</v>
      </c>
      <c r="Z740" s="234">
        <v>31</v>
      </c>
      <c r="AA740" s="235">
        <v>0.75</v>
      </c>
      <c r="AB740" s="236">
        <v>-13.8</v>
      </c>
      <c r="AC740" s="127">
        <f t="shared" si="26"/>
        <v>-14</v>
      </c>
    </row>
    <row r="741" ht="14.5" customHeight="1" spans="11:29" x14ac:dyDescent="0.25">
      <c r="K741" s="128"/>
      <c r="X741" s="234">
        <v>2022</v>
      </c>
      <c r="Y741" s="234">
        <v>1</v>
      </c>
      <c r="Z741" s="234">
        <v>31</v>
      </c>
      <c r="AA741" s="235">
        <v>0.7916666666678793</v>
      </c>
      <c r="AB741" s="236">
        <v>-15.3</v>
      </c>
      <c r="AC741" s="127">
        <f t="shared" si="26"/>
        <v>-15</v>
      </c>
    </row>
    <row r="742" ht="14.5" customHeight="1" spans="11:29" x14ac:dyDescent="0.25">
      <c r="K742" s="128"/>
      <c r="X742" s="234">
        <v>2022</v>
      </c>
      <c r="Y742" s="234">
        <v>1</v>
      </c>
      <c r="Z742" s="234">
        <v>31</v>
      </c>
      <c r="AA742" s="235">
        <v>0.8333333333321207</v>
      </c>
      <c r="AB742" s="236">
        <v>-15.3</v>
      </c>
      <c r="AC742" s="127">
        <f t="shared" si="26"/>
        <v>-15</v>
      </c>
    </row>
    <row r="743" ht="14.5" customHeight="1" spans="11:29" x14ac:dyDescent="0.25">
      <c r="K743" s="128"/>
      <c r="X743" s="234">
        <v>2022</v>
      </c>
      <c r="Y743" s="234">
        <v>1</v>
      </c>
      <c r="Z743" s="234">
        <v>31</v>
      </c>
      <c r="AA743" s="235">
        <v>0.875</v>
      </c>
      <c r="AB743" s="236">
        <v>-15.8</v>
      </c>
      <c r="AC743" s="127">
        <f t="shared" si="26"/>
        <v>-16</v>
      </c>
    </row>
    <row r="744" ht="14.5" customHeight="1" spans="11:29" x14ac:dyDescent="0.25">
      <c r="K744" s="128"/>
      <c r="X744" s="234">
        <v>2022</v>
      </c>
      <c r="Y744" s="234">
        <v>1</v>
      </c>
      <c r="Z744" s="234">
        <v>31</v>
      </c>
      <c r="AA744" s="235">
        <v>0.9166666666678793</v>
      </c>
      <c r="AB744" s="236">
        <v>-16</v>
      </c>
      <c r="AC744" s="127">
        <f t="shared" si="26"/>
        <v>-16</v>
      </c>
    </row>
    <row r="745" ht="14.5" customHeight="1" spans="11:29" x14ac:dyDescent="0.25">
      <c r="K745" s="128"/>
      <c r="X745" s="234">
        <v>2022</v>
      </c>
      <c r="Y745" s="234">
        <v>1</v>
      </c>
      <c r="Z745" s="234">
        <v>31</v>
      </c>
      <c r="AA745" s="235">
        <v>0.9583333333321207</v>
      </c>
      <c r="AB745" s="236">
        <v>-16.1</v>
      </c>
      <c r="AC745" s="127">
        <f t="shared" si="26"/>
        <v>-16</v>
      </c>
    </row>
    <row r="746" ht="14.5" customHeight="1" spans="11:29" x14ac:dyDescent="0.25">
      <c r="K746" s="128"/>
      <c r="X746" s="234">
        <v>2022</v>
      </c>
      <c r="Y746" s="234">
        <v>2</v>
      </c>
      <c r="Z746" s="234">
        <v>1</v>
      </c>
      <c r="AA746" s="235">
        <v>0</v>
      </c>
      <c r="AB746" s="236">
        <v>-16.8</v>
      </c>
      <c r="AC746" s="127">
        <f t="shared" si="26"/>
        <v>-17</v>
      </c>
    </row>
    <row r="747" ht="14.5" customHeight="1" spans="11:29" x14ac:dyDescent="0.25">
      <c r="K747" s="128"/>
      <c r="X747" s="234">
        <v>2022</v>
      </c>
      <c r="Y747" s="234">
        <v>2</v>
      </c>
      <c r="Z747" s="234">
        <v>1</v>
      </c>
      <c r="AA747" s="235">
        <v>0.041666666667879326</v>
      </c>
      <c r="AB747" s="236">
        <v>-17</v>
      </c>
      <c r="AC747" s="127">
        <f t="shared" si="26"/>
        <v>-17</v>
      </c>
    </row>
    <row r="748" ht="14.5" customHeight="1" spans="11:29" x14ac:dyDescent="0.25">
      <c r="K748" s="128"/>
      <c r="X748" s="234">
        <v>2022</v>
      </c>
      <c r="Y748" s="234">
        <v>2</v>
      </c>
      <c r="Z748" s="234">
        <v>1</v>
      </c>
      <c r="AA748" s="235">
        <v>0.08333333333212067</v>
      </c>
      <c r="AB748" s="236">
        <v>-17.3</v>
      </c>
      <c r="AC748" s="127">
        <f t="shared" si="26"/>
        <v>-17</v>
      </c>
    </row>
    <row r="749" ht="14.5" customHeight="1" spans="11:29" x14ac:dyDescent="0.25">
      <c r="K749" s="128"/>
      <c r="X749" s="234">
        <v>2022</v>
      </c>
      <c r="Y749" s="234">
        <v>2</v>
      </c>
      <c r="Z749" s="234">
        <v>1</v>
      </c>
      <c r="AA749" s="235">
        <v>0.125</v>
      </c>
      <c r="AB749" s="236">
        <v>-17.9</v>
      </c>
      <c r="AC749" s="127">
        <f t="shared" si="26"/>
        <v>-18</v>
      </c>
    </row>
    <row r="750" ht="14.5" customHeight="1" spans="11:29" x14ac:dyDescent="0.25">
      <c r="K750" s="128"/>
      <c r="X750" s="234">
        <v>2022</v>
      </c>
      <c r="Y750" s="234">
        <v>2</v>
      </c>
      <c r="Z750" s="234">
        <v>1</v>
      </c>
      <c r="AA750" s="235">
        <v>0.16666666666787933</v>
      </c>
      <c r="AB750" s="236">
        <v>-18</v>
      </c>
      <c r="AC750" s="127">
        <f t="shared" si="26"/>
        <v>-18</v>
      </c>
    </row>
    <row r="751" ht="14.5" customHeight="1" spans="11:29" x14ac:dyDescent="0.25">
      <c r="K751" s="128"/>
      <c r="X751" s="234">
        <v>2022</v>
      </c>
      <c r="Y751" s="234">
        <v>2</v>
      </c>
      <c r="Z751" s="234">
        <v>1</v>
      </c>
      <c r="AA751" s="235">
        <v>0.20833333333212067</v>
      </c>
      <c r="AB751" s="236">
        <v>-18.3</v>
      </c>
      <c r="AC751" s="127">
        <f t="shared" si="26"/>
        <v>-18</v>
      </c>
    </row>
    <row r="752" ht="14.5" customHeight="1" spans="11:29" x14ac:dyDescent="0.25">
      <c r="K752" s="128"/>
      <c r="X752" s="234">
        <v>2022</v>
      </c>
      <c r="Y752" s="234">
        <v>2</v>
      </c>
      <c r="Z752" s="234">
        <v>1</v>
      </c>
      <c r="AA752" s="235">
        <v>0.25</v>
      </c>
      <c r="AB752" s="236">
        <v>-18.8</v>
      </c>
      <c r="AC752" s="127">
        <f t="shared" si="26"/>
        <v>-19</v>
      </c>
    </row>
    <row r="753" ht="14.5" customHeight="1" spans="11:29" x14ac:dyDescent="0.25">
      <c r="K753" s="128"/>
      <c r="X753" s="234">
        <v>2022</v>
      </c>
      <c r="Y753" s="234">
        <v>2</v>
      </c>
      <c r="Z753" s="234">
        <v>1</v>
      </c>
      <c r="AA753" s="235">
        <v>0.2916666666678793</v>
      </c>
      <c r="AB753" s="236">
        <v>-18.9</v>
      </c>
      <c r="AC753" s="127">
        <f t="shared" si="26"/>
        <v>-19</v>
      </c>
    </row>
    <row r="754" ht="14.5" customHeight="1" spans="11:29" x14ac:dyDescent="0.25">
      <c r="K754" s="128"/>
      <c r="X754" s="234">
        <v>2022</v>
      </c>
      <c r="Y754" s="234">
        <v>2</v>
      </c>
      <c r="Z754" s="234">
        <v>1</v>
      </c>
      <c r="AA754" s="235">
        <v>0.3333333333321207</v>
      </c>
      <c r="AB754" s="236">
        <v>-19.4</v>
      </c>
      <c r="AC754" s="127">
        <f t="shared" si="26"/>
        <v>-19</v>
      </c>
    </row>
    <row r="755" ht="14.5" customHeight="1" spans="11:29" x14ac:dyDescent="0.25">
      <c r="K755" s="128"/>
      <c r="X755" s="234">
        <v>2022</v>
      </c>
      <c r="Y755" s="234">
        <v>2</v>
      </c>
      <c r="Z755" s="234">
        <v>1</v>
      </c>
      <c r="AA755" s="235">
        <v>0.375</v>
      </c>
      <c r="AB755" s="236">
        <v>-19.2</v>
      </c>
      <c r="AC755" s="127">
        <f t="shared" si="26"/>
        <v>-19</v>
      </c>
    </row>
    <row r="756" ht="14.5" customHeight="1" spans="11:29" x14ac:dyDescent="0.25">
      <c r="K756" s="128"/>
      <c r="X756" s="234">
        <v>2022</v>
      </c>
      <c r="Y756" s="234">
        <v>2</v>
      </c>
      <c r="Z756" s="234">
        <v>1</v>
      </c>
      <c r="AA756" s="235">
        <v>0.4166666666678793</v>
      </c>
      <c r="AB756" s="236">
        <v>-18.9</v>
      </c>
      <c r="AC756" s="127">
        <f t="shared" si="26"/>
        <v>-19</v>
      </c>
    </row>
    <row r="757" ht="14.5" customHeight="1" spans="11:29" x14ac:dyDescent="0.25">
      <c r="K757" s="128"/>
      <c r="X757" s="234">
        <v>2022</v>
      </c>
      <c r="Y757" s="234">
        <v>2</v>
      </c>
      <c r="Z757" s="234">
        <v>1</v>
      </c>
      <c r="AA757" s="235">
        <v>0.4583333333321207</v>
      </c>
      <c r="AB757" s="236">
        <v>-18.5</v>
      </c>
      <c r="AC757" s="127">
        <f t="shared" si="26"/>
        <v>-19</v>
      </c>
    </row>
    <row r="758" ht="14.5" customHeight="1" spans="11:29" x14ac:dyDescent="0.25">
      <c r="K758" s="128"/>
      <c r="X758" s="234">
        <v>2022</v>
      </c>
      <c r="Y758" s="234">
        <v>2</v>
      </c>
      <c r="Z758" s="234">
        <v>1</v>
      </c>
      <c r="AA758" s="235">
        <v>0.5</v>
      </c>
      <c r="AB758" s="236">
        <v>-18.2</v>
      </c>
      <c r="AC758" s="127">
        <f t="shared" si="26"/>
        <v>-18</v>
      </c>
    </row>
    <row r="759" ht="14.5" customHeight="1" spans="11:29" x14ac:dyDescent="0.25">
      <c r="K759" s="128"/>
      <c r="X759" s="234">
        <v>2022</v>
      </c>
      <c r="Y759" s="234">
        <v>2</v>
      </c>
      <c r="Z759" s="234">
        <v>1</v>
      </c>
      <c r="AA759" s="235">
        <v>0.5416666666678793</v>
      </c>
      <c r="AB759" s="236">
        <v>-18.1</v>
      </c>
      <c r="AC759" s="127">
        <f t="shared" si="26"/>
        <v>-18</v>
      </c>
    </row>
    <row r="760" ht="14.5" customHeight="1" spans="11:29" x14ac:dyDescent="0.25">
      <c r="K760" s="128"/>
      <c r="X760" s="234">
        <v>2022</v>
      </c>
      <c r="Y760" s="234">
        <v>2</v>
      </c>
      <c r="Z760" s="234">
        <v>1</v>
      </c>
      <c r="AA760" s="235">
        <v>0.5833333333321207</v>
      </c>
      <c r="AB760" s="236">
        <v>-18.2</v>
      </c>
      <c r="AC760" s="127">
        <f t="shared" si="26"/>
        <v>-18</v>
      </c>
    </row>
    <row r="761" ht="14.5" customHeight="1" spans="11:29" x14ac:dyDescent="0.25">
      <c r="K761" s="128"/>
      <c r="X761" s="234">
        <v>2022</v>
      </c>
      <c r="Y761" s="234">
        <v>2</v>
      </c>
      <c r="Z761" s="234">
        <v>1</v>
      </c>
      <c r="AA761" s="235">
        <v>0.625</v>
      </c>
      <c r="AB761" s="236">
        <v>-18.1</v>
      </c>
      <c r="AC761" s="127">
        <f t="shared" si="26"/>
        <v>-18</v>
      </c>
    </row>
    <row r="762" ht="14.5" customHeight="1" spans="11:29" x14ac:dyDescent="0.25">
      <c r="K762" s="128"/>
      <c r="X762" s="234">
        <v>2022</v>
      </c>
      <c r="Y762" s="234">
        <v>2</v>
      </c>
      <c r="Z762" s="234">
        <v>1</v>
      </c>
      <c r="AA762" s="235">
        <v>0.6666666666678793</v>
      </c>
      <c r="AB762" s="236">
        <v>-18.3</v>
      </c>
      <c r="AC762" s="127">
        <f t="shared" si="26"/>
        <v>-18</v>
      </c>
    </row>
    <row r="763" ht="14.5" customHeight="1" spans="11:29" x14ac:dyDescent="0.25">
      <c r="K763" s="128"/>
      <c r="X763" s="234">
        <v>2022</v>
      </c>
      <c r="Y763" s="234">
        <v>2</v>
      </c>
      <c r="Z763" s="234">
        <v>1</v>
      </c>
      <c r="AA763" s="235">
        <v>0.7083333333321207</v>
      </c>
      <c r="AB763" s="236">
        <v>-19.2</v>
      </c>
      <c r="AC763" s="127">
        <f t="shared" si="26"/>
        <v>-19</v>
      </c>
    </row>
    <row r="764" ht="14.5" customHeight="1" spans="11:29" x14ac:dyDescent="0.25">
      <c r="K764" s="128"/>
      <c r="X764" s="234">
        <v>2022</v>
      </c>
      <c r="Y764" s="234">
        <v>2</v>
      </c>
      <c r="Z764" s="234">
        <v>1</v>
      </c>
      <c r="AA764" s="235">
        <v>0.75</v>
      </c>
      <c r="AB764" s="236">
        <v>-20.2</v>
      </c>
      <c r="AC764" s="127">
        <f t="shared" si="26"/>
        <v>-20</v>
      </c>
    </row>
    <row r="765" ht="14.5" customHeight="1" spans="11:29" x14ac:dyDescent="0.25">
      <c r="K765" s="128"/>
      <c r="X765" s="234">
        <v>2022</v>
      </c>
      <c r="Y765" s="234">
        <v>2</v>
      </c>
      <c r="Z765" s="234">
        <v>1</v>
      </c>
      <c r="AA765" s="235">
        <v>0.7916666666678793</v>
      </c>
      <c r="AB765" s="236">
        <v>-21.6</v>
      </c>
      <c r="AC765" s="127">
        <f t="shared" si="26"/>
        <v>-22</v>
      </c>
    </row>
    <row r="766" ht="14.5" customHeight="1" spans="11:29" x14ac:dyDescent="0.25">
      <c r="K766" s="128"/>
      <c r="X766" s="234">
        <v>2022</v>
      </c>
      <c r="Y766" s="234">
        <v>2</v>
      </c>
      <c r="Z766" s="234">
        <v>1</v>
      </c>
      <c r="AA766" s="235">
        <v>0.8333333333321207</v>
      </c>
      <c r="AB766" s="236">
        <v>-21.8</v>
      </c>
      <c r="AC766" s="127">
        <f t="shared" si="26"/>
        <v>-22</v>
      </c>
    </row>
    <row r="767" ht="14.5" customHeight="1" spans="11:29" x14ac:dyDescent="0.25">
      <c r="K767" s="128"/>
      <c r="X767" s="234">
        <v>2022</v>
      </c>
      <c r="Y767" s="234">
        <v>2</v>
      </c>
      <c r="Z767" s="234">
        <v>1</v>
      </c>
      <c r="AA767" s="235">
        <v>0.875</v>
      </c>
      <c r="AB767" s="236">
        <v>-23.5</v>
      </c>
      <c r="AC767" s="127">
        <f t="shared" si="26"/>
        <v>-24</v>
      </c>
    </row>
    <row r="768" ht="14.5" customHeight="1" spans="11:29" x14ac:dyDescent="0.25">
      <c r="K768" s="128"/>
      <c r="X768" s="234">
        <v>2022</v>
      </c>
      <c r="Y768" s="234">
        <v>2</v>
      </c>
      <c r="Z768" s="234">
        <v>1</v>
      </c>
      <c r="AA768" s="235">
        <v>0.9166666666678793</v>
      </c>
      <c r="AB768" s="236">
        <v>-22.4</v>
      </c>
      <c r="AC768" s="127">
        <f t="shared" si="26"/>
        <v>-22</v>
      </c>
    </row>
    <row r="769" ht="14.5" customHeight="1" spans="11:29" x14ac:dyDescent="0.25">
      <c r="K769" s="128"/>
      <c r="X769" s="234">
        <v>2022</v>
      </c>
      <c r="Y769" s="234">
        <v>2</v>
      </c>
      <c r="Z769" s="234">
        <v>1</v>
      </c>
      <c r="AA769" s="235">
        <v>0.9583333333321207</v>
      </c>
      <c r="AB769" s="236">
        <v>-22.3</v>
      </c>
      <c r="AC769" s="127">
        <f t="shared" si="26"/>
        <v>-22</v>
      </c>
    </row>
    <row r="770" ht="14.5" customHeight="1" spans="11:29" x14ac:dyDescent="0.25">
      <c r="K770" s="128"/>
      <c r="X770" s="234">
        <v>2022</v>
      </c>
      <c r="Y770" s="234">
        <v>2</v>
      </c>
      <c r="Z770" s="234">
        <v>2</v>
      </c>
      <c r="AA770" s="235">
        <v>0</v>
      </c>
      <c r="AB770" s="236">
        <v>-23.5</v>
      </c>
      <c r="AC770" s="127">
        <f t="shared" si="26"/>
        <v>-24</v>
      </c>
    </row>
    <row r="771" ht="14.5" customHeight="1" spans="11:29" x14ac:dyDescent="0.25">
      <c r="K771" s="128"/>
      <c r="X771" s="234">
        <v>2022</v>
      </c>
      <c r="Y771" s="234">
        <v>2</v>
      </c>
      <c r="Z771" s="234">
        <v>2</v>
      </c>
      <c r="AA771" s="235">
        <v>0.041666666667879326</v>
      </c>
      <c r="AB771" s="236">
        <v>-23.5</v>
      </c>
      <c r="AC771" s="127">
        <f t="shared" si="26"/>
        <v>-24</v>
      </c>
    </row>
    <row r="772" ht="14.5" customHeight="1" spans="11:29" x14ac:dyDescent="0.25">
      <c r="K772" s="128"/>
      <c r="X772" s="234">
        <v>2022</v>
      </c>
      <c r="Y772" s="234">
        <v>2</v>
      </c>
      <c r="Z772" s="234">
        <v>2</v>
      </c>
      <c r="AA772" s="235">
        <v>0.08333333333212067</v>
      </c>
      <c r="AB772" s="236">
        <v>-23.9</v>
      </c>
      <c r="AC772" s="127">
        <f t="shared" si="26"/>
        <v>-24</v>
      </c>
    </row>
    <row r="773" ht="14.5" customHeight="1" spans="11:29" x14ac:dyDescent="0.25">
      <c r="K773" s="128"/>
      <c r="X773" s="234">
        <v>2022</v>
      </c>
      <c r="Y773" s="234">
        <v>2</v>
      </c>
      <c r="Z773" s="234">
        <v>2</v>
      </c>
      <c r="AA773" s="235">
        <v>0.125</v>
      </c>
      <c r="AB773" s="236">
        <v>-25.9</v>
      </c>
      <c r="AC773" s="127">
        <f t="shared" si="26"/>
        <v>-26</v>
      </c>
    </row>
    <row r="774" ht="14.5" customHeight="1" spans="11:29" x14ac:dyDescent="0.25">
      <c r="K774" s="128"/>
      <c r="X774" s="234">
        <v>2022</v>
      </c>
      <c r="Y774" s="234">
        <v>2</v>
      </c>
      <c r="Z774" s="234">
        <v>2</v>
      </c>
      <c r="AA774" s="235">
        <v>0.16666666666787933</v>
      </c>
      <c r="AB774" s="236">
        <v>-25.7</v>
      </c>
      <c r="AC774" s="127">
        <f t="shared" si="26"/>
        <v>-26</v>
      </c>
    </row>
    <row r="775" ht="14.5" customHeight="1" spans="11:29" x14ac:dyDescent="0.25">
      <c r="K775" s="128"/>
      <c r="X775" s="234">
        <v>2022</v>
      </c>
      <c r="Y775" s="234">
        <v>2</v>
      </c>
      <c r="Z775" s="234">
        <v>2</v>
      </c>
      <c r="AA775" s="235">
        <v>0.20833333333212067</v>
      </c>
      <c r="AB775" s="236">
        <v>-26.1</v>
      </c>
      <c r="AC775" s="127">
        <f t="shared" si="26"/>
        <v>-26</v>
      </c>
    </row>
    <row r="776" ht="14.5" customHeight="1" spans="11:29" x14ac:dyDescent="0.25">
      <c r="K776" s="128"/>
      <c r="X776" s="234">
        <v>2022</v>
      </c>
      <c r="Y776" s="234">
        <v>2</v>
      </c>
      <c r="Z776" s="234">
        <v>2</v>
      </c>
      <c r="AA776" s="235">
        <v>0.25</v>
      </c>
      <c r="AB776" s="236">
        <v>-25.8</v>
      </c>
      <c r="AC776" s="127">
        <f t="shared" si="26"/>
        <v>-26</v>
      </c>
    </row>
    <row r="777" ht="14.5" customHeight="1" spans="11:29" x14ac:dyDescent="0.25">
      <c r="K777" s="128"/>
      <c r="X777" s="234">
        <v>2022</v>
      </c>
      <c r="Y777" s="234">
        <v>2</v>
      </c>
      <c r="Z777" s="234">
        <v>2</v>
      </c>
      <c r="AA777" s="235">
        <v>0.2916666666678793</v>
      </c>
      <c r="AB777" s="236">
        <v>-26.4</v>
      </c>
      <c r="AC777" s="127">
        <f t="shared" si="26"/>
        <v>-26</v>
      </c>
    </row>
    <row r="778" ht="14.5" customHeight="1" spans="11:29" x14ac:dyDescent="0.25">
      <c r="K778" s="128"/>
      <c r="X778" s="234">
        <v>2022</v>
      </c>
      <c r="Y778" s="234">
        <v>2</v>
      </c>
      <c r="Z778" s="234">
        <v>2</v>
      </c>
      <c r="AA778" s="235">
        <v>0.3333333333321207</v>
      </c>
      <c r="AB778" s="236">
        <v>-25.9</v>
      </c>
      <c r="AC778" s="127">
        <f t="shared" si="26"/>
        <v>-26</v>
      </c>
    </row>
    <row r="779" ht="14.5" customHeight="1" spans="11:29" x14ac:dyDescent="0.25">
      <c r="K779" s="128"/>
      <c r="X779" s="234">
        <v>2022</v>
      </c>
      <c r="Y779" s="234">
        <v>2</v>
      </c>
      <c r="Z779" s="234">
        <v>2</v>
      </c>
      <c r="AA779" s="235">
        <v>0.375</v>
      </c>
      <c r="AB779" s="236">
        <v>-24.4</v>
      </c>
      <c r="AC779" s="127">
        <f t="shared" ref="AC779:AC842" si="27">ROUND(AB779,0)</f>
        <v>-24</v>
      </c>
    </row>
    <row r="780" ht="14.5" customHeight="1" spans="11:29" x14ac:dyDescent="0.25">
      <c r="K780" s="128"/>
      <c r="X780" s="234">
        <v>2022</v>
      </c>
      <c r="Y780" s="234">
        <v>2</v>
      </c>
      <c r="Z780" s="234">
        <v>2</v>
      </c>
      <c r="AA780" s="235">
        <v>0.4166666666678793</v>
      </c>
      <c r="AB780" s="236">
        <v>-23</v>
      </c>
      <c r="AC780" s="127">
        <f t="shared" si="27"/>
        <v>-23</v>
      </c>
    </row>
    <row r="781" ht="14.5" customHeight="1" spans="11:29" x14ac:dyDescent="0.25">
      <c r="K781" s="128"/>
      <c r="X781" s="234">
        <v>2022</v>
      </c>
      <c r="Y781" s="234">
        <v>2</v>
      </c>
      <c r="Z781" s="234">
        <v>2</v>
      </c>
      <c r="AA781" s="235">
        <v>0.4583333333321207</v>
      </c>
      <c r="AB781" s="236">
        <v>-22.7</v>
      </c>
      <c r="AC781" s="127">
        <f t="shared" si="27"/>
        <v>-23</v>
      </c>
    </row>
    <row r="782" ht="14.5" customHeight="1" spans="11:29" x14ac:dyDescent="0.25">
      <c r="K782" s="128"/>
      <c r="X782" s="234">
        <v>2022</v>
      </c>
      <c r="Y782" s="234">
        <v>2</v>
      </c>
      <c r="Z782" s="234">
        <v>2</v>
      </c>
      <c r="AA782" s="235">
        <v>0.5</v>
      </c>
      <c r="AB782" s="236">
        <v>-21.3</v>
      </c>
      <c r="AC782" s="127">
        <f t="shared" si="27"/>
        <v>-21</v>
      </c>
    </row>
    <row r="783" ht="14.5" customHeight="1" spans="11:29" x14ac:dyDescent="0.25">
      <c r="K783" s="128"/>
      <c r="X783" s="234">
        <v>2022</v>
      </c>
      <c r="Y783" s="234">
        <v>2</v>
      </c>
      <c r="Z783" s="234">
        <v>2</v>
      </c>
      <c r="AA783" s="235">
        <v>0.5416666666678793</v>
      </c>
      <c r="AB783" s="236">
        <v>-20.3</v>
      </c>
      <c r="AC783" s="127">
        <f t="shared" si="27"/>
        <v>-20</v>
      </c>
    </row>
    <row r="784" ht="14.5" customHeight="1" spans="11:29" x14ac:dyDescent="0.25">
      <c r="K784" s="128"/>
      <c r="X784" s="234">
        <v>2022</v>
      </c>
      <c r="Y784" s="234">
        <v>2</v>
      </c>
      <c r="Z784" s="234">
        <v>2</v>
      </c>
      <c r="AA784" s="235">
        <v>0.5833333333321207</v>
      </c>
      <c r="AB784" s="236">
        <v>-19.2</v>
      </c>
      <c r="AC784" s="127">
        <f t="shared" si="27"/>
        <v>-19</v>
      </c>
    </row>
    <row r="785" ht="14.5" customHeight="1" spans="11:29" x14ac:dyDescent="0.25">
      <c r="K785" s="128"/>
      <c r="X785" s="234">
        <v>2022</v>
      </c>
      <c r="Y785" s="234">
        <v>2</v>
      </c>
      <c r="Z785" s="234">
        <v>2</v>
      </c>
      <c r="AA785" s="235">
        <v>0.625</v>
      </c>
      <c r="AB785" s="236">
        <v>-18.7</v>
      </c>
      <c r="AC785" s="127">
        <f t="shared" si="27"/>
        <v>-19</v>
      </c>
    </row>
    <row r="786" ht="14.5" customHeight="1" spans="11:29" x14ac:dyDescent="0.25">
      <c r="K786" s="128"/>
      <c r="X786" s="234">
        <v>2022</v>
      </c>
      <c r="Y786" s="234">
        <v>2</v>
      </c>
      <c r="Z786" s="234">
        <v>2</v>
      </c>
      <c r="AA786" s="235">
        <v>0.6666666666678793</v>
      </c>
      <c r="AB786" s="236">
        <v>-18.7</v>
      </c>
      <c r="AC786" s="127">
        <f t="shared" si="27"/>
        <v>-19</v>
      </c>
    </row>
    <row r="787" ht="14.5" customHeight="1" spans="11:29" x14ac:dyDescent="0.25">
      <c r="K787" s="128"/>
      <c r="X787" s="234">
        <v>2022</v>
      </c>
      <c r="Y787" s="234">
        <v>2</v>
      </c>
      <c r="Z787" s="234">
        <v>2</v>
      </c>
      <c r="AA787" s="235">
        <v>0.7083333333321207</v>
      </c>
      <c r="AB787" s="236">
        <v>-19.9</v>
      </c>
      <c r="AC787" s="127">
        <f t="shared" si="27"/>
        <v>-20</v>
      </c>
    </row>
    <row r="788" ht="14.5" customHeight="1" spans="11:29" x14ac:dyDescent="0.25">
      <c r="K788" s="128"/>
      <c r="X788" s="234">
        <v>2022</v>
      </c>
      <c r="Y788" s="234">
        <v>2</v>
      </c>
      <c r="Z788" s="234">
        <v>2</v>
      </c>
      <c r="AA788" s="235">
        <v>0.75</v>
      </c>
      <c r="AB788" s="236">
        <v>-20.3</v>
      </c>
      <c r="AC788" s="127">
        <f t="shared" si="27"/>
        <v>-20</v>
      </c>
    </row>
    <row r="789" ht="14.5" customHeight="1" spans="11:29" x14ac:dyDescent="0.25">
      <c r="K789" s="128"/>
      <c r="X789" s="234">
        <v>2022</v>
      </c>
      <c r="Y789" s="234">
        <v>2</v>
      </c>
      <c r="Z789" s="234">
        <v>2</v>
      </c>
      <c r="AA789" s="235">
        <v>0.7916666666678793</v>
      </c>
      <c r="AB789" s="236">
        <v>-20.4</v>
      </c>
      <c r="AC789" s="127">
        <f t="shared" si="27"/>
        <v>-20</v>
      </c>
    </row>
    <row r="790" ht="14.5" customHeight="1" spans="11:29" x14ac:dyDescent="0.25">
      <c r="K790" s="128"/>
      <c r="X790" s="234">
        <v>2022</v>
      </c>
      <c r="Y790" s="234">
        <v>2</v>
      </c>
      <c r="Z790" s="234">
        <v>2</v>
      </c>
      <c r="AA790" s="235">
        <v>0.8333333333321207</v>
      </c>
      <c r="AB790" s="236">
        <v>-20.6</v>
      </c>
      <c r="AC790" s="127">
        <f t="shared" si="27"/>
        <v>-21</v>
      </c>
    </row>
    <row r="791" ht="14.5" customHeight="1" spans="11:29" x14ac:dyDescent="0.25">
      <c r="K791" s="128"/>
      <c r="X791" s="234">
        <v>2022</v>
      </c>
      <c r="Y791" s="234">
        <v>2</v>
      </c>
      <c r="Z791" s="234">
        <v>2</v>
      </c>
      <c r="AA791" s="235">
        <v>0.875</v>
      </c>
      <c r="AB791" s="236">
        <v>-20.5</v>
      </c>
      <c r="AC791" s="127">
        <f t="shared" si="27"/>
        <v>-21</v>
      </c>
    </row>
    <row r="792" ht="14.5" customHeight="1" spans="11:29" x14ac:dyDescent="0.25">
      <c r="K792" s="128"/>
      <c r="X792" s="234">
        <v>2022</v>
      </c>
      <c r="Y792" s="234">
        <v>2</v>
      </c>
      <c r="Z792" s="234">
        <v>2</v>
      </c>
      <c r="AA792" s="235">
        <v>0.9166666666678793</v>
      </c>
      <c r="AB792" s="236">
        <v>-20.4</v>
      </c>
      <c r="AC792" s="127">
        <f t="shared" si="27"/>
        <v>-20</v>
      </c>
    </row>
    <row r="793" ht="14.5" customHeight="1" spans="11:29" x14ac:dyDescent="0.25">
      <c r="K793" s="128"/>
      <c r="X793" s="234">
        <v>2022</v>
      </c>
      <c r="Y793" s="234">
        <v>2</v>
      </c>
      <c r="Z793" s="234">
        <v>2</v>
      </c>
      <c r="AA793" s="235">
        <v>0.9583333333321207</v>
      </c>
      <c r="AB793" s="236">
        <v>-19.5</v>
      </c>
      <c r="AC793" s="127">
        <f t="shared" si="27"/>
        <v>-20</v>
      </c>
    </row>
    <row r="794" ht="14.5" customHeight="1" spans="11:29" x14ac:dyDescent="0.25">
      <c r="K794" s="128"/>
      <c r="X794" s="234">
        <v>2022</v>
      </c>
      <c r="Y794" s="234">
        <v>2</v>
      </c>
      <c r="Z794" s="234">
        <v>3</v>
      </c>
      <c r="AA794" s="235">
        <v>0</v>
      </c>
      <c r="AB794" s="236">
        <v>-18.5</v>
      </c>
      <c r="AC794" s="127">
        <f t="shared" si="27"/>
        <v>-19</v>
      </c>
    </row>
    <row r="795" ht="14.5" customHeight="1" spans="11:29" x14ac:dyDescent="0.25">
      <c r="K795" s="128"/>
      <c r="X795" s="234">
        <v>2022</v>
      </c>
      <c r="Y795" s="234">
        <v>2</v>
      </c>
      <c r="Z795" s="234">
        <v>3</v>
      </c>
      <c r="AA795" s="235">
        <v>0.041666666667879326</v>
      </c>
      <c r="AB795" s="236">
        <v>-18.4</v>
      </c>
      <c r="AC795" s="127">
        <f t="shared" si="27"/>
        <v>-18</v>
      </c>
    </row>
    <row r="796" ht="14.5" customHeight="1" spans="11:29" x14ac:dyDescent="0.25">
      <c r="K796" s="128"/>
      <c r="X796" s="234">
        <v>2022</v>
      </c>
      <c r="Y796" s="234">
        <v>2</v>
      </c>
      <c r="Z796" s="234">
        <v>3</v>
      </c>
      <c r="AA796" s="235">
        <v>0.08333333333212067</v>
      </c>
      <c r="AB796" s="236">
        <v>-13.6</v>
      </c>
      <c r="AC796" s="127">
        <f t="shared" si="27"/>
        <v>-14</v>
      </c>
    </row>
    <row r="797" ht="14.5" customHeight="1" spans="11:29" x14ac:dyDescent="0.25">
      <c r="K797" s="128"/>
      <c r="X797" s="234">
        <v>2022</v>
      </c>
      <c r="Y797" s="234">
        <v>2</v>
      </c>
      <c r="Z797" s="234">
        <v>3</v>
      </c>
      <c r="AA797" s="235">
        <v>0.125</v>
      </c>
      <c r="AB797" s="236">
        <v>-9.6</v>
      </c>
      <c r="AC797" s="127">
        <f t="shared" si="27"/>
        <v>-10</v>
      </c>
    </row>
    <row r="798" ht="14.5" customHeight="1" spans="11:29" x14ac:dyDescent="0.25">
      <c r="K798" s="128"/>
      <c r="X798" s="234">
        <v>2022</v>
      </c>
      <c r="Y798" s="234">
        <v>2</v>
      </c>
      <c r="Z798" s="234">
        <v>3</v>
      </c>
      <c r="AA798" s="235">
        <v>0.16666666666787933</v>
      </c>
      <c r="AB798" s="236">
        <v>-7.5</v>
      </c>
      <c r="AC798" s="127">
        <f t="shared" si="27"/>
        <v>-8</v>
      </c>
    </row>
    <row r="799" ht="14.5" customHeight="1" spans="11:29" x14ac:dyDescent="0.25">
      <c r="K799" s="128"/>
      <c r="X799" s="234">
        <v>2022</v>
      </c>
      <c r="Y799" s="234">
        <v>2</v>
      </c>
      <c r="Z799" s="234">
        <v>3</v>
      </c>
      <c r="AA799" s="235">
        <v>0.20833333333212067</v>
      </c>
      <c r="AB799" s="236">
        <v>-9.9</v>
      </c>
      <c r="AC799" s="127">
        <f t="shared" si="27"/>
        <v>-10</v>
      </c>
    </row>
    <row r="800" ht="14.5" customHeight="1" spans="11:29" x14ac:dyDescent="0.25">
      <c r="K800" s="128"/>
      <c r="X800" s="234">
        <v>2022</v>
      </c>
      <c r="Y800" s="234">
        <v>2</v>
      </c>
      <c r="Z800" s="234">
        <v>3</v>
      </c>
      <c r="AA800" s="235">
        <v>0.25</v>
      </c>
      <c r="AB800" s="236">
        <v>-11.6</v>
      </c>
      <c r="AC800" s="127">
        <f t="shared" si="27"/>
        <v>-12</v>
      </c>
    </row>
    <row r="801" ht="14.5" customHeight="1" spans="11:29" x14ac:dyDescent="0.25">
      <c r="K801" s="128"/>
      <c r="X801" s="234">
        <v>2022</v>
      </c>
      <c r="Y801" s="234">
        <v>2</v>
      </c>
      <c r="Z801" s="234">
        <v>3</v>
      </c>
      <c r="AA801" s="235">
        <v>0.2916666666678793</v>
      </c>
      <c r="AB801" s="236">
        <v>-13.3</v>
      </c>
      <c r="AC801" s="127">
        <f t="shared" si="27"/>
        <v>-13</v>
      </c>
    </row>
    <row r="802" ht="14.5" customHeight="1" spans="11:29" x14ac:dyDescent="0.25">
      <c r="K802" s="128"/>
      <c r="X802" s="234">
        <v>2022</v>
      </c>
      <c r="Y802" s="234">
        <v>2</v>
      </c>
      <c r="Z802" s="234">
        <v>3</v>
      </c>
      <c r="AA802" s="235">
        <v>0.3333333333321207</v>
      </c>
      <c r="AB802" s="236">
        <v>-14.4</v>
      </c>
      <c r="AC802" s="127">
        <f t="shared" si="27"/>
        <v>-14</v>
      </c>
    </row>
    <row r="803" ht="14.5" customHeight="1" spans="11:29" x14ac:dyDescent="0.25">
      <c r="K803" s="128"/>
      <c r="X803" s="234">
        <v>2022</v>
      </c>
      <c r="Y803" s="234">
        <v>2</v>
      </c>
      <c r="Z803" s="234">
        <v>3</v>
      </c>
      <c r="AA803" s="235">
        <v>0.375</v>
      </c>
      <c r="AB803" s="236">
        <v>-14.2</v>
      </c>
      <c r="AC803" s="127">
        <f t="shared" si="27"/>
        <v>-14</v>
      </c>
    </row>
    <row r="804" ht="14.5" customHeight="1" spans="11:29" x14ac:dyDescent="0.25">
      <c r="K804" s="128"/>
      <c r="X804" s="234">
        <v>2022</v>
      </c>
      <c r="Y804" s="234">
        <v>2</v>
      </c>
      <c r="Z804" s="234">
        <v>3</v>
      </c>
      <c r="AA804" s="235">
        <v>0.4166666666678793</v>
      </c>
      <c r="AB804" s="236">
        <v>-13.7</v>
      </c>
      <c r="AC804" s="127">
        <f t="shared" si="27"/>
        <v>-14</v>
      </c>
    </row>
    <row r="805" ht="14.5" customHeight="1" spans="11:29" x14ac:dyDescent="0.25">
      <c r="K805" s="128"/>
      <c r="X805" s="234">
        <v>2022</v>
      </c>
      <c r="Y805" s="234">
        <v>2</v>
      </c>
      <c r="Z805" s="234">
        <v>3</v>
      </c>
      <c r="AA805" s="235">
        <v>0.4583333333321207</v>
      </c>
      <c r="AB805" s="236">
        <v>-13.2</v>
      </c>
      <c r="AC805" s="127">
        <f t="shared" si="27"/>
        <v>-13</v>
      </c>
    </row>
    <row r="806" ht="14.5" customHeight="1" spans="11:29" x14ac:dyDescent="0.25">
      <c r="K806" s="128"/>
      <c r="X806" s="234">
        <v>2022</v>
      </c>
      <c r="Y806" s="234">
        <v>2</v>
      </c>
      <c r="Z806" s="234">
        <v>3</v>
      </c>
      <c r="AA806" s="235">
        <v>0.5</v>
      </c>
      <c r="AB806" s="236">
        <v>-13.2</v>
      </c>
      <c r="AC806" s="127">
        <f t="shared" si="27"/>
        <v>-13</v>
      </c>
    </row>
    <row r="807" ht="14.5" customHeight="1" spans="11:29" x14ac:dyDescent="0.25">
      <c r="K807" s="128"/>
      <c r="X807" s="234">
        <v>2022</v>
      </c>
      <c r="Y807" s="234">
        <v>2</v>
      </c>
      <c r="Z807" s="234">
        <v>3</v>
      </c>
      <c r="AA807" s="235">
        <v>0.5416666666678793</v>
      </c>
      <c r="AB807" s="236">
        <v>-12.8</v>
      </c>
      <c r="AC807" s="127">
        <f t="shared" si="27"/>
        <v>-13</v>
      </c>
    </row>
    <row r="808" ht="14.5" customHeight="1" spans="11:29" x14ac:dyDescent="0.25">
      <c r="K808" s="128"/>
      <c r="X808" s="234">
        <v>2022</v>
      </c>
      <c r="Y808" s="234">
        <v>2</v>
      </c>
      <c r="Z808" s="234">
        <v>3</v>
      </c>
      <c r="AA808" s="235">
        <v>0.5833333333321207</v>
      </c>
      <c r="AB808" s="236">
        <v>-12.7</v>
      </c>
      <c r="AC808" s="127">
        <f t="shared" si="27"/>
        <v>-13</v>
      </c>
    </row>
    <row r="809" ht="14.5" customHeight="1" spans="11:29" x14ac:dyDescent="0.25">
      <c r="K809" s="128"/>
      <c r="X809" s="234">
        <v>2022</v>
      </c>
      <c r="Y809" s="234">
        <v>2</v>
      </c>
      <c r="Z809" s="234">
        <v>3</v>
      </c>
      <c r="AA809" s="235">
        <v>0.625</v>
      </c>
      <c r="AB809" s="236">
        <v>-13.1</v>
      </c>
      <c r="AC809" s="127">
        <f t="shared" si="27"/>
        <v>-13</v>
      </c>
    </row>
    <row r="810" ht="14.5" customHeight="1" spans="11:29" x14ac:dyDescent="0.25">
      <c r="K810" s="128"/>
      <c r="X810" s="234">
        <v>2022</v>
      </c>
      <c r="Y810" s="234">
        <v>2</v>
      </c>
      <c r="Z810" s="234">
        <v>3</v>
      </c>
      <c r="AA810" s="235">
        <v>0.6666666666678793</v>
      </c>
      <c r="AB810" s="236">
        <v>-14</v>
      </c>
      <c r="AC810" s="127">
        <f t="shared" si="27"/>
        <v>-14</v>
      </c>
    </row>
    <row r="811" ht="14.5" customHeight="1" spans="11:29" x14ac:dyDescent="0.25">
      <c r="K811" s="128"/>
      <c r="X811" s="234">
        <v>2022</v>
      </c>
      <c r="Y811" s="234">
        <v>2</v>
      </c>
      <c r="Z811" s="234">
        <v>3</v>
      </c>
      <c r="AA811" s="235">
        <v>0.7083333333321207</v>
      </c>
      <c r="AB811" s="236">
        <v>-14.9</v>
      </c>
      <c r="AC811" s="127">
        <f t="shared" si="27"/>
        <v>-15</v>
      </c>
    </row>
    <row r="812" ht="14.5" customHeight="1" spans="11:29" x14ac:dyDescent="0.25">
      <c r="K812" s="128"/>
      <c r="X812" s="234">
        <v>2022</v>
      </c>
      <c r="Y812" s="234">
        <v>2</v>
      </c>
      <c r="Z812" s="234">
        <v>3</v>
      </c>
      <c r="AA812" s="235">
        <v>0.75</v>
      </c>
      <c r="AB812" s="236">
        <v>-16.7</v>
      </c>
      <c r="AC812" s="127">
        <f t="shared" si="27"/>
        <v>-17</v>
      </c>
    </row>
    <row r="813" ht="14.5" customHeight="1" spans="11:29" x14ac:dyDescent="0.25">
      <c r="K813" s="128"/>
      <c r="X813" s="234">
        <v>2022</v>
      </c>
      <c r="Y813" s="234">
        <v>2</v>
      </c>
      <c r="Z813" s="234">
        <v>3</v>
      </c>
      <c r="AA813" s="235">
        <v>0.7916666666678793</v>
      </c>
      <c r="AB813" s="236">
        <v>-16.3</v>
      </c>
      <c r="AC813" s="127">
        <f t="shared" si="27"/>
        <v>-16</v>
      </c>
    </row>
    <row r="814" ht="14.5" customHeight="1" spans="11:29" x14ac:dyDescent="0.25">
      <c r="K814" s="128"/>
      <c r="X814" s="234">
        <v>2022</v>
      </c>
      <c r="Y814" s="234">
        <v>2</v>
      </c>
      <c r="Z814" s="234">
        <v>3</v>
      </c>
      <c r="AA814" s="235">
        <v>0.8333333333321207</v>
      </c>
      <c r="AB814" s="236">
        <v>-16.8</v>
      </c>
      <c r="AC814" s="127">
        <f t="shared" si="27"/>
        <v>-17</v>
      </c>
    </row>
    <row r="815" ht="14.5" customHeight="1" spans="11:29" x14ac:dyDescent="0.25">
      <c r="K815" s="128"/>
      <c r="X815" s="234">
        <v>2022</v>
      </c>
      <c r="Y815" s="234">
        <v>2</v>
      </c>
      <c r="Z815" s="234">
        <v>3</v>
      </c>
      <c r="AA815" s="235">
        <v>0.875</v>
      </c>
      <c r="AB815" s="236">
        <v>-16.6</v>
      </c>
      <c r="AC815" s="127">
        <f t="shared" si="27"/>
        <v>-17</v>
      </c>
    </row>
    <row r="816" ht="14.5" customHeight="1" spans="11:29" x14ac:dyDescent="0.25">
      <c r="K816" s="128"/>
      <c r="X816" s="234">
        <v>2022</v>
      </c>
      <c r="Y816" s="234">
        <v>2</v>
      </c>
      <c r="Z816" s="234">
        <v>3</v>
      </c>
      <c r="AA816" s="235">
        <v>0.9166666666678793</v>
      </c>
      <c r="AB816" s="236">
        <v>-16.4</v>
      </c>
      <c r="AC816" s="127">
        <f t="shared" si="27"/>
        <v>-16</v>
      </c>
    </row>
    <row r="817" ht="14.5" customHeight="1" spans="11:29" x14ac:dyDescent="0.25">
      <c r="K817" s="128"/>
      <c r="X817" s="234">
        <v>2022</v>
      </c>
      <c r="Y817" s="234">
        <v>2</v>
      </c>
      <c r="Z817" s="234">
        <v>3</v>
      </c>
      <c r="AA817" s="235">
        <v>0.9583333333321207</v>
      </c>
      <c r="AB817" s="236">
        <v>-15.9</v>
      </c>
      <c r="AC817" s="127">
        <f t="shared" si="27"/>
        <v>-16</v>
      </c>
    </row>
    <row r="818" ht="14.5" customHeight="1" spans="11:29" x14ac:dyDescent="0.25">
      <c r="K818" s="128"/>
      <c r="X818" s="234">
        <v>2022</v>
      </c>
      <c r="Y818" s="234">
        <v>2</v>
      </c>
      <c r="Z818" s="234">
        <v>4</v>
      </c>
      <c r="AA818" s="235">
        <v>0</v>
      </c>
      <c r="AB818" s="236">
        <v>-15.6</v>
      </c>
      <c r="AC818" s="127">
        <f t="shared" si="27"/>
        <v>-16</v>
      </c>
    </row>
    <row r="819" ht="14.5" customHeight="1" spans="11:29" x14ac:dyDescent="0.25">
      <c r="K819" s="128"/>
      <c r="X819" s="234">
        <v>2022</v>
      </c>
      <c r="Y819" s="234">
        <v>2</v>
      </c>
      <c r="Z819" s="234">
        <v>4</v>
      </c>
      <c r="AA819" s="235">
        <v>0.041666666667879326</v>
      </c>
      <c r="AB819" s="236">
        <v>-16.6</v>
      </c>
      <c r="AC819" s="127">
        <f t="shared" si="27"/>
        <v>-17</v>
      </c>
    </row>
    <row r="820" ht="14.5" customHeight="1" spans="11:29" x14ac:dyDescent="0.25">
      <c r="K820" s="128"/>
      <c r="X820" s="234">
        <v>2022</v>
      </c>
      <c r="Y820" s="234">
        <v>2</v>
      </c>
      <c r="Z820" s="234">
        <v>4</v>
      </c>
      <c r="AA820" s="235">
        <v>0.08333333333212067</v>
      </c>
      <c r="AB820" s="236">
        <v>-16.7</v>
      </c>
      <c r="AC820" s="127">
        <f t="shared" si="27"/>
        <v>-17</v>
      </c>
    </row>
    <row r="821" ht="14.5" customHeight="1" spans="11:29" x14ac:dyDescent="0.25">
      <c r="K821" s="128"/>
      <c r="X821" s="234">
        <v>2022</v>
      </c>
      <c r="Y821" s="234">
        <v>2</v>
      </c>
      <c r="Z821" s="234">
        <v>4</v>
      </c>
      <c r="AA821" s="235">
        <v>0.125</v>
      </c>
      <c r="AB821" s="236">
        <v>-16.8</v>
      </c>
      <c r="AC821" s="127">
        <f t="shared" si="27"/>
        <v>-17</v>
      </c>
    </row>
    <row r="822" ht="14.5" customHeight="1" spans="11:29" x14ac:dyDescent="0.25">
      <c r="K822" s="128"/>
      <c r="X822" s="234">
        <v>2022</v>
      </c>
      <c r="Y822" s="234">
        <v>2</v>
      </c>
      <c r="Z822" s="234">
        <v>4</v>
      </c>
      <c r="AA822" s="235">
        <v>0.16666666666787933</v>
      </c>
      <c r="AB822" s="236">
        <v>-17</v>
      </c>
      <c r="AC822" s="127">
        <f t="shared" si="27"/>
        <v>-17</v>
      </c>
    </row>
    <row r="823" ht="14.5" customHeight="1" spans="11:29" x14ac:dyDescent="0.25">
      <c r="K823" s="128"/>
      <c r="X823" s="234">
        <v>2022</v>
      </c>
      <c r="Y823" s="234">
        <v>2</v>
      </c>
      <c r="Z823" s="234">
        <v>4</v>
      </c>
      <c r="AA823" s="235">
        <v>0.20833333333212067</v>
      </c>
      <c r="AB823" s="236">
        <v>-17</v>
      </c>
      <c r="AC823" s="127">
        <f t="shared" si="27"/>
        <v>-17</v>
      </c>
    </row>
    <row r="824" ht="14.5" customHeight="1" spans="11:29" x14ac:dyDescent="0.25">
      <c r="K824" s="128"/>
      <c r="X824" s="234">
        <v>2022</v>
      </c>
      <c r="Y824" s="234">
        <v>2</v>
      </c>
      <c r="Z824" s="234">
        <v>4</v>
      </c>
      <c r="AA824" s="235">
        <v>0.25</v>
      </c>
      <c r="AB824" s="236">
        <v>-15.6</v>
      </c>
      <c r="AC824" s="127">
        <f t="shared" si="27"/>
        <v>-16</v>
      </c>
    </row>
    <row r="825" ht="14.5" customHeight="1" spans="11:29" x14ac:dyDescent="0.25">
      <c r="K825" s="128"/>
      <c r="X825" s="234">
        <v>2022</v>
      </c>
      <c r="Y825" s="234">
        <v>2</v>
      </c>
      <c r="Z825" s="234">
        <v>4</v>
      </c>
      <c r="AA825" s="235">
        <v>0.2916666666678793</v>
      </c>
      <c r="AB825" s="236">
        <v>-12.8</v>
      </c>
      <c r="AC825" s="127">
        <f t="shared" si="27"/>
        <v>-13</v>
      </c>
    </row>
    <row r="826" ht="14.5" customHeight="1" spans="11:29" x14ac:dyDescent="0.25">
      <c r="K826" s="128"/>
      <c r="X826" s="234">
        <v>2022</v>
      </c>
      <c r="Y826" s="234">
        <v>2</v>
      </c>
      <c r="Z826" s="234">
        <v>4</v>
      </c>
      <c r="AA826" s="235">
        <v>0.3333333333321207</v>
      </c>
      <c r="AB826" s="236">
        <v>-10.9</v>
      </c>
      <c r="AC826" s="127">
        <f t="shared" si="27"/>
        <v>-11</v>
      </c>
    </row>
    <row r="827" ht="14.5" customHeight="1" spans="11:29" x14ac:dyDescent="0.25">
      <c r="K827" s="128"/>
      <c r="X827" s="234">
        <v>2022</v>
      </c>
      <c r="Y827" s="234">
        <v>2</v>
      </c>
      <c r="Z827" s="234">
        <v>4</v>
      </c>
      <c r="AA827" s="235">
        <v>0.375</v>
      </c>
      <c r="AB827" s="236">
        <v>-6.7</v>
      </c>
      <c r="AC827" s="127">
        <f t="shared" si="27"/>
        <v>-7</v>
      </c>
    </row>
    <row r="828" ht="14.5" customHeight="1" spans="11:29" x14ac:dyDescent="0.25">
      <c r="K828" s="128"/>
      <c r="X828" s="234">
        <v>2022</v>
      </c>
      <c r="Y828" s="234">
        <v>2</v>
      </c>
      <c r="Z828" s="234">
        <v>4</v>
      </c>
      <c r="AA828" s="235">
        <v>0.4166666666678793</v>
      </c>
      <c r="AB828" s="236">
        <v>4.7</v>
      </c>
      <c r="AC828" s="127">
        <f t="shared" si="27"/>
        <v>5</v>
      </c>
    </row>
    <row r="829" ht="14.5" customHeight="1" spans="11:29" x14ac:dyDescent="0.25">
      <c r="K829" s="128"/>
      <c r="X829" s="234">
        <v>2022</v>
      </c>
      <c r="Y829" s="234">
        <v>2</v>
      </c>
      <c r="Z829" s="234">
        <v>4</v>
      </c>
      <c r="AA829" s="235">
        <v>0.4583333333321207</v>
      </c>
      <c r="AB829" s="236">
        <v>5.6</v>
      </c>
      <c r="AC829" s="127">
        <f t="shared" si="27"/>
        <v>6</v>
      </c>
    </row>
    <row r="830" ht="14.5" customHeight="1" spans="11:29" x14ac:dyDescent="0.25">
      <c r="K830" s="128"/>
      <c r="X830" s="234">
        <v>2022</v>
      </c>
      <c r="Y830" s="234">
        <v>2</v>
      </c>
      <c r="Z830" s="234">
        <v>4</v>
      </c>
      <c r="AA830" s="235">
        <v>0.5</v>
      </c>
      <c r="AB830" s="236">
        <v>6.7</v>
      </c>
      <c r="AC830" s="127">
        <f t="shared" si="27"/>
        <v>7</v>
      </c>
    </row>
    <row r="831" ht="14.5" customHeight="1" spans="11:29" x14ac:dyDescent="0.25">
      <c r="K831" s="128"/>
      <c r="X831" s="234">
        <v>2022</v>
      </c>
      <c r="Y831" s="234">
        <v>2</v>
      </c>
      <c r="Z831" s="234">
        <v>4</v>
      </c>
      <c r="AA831" s="235">
        <v>0.5416666666678793</v>
      </c>
      <c r="AB831" s="236">
        <v>7.2</v>
      </c>
      <c r="AC831" s="127">
        <f t="shared" si="27"/>
        <v>7</v>
      </c>
    </row>
    <row r="832" ht="14.5" customHeight="1" spans="11:29" x14ac:dyDescent="0.25">
      <c r="K832" s="128"/>
      <c r="X832" s="234">
        <v>2022</v>
      </c>
      <c r="Y832" s="234">
        <v>2</v>
      </c>
      <c r="Z832" s="234">
        <v>4</v>
      </c>
      <c r="AA832" s="235">
        <v>0.5833333333321207</v>
      </c>
      <c r="AB832" s="236">
        <v>6.3</v>
      </c>
      <c r="AC832" s="127">
        <f t="shared" si="27"/>
        <v>6</v>
      </c>
    </row>
    <row r="833" ht="14.5" customHeight="1" spans="11:29" x14ac:dyDescent="0.25">
      <c r="K833" s="128"/>
      <c r="X833" s="234">
        <v>2022</v>
      </c>
      <c r="Y833" s="234">
        <v>2</v>
      </c>
      <c r="Z833" s="234">
        <v>4</v>
      </c>
      <c r="AA833" s="235">
        <v>0.625</v>
      </c>
      <c r="AB833" s="236">
        <v>5.7</v>
      </c>
      <c r="AC833" s="127">
        <f t="shared" si="27"/>
        <v>6</v>
      </c>
    </row>
    <row r="834" ht="14.5" customHeight="1" spans="11:29" x14ac:dyDescent="0.25">
      <c r="K834" s="128"/>
      <c r="X834" s="234">
        <v>2022</v>
      </c>
      <c r="Y834" s="234">
        <v>2</v>
      </c>
      <c r="Z834" s="234">
        <v>4</v>
      </c>
      <c r="AA834" s="235">
        <v>0.6666666666678793</v>
      </c>
      <c r="AB834" s="236">
        <v>7.2</v>
      </c>
      <c r="AC834" s="127">
        <f t="shared" si="27"/>
        <v>7</v>
      </c>
    </row>
    <row r="835" ht="14.5" customHeight="1" spans="11:29" x14ac:dyDescent="0.25">
      <c r="K835" s="128"/>
      <c r="X835" s="234">
        <v>2022</v>
      </c>
      <c r="Y835" s="234">
        <v>2</v>
      </c>
      <c r="Z835" s="234">
        <v>4</v>
      </c>
      <c r="AA835" s="235">
        <v>0.7083333333321207</v>
      </c>
      <c r="AB835" s="236">
        <v>6.3</v>
      </c>
      <c r="AC835" s="127">
        <f t="shared" si="27"/>
        <v>6</v>
      </c>
    </row>
    <row r="836" ht="14.5" customHeight="1" spans="11:29" x14ac:dyDescent="0.25">
      <c r="K836" s="128"/>
      <c r="X836" s="234">
        <v>2022</v>
      </c>
      <c r="Y836" s="234">
        <v>2</v>
      </c>
      <c r="Z836" s="234">
        <v>4</v>
      </c>
      <c r="AA836" s="235">
        <v>0.75</v>
      </c>
      <c r="AB836" s="236">
        <v>4.8</v>
      </c>
      <c r="AC836" s="127">
        <f t="shared" si="27"/>
        <v>5</v>
      </c>
    </row>
    <row r="837" ht="14.5" customHeight="1" spans="11:29" x14ac:dyDescent="0.25">
      <c r="K837" s="128"/>
      <c r="X837" s="234">
        <v>2022</v>
      </c>
      <c r="Y837" s="234">
        <v>2</v>
      </c>
      <c r="Z837" s="234">
        <v>4</v>
      </c>
      <c r="AA837" s="235">
        <v>0.7916666666678793</v>
      </c>
      <c r="AB837" s="236">
        <v>4.4</v>
      </c>
      <c r="AC837" s="127">
        <f t="shared" si="27"/>
        <v>4</v>
      </c>
    </row>
    <row r="838" ht="14.5" customHeight="1" spans="11:29" x14ac:dyDescent="0.25">
      <c r="K838" s="128"/>
      <c r="X838" s="234">
        <v>2022</v>
      </c>
      <c r="Y838" s="234">
        <v>2</v>
      </c>
      <c r="Z838" s="234">
        <v>4</v>
      </c>
      <c r="AA838" s="235">
        <v>0.8333333333321207</v>
      </c>
      <c r="AB838" s="236">
        <v>3.5</v>
      </c>
      <c r="AC838" s="127">
        <f t="shared" si="27"/>
        <v>4</v>
      </c>
    </row>
    <row r="839" ht="14.5" customHeight="1" spans="11:29" x14ac:dyDescent="0.25">
      <c r="K839" s="128"/>
      <c r="X839" s="234">
        <v>2022</v>
      </c>
      <c r="Y839" s="234">
        <v>2</v>
      </c>
      <c r="Z839" s="234">
        <v>4</v>
      </c>
      <c r="AA839" s="235">
        <v>0.875</v>
      </c>
      <c r="AB839" s="236">
        <v>3</v>
      </c>
      <c r="AC839" s="127">
        <f t="shared" si="27"/>
        <v>3</v>
      </c>
    </row>
    <row r="840" ht="14.5" customHeight="1" spans="11:29" x14ac:dyDescent="0.25">
      <c r="K840" s="128"/>
      <c r="X840" s="234">
        <v>2022</v>
      </c>
      <c r="Y840" s="234">
        <v>2</v>
      </c>
      <c r="Z840" s="234">
        <v>4</v>
      </c>
      <c r="AA840" s="235">
        <v>0.9166666666678793</v>
      </c>
      <c r="AB840" s="236">
        <v>1.5</v>
      </c>
      <c r="AC840" s="127">
        <f t="shared" si="27"/>
        <v>2</v>
      </c>
    </row>
    <row r="841" ht="14.5" customHeight="1" spans="11:29" x14ac:dyDescent="0.25">
      <c r="K841" s="128"/>
      <c r="X841" s="234">
        <v>2022</v>
      </c>
      <c r="Y841" s="234">
        <v>2</v>
      </c>
      <c r="Z841" s="234">
        <v>4</v>
      </c>
      <c r="AA841" s="235">
        <v>0.9583333333321207</v>
      </c>
      <c r="AB841" s="236">
        <v>-0.8</v>
      </c>
      <c r="AC841" s="127">
        <f t="shared" si="27"/>
        <v>-1</v>
      </c>
    </row>
    <row r="842" ht="14.5" customHeight="1" spans="11:29" x14ac:dyDescent="0.25">
      <c r="K842" s="128"/>
      <c r="X842" s="234">
        <v>2022</v>
      </c>
      <c r="Y842" s="234">
        <v>2</v>
      </c>
      <c r="Z842" s="234">
        <v>5</v>
      </c>
      <c r="AA842" s="235">
        <v>0</v>
      </c>
      <c r="AB842" s="236">
        <v>3</v>
      </c>
      <c r="AC842" s="127">
        <f t="shared" si="27"/>
        <v>3</v>
      </c>
    </row>
    <row r="843" ht="14.5" customHeight="1" spans="11:29" x14ac:dyDescent="0.25">
      <c r="K843" s="128"/>
      <c r="X843" s="234">
        <v>2022</v>
      </c>
      <c r="Y843" s="234">
        <v>2</v>
      </c>
      <c r="Z843" s="234">
        <v>5</v>
      </c>
      <c r="AA843" s="235">
        <v>0.041666666667879326</v>
      </c>
      <c r="AB843" s="236">
        <v>4</v>
      </c>
      <c r="AC843" s="127">
        <f t="shared" ref="AC843:AC906" si="28">ROUND(AB843,0)</f>
        <v>4</v>
      </c>
    </row>
    <row r="844" ht="14.5" customHeight="1" spans="11:29" x14ac:dyDescent="0.25">
      <c r="K844" s="128"/>
      <c r="X844" s="234">
        <v>2022</v>
      </c>
      <c r="Y844" s="234">
        <v>2</v>
      </c>
      <c r="Z844" s="234">
        <v>5</v>
      </c>
      <c r="AA844" s="235">
        <v>0.08333333333212067</v>
      </c>
      <c r="AB844" s="236">
        <v>4.5</v>
      </c>
      <c r="AC844" s="127">
        <f t="shared" si="28"/>
        <v>5</v>
      </c>
    </row>
    <row r="845" ht="14.5" customHeight="1" spans="11:29" x14ac:dyDescent="0.25">
      <c r="K845" s="128"/>
      <c r="X845" s="234">
        <v>2022</v>
      </c>
      <c r="Y845" s="234">
        <v>2</v>
      </c>
      <c r="Z845" s="234">
        <v>5</v>
      </c>
      <c r="AA845" s="235">
        <v>0.125</v>
      </c>
      <c r="AB845" s="236">
        <v>3.8</v>
      </c>
      <c r="AC845" s="127">
        <f t="shared" si="28"/>
        <v>4</v>
      </c>
    </row>
    <row r="846" ht="14.5" customHeight="1" spans="11:29" x14ac:dyDescent="0.25">
      <c r="K846" s="128"/>
      <c r="X846" s="234">
        <v>2022</v>
      </c>
      <c r="Y846" s="234">
        <v>2</v>
      </c>
      <c r="Z846" s="234">
        <v>5</v>
      </c>
      <c r="AA846" s="235">
        <v>0.16666666666787933</v>
      </c>
      <c r="AB846" s="236">
        <v>3.2</v>
      </c>
      <c r="AC846" s="127">
        <f t="shared" si="28"/>
        <v>3</v>
      </c>
    </row>
    <row r="847" ht="14.5" customHeight="1" spans="11:29" x14ac:dyDescent="0.25">
      <c r="K847" s="128"/>
      <c r="X847" s="234">
        <v>2022</v>
      </c>
      <c r="Y847" s="234">
        <v>2</v>
      </c>
      <c r="Z847" s="234">
        <v>5</v>
      </c>
      <c r="AA847" s="235">
        <v>0.20833333333212067</v>
      </c>
      <c r="AB847" s="236">
        <v>4.1</v>
      </c>
      <c r="AC847" s="127">
        <f t="shared" si="28"/>
        <v>4</v>
      </c>
    </row>
    <row r="848" ht="14.5" customHeight="1" spans="11:29" x14ac:dyDescent="0.25">
      <c r="K848" s="128"/>
      <c r="X848" s="234">
        <v>2022</v>
      </c>
      <c r="Y848" s="234">
        <v>2</v>
      </c>
      <c r="Z848" s="234">
        <v>5</v>
      </c>
      <c r="AA848" s="235">
        <v>0.25</v>
      </c>
      <c r="AB848" s="236">
        <v>3.6</v>
      </c>
      <c r="AC848" s="127">
        <f t="shared" si="28"/>
        <v>4</v>
      </c>
    </row>
    <row r="849" ht="14.5" customHeight="1" spans="11:29" x14ac:dyDescent="0.25">
      <c r="K849" s="128"/>
      <c r="X849" s="234">
        <v>2022</v>
      </c>
      <c r="Y849" s="234">
        <v>2</v>
      </c>
      <c r="Z849" s="234">
        <v>5</v>
      </c>
      <c r="AA849" s="235">
        <v>0.2916666666678793</v>
      </c>
      <c r="AB849" s="236">
        <v>3.9</v>
      </c>
      <c r="AC849" s="127">
        <f t="shared" si="28"/>
        <v>4</v>
      </c>
    </row>
    <row r="850" ht="14.5" customHeight="1" spans="11:29" x14ac:dyDescent="0.25">
      <c r="K850" s="128"/>
      <c r="X850" s="234">
        <v>2022</v>
      </c>
      <c r="Y850" s="234">
        <v>2</v>
      </c>
      <c r="Z850" s="234">
        <v>5</v>
      </c>
      <c r="AA850" s="235">
        <v>0.3333333333321207</v>
      </c>
      <c r="AB850" s="236">
        <v>3.2</v>
      </c>
      <c r="AC850" s="127">
        <f t="shared" si="28"/>
        <v>3</v>
      </c>
    </row>
    <row r="851" ht="14.5" customHeight="1" spans="11:29" x14ac:dyDescent="0.25">
      <c r="K851" s="128"/>
      <c r="X851" s="234">
        <v>2022</v>
      </c>
      <c r="Y851" s="234">
        <v>2</v>
      </c>
      <c r="Z851" s="234">
        <v>5</v>
      </c>
      <c r="AA851" s="235">
        <v>0.375</v>
      </c>
      <c r="AB851" s="236">
        <v>4</v>
      </c>
      <c r="AC851" s="127">
        <f t="shared" si="28"/>
        <v>4</v>
      </c>
    </row>
    <row r="852" ht="14.5" customHeight="1" spans="11:29" x14ac:dyDescent="0.25">
      <c r="K852" s="128"/>
      <c r="X852" s="234">
        <v>2022</v>
      </c>
      <c r="Y852" s="234">
        <v>2</v>
      </c>
      <c r="Z852" s="234">
        <v>5</v>
      </c>
      <c r="AA852" s="235">
        <v>0.4166666666678793</v>
      </c>
      <c r="AB852" s="236">
        <v>4.7</v>
      </c>
      <c r="AC852" s="127">
        <f t="shared" si="28"/>
        <v>5</v>
      </c>
    </row>
    <row r="853" ht="14.5" customHeight="1" spans="11:29" x14ac:dyDescent="0.25">
      <c r="K853" s="128"/>
      <c r="X853" s="234">
        <v>2022</v>
      </c>
      <c r="Y853" s="234">
        <v>2</v>
      </c>
      <c r="Z853" s="234">
        <v>5</v>
      </c>
      <c r="AA853" s="235">
        <v>0.4583333333321207</v>
      </c>
      <c r="AB853" s="236">
        <v>4.7</v>
      </c>
      <c r="AC853" s="127">
        <f t="shared" si="28"/>
        <v>5</v>
      </c>
    </row>
    <row r="854" ht="14.5" customHeight="1" spans="11:29" x14ac:dyDescent="0.25">
      <c r="K854" s="128"/>
      <c r="X854" s="234">
        <v>2022</v>
      </c>
      <c r="Y854" s="234">
        <v>2</v>
      </c>
      <c r="Z854" s="234">
        <v>5</v>
      </c>
      <c r="AA854" s="235">
        <v>0.5</v>
      </c>
      <c r="AB854" s="236">
        <v>5.3</v>
      </c>
      <c r="AC854" s="127">
        <f t="shared" si="28"/>
        <v>5</v>
      </c>
    </row>
    <row r="855" ht="14.5" customHeight="1" spans="11:29" x14ac:dyDescent="0.25">
      <c r="K855" s="128"/>
      <c r="X855" s="234">
        <v>2022</v>
      </c>
      <c r="Y855" s="234">
        <v>2</v>
      </c>
      <c r="Z855" s="234">
        <v>5</v>
      </c>
      <c r="AA855" s="235">
        <v>0.5416666666678793</v>
      </c>
      <c r="AB855" s="236">
        <v>4.9</v>
      </c>
      <c r="AC855" s="127">
        <f t="shared" si="28"/>
        <v>5</v>
      </c>
    </row>
    <row r="856" ht="14.5" customHeight="1" spans="11:29" x14ac:dyDescent="0.25">
      <c r="K856" s="128"/>
      <c r="X856" s="234">
        <v>2022</v>
      </c>
      <c r="Y856" s="234">
        <v>2</v>
      </c>
      <c r="Z856" s="234">
        <v>5</v>
      </c>
      <c r="AA856" s="235">
        <v>0.5833333333321207</v>
      </c>
      <c r="AB856" s="236">
        <v>4.8</v>
      </c>
      <c r="AC856" s="127">
        <f t="shared" si="28"/>
        <v>5</v>
      </c>
    </row>
    <row r="857" ht="14.5" customHeight="1" spans="11:29" x14ac:dyDescent="0.25">
      <c r="K857" s="128"/>
      <c r="X857" s="234">
        <v>2022</v>
      </c>
      <c r="Y857" s="234">
        <v>2</v>
      </c>
      <c r="Z857" s="234">
        <v>5</v>
      </c>
      <c r="AA857" s="235">
        <v>0.625</v>
      </c>
      <c r="AB857" s="236">
        <v>4.7</v>
      </c>
      <c r="AC857" s="127">
        <f t="shared" si="28"/>
        <v>5</v>
      </c>
    </row>
    <row r="858" ht="14.5" customHeight="1" spans="11:29" x14ac:dyDescent="0.25">
      <c r="K858" s="128"/>
      <c r="X858" s="234">
        <v>2022</v>
      </c>
      <c r="Y858" s="234">
        <v>2</v>
      </c>
      <c r="Z858" s="234">
        <v>5</v>
      </c>
      <c r="AA858" s="235">
        <v>0.6666666666678793</v>
      </c>
      <c r="AB858" s="236">
        <v>4.6</v>
      </c>
      <c r="AC858" s="127">
        <f t="shared" si="28"/>
        <v>5</v>
      </c>
    </row>
    <row r="859" ht="14.5" customHeight="1" spans="11:29" x14ac:dyDescent="0.25">
      <c r="K859" s="128"/>
      <c r="X859" s="234">
        <v>2022</v>
      </c>
      <c r="Y859" s="234">
        <v>2</v>
      </c>
      <c r="Z859" s="234">
        <v>5</v>
      </c>
      <c r="AA859" s="235">
        <v>0.7083333333321207</v>
      </c>
      <c r="AB859" s="236">
        <v>1.8</v>
      </c>
      <c r="AC859" s="127">
        <f t="shared" si="28"/>
        <v>2</v>
      </c>
    </row>
    <row r="860" ht="14.5" customHeight="1" spans="11:29" x14ac:dyDescent="0.25">
      <c r="K860" s="128"/>
      <c r="X860" s="234">
        <v>2022</v>
      </c>
      <c r="Y860" s="234">
        <v>2</v>
      </c>
      <c r="Z860" s="234">
        <v>5</v>
      </c>
      <c r="AA860" s="235">
        <v>0.75</v>
      </c>
      <c r="AB860" s="236">
        <v>-0.1</v>
      </c>
      <c r="AC860" s="127">
        <f t="shared" si="28"/>
        <v>0</v>
      </c>
    </row>
    <row r="861" ht="14.5" customHeight="1" spans="11:29" x14ac:dyDescent="0.25">
      <c r="K861" s="128"/>
      <c r="X861" s="234">
        <v>2022</v>
      </c>
      <c r="Y861" s="234">
        <v>2</v>
      </c>
      <c r="Z861" s="234">
        <v>5</v>
      </c>
      <c r="AA861" s="235">
        <v>0.7916666666678793</v>
      </c>
      <c r="AB861" s="236">
        <v>-0.8</v>
      </c>
      <c r="AC861" s="127">
        <f t="shared" si="28"/>
        <v>-1</v>
      </c>
    </row>
    <row r="862" ht="14.5" customHeight="1" spans="11:29" x14ac:dyDescent="0.25">
      <c r="K862" s="128"/>
      <c r="X862" s="234">
        <v>2022</v>
      </c>
      <c r="Y862" s="234">
        <v>2</v>
      </c>
      <c r="Z862" s="234">
        <v>5</v>
      </c>
      <c r="AA862" s="235">
        <v>0.8333333333321207</v>
      </c>
      <c r="AB862" s="236">
        <v>-1.2</v>
      </c>
      <c r="AC862" s="127">
        <f t="shared" si="28"/>
        <v>-1</v>
      </c>
    </row>
    <row r="863" ht="14.5" customHeight="1" spans="11:29" x14ac:dyDescent="0.25">
      <c r="K863" s="128"/>
      <c r="X863" s="234">
        <v>2022</v>
      </c>
      <c r="Y863" s="234">
        <v>2</v>
      </c>
      <c r="Z863" s="234">
        <v>5</v>
      </c>
      <c r="AA863" s="235">
        <v>0.875</v>
      </c>
      <c r="AB863" s="236">
        <v>-0.7</v>
      </c>
      <c r="AC863" s="127">
        <f t="shared" si="28"/>
        <v>-1</v>
      </c>
    </row>
    <row r="864" ht="14.5" customHeight="1" spans="11:29" x14ac:dyDescent="0.25">
      <c r="K864" s="128"/>
      <c r="X864" s="234">
        <v>2022</v>
      </c>
      <c r="Y864" s="234">
        <v>2</v>
      </c>
      <c r="Z864" s="234">
        <v>5</v>
      </c>
      <c r="AA864" s="235">
        <v>0.9166666666678793</v>
      </c>
      <c r="AB864" s="236">
        <v>-1.5</v>
      </c>
      <c r="AC864" s="127">
        <f t="shared" si="28"/>
        <v>-2</v>
      </c>
    </row>
    <row r="865" ht="14.5" customHeight="1" spans="11:29" x14ac:dyDescent="0.25">
      <c r="K865" s="128"/>
      <c r="X865" s="234">
        <v>2022</v>
      </c>
      <c r="Y865" s="234">
        <v>2</v>
      </c>
      <c r="Z865" s="234">
        <v>5</v>
      </c>
      <c r="AA865" s="235">
        <v>0.9583333333321207</v>
      </c>
      <c r="AB865" s="236">
        <v>-1.8</v>
      </c>
      <c r="AC865" s="127">
        <f t="shared" si="28"/>
        <v>-2</v>
      </c>
    </row>
    <row r="866" ht="14.5" customHeight="1" spans="11:29" x14ac:dyDescent="0.25">
      <c r="K866" s="128"/>
      <c r="X866" s="234">
        <v>2022</v>
      </c>
      <c r="Y866" s="234">
        <v>2</v>
      </c>
      <c r="Z866" s="234">
        <v>6</v>
      </c>
      <c r="AA866" s="235">
        <v>0</v>
      </c>
      <c r="AB866" s="236">
        <v>-2.4</v>
      </c>
      <c r="AC866" s="127">
        <f t="shared" si="28"/>
        <v>-2</v>
      </c>
    </row>
    <row r="867" ht="14.5" customHeight="1" spans="11:29" x14ac:dyDescent="0.25">
      <c r="K867" s="128"/>
      <c r="X867" s="234">
        <v>2022</v>
      </c>
      <c r="Y867" s="234">
        <v>2</v>
      </c>
      <c r="Z867" s="234">
        <v>6</v>
      </c>
      <c r="AA867" s="235">
        <v>0.041666666667879326</v>
      </c>
      <c r="AB867" s="236">
        <v>-2</v>
      </c>
      <c r="AC867" s="127">
        <f t="shared" si="28"/>
        <v>-2</v>
      </c>
    </row>
    <row r="868" ht="14.5" customHeight="1" spans="11:29" x14ac:dyDescent="0.25">
      <c r="K868" s="128"/>
      <c r="X868" s="234">
        <v>2022</v>
      </c>
      <c r="Y868" s="234">
        <v>2</v>
      </c>
      <c r="Z868" s="234">
        <v>6</v>
      </c>
      <c r="AA868" s="235">
        <v>0.08333333333212067</v>
      </c>
      <c r="AB868" s="236">
        <v>3.8</v>
      </c>
      <c r="AC868" s="127">
        <f t="shared" si="28"/>
        <v>4</v>
      </c>
    </row>
    <row r="869" ht="14.5" customHeight="1" spans="11:29" x14ac:dyDescent="0.25">
      <c r="K869" s="128"/>
      <c r="X869" s="234">
        <v>2022</v>
      </c>
      <c r="Y869" s="234">
        <v>2</v>
      </c>
      <c r="Z869" s="234">
        <v>6</v>
      </c>
      <c r="AA869" s="235">
        <v>0.125</v>
      </c>
      <c r="AB869" s="236">
        <v>3.3</v>
      </c>
      <c r="AC869" s="127">
        <f t="shared" si="28"/>
        <v>3</v>
      </c>
    </row>
    <row r="870" ht="14.5" customHeight="1" spans="11:29" x14ac:dyDescent="0.25">
      <c r="K870" s="128"/>
      <c r="X870" s="234">
        <v>2022</v>
      </c>
      <c r="Y870" s="234">
        <v>2</v>
      </c>
      <c r="Z870" s="234">
        <v>6</v>
      </c>
      <c r="AA870" s="235">
        <v>0.16666666666787933</v>
      </c>
      <c r="AB870" s="236">
        <v>4.2</v>
      </c>
      <c r="AC870" s="127">
        <f t="shared" si="28"/>
        <v>4</v>
      </c>
    </row>
    <row r="871" ht="14.5" customHeight="1" spans="11:29" x14ac:dyDescent="0.25">
      <c r="K871" s="128"/>
      <c r="X871" s="234">
        <v>2022</v>
      </c>
      <c r="Y871" s="234">
        <v>2</v>
      </c>
      <c r="Z871" s="234">
        <v>6</v>
      </c>
      <c r="AA871" s="235">
        <v>0.20833333333212067</v>
      </c>
      <c r="AB871" s="236">
        <v>5.2</v>
      </c>
      <c r="AC871" s="127">
        <f t="shared" si="28"/>
        <v>5</v>
      </c>
    </row>
    <row r="872" ht="14.5" customHeight="1" spans="11:29" x14ac:dyDescent="0.25">
      <c r="K872" s="128"/>
      <c r="X872" s="234">
        <v>2022</v>
      </c>
      <c r="Y872" s="234">
        <v>2</v>
      </c>
      <c r="Z872" s="234">
        <v>6</v>
      </c>
      <c r="AA872" s="235">
        <v>0.25</v>
      </c>
      <c r="AB872" s="236">
        <v>5.9</v>
      </c>
      <c r="AC872" s="127">
        <f t="shared" si="28"/>
        <v>6</v>
      </c>
    </row>
    <row r="873" ht="14.5" customHeight="1" spans="11:29" x14ac:dyDescent="0.25">
      <c r="K873" s="128"/>
      <c r="X873" s="234">
        <v>2022</v>
      </c>
      <c r="Y873" s="234">
        <v>2</v>
      </c>
      <c r="Z873" s="234">
        <v>6</v>
      </c>
      <c r="AA873" s="235">
        <v>0.2916666666678793</v>
      </c>
      <c r="AB873" s="236">
        <v>6.5</v>
      </c>
      <c r="AC873" s="127">
        <f t="shared" si="28"/>
        <v>7</v>
      </c>
    </row>
    <row r="874" ht="14.5" customHeight="1" spans="11:29" x14ac:dyDescent="0.25">
      <c r="K874" s="128"/>
      <c r="X874" s="234">
        <v>2022</v>
      </c>
      <c r="Y874" s="234">
        <v>2</v>
      </c>
      <c r="Z874" s="234">
        <v>6</v>
      </c>
      <c r="AA874" s="235">
        <v>0.3333333333321207</v>
      </c>
      <c r="AB874" s="236">
        <v>6.6</v>
      </c>
      <c r="AC874" s="127">
        <f t="shared" si="28"/>
        <v>7</v>
      </c>
    </row>
    <row r="875" ht="14.5" customHeight="1" spans="11:29" x14ac:dyDescent="0.25">
      <c r="K875" s="128"/>
      <c r="X875" s="234">
        <v>2022</v>
      </c>
      <c r="Y875" s="234">
        <v>2</v>
      </c>
      <c r="Z875" s="234">
        <v>6</v>
      </c>
      <c r="AA875" s="235">
        <v>0.375</v>
      </c>
      <c r="AB875" s="236">
        <v>6.7</v>
      </c>
      <c r="AC875" s="127">
        <f t="shared" si="28"/>
        <v>7</v>
      </c>
    </row>
    <row r="876" ht="14.5" customHeight="1" spans="11:29" x14ac:dyDescent="0.25">
      <c r="K876" s="128"/>
      <c r="X876" s="234">
        <v>2022</v>
      </c>
      <c r="Y876" s="234">
        <v>2</v>
      </c>
      <c r="Z876" s="234">
        <v>6</v>
      </c>
      <c r="AA876" s="235">
        <v>0.4166666666678793</v>
      </c>
      <c r="AB876" s="236">
        <v>7.4</v>
      </c>
      <c r="AC876" s="127">
        <f t="shared" si="28"/>
        <v>7</v>
      </c>
    </row>
    <row r="877" ht="14.5" customHeight="1" spans="11:29" x14ac:dyDescent="0.25">
      <c r="K877" s="128"/>
      <c r="X877" s="234">
        <v>2022</v>
      </c>
      <c r="Y877" s="234">
        <v>2</v>
      </c>
      <c r="Z877" s="234">
        <v>6</v>
      </c>
      <c r="AA877" s="235">
        <v>0.4583333333321207</v>
      </c>
      <c r="AB877" s="236">
        <v>8.5</v>
      </c>
      <c r="AC877" s="127">
        <f t="shared" si="28"/>
        <v>9</v>
      </c>
    </row>
    <row r="878" ht="14.5" customHeight="1" spans="11:29" x14ac:dyDescent="0.25">
      <c r="K878" s="128"/>
      <c r="X878" s="234">
        <v>2022</v>
      </c>
      <c r="Y878" s="234">
        <v>2</v>
      </c>
      <c r="Z878" s="234">
        <v>6</v>
      </c>
      <c r="AA878" s="235">
        <v>0.5</v>
      </c>
      <c r="AB878" s="236">
        <v>9.8</v>
      </c>
      <c r="AC878" s="127">
        <f t="shared" si="28"/>
        <v>10</v>
      </c>
    </row>
    <row r="879" ht="14.5" customHeight="1" spans="11:29" x14ac:dyDescent="0.25">
      <c r="K879" s="128"/>
      <c r="X879" s="234">
        <v>2022</v>
      </c>
      <c r="Y879" s="234">
        <v>2</v>
      </c>
      <c r="Z879" s="234">
        <v>6</v>
      </c>
      <c r="AA879" s="235">
        <v>0.5416666666678793</v>
      </c>
      <c r="AB879" s="236">
        <v>11.7</v>
      </c>
      <c r="AC879" s="127">
        <f t="shared" si="28"/>
        <v>12</v>
      </c>
    </row>
    <row r="880" ht="14.5" customHeight="1" spans="11:29" x14ac:dyDescent="0.25">
      <c r="K880" s="128"/>
      <c r="X880" s="234">
        <v>2022</v>
      </c>
      <c r="Y880" s="234">
        <v>2</v>
      </c>
      <c r="Z880" s="234">
        <v>6</v>
      </c>
      <c r="AA880" s="235">
        <v>0.5833333333321207</v>
      </c>
      <c r="AB880" s="236">
        <v>12.2</v>
      </c>
      <c r="AC880" s="127">
        <f t="shared" si="28"/>
        <v>12</v>
      </c>
    </row>
    <row r="881" ht="14.5" customHeight="1" spans="11:29" x14ac:dyDescent="0.25">
      <c r="K881" s="128"/>
      <c r="X881" s="234">
        <v>2022</v>
      </c>
      <c r="Y881" s="234">
        <v>2</v>
      </c>
      <c r="Z881" s="234">
        <v>6</v>
      </c>
      <c r="AA881" s="235">
        <v>0.625</v>
      </c>
      <c r="AB881" s="236">
        <v>12</v>
      </c>
      <c r="AC881" s="127">
        <f t="shared" si="28"/>
        <v>12</v>
      </c>
    </row>
    <row r="882" ht="14.5" customHeight="1" spans="11:29" x14ac:dyDescent="0.25">
      <c r="K882" s="128"/>
      <c r="X882" s="234">
        <v>2022</v>
      </c>
      <c r="Y882" s="234">
        <v>2</v>
      </c>
      <c r="Z882" s="234">
        <v>6</v>
      </c>
      <c r="AA882" s="235">
        <v>0.6666666666678793</v>
      </c>
      <c r="AB882" s="236">
        <v>11.3</v>
      </c>
      <c r="AC882" s="127">
        <f t="shared" si="28"/>
        <v>11</v>
      </c>
    </row>
    <row r="883" ht="14.5" customHeight="1" spans="11:29" x14ac:dyDescent="0.25">
      <c r="K883" s="128"/>
      <c r="X883" s="234">
        <v>2022</v>
      </c>
      <c r="Y883" s="234">
        <v>2</v>
      </c>
      <c r="Z883" s="234">
        <v>6</v>
      </c>
      <c r="AA883" s="235">
        <v>0.7083333333321207</v>
      </c>
      <c r="AB883" s="236">
        <v>9.1</v>
      </c>
      <c r="AC883" s="127">
        <f t="shared" si="28"/>
        <v>9</v>
      </c>
    </row>
    <row r="884" ht="14.5" customHeight="1" spans="11:29" x14ac:dyDescent="0.25">
      <c r="K884" s="128"/>
      <c r="X884" s="234">
        <v>2022</v>
      </c>
      <c r="Y884" s="234">
        <v>2</v>
      </c>
      <c r="Z884" s="234">
        <v>6</v>
      </c>
      <c r="AA884" s="235">
        <v>0.75</v>
      </c>
      <c r="AB884" s="236">
        <v>8</v>
      </c>
      <c r="AC884" s="127">
        <f t="shared" si="28"/>
        <v>8</v>
      </c>
    </row>
    <row r="885" ht="14.5" customHeight="1" spans="11:29" x14ac:dyDescent="0.25">
      <c r="K885" s="128"/>
      <c r="X885" s="234">
        <v>2022</v>
      </c>
      <c r="Y885" s="234">
        <v>2</v>
      </c>
      <c r="Z885" s="234">
        <v>6</v>
      </c>
      <c r="AA885" s="235">
        <v>0.7916666666678793</v>
      </c>
      <c r="AB885" s="236">
        <v>6.5</v>
      </c>
      <c r="AC885" s="127">
        <f t="shared" si="28"/>
        <v>7</v>
      </c>
    </row>
    <row r="886" ht="14.5" customHeight="1" spans="11:29" x14ac:dyDescent="0.25">
      <c r="K886" s="128"/>
      <c r="X886" s="234">
        <v>2022</v>
      </c>
      <c r="Y886" s="234">
        <v>2</v>
      </c>
      <c r="Z886" s="234">
        <v>6</v>
      </c>
      <c r="AA886" s="235">
        <v>0.8333333333321207</v>
      </c>
      <c r="AB886" s="236">
        <v>5.6</v>
      </c>
      <c r="AC886" s="127">
        <f t="shared" si="28"/>
        <v>6</v>
      </c>
    </row>
    <row r="887" ht="14.5" customHeight="1" spans="11:29" x14ac:dyDescent="0.25">
      <c r="K887" s="128"/>
      <c r="X887" s="234">
        <v>2022</v>
      </c>
      <c r="Y887" s="234">
        <v>2</v>
      </c>
      <c r="Z887" s="234">
        <v>6</v>
      </c>
      <c r="AA887" s="235">
        <v>0.875</v>
      </c>
      <c r="AB887" s="236">
        <v>7.9</v>
      </c>
      <c r="AC887" s="127">
        <f t="shared" si="28"/>
        <v>8</v>
      </c>
    </row>
    <row r="888" ht="14.5" customHeight="1" spans="11:29" x14ac:dyDescent="0.25">
      <c r="K888" s="128"/>
      <c r="X888" s="234">
        <v>2022</v>
      </c>
      <c r="Y888" s="234">
        <v>2</v>
      </c>
      <c r="Z888" s="234">
        <v>6</v>
      </c>
      <c r="AA888" s="235">
        <v>0.9166666666678793</v>
      </c>
      <c r="AB888" s="236">
        <v>8</v>
      </c>
      <c r="AC888" s="127">
        <f t="shared" si="28"/>
        <v>8</v>
      </c>
    </row>
    <row r="889" ht="14.5" customHeight="1" spans="11:29" x14ac:dyDescent="0.25">
      <c r="K889" s="128"/>
      <c r="X889" s="234">
        <v>2022</v>
      </c>
      <c r="Y889" s="234">
        <v>2</v>
      </c>
      <c r="Z889" s="234">
        <v>6</v>
      </c>
      <c r="AA889" s="235">
        <v>0.9583333333321207</v>
      </c>
      <c r="AB889" s="236">
        <v>8.1</v>
      </c>
      <c r="AC889" s="127">
        <f t="shared" si="28"/>
        <v>8</v>
      </c>
    </row>
    <row r="890" ht="14.5" customHeight="1" spans="11:29" x14ac:dyDescent="0.25">
      <c r="K890" s="128"/>
      <c r="X890" s="234">
        <v>2022</v>
      </c>
      <c r="Y890" s="234">
        <v>2</v>
      </c>
      <c r="Z890" s="234">
        <v>7</v>
      </c>
      <c r="AA890" s="235">
        <v>0</v>
      </c>
      <c r="AB890" s="236">
        <v>7.9</v>
      </c>
      <c r="AC890" s="127">
        <f t="shared" si="28"/>
        <v>8</v>
      </c>
    </row>
    <row r="891" ht="14.5" customHeight="1" spans="11:29" x14ac:dyDescent="0.25">
      <c r="K891" s="128"/>
      <c r="X891" s="234">
        <v>2022</v>
      </c>
      <c r="Y891" s="234">
        <v>2</v>
      </c>
      <c r="Z891" s="234">
        <v>7</v>
      </c>
      <c r="AA891" s="235">
        <v>0.041666666667879326</v>
      </c>
      <c r="AB891" s="236">
        <v>7.6</v>
      </c>
      <c r="AC891" s="127">
        <f t="shared" si="28"/>
        <v>8</v>
      </c>
    </row>
    <row r="892" ht="14.5" customHeight="1" spans="11:29" x14ac:dyDescent="0.25">
      <c r="K892" s="128"/>
      <c r="X892" s="234">
        <v>2022</v>
      </c>
      <c r="Y892" s="234">
        <v>2</v>
      </c>
      <c r="Z892" s="234">
        <v>7</v>
      </c>
      <c r="AA892" s="235">
        <v>0.08333333333212067</v>
      </c>
      <c r="AB892" s="236">
        <v>5.5</v>
      </c>
      <c r="AC892" s="127">
        <f t="shared" si="28"/>
        <v>6</v>
      </c>
    </row>
    <row r="893" ht="14.5" customHeight="1" spans="11:29" x14ac:dyDescent="0.25">
      <c r="K893" s="128"/>
      <c r="X893" s="234">
        <v>2022</v>
      </c>
      <c r="Y893" s="234">
        <v>2</v>
      </c>
      <c r="Z893" s="234">
        <v>7</v>
      </c>
      <c r="AA893" s="235">
        <v>0.125</v>
      </c>
      <c r="AB893" s="236">
        <v>9</v>
      </c>
      <c r="AC893" s="127">
        <f t="shared" si="28"/>
        <v>9</v>
      </c>
    </row>
    <row r="894" ht="14.5" customHeight="1" spans="11:29" x14ac:dyDescent="0.25">
      <c r="K894" s="128"/>
      <c r="X894" s="234">
        <v>2022</v>
      </c>
      <c r="Y894" s="234">
        <v>2</v>
      </c>
      <c r="Z894" s="234">
        <v>7</v>
      </c>
      <c r="AA894" s="235">
        <v>0.16666666666787933</v>
      </c>
      <c r="AB894" s="236">
        <v>5.1</v>
      </c>
      <c r="AC894" s="127">
        <f t="shared" si="28"/>
        <v>5</v>
      </c>
    </row>
    <row r="895" ht="14.5" customHeight="1" spans="11:29" x14ac:dyDescent="0.25">
      <c r="K895" s="128"/>
      <c r="X895" s="234">
        <v>2022</v>
      </c>
      <c r="Y895" s="234">
        <v>2</v>
      </c>
      <c r="Z895" s="234">
        <v>7</v>
      </c>
      <c r="AA895" s="235">
        <v>0.20833333333212067</v>
      </c>
      <c r="AB895" s="236">
        <v>3.1</v>
      </c>
      <c r="AC895" s="127">
        <f t="shared" si="28"/>
        <v>3</v>
      </c>
    </row>
    <row r="896" ht="14.5" customHeight="1" spans="11:29" x14ac:dyDescent="0.25">
      <c r="K896" s="128"/>
      <c r="X896" s="234">
        <v>2022</v>
      </c>
      <c r="Y896" s="234">
        <v>2</v>
      </c>
      <c r="Z896" s="234">
        <v>7</v>
      </c>
      <c r="AA896" s="235">
        <v>0.25</v>
      </c>
      <c r="AB896" s="236">
        <v>2.9</v>
      </c>
      <c r="AC896" s="127">
        <f t="shared" si="28"/>
        <v>3</v>
      </c>
    </row>
    <row r="897" ht="14.5" customHeight="1" spans="11:29" x14ac:dyDescent="0.25">
      <c r="K897" s="128"/>
      <c r="X897" s="234">
        <v>2022</v>
      </c>
      <c r="Y897" s="234">
        <v>2</v>
      </c>
      <c r="Z897" s="234">
        <v>7</v>
      </c>
      <c r="AA897" s="235">
        <v>0.2916666666678793</v>
      </c>
      <c r="AB897" s="236">
        <v>1.9</v>
      </c>
      <c r="AC897" s="127">
        <f t="shared" si="28"/>
        <v>2</v>
      </c>
    </row>
    <row r="898" ht="14.5" customHeight="1" spans="11:29" x14ac:dyDescent="0.25">
      <c r="K898" s="128"/>
      <c r="X898" s="234">
        <v>2022</v>
      </c>
      <c r="Y898" s="234">
        <v>2</v>
      </c>
      <c r="Z898" s="234">
        <v>7</v>
      </c>
      <c r="AA898" s="235">
        <v>0.3333333333321207</v>
      </c>
      <c r="AB898" s="236">
        <v>3.2</v>
      </c>
      <c r="AC898" s="127">
        <f t="shared" si="28"/>
        <v>3</v>
      </c>
    </row>
    <row r="899" ht="14.5" customHeight="1" spans="11:29" x14ac:dyDescent="0.25">
      <c r="K899" s="128"/>
      <c r="X899" s="234">
        <v>2022</v>
      </c>
      <c r="Y899" s="234">
        <v>2</v>
      </c>
      <c r="Z899" s="234">
        <v>7</v>
      </c>
      <c r="AA899" s="235">
        <v>0.375</v>
      </c>
      <c r="AB899" s="236">
        <v>9.5</v>
      </c>
      <c r="AC899" s="127">
        <f t="shared" si="28"/>
        <v>10</v>
      </c>
    </row>
    <row r="900" ht="14.5" customHeight="1" spans="11:29" x14ac:dyDescent="0.25">
      <c r="K900" s="128"/>
      <c r="X900" s="234">
        <v>2022</v>
      </c>
      <c r="Y900" s="234">
        <v>2</v>
      </c>
      <c r="Z900" s="234">
        <v>7</v>
      </c>
      <c r="AA900" s="235">
        <v>0.4166666666678793</v>
      </c>
      <c r="AB900" s="236">
        <v>11.6</v>
      </c>
      <c r="AC900" s="127">
        <f t="shared" si="28"/>
        <v>12</v>
      </c>
    </row>
    <row r="901" ht="14.5" customHeight="1" spans="11:29" x14ac:dyDescent="0.25">
      <c r="K901" s="128"/>
      <c r="X901" s="234">
        <v>2022</v>
      </c>
      <c r="Y901" s="234">
        <v>2</v>
      </c>
      <c r="Z901" s="234">
        <v>7</v>
      </c>
      <c r="AA901" s="235">
        <v>0.4583333333321207</v>
      </c>
      <c r="AB901" s="236">
        <v>11.3</v>
      </c>
      <c r="AC901" s="127">
        <f t="shared" si="28"/>
        <v>11</v>
      </c>
    </row>
    <row r="902" ht="14.5" customHeight="1" spans="11:29" x14ac:dyDescent="0.25">
      <c r="K902" s="128"/>
      <c r="X902" s="234">
        <v>2022</v>
      </c>
      <c r="Y902" s="234">
        <v>2</v>
      </c>
      <c r="Z902" s="234">
        <v>7</v>
      </c>
      <c r="AA902" s="235">
        <v>0.5</v>
      </c>
      <c r="AB902" s="236">
        <v>9.3</v>
      </c>
      <c r="AC902" s="127">
        <f t="shared" si="28"/>
        <v>9</v>
      </c>
    </row>
    <row r="903" ht="14.5" customHeight="1" spans="11:29" x14ac:dyDescent="0.25">
      <c r="K903" s="128"/>
      <c r="X903" s="234">
        <v>2022</v>
      </c>
      <c r="Y903" s="234">
        <v>2</v>
      </c>
      <c r="Z903" s="234">
        <v>7</v>
      </c>
      <c r="AA903" s="235">
        <v>0.5416666666678793</v>
      </c>
      <c r="AB903" s="236">
        <v>8.4</v>
      </c>
      <c r="AC903" s="127">
        <f t="shared" si="28"/>
        <v>8</v>
      </c>
    </row>
    <row r="904" ht="14.5" customHeight="1" spans="11:29" x14ac:dyDescent="0.25">
      <c r="K904" s="128"/>
      <c r="X904" s="234">
        <v>2022</v>
      </c>
      <c r="Y904" s="234">
        <v>2</v>
      </c>
      <c r="Z904" s="234">
        <v>7</v>
      </c>
      <c r="AA904" s="235">
        <v>0.5833333333321207</v>
      </c>
      <c r="AB904" s="236">
        <v>8.4</v>
      </c>
      <c r="AC904" s="127">
        <f t="shared" si="28"/>
        <v>8</v>
      </c>
    </row>
    <row r="905" ht="14.5" customHeight="1" spans="11:29" x14ac:dyDescent="0.25">
      <c r="K905" s="128"/>
      <c r="X905" s="234">
        <v>2022</v>
      </c>
      <c r="Y905" s="234">
        <v>2</v>
      </c>
      <c r="Z905" s="234">
        <v>7</v>
      </c>
      <c r="AA905" s="235">
        <v>0.625</v>
      </c>
      <c r="AB905" s="236">
        <v>8.1</v>
      </c>
      <c r="AC905" s="127">
        <f t="shared" si="28"/>
        <v>8</v>
      </c>
    </row>
    <row r="906" ht="14.5" customHeight="1" spans="11:29" x14ac:dyDescent="0.25">
      <c r="K906" s="128"/>
      <c r="X906" s="234">
        <v>2022</v>
      </c>
      <c r="Y906" s="234">
        <v>2</v>
      </c>
      <c r="Z906" s="234">
        <v>7</v>
      </c>
      <c r="AA906" s="235">
        <v>0.6666666666678793</v>
      </c>
      <c r="AB906" s="236">
        <v>7.2</v>
      </c>
      <c r="AC906" s="127">
        <f t="shared" si="28"/>
        <v>7</v>
      </c>
    </row>
    <row r="907" ht="14.5" customHeight="1" spans="11:29" x14ac:dyDescent="0.25">
      <c r="K907" s="128"/>
      <c r="X907" s="234">
        <v>2022</v>
      </c>
      <c r="Y907" s="234">
        <v>2</v>
      </c>
      <c r="Z907" s="234">
        <v>7</v>
      </c>
      <c r="AA907" s="235">
        <v>0.7083333333321207</v>
      </c>
      <c r="AB907" s="236">
        <v>6.2</v>
      </c>
      <c r="AC907" s="127">
        <f t="shared" ref="AC907:AC970" si="29">ROUND(AB907,0)</f>
        <v>6</v>
      </c>
    </row>
    <row r="908" ht="14.5" customHeight="1" spans="11:29" x14ac:dyDescent="0.25">
      <c r="K908" s="128"/>
      <c r="X908" s="234">
        <v>2022</v>
      </c>
      <c r="Y908" s="234">
        <v>2</v>
      </c>
      <c r="Z908" s="234">
        <v>7</v>
      </c>
      <c r="AA908" s="235">
        <v>0.75</v>
      </c>
      <c r="AB908" s="236">
        <v>5</v>
      </c>
      <c r="AC908" s="127">
        <f t="shared" si="29"/>
        <v>5</v>
      </c>
    </row>
    <row r="909" ht="14.5" customHeight="1" spans="11:29" x14ac:dyDescent="0.25">
      <c r="K909" s="128"/>
      <c r="X909" s="234">
        <v>2022</v>
      </c>
      <c r="Y909" s="234">
        <v>2</v>
      </c>
      <c r="Z909" s="234">
        <v>7</v>
      </c>
      <c r="AA909" s="235">
        <v>0.7916666666678793</v>
      </c>
      <c r="AB909" s="236">
        <v>5.7</v>
      </c>
      <c r="AC909" s="127">
        <f t="shared" si="29"/>
        <v>6</v>
      </c>
    </row>
    <row r="910" ht="14.5" customHeight="1" spans="11:29" x14ac:dyDescent="0.25">
      <c r="K910" s="128"/>
      <c r="X910" s="234">
        <v>2022</v>
      </c>
      <c r="Y910" s="234">
        <v>2</v>
      </c>
      <c r="Z910" s="234">
        <v>7</v>
      </c>
      <c r="AA910" s="235">
        <v>0.8333333333321207</v>
      </c>
      <c r="AB910" s="236">
        <v>5.3</v>
      </c>
      <c r="AC910" s="127">
        <f t="shared" si="29"/>
        <v>5</v>
      </c>
    </row>
    <row r="911" ht="14.5" customHeight="1" spans="11:29" x14ac:dyDescent="0.25">
      <c r="K911" s="128"/>
      <c r="X911" s="234">
        <v>2022</v>
      </c>
      <c r="Y911" s="234">
        <v>2</v>
      </c>
      <c r="Z911" s="234">
        <v>7</v>
      </c>
      <c r="AA911" s="235">
        <v>0.875</v>
      </c>
      <c r="AB911" s="236">
        <v>4.4</v>
      </c>
      <c r="AC911" s="127">
        <f t="shared" si="29"/>
        <v>4</v>
      </c>
    </row>
    <row r="912" ht="14.5" customHeight="1" spans="11:29" x14ac:dyDescent="0.25">
      <c r="K912" s="128"/>
      <c r="X912" s="234">
        <v>2022</v>
      </c>
      <c r="Y912" s="234">
        <v>2</v>
      </c>
      <c r="Z912" s="234">
        <v>7</v>
      </c>
      <c r="AA912" s="235">
        <v>0.9166666666678793</v>
      </c>
      <c r="AB912" s="236">
        <v>3.4</v>
      </c>
      <c r="AC912" s="127">
        <f t="shared" si="29"/>
        <v>3</v>
      </c>
    </row>
    <row r="913" ht="14.5" customHeight="1" spans="11:29" x14ac:dyDescent="0.25">
      <c r="K913" s="128"/>
      <c r="X913" s="234">
        <v>2022</v>
      </c>
      <c r="Y913" s="234">
        <v>2</v>
      </c>
      <c r="Z913" s="234">
        <v>7</v>
      </c>
      <c r="AA913" s="235">
        <v>0.9583333333321207</v>
      </c>
      <c r="AB913" s="236">
        <v>4.2</v>
      </c>
      <c r="AC913" s="127">
        <f t="shared" si="29"/>
        <v>4</v>
      </c>
    </row>
    <row r="914" ht="14.5" customHeight="1" spans="11:29" x14ac:dyDescent="0.25">
      <c r="K914" s="128"/>
      <c r="X914" s="234">
        <v>2022</v>
      </c>
      <c r="Y914" s="234">
        <v>2</v>
      </c>
      <c r="Z914" s="234">
        <v>8</v>
      </c>
      <c r="AA914" s="235">
        <v>0</v>
      </c>
      <c r="AB914" s="236">
        <v>4.9</v>
      </c>
      <c r="AC914" s="127">
        <f t="shared" si="29"/>
        <v>5</v>
      </c>
    </row>
    <row r="915" ht="14.5" customHeight="1" spans="11:29" x14ac:dyDescent="0.25">
      <c r="K915" s="128"/>
      <c r="X915" s="234">
        <v>2022</v>
      </c>
      <c r="Y915" s="234">
        <v>2</v>
      </c>
      <c r="Z915" s="234">
        <v>8</v>
      </c>
      <c r="AA915" s="235">
        <v>0.041666666667879326</v>
      </c>
      <c r="AB915" s="236">
        <v>5</v>
      </c>
      <c r="AC915" s="127">
        <f t="shared" si="29"/>
        <v>5</v>
      </c>
    </row>
    <row r="916" ht="14.5" customHeight="1" spans="11:29" x14ac:dyDescent="0.25">
      <c r="K916" s="128"/>
      <c r="X916" s="234">
        <v>2022</v>
      </c>
      <c r="Y916" s="234">
        <v>2</v>
      </c>
      <c r="Z916" s="234">
        <v>8</v>
      </c>
      <c r="AA916" s="235">
        <v>0.08333333333212067</v>
      </c>
      <c r="AB916" s="236">
        <v>4.4</v>
      </c>
      <c r="AC916" s="127">
        <f t="shared" si="29"/>
        <v>4</v>
      </c>
    </row>
    <row r="917" ht="14.5" customHeight="1" spans="11:29" x14ac:dyDescent="0.25">
      <c r="K917" s="128"/>
      <c r="X917" s="234">
        <v>2022</v>
      </c>
      <c r="Y917" s="234">
        <v>2</v>
      </c>
      <c r="Z917" s="234">
        <v>8</v>
      </c>
      <c r="AA917" s="235">
        <v>0.125</v>
      </c>
      <c r="AB917" s="236">
        <v>3.9</v>
      </c>
      <c r="AC917" s="127">
        <f t="shared" si="29"/>
        <v>4</v>
      </c>
    </row>
    <row r="918" ht="14.5" customHeight="1" spans="11:29" x14ac:dyDescent="0.25">
      <c r="K918" s="128"/>
      <c r="X918" s="234">
        <v>2022</v>
      </c>
      <c r="Y918" s="234">
        <v>2</v>
      </c>
      <c r="Z918" s="234">
        <v>8</v>
      </c>
      <c r="AA918" s="235">
        <v>0.16666666666787933</v>
      </c>
      <c r="AB918" s="236">
        <v>3.5</v>
      </c>
      <c r="AC918" s="127">
        <f t="shared" si="29"/>
        <v>4</v>
      </c>
    </row>
    <row r="919" ht="14.5" customHeight="1" spans="11:29" x14ac:dyDescent="0.25">
      <c r="K919" s="128"/>
      <c r="X919" s="234">
        <v>2022</v>
      </c>
      <c r="Y919" s="234">
        <v>2</v>
      </c>
      <c r="Z919" s="234">
        <v>8</v>
      </c>
      <c r="AA919" s="235">
        <v>0.20833333333212067</v>
      </c>
      <c r="AB919" s="236">
        <v>3.5</v>
      </c>
      <c r="AC919" s="127">
        <f t="shared" si="29"/>
        <v>4</v>
      </c>
    </row>
    <row r="920" ht="14.5" customHeight="1" spans="11:29" x14ac:dyDescent="0.25">
      <c r="K920" s="128"/>
      <c r="X920" s="234">
        <v>2022</v>
      </c>
      <c r="Y920" s="234">
        <v>2</v>
      </c>
      <c r="Z920" s="234">
        <v>8</v>
      </c>
      <c r="AA920" s="235">
        <v>0.25</v>
      </c>
      <c r="AB920" s="236">
        <v>3</v>
      </c>
      <c r="AC920" s="127">
        <f t="shared" si="29"/>
        <v>3</v>
      </c>
    </row>
    <row r="921" ht="14.5" customHeight="1" spans="11:29" x14ac:dyDescent="0.25">
      <c r="K921" s="128"/>
      <c r="X921" s="234">
        <v>2022</v>
      </c>
      <c r="Y921" s="234">
        <v>2</v>
      </c>
      <c r="Z921" s="234">
        <v>8</v>
      </c>
      <c r="AA921" s="235">
        <v>0.2916666666678793</v>
      </c>
      <c r="AB921" s="236">
        <v>2.6</v>
      </c>
      <c r="AC921" s="127">
        <f t="shared" si="29"/>
        <v>3</v>
      </c>
    </row>
    <row r="922" ht="14.5" customHeight="1" spans="11:29" x14ac:dyDescent="0.25">
      <c r="K922" s="128"/>
      <c r="X922" s="234">
        <v>2022</v>
      </c>
      <c r="Y922" s="234">
        <v>2</v>
      </c>
      <c r="Z922" s="234">
        <v>8</v>
      </c>
      <c r="AA922" s="235">
        <v>0.3333333333321207</v>
      </c>
      <c r="AB922" s="236">
        <v>3.4</v>
      </c>
      <c r="AC922" s="127">
        <f t="shared" si="29"/>
        <v>3</v>
      </c>
    </row>
    <row r="923" ht="14.5" customHeight="1" spans="11:29" x14ac:dyDescent="0.25">
      <c r="K923" s="128"/>
      <c r="X923" s="234">
        <v>2022</v>
      </c>
      <c r="Y923" s="234">
        <v>2</v>
      </c>
      <c r="Z923" s="234">
        <v>8</v>
      </c>
      <c r="AA923" s="235">
        <v>0.375</v>
      </c>
      <c r="AB923" s="236">
        <v>6</v>
      </c>
      <c r="AC923" s="127">
        <f t="shared" si="29"/>
        <v>6</v>
      </c>
    </row>
    <row r="924" ht="14.5" customHeight="1" spans="11:29" x14ac:dyDescent="0.25">
      <c r="K924" s="128"/>
      <c r="X924" s="234">
        <v>2022</v>
      </c>
      <c r="Y924" s="234">
        <v>2</v>
      </c>
      <c r="Z924" s="234">
        <v>8</v>
      </c>
      <c r="AA924" s="235">
        <v>0.4166666666678793</v>
      </c>
      <c r="AB924" s="236">
        <v>6.5</v>
      </c>
      <c r="AC924" s="127">
        <f t="shared" si="29"/>
        <v>7</v>
      </c>
    </row>
    <row r="925" ht="14.5" customHeight="1" spans="11:29" x14ac:dyDescent="0.25">
      <c r="K925" s="128"/>
      <c r="X925" s="234">
        <v>2022</v>
      </c>
      <c r="Y925" s="234">
        <v>2</v>
      </c>
      <c r="Z925" s="234">
        <v>8</v>
      </c>
      <c r="AA925" s="235">
        <v>0.4583333333321207</v>
      </c>
      <c r="AB925" s="236">
        <v>6.7</v>
      </c>
      <c r="AC925" s="127">
        <f t="shared" si="29"/>
        <v>7</v>
      </c>
    </row>
    <row r="926" ht="14.5" customHeight="1" spans="11:29" x14ac:dyDescent="0.25">
      <c r="K926" s="128"/>
      <c r="X926" s="234">
        <v>2022</v>
      </c>
      <c r="Y926" s="234">
        <v>2</v>
      </c>
      <c r="Z926" s="234">
        <v>8</v>
      </c>
      <c r="AA926" s="235">
        <v>0.5</v>
      </c>
      <c r="AB926" s="236">
        <v>7.6</v>
      </c>
      <c r="AC926" s="127">
        <f t="shared" si="29"/>
        <v>8</v>
      </c>
    </row>
    <row r="927" ht="14.5" customHeight="1" spans="11:29" x14ac:dyDescent="0.25">
      <c r="K927" s="128"/>
      <c r="X927" s="234">
        <v>2022</v>
      </c>
      <c r="Y927" s="234">
        <v>2</v>
      </c>
      <c r="Z927" s="234">
        <v>8</v>
      </c>
      <c r="AA927" s="235">
        <v>0.5416666666678793</v>
      </c>
      <c r="AB927" s="236">
        <v>8.1</v>
      </c>
      <c r="AC927" s="127">
        <f t="shared" si="29"/>
        <v>8</v>
      </c>
    </row>
    <row r="928" ht="14.5" customHeight="1" spans="11:29" x14ac:dyDescent="0.25">
      <c r="K928" s="128"/>
      <c r="X928" s="234">
        <v>2022</v>
      </c>
      <c r="Y928" s="234">
        <v>2</v>
      </c>
      <c r="Z928" s="234">
        <v>8</v>
      </c>
      <c r="AA928" s="235">
        <v>0.5833333333321207</v>
      </c>
      <c r="AB928" s="236">
        <v>9.1</v>
      </c>
      <c r="AC928" s="127">
        <f t="shared" si="29"/>
        <v>9</v>
      </c>
    </row>
    <row r="929" ht="14.5" customHeight="1" spans="11:29" x14ac:dyDescent="0.25">
      <c r="K929" s="128"/>
      <c r="X929" s="234">
        <v>2022</v>
      </c>
      <c r="Y929" s="234">
        <v>2</v>
      </c>
      <c r="Z929" s="234">
        <v>8</v>
      </c>
      <c r="AA929" s="235">
        <v>0.625</v>
      </c>
      <c r="AB929" s="236">
        <v>9.1</v>
      </c>
      <c r="AC929" s="127">
        <f t="shared" si="29"/>
        <v>9</v>
      </c>
    </row>
    <row r="930" ht="14.5" customHeight="1" spans="11:29" x14ac:dyDescent="0.25">
      <c r="K930" s="128"/>
      <c r="X930" s="234">
        <v>2022</v>
      </c>
      <c r="Y930" s="234">
        <v>2</v>
      </c>
      <c r="Z930" s="234">
        <v>8</v>
      </c>
      <c r="AA930" s="235">
        <v>0.6666666666678793</v>
      </c>
      <c r="AB930" s="236">
        <v>9</v>
      </c>
      <c r="AC930" s="127">
        <f t="shared" si="29"/>
        <v>9</v>
      </c>
    </row>
    <row r="931" ht="14.5" customHeight="1" spans="11:29" x14ac:dyDescent="0.25">
      <c r="K931" s="128"/>
      <c r="X931" s="234">
        <v>2022</v>
      </c>
      <c r="Y931" s="234">
        <v>2</v>
      </c>
      <c r="Z931" s="234">
        <v>8</v>
      </c>
      <c r="AA931" s="235">
        <v>0.7083333333321207</v>
      </c>
      <c r="AB931" s="236">
        <v>7.7</v>
      </c>
      <c r="AC931" s="127">
        <f t="shared" si="29"/>
        <v>8</v>
      </c>
    </row>
    <row r="932" ht="14.5" customHeight="1" spans="11:29" x14ac:dyDescent="0.25">
      <c r="K932" s="128"/>
      <c r="X932" s="234">
        <v>2022</v>
      </c>
      <c r="Y932" s="234">
        <v>2</v>
      </c>
      <c r="Z932" s="234">
        <v>8</v>
      </c>
      <c r="AA932" s="235">
        <v>0.75</v>
      </c>
      <c r="AB932" s="236">
        <v>6.8</v>
      </c>
      <c r="AC932" s="127">
        <f t="shared" si="29"/>
        <v>7</v>
      </c>
    </row>
    <row r="933" ht="14.5" customHeight="1" spans="11:29" x14ac:dyDescent="0.25">
      <c r="K933" s="128"/>
      <c r="X933" s="234">
        <v>2022</v>
      </c>
      <c r="Y933" s="234">
        <v>2</v>
      </c>
      <c r="Z933" s="234">
        <v>8</v>
      </c>
      <c r="AA933" s="235">
        <v>0.7916666666678793</v>
      </c>
      <c r="AB933" s="236">
        <v>6.4</v>
      </c>
      <c r="AC933" s="127">
        <f t="shared" si="29"/>
        <v>6</v>
      </c>
    </row>
    <row r="934" ht="14.5" customHeight="1" spans="11:29" x14ac:dyDescent="0.25">
      <c r="K934" s="128"/>
      <c r="X934" s="234">
        <v>2022</v>
      </c>
      <c r="Y934" s="234">
        <v>2</v>
      </c>
      <c r="Z934" s="234">
        <v>8</v>
      </c>
      <c r="AA934" s="235">
        <v>0.8333333333321207</v>
      </c>
      <c r="AB934" s="236">
        <v>6.2</v>
      </c>
      <c r="AC934" s="127">
        <f t="shared" si="29"/>
        <v>6</v>
      </c>
    </row>
    <row r="935" ht="14.5" customHeight="1" spans="11:29" x14ac:dyDescent="0.25">
      <c r="K935" s="128"/>
      <c r="X935" s="234">
        <v>2022</v>
      </c>
      <c r="Y935" s="234">
        <v>2</v>
      </c>
      <c r="Z935" s="234">
        <v>8</v>
      </c>
      <c r="AA935" s="235">
        <v>0.875</v>
      </c>
      <c r="AB935" s="236">
        <v>5.7</v>
      </c>
      <c r="AC935" s="127">
        <f t="shared" si="29"/>
        <v>6</v>
      </c>
    </row>
    <row r="936" ht="14.5" customHeight="1" spans="11:29" x14ac:dyDescent="0.25">
      <c r="K936" s="128"/>
      <c r="X936" s="234">
        <v>2022</v>
      </c>
      <c r="Y936" s="234">
        <v>2</v>
      </c>
      <c r="Z936" s="234">
        <v>8</v>
      </c>
      <c r="AA936" s="235">
        <v>0.9166666666678793</v>
      </c>
      <c r="AB936" s="236">
        <v>5.1</v>
      </c>
      <c r="AC936" s="127">
        <f t="shared" si="29"/>
        <v>5</v>
      </c>
    </row>
    <row r="937" ht="14.5" customHeight="1" spans="11:29" x14ac:dyDescent="0.25">
      <c r="K937" s="128"/>
      <c r="X937" s="234">
        <v>2022</v>
      </c>
      <c r="Y937" s="234">
        <v>2</v>
      </c>
      <c r="Z937" s="234">
        <v>8</v>
      </c>
      <c r="AA937" s="235">
        <v>0.9583333333321207</v>
      </c>
      <c r="AB937" s="236">
        <v>4.8</v>
      </c>
      <c r="AC937" s="127">
        <f t="shared" si="29"/>
        <v>5</v>
      </c>
    </row>
    <row r="938" ht="14.5" customHeight="1" spans="11:29" x14ac:dyDescent="0.25">
      <c r="K938" s="128"/>
      <c r="X938" s="234">
        <v>2022</v>
      </c>
      <c r="Y938" s="234">
        <v>2</v>
      </c>
      <c r="Z938" s="234">
        <v>9</v>
      </c>
      <c r="AA938" s="235">
        <v>0</v>
      </c>
      <c r="AB938" s="236">
        <v>5.1</v>
      </c>
      <c r="AC938" s="127">
        <f t="shared" si="29"/>
        <v>5</v>
      </c>
    </row>
    <row r="939" ht="14.5" customHeight="1" spans="11:29" x14ac:dyDescent="0.25">
      <c r="K939" s="128"/>
      <c r="X939" s="234">
        <v>2022</v>
      </c>
      <c r="Y939" s="234">
        <v>2</v>
      </c>
      <c r="Z939" s="234">
        <v>9</v>
      </c>
      <c r="AA939" s="235">
        <v>0.041666666667879326</v>
      </c>
      <c r="AB939" s="236">
        <v>4.8</v>
      </c>
      <c r="AC939" s="127">
        <f t="shared" si="29"/>
        <v>5</v>
      </c>
    </row>
    <row r="940" ht="14.5" customHeight="1" spans="11:29" x14ac:dyDescent="0.25">
      <c r="K940" s="128"/>
      <c r="X940" s="234">
        <v>2022</v>
      </c>
      <c r="Y940" s="234">
        <v>2</v>
      </c>
      <c r="Z940" s="234">
        <v>9</v>
      </c>
      <c r="AA940" s="235">
        <v>0.08333333333212067</v>
      </c>
      <c r="AB940" s="236">
        <v>2.6</v>
      </c>
      <c r="AC940" s="127">
        <f t="shared" si="29"/>
        <v>3</v>
      </c>
    </row>
    <row r="941" ht="14.5" customHeight="1" spans="11:29" x14ac:dyDescent="0.25">
      <c r="K941" s="128"/>
      <c r="X941" s="234">
        <v>2022</v>
      </c>
      <c r="Y941" s="234">
        <v>2</v>
      </c>
      <c r="Z941" s="234">
        <v>9</v>
      </c>
      <c r="AA941" s="235">
        <v>0.125</v>
      </c>
      <c r="AB941" s="236">
        <v>6.4</v>
      </c>
      <c r="AC941" s="127">
        <f t="shared" si="29"/>
        <v>6</v>
      </c>
    </row>
    <row r="942" ht="14.5" customHeight="1" spans="11:29" x14ac:dyDescent="0.25">
      <c r="K942" s="128"/>
      <c r="X942" s="234">
        <v>2022</v>
      </c>
      <c r="Y942" s="234">
        <v>2</v>
      </c>
      <c r="Z942" s="234">
        <v>9</v>
      </c>
      <c r="AA942" s="235">
        <v>0.16666666666787933</v>
      </c>
      <c r="AB942" s="236">
        <v>6.2</v>
      </c>
      <c r="AC942" s="127">
        <f t="shared" si="29"/>
        <v>6</v>
      </c>
    </row>
    <row r="943" ht="14.5" customHeight="1" spans="11:29" x14ac:dyDescent="0.25">
      <c r="K943" s="128"/>
      <c r="X943" s="234">
        <v>2022</v>
      </c>
      <c r="Y943" s="234">
        <v>2</v>
      </c>
      <c r="Z943" s="234">
        <v>9</v>
      </c>
      <c r="AA943" s="235">
        <v>0.20833333333212067</v>
      </c>
      <c r="AB943" s="236">
        <v>6.8</v>
      </c>
      <c r="AC943" s="127">
        <f t="shared" si="29"/>
        <v>7</v>
      </c>
    </row>
    <row r="944" ht="14.5" customHeight="1" spans="11:29" x14ac:dyDescent="0.25">
      <c r="K944" s="128"/>
      <c r="X944" s="234">
        <v>2022</v>
      </c>
      <c r="Y944" s="234">
        <v>2</v>
      </c>
      <c r="Z944" s="234">
        <v>9</v>
      </c>
      <c r="AA944" s="235">
        <v>0.25</v>
      </c>
      <c r="AB944" s="236">
        <v>7.8</v>
      </c>
      <c r="AC944" s="127">
        <f t="shared" si="29"/>
        <v>8</v>
      </c>
    </row>
    <row r="945" ht="14.5" customHeight="1" spans="11:29" x14ac:dyDescent="0.25">
      <c r="K945" s="128"/>
      <c r="X945" s="234">
        <v>2022</v>
      </c>
      <c r="Y945" s="234">
        <v>2</v>
      </c>
      <c r="Z945" s="234">
        <v>9</v>
      </c>
      <c r="AA945" s="235">
        <v>0.2916666666678793</v>
      </c>
      <c r="AB945" s="236">
        <v>7</v>
      </c>
      <c r="AC945" s="127">
        <f t="shared" si="29"/>
        <v>7</v>
      </c>
    </row>
    <row r="946" ht="14.5" customHeight="1" spans="11:29" x14ac:dyDescent="0.25">
      <c r="K946" s="128"/>
      <c r="X946" s="234">
        <v>2022</v>
      </c>
      <c r="Y946" s="234">
        <v>2</v>
      </c>
      <c r="Z946" s="234">
        <v>9</v>
      </c>
      <c r="AA946" s="235">
        <v>0.3333333333321207</v>
      </c>
      <c r="AB946" s="236">
        <v>7.7</v>
      </c>
      <c r="AC946" s="127">
        <f t="shared" si="29"/>
        <v>8</v>
      </c>
    </row>
    <row r="947" ht="14.5" customHeight="1" spans="11:29" x14ac:dyDescent="0.25">
      <c r="K947" s="128"/>
      <c r="X947" s="234">
        <v>2022</v>
      </c>
      <c r="Y947" s="234">
        <v>2</v>
      </c>
      <c r="Z947" s="234">
        <v>9</v>
      </c>
      <c r="AA947" s="235">
        <v>0.375</v>
      </c>
      <c r="AB947" s="236">
        <v>8</v>
      </c>
      <c r="AC947" s="127">
        <f t="shared" si="29"/>
        <v>8</v>
      </c>
    </row>
    <row r="948" ht="14.5" customHeight="1" spans="11:29" x14ac:dyDescent="0.25">
      <c r="K948" s="128"/>
      <c r="X948" s="234">
        <v>2022</v>
      </c>
      <c r="Y948" s="234">
        <v>2</v>
      </c>
      <c r="Z948" s="234">
        <v>9</v>
      </c>
      <c r="AA948" s="235">
        <v>0.4166666666678793</v>
      </c>
      <c r="AB948" s="236">
        <v>9.5</v>
      </c>
      <c r="AC948" s="127">
        <f t="shared" si="29"/>
        <v>10</v>
      </c>
    </row>
    <row r="949" ht="14.5" customHeight="1" spans="11:29" x14ac:dyDescent="0.25">
      <c r="K949" s="128"/>
      <c r="X949" s="234">
        <v>2022</v>
      </c>
      <c r="Y949" s="234">
        <v>2</v>
      </c>
      <c r="Z949" s="234">
        <v>9</v>
      </c>
      <c r="AA949" s="235">
        <v>0.4583333333321207</v>
      </c>
      <c r="AB949" s="236">
        <v>11.1</v>
      </c>
      <c r="AC949" s="127">
        <f t="shared" si="29"/>
        <v>11</v>
      </c>
    </row>
    <row r="950" ht="14.5" customHeight="1" spans="11:29" x14ac:dyDescent="0.25">
      <c r="K950" s="128"/>
      <c r="X950" s="234">
        <v>2022</v>
      </c>
      <c r="Y950" s="234">
        <v>2</v>
      </c>
      <c r="Z950" s="234">
        <v>9</v>
      </c>
      <c r="AA950" s="235">
        <v>0.5</v>
      </c>
      <c r="AB950" s="236">
        <v>12</v>
      </c>
      <c r="AC950" s="127">
        <f t="shared" si="29"/>
        <v>12</v>
      </c>
    </row>
    <row r="951" ht="14.5" customHeight="1" spans="11:29" x14ac:dyDescent="0.25">
      <c r="K951" s="128"/>
      <c r="X951" s="234">
        <v>2022</v>
      </c>
      <c r="Y951" s="234">
        <v>2</v>
      </c>
      <c r="Z951" s="234">
        <v>9</v>
      </c>
      <c r="AA951" s="235">
        <v>0.5416666666678793</v>
      </c>
      <c r="AB951" s="236">
        <v>12.9</v>
      </c>
      <c r="AC951" s="127">
        <f t="shared" si="29"/>
        <v>13</v>
      </c>
    </row>
    <row r="952" ht="14.5" customHeight="1" spans="11:29" x14ac:dyDescent="0.25">
      <c r="K952" s="128"/>
      <c r="X952" s="234">
        <v>2022</v>
      </c>
      <c r="Y952" s="234">
        <v>2</v>
      </c>
      <c r="Z952" s="234">
        <v>9</v>
      </c>
      <c r="AA952" s="235">
        <v>0.5833333333321207</v>
      </c>
      <c r="AB952" s="236">
        <v>12.8</v>
      </c>
      <c r="AC952" s="127">
        <f t="shared" si="29"/>
        <v>13</v>
      </c>
    </row>
    <row r="953" ht="14.5" customHeight="1" spans="11:29" x14ac:dyDescent="0.25">
      <c r="K953" s="128"/>
      <c r="X953" s="234">
        <v>2022</v>
      </c>
      <c r="Y953" s="234">
        <v>2</v>
      </c>
      <c r="Z953" s="234">
        <v>9</v>
      </c>
      <c r="AA953" s="235">
        <v>0.625</v>
      </c>
      <c r="AB953" s="236">
        <v>13</v>
      </c>
      <c r="AC953" s="127">
        <f t="shared" si="29"/>
        <v>13</v>
      </c>
    </row>
    <row r="954" ht="14.5" customHeight="1" spans="11:29" x14ac:dyDescent="0.25">
      <c r="K954" s="128"/>
      <c r="X954" s="234">
        <v>2022</v>
      </c>
      <c r="Y954" s="234">
        <v>2</v>
      </c>
      <c r="Z954" s="234">
        <v>9</v>
      </c>
      <c r="AA954" s="235">
        <v>0.6666666666678793</v>
      </c>
      <c r="AB954" s="236">
        <v>12.8</v>
      </c>
      <c r="AC954" s="127">
        <f t="shared" si="29"/>
        <v>13</v>
      </c>
    </row>
    <row r="955" ht="14.5" customHeight="1" spans="11:29" x14ac:dyDescent="0.25">
      <c r="K955" s="128"/>
      <c r="X955" s="234">
        <v>2022</v>
      </c>
      <c r="Y955" s="234">
        <v>2</v>
      </c>
      <c r="Z955" s="234">
        <v>9</v>
      </c>
      <c r="AA955" s="235">
        <v>0.7083333333321207</v>
      </c>
      <c r="AB955" s="236">
        <v>11.8</v>
      </c>
      <c r="AC955" s="127">
        <f t="shared" si="29"/>
        <v>12</v>
      </c>
    </row>
    <row r="956" ht="14.5" customHeight="1" spans="11:29" x14ac:dyDescent="0.25">
      <c r="K956" s="128"/>
      <c r="X956" s="234">
        <v>2022</v>
      </c>
      <c r="Y956" s="234">
        <v>2</v>
      </c>
      <c r="Z956" s="234">
        <v>9</v>
      </c>
      <c r="AA956" s="235">
        <v>0.75</v>
      </c>
      <c r="AB956" s="236">
        <v>10.7</v>
      </c>
      <c r="AC956" s="127">
        <f t="shared" si="29"/>
        <v>11</v>
      </c>
    </row>
    <row r="957" ht="14.5" customHeight="1" spans="11:29" x14ac:dyDescent="0.25">
      <c r="K957" s="128"/>
      <c r="X957" s="234">
        <v>2022</v>
      </c>
      <c r="Y957" s="234">
        <v>2</v>
      </c>
      <c r="Z957" s="234">
        <v>9</v>
      </c>
      <c r="AA957" s="235">
        <v>0.7916666666678793</v>
      </c>
      <c r="AB957" s="236">
        <v>10.1</v>
      </c>
      <c r="AC957" s="127">
        <f t="shared" si="29"/>
        <v>10</v>
      </c>
    </row>
    <row r="958" ht="14.5" customHeight="1" spans="11:29" x14ac:dyDescent="0.25">
      <c r="K958" s="128"/>
      <c r="X958" s="234">
        <v>2022</v>
      </c>
      <c r="Y958" s="234">
        <v>2</v>
      </c>
      <c r="Z958" s="234">
        <v>9</v>
      </c>
      <c r="AA958" s="235">
        <v>0.8333333333321207</v>
      </c>
      <c r="AB958" s="236">
        <v>10.6</v>
      </c>
      <c r="AC958" s="127">
        <f t="shared" si="29"/>
        <v>11</v>
      </c>
    </row>
    <row r="959" ht="14.5" customHeight="1" spans="11:29" x14ac:dyDescent="0.25">
      <c r="K959" s="128"/>
      <c r="X959" s="234">
        <v>2022</v>
      </c>
      <c r="Y959" s="234">
        <v>2</v>
      </c>
      <c r="Z959" s="234">
        <v>9</v>
      </c>
      <c r="AA959" s="235">
        <v>0.875</v>
      </c>
      <c r="AB959" s="236">
        <v>11.1</v>
      </c>
      <c r="AC959" s="127">
        <f t="shared" si="29"/>
        <v>11</v>
      </c>
    </row>
    <row r="960" ht="14.5" customHeight="1" spans="11:29" x14ac:dyDescent="0.25">
      <c r="K960" s="128"/>
      <c r="X960" s="234">
        <v>2022</v>
      </c>
      <c r="Y960" s="234">
        <v>2</v>
      </c>
      <c r="Z960" s="234">
        <v>9</v>
      </c>
      <c r="AA960" s="235">
        <v>0.9166666666678793</v>
      </c>
      <c r="AB960" s="236">
        <v>11.6</v>
      </c>
      <c r="AC960" s="127">
        <f t="shared" si="29"/>
        <v>12</v>
      </c>
    </row>
    <row r="961" ht="14.5" customHeight="1" spans="11:29" x14ac:dyDescent="0.25">
      <c r="K961" s="128"/>
      <c r="X961" s="234">
        <v>2022</v>
      </c>
      <c r="Y961" s="234">
        <v>2</v>
      </c>
      <c r="Z961" s="234">
        <v>9</v>
      </c>
      <c r="AA961" s="235">
        <v>0.9583333333321207</v>
      </c>
      <c r="AB961" s="236">
        <v>12.1</v>
      </c>
      <c r="AC961" s="127">
        <f t="shared" si="29"/>
        <v>12</v>
      </c>
    </row>
    <row r="962" ht="14.5" customHeight="1" spans="11:29" x14ac:dyDescent="0.25">
      <c r="K962" s="128"/>
      <c r="X962" s="234">
        <v>2022</v>
      </c>
      <c r="Y962" s="234">
        <v>2</v>
      </c>
      <c r="Z962" s="234">
        <v>10</v>
      </c>
      <c r="AA962" s="235">
        <v>0</v>
      </c>
      <c r="AB962" s="236">
        <v>12.5</v>
      </c>
      <c r="AC962" s="127">
        <f t="shared" si="29"/>
        <v>13</v>
      </c>
    </row>
    <row r="963" ht="14.5" customHeight="1" spans="11:29" x14ac:dyDescent="0.25">
      <c r="K963" s="128"/>
      <c r="X963" s="234">
        <v>2022</v>
      </c>
      <c r="Y963" s="234">
        <v>2</v>
      </c>
      <c r="Z963" s="234">
        <v>10</v>
      </c>
      <c r="AA963" s="235">
        <v>0.041666666667879326</v>
      </c>
      <c r="AB963" s="236">
        <v>12.6</v>
      </c>
      <c r="AC963" s="127">
        <f t="shared" si="29"/>
        <v>13</v>
      </c>
    </row>
    <row r="964" ht="14.5" customHeight="1" spans="11:29" x14ac:dyDescent="0.25">
      <c r="K964" s="128"/>
      <c r="X964" s="234">
        <v>2022</v>
      </c>
      <c r="Y964" s="234">
        <v>2</v>
      </c>
      <c r="Z964" s="234">
        <v>10</v>
      </c>
      <c r="AA964" s="235">
        <v>0.08333333333212067</v>
      </c>
      <c r="AB964" s="236">
        <v>12.9</v>
      </c>
      <c r="AC964" s="127">
        <f t="shared" si="29"/>
        <v>13</v>
      </c>
    </row>
    <row r="965" ht="14.5" customHeight="1" spans="11:29" x14ac:dyDescent="0.25">
      <c r="K965" s="128"/>
      <c r="X965" s="234">
        <v>2022</v>
      </c>
      <c r="Y965" s="234">
        <v>2</v>
      </c>
      <c r="Z965" s="234">
        <v>10</v>
      </c>
      <c r="AA965" s="235">
        <v>0.125</v>
      </c>
      <c r="AB965" s="236">
        <v>12</v>
      </c>
      <c r="AC965" s="127">
        <f t="shared" si="29"/>
        <v>12</v>
      </c>
    </row>
    <row r="966" ht="14.5" customHeight="1" spans="11:29" x14ac:dyDescent="0.25">
      <c r="K966" s="128"/>
      <c r="X966" s="234">
        <v>2022</v>
      </c>
      <c r="Y966" s="234">
        <v>2</v>
      </c>
      <c r="Z966" s="234">
        <v>10</v>
      </c>
      <c r="AA966" s="235">
        <v>0.16666666666787933</v>
      </c>
      <c r="AB966" s="236">
        <v>11.4</v>
      </c>
      <c r="AC966" s="127">
        <f t="shared" si="29"/>
        <v>11</v>
      </c>
    </row>
    <row r="967" ht="14.5" customHeight="1" spans="11:29" x14ac:dyDescent="0.25">
      <c r="K967" s="128"/>
      <c r="X967" s="234">
        <v>2022</v>
      </c>
      <c r="Y967" s="234">
        <v>2</v>
      </c>
      <c r="Z967" s="234">
        <v>10</v>
      </c>
      <c r="AA967" s="235">
        <v>0.20833333333212067</v>
      </c>
      <c r="AB967" s="236">
        <v>12.7</v>
      </c>
      <c r="AC967" s="127">
        <f t="shared" si="29"/>
        <v>13</v>
      </c>
    </row>
    <row r="968" ht="14.5" customHeight="1" spans="11:29" x14ac:dyDescent="0.25">
      <c r="K968" s="128"/>
      <c r="X968" s="234">
        <v>2022</v>
      </c>
      <c r="Y968" s="234">
        <v>2</v>
      </c>
      <c r="Z968" s="234">
        <v>10</v>
      </c>
      <c r="AA968" s="235">
        <v>0.25</v>
      </c>
      <c r="AB968" s="236">
        <v>11.7</v>
      </c>
      <c r="AC968" s="127">
        <f t="shared" si="29"/>
        <v>12</v>
      </c>
    </row>
    <row r="969" ht="14.5" customHeight="1" spans="11:29" x14ac:dyDescent="0.25">
      <c r="K969" s="128"/>
      <c r="X969" s="234">
        <v>2022</v>
      </c>
      <c r="Y969" s="234">
        <v>2</v>
      </c>
      <c r="Z969" s="234">
        <v>10</v>
      </c>
      <c r="AA969" s="235">
        <v>0.2916666666678793</v>
      </c>
      <c r="AB969" s="236">
        <v>12</v>
      </c>
      <c r="AC969" s="127">
        <f t="shared" si="29"/>
        <v>12</v>
      </c>
    </row>
    <row r="970" ht="14.5" customHeight="1" spans="11:29" x14ac:dyDescent="0.25">
      <c r="K970" s="128"/>
      <c r="X970" s="234">
        <v>2022</v>
      </c>
      <c r="Y970" s="234">
        <v>2</v>
      </c>
      <c r="Z970" s="234">
        <v>10</v>
      </c>
      <c r="AA970" s="235">
        <v>0.3333333333321207</v>
      </c>
      <c r="AB970" s="236">
        <v>7.7</v>
      </c>
      <c r="AC970" s="127">
        <f t="shared" si="29"/>
        <v>8</v>
      </c>
    </row>
    <row r="971" ht="14.5" customHeight="1" spans="11:29" x14ac:dyDescent="0.25">
      <c r="K971" s="128"/>
      <c r="X971" s="234">
        <v>2022</v>
      </c>
      <c r="Y971" s="234">
        <v>2</v>
      </c>
      <c r="Z971" s="234">
        <v>10</v>
      </c>
      <c r="AA971" s="235">
        <v>0.375</v>
      </c>
      <c r="AB971" s="236">
        <v>7.1</v>
      </c>
      <c r="AC971" s="127">
        <f t="shared" ref="AC971:AC1034" si="30">ROUND(AB971,0)</f>
        <v>7</v>
      </c>
    </row>
    <row r="972" ht="14.5" customHeight="1" spans="11:29" x14ac:dyDescent="0.25">
      <c r="K972" s="128"/>
      <c r="X972" s="234">
        <v>2022</v>
      </c>
      <c r="Y972" s="234">
        <v>2</v>
      </c>
      <c r="Z972" s="234">
        <v>10</v>
      </c>
      <c r="AA972" s="235">
        <v>0.4166666666678793</v>
      </c>
      <c r="AB972" s="236">
        <v>8</v>
      </c>
      <c r="AC972" s="127">
        <f t="shared" si="30"/>
        <v>8</v>
      </c>
    </row>
    <row r="973" ht="14.5" customHeight="1" spans="11:29" x14ac:dyDescent="0.25">
      <c r="K973" s="128"/>
      <c r="X973" s="234">
        <v>2022</v>
      </c>
      <c r="Y973" s="234">
        <v>2</v>
      </c>
      <c r="Z973" s="234">
        <v>10</v>
      </c>
      <c r="AA973" s="235">
        <v>0.4583333333321207</v>
      </c>
      <c r="AB973" s="236">
        <v>8.4</v>
      </c>
      <c r="AC973" s="127">
        <f t="shared" si="30"/>
        <v>8</v>
      </c>
    </row>
    <row r="974" ht="14.5" customHeight="1" spans="11:29" x14ac:dyDescent="0.25">
      <c r="K974" s="128"/>
      <c r="X974" s="234">
        <v>2022</v>
      </c>
      <c r="Y974" s="234">
        <v>2</v>
      </c>
      <c r="Z974" s="234">
        <v>10</v>
      </c>
      <c r="AA974" s="235">
        <v>0.5</v>
      </c>
      <c r="AB974" s="236">
        <v>8.2</v>
      </c>
      <c r="AC974" s="127">
        <f t="shared" si="30"/>
        <v>8</v>
      </c>
    </row>
    <row r="975" ht="14.5" customHeight="1" spans="11:29" x14ac:dyDescent="0.25">
      <c r="K975" s="128"/>
      <c r="X975" s="234">
        <v>2022</v>
      </c>
      <c r="Y975" s="234">
        <v>2</v>
      </c>
      <c r="Z975" s="234">
        <v>10</v>
      </c>
      <c r="AA975" s="235">
        <v>0.5416666666678793</v>
      </c>
      <c r="AB975" s="236">
        <v>8</v>
      </c>
      <c r="AC975" s="127">
        <f t="shared" si="30"/>
        <v>8</v>
      </c>
    </row>
    <row r="976" ht="14.5" customHeight="1" spans="11:29" x14ac:dyDescent="0.25">
      <c r="K976" s="128"/>
      <c r="X976" s="234">
        <v>2022</v>
      </c>
      <c r="Y976" s="234">
        <v>2</v>
      </c>
      <c r="Z976" s="234">
        <v>10</v>
      </c>
      <c r="AA976" s="235">
        <v>0.5833333333321207</v>
      </c>
      <c r="AB976" s="236">
        <v>9.2</v>
      </c>
      <c r="AC976" s="127">
        <f t="shared" si="30"/>
        <v>9</v>
      </c>
    </row>
    <row r="977" ht="14.5" customHeight="1" spans="11:29" x14ac:dyDescent="0.25">
      <c r="K977" s="128"/>
      <c r="X977" s="234">
        <v>2022</v>
      </c>
      <c r="Y977" s="234">
        <v>2</v>
      </c>
      <c r="Z977" s="234">
        <v>10</v>
      </c>
      <c r="AA977" s="235">
        <v>0.625</v>
      </c>
      <c r="AB977" s="236">
        <v>7.9</v>
      </c>
      <c r="AC977" s="127">
        <f t="shared" si="30"/>
        <v>8</v>
      </c>
    </row>
    <row r="978" ht="14.5" customHeight="1" spans="11:29" x14ac:dyDescent="0.25">
      <c r="K978" s="128"/>
      <c r="X978" s="234">
        <v>2022</v>
      </c>
      <c r="Y978" s="234">
        <v>2</v>
      </c>
      <c r="Z978" s="234">
        <v>10</v>
      </c>
      <c r="AA978" s="235">
        <v>0.6666666666678793</v>
      </c>
      <c r="AB978" s="236">
        <v>6.8</v>
      </c>
      <c r="AC978" s="127">
        <f t="shared" si="30"/>
        <v>7</v>
      </c>
    </row>
    <row r="979" ht="14.5" customHeight="1" spans="11:29" x14ac:dyDescent="0.25">
      <c r="K979" s="128"/>
      <c r="X979" s="234">
        <v>2022</v>
      </c>
      <c r="Y979" s="234">
        <v>2</v>
      </c>
      <c r="Z979" s="234">
        <v>10</v>
      </c>
      <c r="AA979" s="235">
        <v>0.7083333333321207</v>
      </c>
      <c r="AB979" s="236">
        <v>5.5</v>
      </c>
      <c r="AC979" s="127">
        <f t="shared" si="30"/>
        <v>6</v>
      </c>
    </row>
    <row r="980" ht="14.5" customHeight="1" spans="11:29" x14ac:dyDescent="0.25">
      <c r="K980" s="128"/>
      <c r="X980" s="234">
        <v>2022</v>
      </c>
      <c r="Y980" s="234">
        <v>2</v>
      </c>
      <c r="Z980" s="234">
        <v>10</v>
      </c>
      <c r="AA980" s="235">
        <v>0.75</v>
      </c>
      <c r="AB980" s="236">
        <v>5.7</v>
      </c>
      <c r="AC980" s="127">
        <f t="shared" si="30"/>
        <v>6</v>
      </c>
    </row>
    <row r="981" ht="14.5" customHeight="1" spans="11:29" x14ac:dyDescent="0.25">
      <c r="K981" s="128"/>
      <c r="X981" s="234">
        <v>2022</v>
      </c>
      <c r="Y981" s="234">
        <v>2</v>
      </c>
      <c r="Z981" s="234">
        <v>10</v>
      </c>
      <c r="AA981" s="235">
        <v>0.7916666666678793</v>
      </c>
      <c r="AB981" s="236">
        <v>4.7</v>
      </c>
      <c r="AC981" s="127">
        <f t="shared" si="30"/>
        <v>5</v>
      </c>
    </row>
    <row r="982" ht="14.5" customHeight="1" spans="11:29" x14ac:dyDescent="0.25">
      <c r="K982" s="128"/>
      <c r="X982" s="234">
        <v>2022</v>
      </c>
      <c r="Y982" s="234">
        <v>2</v>
      </c>
      <c r="Z982" s="234">
        <v>10</v>
      </c>
      <c r="AA982" s="235">
        <v>0.8333333333321207</v>
      </c>
      <c r="AB982" s="236">
        <v>2.4</v>
      </c>
      <c r="AC982" s="127">
        <f t="shared" si="30"/>
        <v>2</v>
      </c>
    </row>
    <row r="983" ht="14.5" customHeight="1" spans="11:29" x14ac:dyDescent="0.25">
      <c r="K983" s="128"/>
      <c r="X983" s="234">
        <v>2022</v>
      </c>
      <c r="Y983" s="234">
        <v>2</v>
      </c>
      <c r="Z983" s="234">
        <v>10</v>
      </c>
      <c r="AA983" s="235">
        <v>0.875</v>
      </c>
      <c r="AB983" s="236">
        <v>1.4</v>
      </c>
      <c r="AC983" s="127">
        <f t="shared" si="30"/>
        <v>1</v>
      </c>
    </row>
    <row r="984" ht="14.5" customHeight="1" spans="11:29" x14ac:dyDescent="0.25">
      <c r="K984" s="128"/>
      <c r="X984" s="234">
        <v>2022</v>
      </c>
      <c r="Y984" s="234">
        <v>2</v>
      </c>
      <c r="Z984" s="234">
        <v>10</v>
      </c>
      <c r="AA984" s="235">
        <v>0.9166666666678793</v>
      </c>
      <c r="AB984" s="236">
        <v>-0.8</v>
      </c>
      <c r="AC984" s="127">
        <f t="shared" si="30"/>
        <v>-1</v>
      </c>
    </row>
    <row r="985" ht="14.5" customHeight="1" spans="11:29" x14ac:dyDescent="0.25">
      <c r="K985" s="128"/>
      <c r="X985" s="234">
        <v>2022</v>
      </c>
      <c r="Y985" s="234">
        <v>2</v>
      </c>
      <c r="Z985" s="234">
        <v>10</v>
      </c>
      <c r="AA985" s="235">
        <v>0.9583333333321207</v>
      </c>
      <c r="AB985" s="236">
        <v>-2.9</v>
      </c>
      <c r="AC985" s="127">
        <f t="shared" si="30"/>
        <v>-3</v>
      </c>
    </row>
    <row r="986" ht="14.5" customHeight="1" spans="11:29" x14ac:dyDescent="0.25">
      <c r="K986" s="128"/>
      <c r="X986" s="234">
        <v>2022</v>
      </c>
      <c r="Y986" s="234">
        <v>2</v>
      </c>
      <c r="Z986" s="234">
        <v>11</v>
      </c>
      <c r="AA986" s="235">
        <v>0</v>
      </c>
      <c r="AB986" s="236">
        <v>1.3</v>
      </c>
      <c r="AC986" s="127">
        <f t="shared" si="30"/>
        <v>1</v>
      </c>
    </row>
    <row r="987" ht="14.5" customHeight="1" spans="11:29" x14ac:dyDescent="0.25">
      <c r="K987" s="128"/>
      <c r="X987" s="234">
        <v>2022</v>
      </c>
      <c r="Y987" s="234">
        <v>2</v>
      </c>
      <c r="Z987" s="234">
        <v>11</v>
      </c>
      <c r="AA987" s="235">
        <v>0.041666666667879326</v>
      </c>
      <c r="AB987" s="236">
        <v>1</v>
      </c>
      <c r="AC987" s="127">
        <f t="shared" si="30"/>
        <v>1</v>
      </c>
    </row>
    <row r="988" ht="14.5" customHeight="1" spans="11:29" x14ac:dyDescent="0.25">
      <c r="K988" s="128"/>
      <c r="X988" s="234">
        <v>2022</v>
      </c>
      <c r="Y988" s="234">
        <v>2</v>
      </c>
      <c r="Z988" s="234">
        <v>11</v>
      </c>
      <c r="AA988" s="235">
        <v>0.08333333333212067</v>
      </c>
      <c r="AB988" s="236">
        <v>1.1</v>
      </c>
      <c r="AC988" s="127">
        <f t="shared" si="30"/>
        <v>1</v>
      </c>
    </row>
    <row r="989" ht="14.5" customHeight="1" spans="11:29" x14ac:dyDescent="0.25">
      <c r="K989" s="128"/>
      <c r="X989" s="234">
        <v>2022</v>
      </c>
      <c r="Y989" s="234">
        <v>2</v>
      </c>
      <c r="Z989" s="234">
        <v>11</v>
      </c>
      <c r="AA989" s="235">
        <v>0.125</v>
      </c>
      <c r="AB989" s="236">
        <v>1</v>
      </c>
      <c r="AC989" s="127">
        <f t="shared" si="30"/>
        <v>1</v>
      </c>
    </row>
    <row r="990" ht="14.5" customHeight="1" spans="11:29" x14ac:dyDescent="0.25">
      <c r="K990" s="128"/>
      <c r="X990" s="234">
        <v>2022</v>
      </c>
      <c r="Y990" s="234">
        <v>2</v>
      </c>
      <c r="Z990" s="234">
        <v>11</v>
      </c>
      <c r="AA990" s="235">
        <v>0.16666666666787933</v>
      </c>
      <c r="AB990" s="236">
        <v>1.1</v>
      </c>
      <c r="AC990" s="127">
        <f t="shared" si="30"/>
        <v>1</v>
      </c>
    </row>
    <row r="991" ht="14.5" customHeight="1" spans="11:29" x14ac:dyDescent="0.25">
      <c r="K991" s="128"/>
      <c r="X991" s="234">
        <v>2022</v>
      </c>
      <c r="Y991" s="234">
        <v>2</v>
      </c>
      <c r="Z991" s="234">
        <v>11</v>
      </c>
      <c r="AA991" s="235">
        <v>0.20833333333212067</v>
      </c>
      <c r="AB991" s="236">
        <v>-0.9</v>
      </c>
      <c r="AC991" s="127">
        <f t="shared" si="30"/>
        <v>-1</v>
      </c>
    </row>
    <row r="992" ht="14.5" customHeight="1" spans="11:29" x14ac:dyDescent="0.25">
      <c r="K992" s="128"/>
      <c r="X992" s="234">
        <v>2022</v>
      </c>
      <c r="Y992" s="234">
        <v>2</v>
      </c>
      <c r="Z992" s="234">
        <v>11</v>
      </c>
      <c r="AA992" s="235">
        <v>0.25</v>
      </c>
      <c r="AB992" s="236">
        <v>-3.2</v>
      </c>
      <c r="AC992" s="127">
        <f t="shared" si="30"/>
        <v>-3</v>
      </c>
    </row>
    <row r="993" ht="14.5" customHeight="1" spans="11:29" x14ac:dyDescent="0.25">
      <c r="K993" s="128"/>
      <c r="X993" s="234">
        <v>2022</v>
      </c>
      <c r="Y993" s="234">
        <v>2</v>
      </c>
      <c r="Z993" s="234">
        <v>11</v>
      </c>
      <c r="AA993" s="235">
        <v>0.2916666666678793</v>
      </c>
      <c r="AB993" s="236">
        <v>-3.5</v>
      </c>
      <c r="AC993" s="127">
        <f t="shared" si="30"/>
        <v>-4</v>
      </c>
    </row>
    <row r="994" ht="14.5" customHeight="1" spans="11:29" x14ac:dyDescent="0.25">
      <c r="K994" s="128"/>
      <c r="X994" s="234">
        <v>2022</v>
      </c>
      <c r="Y994" s="234">
        <v>2</v>
      </c>
      <c r="Z994" s="234">
        <v>11</v>
      </c>
      <c r="AA994" s="235">
        <v>0.3333333333321207</v>
      </c>
      <c r="AB994" s="236">
        <v>-4</v>
      </c>
      <c r="AC994" s="127">
        <f t="shared" si="30"/>
        <v>-4</v>
      </c>
    </row>
    <row r="995" ht="14.5" customHeight="1" spans="11:29" x14ac:dyDescent="0.25">
      <c r="K995" s="128"/>
      <c r="X995" s="234">
        <v>2022</v>
      </c>
      <c r="Y995" s="234">
        <v>2</v>
      </c>
      <c r="Z995" s="234">
        <v>11</v>
      </c>
      <c r="AA995" s="235">
        <v>0.375</v>
      </c>
      <c r="AB995" s="236">
        <v>-3.5</v>
      </c>
      <c r="AC995" s="127">
        <f t="shared" si="30"/>
        <v>-4</v>
      </c>
    </row>
    <row r="996" ht="14.5" customHeight="1" spans="11:29" x14ac:dyDescent="0.25">
      <c r="K996" s="128"/>
      <c r="X996" s="234">
        <v>2022</v>
      </c>
      <c r="Y996" s="234">
        <v>2</v>
      </c>
      <c r="Z996" s="234">
        <v>11</v>
      </c>
      <c r="AA996" s="235">
        <v>0.4166666666678793</v>
      </c>
      <c r="AB996" s="236">
        <v>-2.1</v>
      </c>
      <c r="AC996" s="127">
        <f t="shared" si="30"/>
        <v>-2</v>
      </c>
    </row>
    <row r="997" ht="14.5" customHeight="1" spans="11:29" x14ac:dyDescent="0.25">
      <c r="K997" s="128"/>
      <c r="X997" s="234">
        <v>2022</v>
      </c>
      <c r="Y997" s="234">
        <v>2</v>
      </c>
      <c r="Z997" s="234">
        <v>11</v>
      </c>
      <c r="AA997" s="235">
        <v>0.4583333333321207</v>
      </c>
      <c r="AB997" s="236">
        <v>-1.6</v>
      </c>
      <c r="AC997" s="127">
        <f t="shared" si="30"/>
        <v>-2</v>
      </c>
    </row>
    <row r="998" ht="14.5" customHeight="1" spans="11:29" x14ac:dyDescent="0.25">
      <c r="K998" s="128"/>
      <c r="X998" s="234">
        <v>2022</v>
      </c>
      <c r="Y998" s="234">
        <v>2</v>
      </c>
      <c r="Z998" s="234">
        <v>11</v>
      </c>
      <c r="AA998" s="235">
        <v>0.5</v>
      </c>
      <c r="AB998" s="236">
        <v>-0.9</v>
      </c>
      <c r="AC998" s="127">
        <f t="shared" si="30"/>
        <v>-1</v>
      </c>
    </row>
    <row r="999" ht="14.5" customHeight="1" spans="11:29" x14ac:dyDescent="0.25">
      <c r="K999" s="128"/>
      <c r="X999" s="234">
        <v>2022</v>
      </c>
      <c r="Y999" s="234">
        <v>2</v>
      </c>
      <c r="Z999" s="234">
        <v>11</v>
      </c>
      <c r="AA999" s="235">
        <v>0.5416666666678793</v>
      </c>
      <c r="AB999" s="236">
        <v>0</v>
      </c>
      <c r="AC999" s="127">
        <f t="shared" si="30"/>
        <v>0</v>
      </c>
    </row>
    <row r="1000" ht="14.5" customHeight="1" spans="11:29" x14ac:dyDescent="0.25">
      <c r="K1000" s="128"/>
      <c r="X1000" s="234">
        <v>2022</v>
      </c>
      <c r="Y1000" s="234">
        <v>2</v>
      </c>
      <c r="Z1000" s="234">
        <v>11</v>
      </c>
      <c r="AA1000" s="235">
        <v>0.5833333333321207</v>
      </c>
      <c r="AB1000" s="236">
        <v>0.1</v>
      </c>
      <c r="AC1000" s="127">
        <f t="shared" si="30"/>
        <v>0</v>
      </c>
    </row>
    <row r="1001" ht="14.5" customHeight="1" spans="11:29" x14ac:dyDescent="0.25">
      <c r="K1001" s="128"/>
      <c r="X1001" s="234">
        <v>2022</v>
      </c>
      <c r="Y1001" s="234">
        <v>2</v>
      </c>
      <c r="Z1001" s="234">
        <v>11</v>
      </c>
      <c r="AA1001" s="235">
        <v>0.625</v>
      </c>
      <c r="AB1001" s="236">
        <v>0.4</v>
      </c>
      <c r="AC1001" s="127">
        <f t="shared" si="30"/>
        <v>0</v>
      </c>
    </row>
    <row r="1002" ht="14.5" customHeight="1" spans="11:29" x14ac:dyDescent="0.25">
      <c r="K1002" s="128"/>
      <c r="X1002" s="234">
        <v>2022</v>
      </c>
      <c r="Y1002" s="234">
        <v>2</v>
      </c>
      <c r="Z1002" s="234">
        <v>11</v>
      </c>
      <c r="AA1002" s="235">
        <v>0.6666666666678793</v>
      </c>
      <c r="AB1002" s="236">
        <v>1.1</v>
      </c>
      <c r="AC1002" s="127">
        <f t="shared" si="30"/>
        <v>1</v>
      </c>
    </row>
    <row r="1003" ht="14.5" customHeight="1" spans="11:29" x14ac:dyDescent="0.25">
      <c r="K1003" s="128"/>
      <c r="X1003" s="234">
        <v>2022</v>
      </c>
      <c r="Y1003" s="234">
        <v>2</v>
      </c>
      <c r="Z1003" s="234">
        <v>11</v>
      </c>
      <c r="AA1003" s="235">
        <v>0.7083333333321207</v>
      </c>
      <c r="AB1003" s="236">
        <v>-0.1</v>
      </c>
      <c r="AC1003" s="127">
        <f t="shared" si="30"/>
        <v>0</v>
      </c>
    </row>
    <row r="1004" ht="14.5" customHeight="1" spans="11:29" x14ac:dyDescent="0.25">
      <c r="K1004" s="128"/>
      <c r="X1004" s="234">
        <v>2022</v>
      </c>
      <c r="Y1004" s="234">
        <v>2</v>
      </c>
      <c r="Z1004" s="234">
        <v>11</v>
      </c>
      <c r="AA1004" s="235">
        <v>0.75</v>
      </c>
      <c r="AB1004" s="236">
        <v>-3.7</v>
      </c>
      <c r="AC1004" s="127">
        <f t="shared" si="30"/>
        <v>-4</v>
      </c>
    </row>
    <row r="1005" ht="14.5" customHeight="1" spans="11:29" x14ac:dyDescent="0.25">
      <c r="K1005" s="128"/>
      <c r="X1005" s="234">
        <v>2022</v>
      </c>
      <c r="Y1005" s="234">
        <v>2</v>
      </c>
      <c r="Z1005" s="234">
        <v>11</v>
      </c>
      <c r="AA1005" s="235">
        <v>0.7916666666678793</v>
      </c>
      <c r="AB1005" s="236">
        <v>-2.5</v>
      </c>
      <c r="AC1005" s="127">
        <f t="shared" si="30"/>
        <v>-3</v>
      </c>
    </row>
    <row r="1006" ht="14.5" customHeight="1" spans="11:29" x14ac:dyDescent="0.25">
      <c r="K1006" s="128"/>
      <c r="X1006" s="234">
        <v>2022</v>
      </c>
      <c r="Y1006" s="234">
        <v>2</v>
      </c>
      <c r="Z1006" s="234">
        <v>11</v>
      </c>
      <c r="AA1006" s="235">
        <v>0.8333333333321207</v>
      </c>
      <c r="AB1006" s="236">
        <v>-3.2</v>
      </c>
      <c r="AC1006" s="127">
        <f t="shared" si="30"/>
        <v>-3</v>
      </c>
    </row>
    <row r="1007" ht="14.5" customHeight="1" spans="11:29" x14ac:dyDescent="0.25">
      <c r="K1007" s="128"/>
      <c r="X1007" s="234">
        <v>2022</v>
      </c>
      <c r="Y1007" s="234">
        <v>2</v>
      </c>
      <c r="Z1007" s="234">
        <v>11</v>
      </c>
      <c r="AA1007" s="235">
        <v>0.875</v>
      </c>
      <c r="AB1007" s="236">
        <v>-3.7</v>
      </c>
      <c r="AC1007" s="127">
        <f t="shared" si="30"/>
        <v>-4</v>
      </c>
    </row>
    <row r="1008" ht="14.5" customHeight="1" spans="11:29" x14ac:dyDescent="0.25">
      <c r="K1008" s="128"/>
      <c r="X1008" s="234">
        <v>2022</v>
      </c>
      <c r="Y1008" s="234">
        <v>2</v>
      </c>
      <c r="Z1008" s="234">
        <v>11</v>
      </c>
      <c r="AA1008" s="235">
        <v>0.9166666666678793</v>
      </c>
      <c r="AB1008" s="236">
        <v>-3.7</v>
      </c>
      <c r="AC1008" s="127">
        <f t="shared" si="30"/>
        <v>-4</v>
      </c>
    </row>
    <row r="1009" ht="14.5" customHeight="1" spans="11:29" x14ac:dyDescent="0.25">
      <c r="K1009" s="128"/>
      <c r="X1009" s="234">
        <v>2022</v>
      </c>
      <c r="Y1009" s="234">
        <v>2</v>
      </c>
      <c r="Z1009" s="234">
        <v>11</v>
      </c>
      <c r="AA1009" s="235">
        <v>0.9583333333321207</v>
      </c>
      <c r="AB1009" s="236">
        <v>-2.3</v>
      </c>
      <c r="AC1009" s="127">
        <f t="shared" si="30"/>
        <v>-2</v>
      </c>
    </row>
    <row r="1010" ht="14.5" customHeight="1" spans="11:29" x14ac:dyDescent="0.25">
      <c r="K1010" s="128"/>
      <c r="X1010" s="234">
        <v>2022</v>
      </c>
      <c r="Y1010" s="234">
        <v>2</v>
      </c>
      <c r="Z1010" s="234">
        <v>12</v>
      </c>
      <c r="AA1010" s="235">
        <v>0</v>
      </c>
      <c r="AB1010" s="236">
        <v>2.1</v>
      </c>
      <c r="AC1010" s="127">
        <f t="shared" si="30"/>
        <v>2</v>
      </c>
    </row>
    <row r="1011" ht="14.5" customHeight="1" spans="11:29" x14ac:dyDescent="0.25">
      <c r="K1011" s="128"/>
      <c r="X1011" s="234">
        <v>2022</v>
      </c>
      <c r="Y1011" s="234">
        <v>2</v>
      </c>
      <c r="Z1011" s="234">
        <v>12</v>
      </c>
      <c r="AA1011" s="235">
        <v>0.041666666667879326</v>
      </c>
      <c r="AB1011" s="236">
        <v>3</v>
      </c>
      <c r="AC1011" s="127">
        <f t="shared" si="30"/>
        <v>3</v>
      </c>
    </row>
    <row r="1012" ht="14.5" customHeight="1" spans="11:29" x14ac:dyDescent="0.25">
      <c r="K1012" s="128"/>
      <c r="X1012" s="234">
        <v>2022</v>
      </c>
      <c r="Y1012" s="234">
        <v>2</v>
      </c>
      <c r="Z1012" s="234">
        <v>12</v>
      </c>
      <c r="AA1012" s="235">
        <v>0.08333333333212067</v>
      </c>
      <c r="AB1012" s="236">
        <v>3.5</v>
      </c>
      <c r="AC1012" s="127">
        <f t="shared" si="30"/>
        <v>4</v>
      </c>
    </row>
    <row r="1013" ht="14.5" customHeight="1" spans="11:29" x14ac:dyDescent="0.25">
      <c r="K1013" s="128"/>
      <c r="X1013" s="234">
        <v>2022</v>
      </c>
      <c r="Y1013" s="234">
        <v>2</v>
      </c>
      <c r="Z1013" s="234">
        <v>12</v>
      </c>
      <c r="AA1013" s="235">
        <v>0.125</v>
      </c>
      <c r="AB1013" s="236">
        <v>2.7</v>
      </c>
      <c r="AC1013" s="127">
        <f t="shared" si="30"/>
        <v>3</v>
      </c>
    </row>
    <row r="1014" ht="14.5" customHeight="1" spans="11:29" x14ac:dyDescent="0.25">
      <c r="K1014" s="128"/>
      <c r="X1014" s="234">
        <v>2022</v>
      </c>
      <c r="Y1014" s="234">
        <v>2</v>
      </c>
      <c r="Z1014" s="234">
        <v>12</v>
      </c>
      <c r="AA1014" s="235">
        <v>0.16666666666787933</v>
      </c>
      <c r="AB1014" s="236">
        <v>0.4</v>
      </c>
      <c r="AC1014" s="127">
        <f t="shared" si="30"/>
        <v>0</v>
      </c>
    </row>
    <row r="1015" ht="14.5" customHeight="1" spans="11:29" x14ac:dyDescent="0.25">
      <c r="K1015" s="128"/>
      <c r="X1015" s="234">
        <v>2022</v>
      </c>
      <c r="Y1015" s="234">
        <v>2</v>
      </c>
      <c r="Z1015" s="234">
        <v>12</v>
      </c>
      <c r="AA1015" s="235">
        <v>0.20833333333212067</v>
      </c>
      <c r="AB1015" s="236">
        <v>1.8</v>
      </c>
      <c r="AC1015" s="127">
        <f t="shared" si="30"/>
        <v>2</v>
      </c>
    </row>
    <row r="1016" ht="14.5" customHeight="1" spans="11:29" x14ac:dyDescent="0.25">
      <c r="K1016" s="128"/>
      <c r="X1016" s="234">
        <v>2022</v>
      </c>
      <c r="Y1016" s="234">
        <v>2</v>
      </c>
      <c r="Z1016" s="234">
        <v>12</v>
      </c>
      <c r="AA1016" s="235">
        <v>0.25</v>
      </c>
      <c r="AB1016" s="236">
        <v>1.3</v>
      </c>
      <c r="AC1016" s="127">
        <f t="shared" si="30"/>
        <v>1</v>
      </c>
    </row>
    <row r="1017" ht="14.5" customHeight="1" spans="11:29" x14ac:dyDescent="0.25">
      <c r="K1017" s="128"/>
      <c r="X1017" s="234">
        <v>2022</v>
      </c>
      <c r="Y1017" s="234">
        <v>2</v>
      </c>
      <c r="Z1017" s="234">
        <v>12</v>
      </c>
      <c r="AA1017" s="235">
        <v>0.2916666666678793</v>
      </c>
      <c r="AB1017" s="236">
        <v>0.8</v>
      </c>
      <c r="AC1017" s="127">
        <f t="shared" si="30"/>
        <v>1</v>
      </c>
    </row>
    <row r="1018" ht="14.5" customHeight="1" spans="11:29" x14ac:dyDescent="0.25">
      <c r="K1018" s="128"/>
      <c r="X1018" s="234">
        <v>2022</v>
      </c>
      <c r="Y1018" s="234">
        <v>2</v>
      </c>
      <c r="Z1018" s="234">
        <v>12</v>
      </c>
      <c r="AA1018" s="235">
        <v>0.3333333333321207</v>
      </c>
      <c r="AB1018" s="236">
        <v>0.5</v>
      </c>
      <c r="AC1018" s="127">
        <f t="shared" si="30"/>
        <v>1</v>
      </c>
    </row>
    <row r="1019" ht="14.5" customHeight="1" spans="11:29" x14ac:dyDescent="0.25">
      <c r="K1019" s="128"/>
      <c r="X1019" s="234">
        <v>2022</v>
      </c>
      <c r="Y1019" s="234">
        <v>2</v>
      </c>
      <c r="Z1019" s="234">
        <v>12</v>
      </c>
      <c r="AA1019" s="235">
        <v>0.375</v>
      </c>
      <c r="AB1019" s="236">
        <v>1</v>
      </c>
      <c r="AC1019" s="127">
        <f t="shared" si="30"/>
        <v>1</v>
      </c>
    </row>
    <row r="1020" ht="14.5" customHeight="1" spans="11:29" x14ac:dyDescent="0.25">
      <c r="K1020" s="128"/>
      <c r="X1020" s="234">
        <v>2022</v>
      </c>
      <c r="Y1020" s="234">
        <v>2</v>
      </c>
      <c r="Z1020" s="234">
        <v>12</v>
      </c>
      <c r="AA1020" s="235">
        <v>0.4166666666678793</v>
      </c>
      <c r="AB1020" s="236">
        <v>2</v>
      </c>
      <c r="AC1020" s="127">
        <f t="shared" si="30"/>
        <v>2</v>
      </c>
    </row>
    <row r="1021" ht="14.5" customHeight="1" spans="11:29" x14ac:dyDescent="0.25">
      <c r="K1021" s="128"/>
      <c r="X1021" s="234">
        <v>2022</v>
      </c>
      <c r="Y1021" s="234">
        <v>2</v>
      </c>
      <c r="Z1021" s="234">
        <v>12</v>
      </c>
      <c r="AA1021" s="235">
        <v>0.4583333333321207</v>
      </c>
      <c r="AB1021" s="236">
        <v>3.3</v>
      </c>
      <c r="AC1021" s="127">
        <f t="shared" si="30"/>
        <v>3</v>
      </c>
    </row>
    <row r="1022" ht="14.5" customHeight="1" spans="11:29" x14ac:dyDescent="0.25">
      <c r="K1022" s="128"/>
      <c r="X1022" s="234">
        <v>2022</v>
      </c>
      <c r="Y1022" s="234">
        <v>2</v>
      </c>
      <c r="Z1022" s="234">
        <v>12</v>
      </c>
      <c r="AA1022" s="235">
        <v>0.5</v>
      </c>
      <c r="AB1022" s="236">
        <v>4</v>
      </c>
      <c r="AC1022" s="127">
        <f t="shared" si="30"/>
        <v>4</v>
      </c>
    </row>
    <row r="1023" ht="14.5" customHeight="1" spans="11:29" x14ac:dyDescent="0.25">
      <c r="K1023" s="128"/>
      <c r="X1023" s="234">
        <v>2022</v>
      </c>
      <c r="Y1023" s="234">
        <v>2</v>
      </c>
      <c r="Z1023" s="234">
        <v>12</v>
      </c>
      <c r="AA1023" s="235">
        <v>0.5416666666678793</v>
      </c>
      <c r="AB1023" s="236">
        <v>5.9</v>
      </c>
      <c r="AC1023" s="127">
        <f t="shared" si="30"/>
        <v>6</v>
      </c>
    </row>
    <row r="1024" ht="14.5" customHeight="1" spans="11:29" x14ac:dyDescent="0.25">
      <c r="K1024" s="128"/>
      <c r="X1024" s="234">
        <v>2022</v>
      </c>
      <c r="Y1024" s="234">
        <v>2</v>
      </c>
      <c r="Z1024" s="234">
        <v>12</v>
      </c>
      <c r="AA1024" s="235">
        <v>0.5833333333321207</v>
      </c>
      <c r="AB1024" s="236">
        <v>6.8</v>
      </c>
      <c r="AC1024" s="127">
        <f t="shared" si="30"/>
        <v>7</v>
      </c>
    </row>
    <row r="1025" ht="14.5" customHeight="1" spans="11:29" x14ac:dyDescent="0.25">
      <c r="K1025" s="128"/>
      <c r="X1025" s="234">
        <v>2022</v>
      </c>
      <c r="Y1025" s="234">
        <v>2</v>
      </c>
      <c r="Z1025" s="234">
        <v>12</v>
      </c>
      <c r="AA1025" s="235">
        <v>0.625</v>
      </c>
      <c r="AB1025" s="236">
        <v>7.2</v>
      </c>
      <c r="AC1025" s="127">
        <f t="shared" si="30"/>
        <v>7</v>
      </c>
    </row>
    <row r="1026" ht="14.5" customHeight="1" spans="11:29" x14ac:dyDescent="0.25">
      <c r="K1026" s="128"/>
      <c r="X1026" s="234">
        <v>2022</v>
      </c>
      <c r="Y1026" s="234">
        <v>2</v>
      </c>
      <c r="Z1026" s="234">
        <v>12</v>
      </c>
      <c r="AA1026" s="235">
        <v>0.6666666666678793</v>
      </c>
      <c r="AB1026" s="236">
        <v>6.7</v>
      </c>
      <c r="AC1026" s="127">
        <f t="shared" si="30"/>
        <v>7</v>
      </c>
    </row>
    <row r="1027" ht="14.5" customHeight="1" spans="11:29" x14ac:dyDescent="0.25">
      <c r="K1027" s="128"/>
      <c r="X1027" s="234">
        <v>2022</v>
      </c>
      <c r="Y1027" s="234">
        <v>2</v>
      </c>
      <c r="Z1027" s="234">
        <v>12</v>
      </c>
      <c r="AA1027" s="235">
        <v>0.7083333333321207</v>
      </c>
      <c r="AB1027" s="236">
        <v>5.3</v>
      </c>
      <c r="AC1027" s="127">
        <f t="shared" si="30"/>
        <v>5</v>
      </c>
    </row>
    <row r="1028" ht="14.5" customHeight="1" spans="11:29" x14ac:dyDescent="0.25">
      <c r="K1028" s="128"/>
      <c r="X1028" s="234">
        <v>2022</v>
      </c>
      <c r="Y1028" s="234">
        <v>2</v>
      </c>
      <c r="Z1028" s="234">
        <v>12</v>
      </c>
      <c r="AA1028" s="235">
        <v>0.75</v>
      </c>
      <c r="AB1028" s="236">
        <v>3.5</v>
      </c>
      <c r="AC1028" s="127">
        <f t="shared" si="30"/>
        <v>4</v>
      </c>
    </row>
    <row r="1029" ht="14.5" customHeight="1" spans="11:29" x14ac:dyDescent="0.25">
      <c r="K1029" s="128"/>
      <c r="X1029" s="234">
        <v>2022</v>
      </c>
      <c r="Y1029" s="234">
        <v>2</v>
      </c>
      <c r="Z1029" s="234">
        <v>12</v>
      </c>
      <c r="AA1029" s="235">
        <v>0.7916666666678793</v>
      </c>
      <c r="AB1029" s="236">
        <v>1.6</v>
      </c>
      <c r="AC1029" s="127">
        <f t="shared" si="30"/>
        <v>2</v>
      </c>
    </row>
    <row r="1030" ht="14.5" customHeight="1" spans="11:29" x14ac:dyDescent="0.25">
      <c r="K1030" s="128"/>
      <c r="X1030" s="234">
        <v>2022</v>
      </c>
      <c r="Y1030" s="234">
        <v>2</v>
      </c>
      <c r="Z1030" s="234">
        <v>12</v>
      </c>
      <c r="AA1030" s="235">
        <v>0.8333333333321207</v>
      </c>
      <c r="AB1030" s="236">
        <v>1.4</v>
      </c>
      <c r="AC1030" s="127">
        <f t="shared" si="30"/>
        <v>1</v>
      </c>
    </row>
    <row r="1031" ht="14.5" customHeight="1" spans="11:29" x14ac:dyDescent="0.25">
      <c r="K1031" s="128"/>
      <c r="X1031" s="234">
        <v>2022</v>
      </c>
      <c r="Y1031" s="234">
        <v>2</v>
      </c>
      <c r="Z1031" s="234">
        <v>12</v>
      </c>
      <c r="AA1031" s="235">
        <v>0.875</v>
      </c>
      <c r="AB1031" s="236">
        <v>2.4</v>
      </c>
      <c r="AC1031" s="127">
        <f t="shared" si="30"/>
        <v>2</v>
      </c>
    </row>
    <row r="1032" ht="14.5" customHeight="1" spans="11:29" x14ac:dyDescent="0.25">
      <c r="K1032" s="128"/>
      <c r="X1032" s="234">
        <v>2022</v>
      </c>
      <c r="Y1032" s="234">
        <v>2</v>
      </c>
      <c r="Z1032" s="234">
        <v>12</v>
      </c>
      <c r="AA1032" s="235">
        <v>0.9166666666678793</v>
      </c>
      <c r="AB1032" s="236">
        <v>6.7</v>
      </c>
      <c r="AC1032" s="127">
        <f t="shared" si="30"/>
        <v>7</v>
      </c>
    </row>
    <row r="1033" ht="14.5" customHeight="1" spans="11:29" x14ac:dyDescent="0.25">
      <c r="K1033" s="128"/>
      <c r="X1033" s="234">
        <v>2022</v>
      </c>
      <c r="Y1033" s="234">
        <v>2</v>
      </c>
      <c r="Z1033" s="234">
        <v>12</v>
      </c>
      <c r="AA1033" s="235">
        <v>0.9583333333321207</v>
      </c>
      <c r="AB1033" s="236">
        <v>6.8</v>
      </c>
      <c r="AC1033" s="127">
        <f t="shared" si="30"/>
        <v>7</v>
      </c>
    </row>
    <row r="1034" ht="14.5" customHeight="1" spans="11:29" x14ac:dyDescent="0.25">
      <c r="K1034" s="128"/>
      <c r="X1034" s="234">
        <v>2022</v>
      </c>
      <c r="Y1034" s="234">
        <v>2</v>
      </c>
      <c r="Z1034" s="234">
        <v>13</v>
      </c>
      <c r="AA1034" s="235">
        <v>0</v>
      </c>
      <c r="AB1034" s="236">
        <v>6.3</v>
      </c>
      <c r="AC1034" s="127">
        <f t="shared" si="30"/>
        <v>6</v>
      </c>
    </row>
    <row r="1035" ht="14.5" customHeight="1" spans="11:29" x14ac:dyDescent="0.25">
      <c r="K1035" s="128"/>
      <c r="X1035" s="234">
        <v>2022</v>
      </c>
      <c r="Y1035" s="234">
        <v>2</v>
      </c>
      <c r="Z1035" s="234">
        <v>13</v>
      </c>
      <c r="AA1035" s="235">
        <v>0.041666666667879326</v>
      </c>
      <c r="AB1035" s="236">
        <v>6.6</v>
      </c>
      <c r="AC1035" s="127">
        <f t="shared" ref="AC1035:AC1098" si="31">ROUND(AB1035,0)</f>
        <v>7</v>
      </c>
    </row>
    <row r="1036" ht="14.5" customHeight="1" spans="11:29" x14ac:dyDescent="0.25">
      <c r="K1036" s="128"/>
      <c r="X1036" s="234">
        <v>2022</v>
      </c>
      <c r="Y1036" s="234">
        <v>2</v>
      </c>
      <c r="Z1036" s="234">
        <v>13</v>
      </c>
      <c r="AA1036" s="235">
        <v>0.08333333333212067</v>
      </c>
      <c r="AB1036" s="236">
        <v>7.1</v>
      </c>
      <c r="AC1036" s="127">
        <f t="shared" si="31"/>
        <v>7</v>
      </c>
    </row>
    <row r="1037" ht="14.5" customHeight="1" spans="11:29" x14ac:dyDescent="0.25">
      <c r="K1037" s="128"/>
      <c r="X1037" s="234">
        <v>2022</v>
      </c>
      <c r="Y1037" s="234">
        <v>2</v>
      </c>
      <c r="Z1037" s="234">
        <v>13</v>
      </c>
      <c r="AA1037" s="235">
        <v>0.125</v>
      </c>
      <c r="AB1037" s="236">
        <v>8</v>
      </c>
      <c r="AC1037" s="127">
        <f t="shared" si="31"/>
        <v>8</v>
      </c>
    </row>
    <row r="1038" ht="14.5" customHeight="1" spans="11:29" x14ac:dyDescent="0.25">
      <c r="K1038" s="128"/>
      <c r="X1038" s="234">
        <v>2022</v>
      </c>
      <c r="Y1038" s="234">
        <v>2</v>
      </c>
      <c r="Z1038" s="234">
        <v>13</v>
      </c>
      <c r="AA1038" s="235">
        <v>0.16666666666787933</v>
      </c>
      <c r="AB1038" s="236">
        <v>8.3</v>
      </c>
      <c r="AC1038" s="127">
        <f t="shared" si="31"/>
        <v>8</v>
      </c>
    </row>
    <row r="1039" ht="14.5" customHeight="1" spans="11:29" x14ac:dyDescent="0.25">
      <c r="K1039" s="128"/>
      <c r="X1039" s="234">
        <v>2022</v>
      </c>
      <c r="Y1039" s="234">
        <v>2</v>
      </c>
      <c r="Z1039" s="234">
        <v>13</v>
      </c>
      <c r="AA1039" s="235">
        <v>0.20833333333212067</v>
      </c>
      <c r="AB1039" s="236">
        <v>3.2</v>
      </c>
      <c r="AC1039" s="127">
        <f t="shared" si="31"/>
        <v>3</v>
      </c>
    </row>
    <row r="1040" ht="14.5" customHeight="1" spans="11:29" x14ac:dyDescent="0.25">
      <c r="K1040" s="128"/>
      <c r="X1040" s="234">
        <v>2022</v>
      </c>
      <c r="Y1040" s="234">
        <v>2</v>
      </c>
      <c r="Z1040" s="234">
        <v>13</v>
      </c>
      <c r="AA1040" s="235">
        <v>0.25</v>
      </c>
      <c r="AB1040" s="236">
        <v>-0.4</v>
      </c>
      <c r="AC1040" s="127">
        <f t="shared" si="31"/>
        <v>0</v>
      </c>
    </row>
    <row r="1041" ht="14.5" customHeight="1" spans="11:29" x14ac:dyDescent="0.25">
      <c r="K1041" s="128"/>
      <c r="X1041" s="234">
        <v>2022</v>
      </c>
      <c r="Y1041" s="234">
        <v>2</v>
      </c>
      <c r="Z1041" s="234">
        <v>13</v>
      </c>
      <c r="AA1041" s="235">
        <v>0.2916666666678793</v>
      </c>
      <c r="AB1041" s="236">
        <v>-0.7</v>
      </c>
      <c r="AC1041" s="127">
        <f t="shared" si="31"/>
        <v>-1</v>
      </c>
    </row>
    <row r="1042" ht="14.5" customHeight="1" spans="11:29" x14ac:dyDescent="0.25">
      <c r="K1042" s="128"/>
      <c r="X1042" s="234">
        <v>2022</v>
      </c>
      <c r="Y1042" s="234">
        <v>2</v>
      </c>
      <c r="Z1042" s="234">
        <v>13</v>
      </c>
      <c r="AA1042" s="235">
        <v>0.3333333333321207</v>
      </c>
      <c r="AB1042" s="236">
        <v>0.7</v>
      </c>
      <c r="AC1042" s="127">
        <f t="shared" si="31"/>
        <v>1</v>
      </c>
    </row>
    <row r="1043" ht="14.5" customHeight="1" spans="11:29" x14ac:dyDescent="0.25">
      <c r="K1043" s="128"/>
      <c r="X1043" s="234">
        <v>2022</v>
      </c>
      <c r="Y1043" s="234">
        <v>2</v>
      </c>
      <c r="Z1043" s="234">
        <v>13</v>
      </c>
      <c r="AA1043" s="235">
        <v>0.375</v>
      </c>
      <c r="AB1043" s="236">
        <v>2.3</v>
      </c>
      <c r="AC1043" s="127">
        <f t="shared" si="31"/>
        <v>2</v>
      </c>
    </row>
    <row r="1044" ht="14.5" customHeight="1" spans="11:29" x14ac:dyDescent="0.25">
      <c r="K1044" s="128"/>
      <c r="X1044" s="234">
        <v>2022</v>
      </c>
      <c r="Y1044" s="234">
        <v>2</v>
      </c>
      <c r="Z1044" s="234">
        <v>13</v>
      </c>
      <c r="AA1044" s="235">
        <v>0.4166666666678793</v>
      </c>
      <c r="AB1044" s="236">
        <v>5</v>
      </c>
      <c r="AC1044" s="127">
        <f t="shared" si="31"/>
        <v>5</v>
      </c>
    </row>
    <row r="1045" ht="14.5" customHeight="1" spans="11:29" x14ac:dyDescent="0.25">
      <c r="K1045" s="128"/>
      <c r="X1045" s="234">
        <v>2022</v>
      </c>
      <c r="Y1045" s="234">
        <v>2</v>
      </c>
      <c r="Z1045" s="234">
        <v>13</v>
      </c>
      <c r="AA1045" s="235">
        <v>0.4583333333321207</v>
      </c>
      <c r="AB1045" s="236">
        <v>6.2</v>
      </c>
      <c r="AC1045" s="127">
        <f t="shared" si="31"/>
        <v>6</v>
      </c>
    </row>
    <row r="1046" ht="14.5" customHeight="1" spans="11:29" x14ac:dyDescent="0.25">
      <c r="K1046" s="128"/>
      <c r="X1046" s="234">
        <v>2022</v>
      </c>
      <c r="Y1046" s="234">
        <v>2</v>
      </c>
      <c r="Z1046" s="234">
        <v>13</v>
      </c>
      <c r="AA1046" s="235">
        <v>0.5</v>
      </c>
      <c r="AB1046" s="236">
        <v>6.1</v>
      </c>
      <c r="AC1046" s="127">
        <f t="shared" si="31"/>
        <v>6</v>
      </c>
    </row>
    <row r="1047" ht="14.5" customHeight="1" spans="11:29" x14ac:dyDescent="0.25">
      <c r="K1047" s="128"/>
      <c r="X1047" s="234">
        <v>2022</v>
      </c>
      <c r="Y1047" s="234">
        <v>2</v>
      </c>
      <c r="Z1047" s="234">
        <v>13</v>
      </c>
      <c r="AA1047" s="235">
        <v>0.5416666666678793</v>
      </c>
      <c r="AB1047" s="236">
        <v>6</v>
      </c>
      <c r="AC1047" s="127">
        <f t="shared" si="31"/>
        <v>6</v>
      </c>
    </row>
    <row r="1048" ht="14.5" customHeight="1" spans="11:29" x14ac:dyDescent="0.25">
      <c r="K1048" s="128"/>
      <c r="X1048" s="234">
        <v>2022</v>
      </c>
      <c r="Y1048" s="234">
        <v>2</v>
      </c>
      <c r="Z1048" s="234">
        <v>13</v>
      </c>
      <c r="AA1048" s="235">
        <v>0.5833333333321207</v>
      </c>
      <c r="AB1048" s="236">
        <v>5.6</v>
      </c>
      <c r="AC1048" s="127">
        <f t="shared" si="31"/>
        <v>6</v>
      </c>
    </row>
    <row r="1049" ht="14.5" customHeight="1" spans="11:29" x14ac:dyDescent="0.25">
      <c r="K1049" s="128"/>
      <c r="X1049" s="234">
        <v>2022</v>
      </c>
      <c r="Y1049" s="234">
        <v>2</v>
      </c>
      <c r="Z1049" s="234">
        <v>13</v>
      </c>
      <c r="AA1049" s="235">
        <v>0.625</v>
      </c>
      <c r="AB1049" s="236">
        <v>4.4</v>
      </c>
      <c r="AC1049" s="127">
        <f t="shared" si="31"/>
        <v>4</v>
      </c>
    </row>
    <row r="1050" ht="14.5" customHeight="1" spans="11:29" x14ac:dyDescent="0.25">
      <c r="K1050" s="128"/>
      <c r="X1050" s="234">
        <v>2022</v>
      </c>
      <c r="Y1050" s="234">
        <v>2</v>
      </c>
      <c r="Z1050" s="234">
        <v>13</v>
      </c>
      <c r="AA1050" s="235">
        <v>0.6666666666678793</v>
      </c>
      <c r="AB1050" s="236">
        <v>3.9</v>
      </c>
      <c r="AC1050" s="127">
        <f t="shared" si="31"/>
        <v>4</v>
      </c>
    </row>
    <row r="1051" ht="14.5" customHeight="1" spans="11:29" x14ac:dyDescent="0.25">
      <c r="K1051" s="128"/>
      <c r="X1051" s="234">
        <v>2022</v>
      </c>
      <c r="Y1051" s="234">
        <v>2</v>
      </c>
      <c r="Z1051" s="234">
        <v>13</v>
      </c>
      <c r="AA1051" s="235">
        <v>0.7083333333321207</v>
      </c>
      <c r="AB1051" s="236">
        <v>3.1</v>
      </c>
      <c r="AC1051" s="127">
        <f t="shared" si="31"/>
        <v>3</v>
      </c>
    </row>
    <row r="1052" ht="14.5" customHeight="1" spans="11:29" x14ac:dyDescent="0.25">
      <c r="K1052" s="128"/>
      <c r="X1052" s="234">
        <v>2022</v>
      </c>
      <c r="Y1052" s="234">
        <v>2</v>
      </c>
      <c r="Z1052" s="234">
        <v>13</v>
      </c>
      <c r="AA1052" s="235">
        <v>0.75</v>
      </c>
      <c r="AB1052" s="236">
        <v>1.2</v>
      </c>
      <c r="AC1052" s="127">
        <f t="shared" si="31"/>
        <v>1</v>
      </c>
    </row>
    <row r="1053" ht="14.5" customHeight="1" spans="11:29" x14ac:dyDescent="0.25">
      <c r="K1053" s="128"/>
      <c r="X1053" s="234">
        <v>2022</v>
      </c>
      <c r="Y1053" s="234">
        <v>2</v>
      </c>
      <c r="Z1053" s="234">
        <v>13</v>
      </c>
      <c r="AA1053" s="235">
        <v>0.7916666666678793</v>
      </c>
      <c r="AB1053" s="236">
        <v>1.6</v>
      </c>
      <c r="AC1053" s="127">
        <f t="shared" si="31"/>
        <v>2</v>
      </c>
    </row>
    <row r="1054" ht="14.5" customHeight="1" spans="11:29" x14ac:dyDescent="0.25">
      <c r="K1054" s="128"/>
      <c r="X1054" s="234">
        <v>2022</v>
      </c>
      <c r="Y1054" s="234">
        <v>2</v>
      </c>
      <c r="Z1054" s="234">
        <v>13</v>
      </c>
      <c r="AA1054" s="235">
        <v>0.8333333333321207</v>
      </c>
      <c r="AB1054" s="236">
        <v>0.9</v>
      </c>
      <c r="AC1054" s="127">
        <f t="shared" si="31"/>
        <v>1</v>
      </c>
    </row>
    <row r="1055" ht="14.5" customHeight="1" spans="11:29" x14ac:dyDescent="0.25">
      <c r="K1055" s="128"/>
      <c r="X1055" s="234">
        <v>2022</v>
      </c>
      <c r="Y1055" s="234">
        <v>2</v>
      </c>
      <c r="Z1055" s="234">
        <v>13</v>
      </c>
      <c r="AA1055" s="235">
        <v>0.875</v>
      </c>
      <c r="AB1055" s="236">
        <v>0.9</v>
      </c>
      <c r="AC1055" s="127">
        <f t="shared" si="31"/>
        <v>1</v>
      </c>
    </row>
    <row r="1056" ht="14.5" customHeight="1" spans="11:29" x14ac:dyDescent="0.25">
      <c r="K1056" s="128"/>
      <c r="X1056" s="234">
        <v>2022</v>
      </c>
      <c r="Y1056" s="234">
        <v>2</v>
      </c>
      <c r="Z1056" s="234">
        <v>13</v>
      </c>
      <c r="AA1056" s="235">
        <v>0.9166666666678793</v>
      </c>
      <c r="AB1056" s="236">
        <v>0.3</v>
      </c>
      <c r="AC1056" s="127">
        <f t="shared" si="31"/>
        <v>0</v>
      </c>
    </row>
    <row r="1057" ht="14.5" customHeight="1" spans="11:29" x14ac:dyDescent="0.25">
      <c r="K1057" s="128"/>
      <c r="X1057" s="234">
        <v>2022</v>
      </c>
      <c r="Y1057" s="234">
        <v>2</v>
      </c>
      <c r="Z1057" s="234">
        <v>13</v>
      </c>
      <c r="AA1057" s="235">
        <v>0.9583333333321207</v>
      </c>
      <c r="AB1057" s="236">
        <v>-0.4</v>
      </c>
      <c r="AC1057" s="127">
        <f t="shared" si="31"/>
        <v>0</v>
      </c>
    </row>
    <row r="1058" ht="14.5" customHeight="1" spans="11:29" x14ac:dyDescent="0.25">
      <c r="K1058" s="128"/>
      <c r="X1058" s="234">
        <v>2022</v>
      </c>
      <c r="Y1058" s="234">
        <v>2</v>
      </c>
      <c r="Z1058" s="234">
        <v>14</v>
      </c>
      <c r="AA1058" s="235">
        <v>0</v>
      </c>
      <c r="AB1058" s="236">
        <v>-1.7</v>
      </c>
      <c r="AC1058" s="127">
        <f t="shared" si="31"/>
        <v>-2</v>
      </c>
    </row>
    <row r="1059" ht="14.5" customHeight="1" spans="11:29" x14ac:dyDescent="0.25">
      <c r="K1059" s="128"/>
      <c r="X1059" s="234">
        <v>2022</v>
      </c>
      <c r="Y1059" s="234">
        <v>2</v>
      </c>
      <c r="Z1059" s="234">
        <v>14</v>
      </c>
      <c r="AA1059" s="235">
        <v>0.041666666667879326</v>
      </c>
      <c r="AB1059" s="236">
        <v>-1.2</v>
      </c>
      <c r="AC1059" s="127">
        <f t="shared" si="31"/>
        <v>-1</v>
      </c>
    </row>
    <row r="1060" ht="14.5" customHeight="1" spans="11:29" x14ac:dyDescent="0.25">
      <c r="K1060" s="128"/>
      <c r="X1060" s="234">
        <v>2022</v>
      </c>
      <c r="Y1060" s="234">
        <v>2</v>
      </c>
      <c r="Z1060" s="234">
        <v>14</v>
      </c>
      <c r="AA1060" s="235">
        <v>0.08333333333212067</v>
      </c>
      <c r="AB1060" s="236">
        <v>-1.7</v>
      </c>
      <c r="AC1060" s="127">
        <f t="shared" si="31"/>
        <v>-2</v>
      </c>
    </row>
    <row r="1061" ht="14.5" customHeight="1" spans="11:29" x14ac:dyDescent="0.25">
      <c r="K1061" s="128"/>
      <c r="X1061" s="234">
        <v>2022</v>
      </c>
      <c r="Y1061" s="234">
        <v>2</v>
      </c>
      <c r="Z1061" s="234">
        <v>14</v>
      </c>
      <c r="AA1061" s="235">
        <v>0.125</v>
      </c>
      <c r="AB1061" s="236">
        <v>-2.2</v>
      </c>
      <c r="AC1061" s="127">
        <f t="shared" si="31"/>
        <v>-2</v>
      </c>
    </row>
    <row r="1062" ht="14.5" customHeight="1" spans="11:29" x14ac:dyDescent="0.25">
      <c r="K1062" s="128"/>
      <c r="X1062" s="234">
        <v>2022</v>
      </c>
      <c r="Y1062" s="234">
        <v>2</v>
      </c>
      <c r="Z1062" s="234">
        <v>14</v>
      </c>
      <c r="AA1062" s="235">
        <v>0.16666666666787933</v>
      </c>
      <c r="AB1062" s="236">
        <v>-2.4</v>
      </c>
      <c r="AC1062" s="127">
        <f t="shared" si="31"/>
        <v>-2</v>
      </c>
    </row>
    <row r="1063" ht="14.5" customHeight="1" spans="11:29" x14ac:dyDescent="0.25">
      <c r="K1063" s="128"/>
      <c r="X1063" s="234">
        <v>2022</v>
      </c>
      <c r="Y1063" s="234">
        <v>2</v>
      </c>
      <c r="Z1063" s="234">
        <v>14</v>
      </c>
      <c r="AA1063" s="235">
        <v>0.20833333333212067</v>
      </c>
      <c r="AB1063" s="236">
        <v>-2.5</v>
      </c>
      <c r="AC1063" s="127">
        <f t="shared" si="31"/>
        <v>-3</v>
      </c>
    </row>
    <row r="1064" ht="14.5" customHeight="1" spans="11:29" x14ac:dyDescent="0.25">
      <c r="K1064" s="128"/>
      <c r="X1064" s="234">
        <v>2022</v>
      </c>
      <c r="Y1064" s="234">
        <v>2</v>
      </c>
      <c r="Z1064" s="234">
        <v>14</v>
      </c>
      <c r="AA1064" s="235">
        <v>0.25</v>
      </c>
      <c r="AB1064" s="236">
        <v>-3</v>
      </c>
      <c r="AC1064" s="127">
        <f t="shared" si="31"/>
        <v>-3</v>
      </c>
    </row>
    <row r="1065" ht="14.5" customHeight="1" spans="11:29" x14ac:dyDescent="0.25">
      <c r="K1065" s="128"/>
      <c r="X1065" s="234">
        <v>2022</v>
      </c>
      <c r="Y1065" s="234">
        <v>2</v>
      </c>
      <c r="Z1065" s="234">
        <v>14</v>
      </c>
      <c r="AA1065" s="235">
        <v>0.2916666666678793</v>
      </c>
      <c r="AB1065" s="236">
        <v>-3.6</v>
      </c>
      <c r="AC1065" s="127">
        <f t="shared" si="31"/>
        <v>-4</v>
      </c>
    </row>
    <row r="1066" ht="14.5" customHeight="1" spans="11:29" x14ac:dyDescent="0.25">
      <c r="K1066" s="128"/>
      <c r="X1066" s="234">
        <v>2022</v>
      </c>
      <c r="Y1066" s="234">
        <v>2</v>
      </c>
      <c r="Z1066" s="234">
        <v>14</v>
      </c>
      <c r="AA1066" s="235">
        <v>0.3333333333321207</v>
      </c>
      <c r="AB1066" s="236">
        <v>-3.9</v>
      </c>
      <c r="AC1066" s="127">
        <f t="shared" si="31"/>
        <v>-4</v>
      </c>
    </row>
    <row r="1067" ht="14.5" customHeight="1" spans="11:29" x14ac:dyDescent="0.25">
      <c r="K1067" s="128"/>
      <c r="X1067" s="234">
        <v>2022</v>
      </c>
      <c r="Y1067" s="234">
        <v>2</v>
      </c>
      <c r="Z1067" s="234">
        <v>14</v>
      </c>
      <c r="AA1067" s="235">
        <v>0.375</v>
      </c>
      <c r="AB1067" s="236">
        <v>-4.1</v>
      </c>
      <c r="AC1067" s="127">
        <f t="shared" si="31"/>
        <v>-4</v>
      </c>
    </row>
    <row r="1068" ht="14.5" customHeight="1" spans="11:29" x14ac:dyDescent="0.25">
      <c r="K1068" s="128"/>
      <c r="X1068" s="234">
        <v>2022</v>
      </c>
      <c r="Y1068" s="234">
        <v>2</v>
      </c>
      <c r="Z1068" s="234">
        <v>14</v>
      </c>
      <c r="AA1068" s="235">
        <v>0.4166666666678793</v>
      </c>
      <c r="AB1068" s="236">
        <v>-4.2</v>
      </c>
      <c r="AC1068" s="127">
        <f t="shared" si="31"/>
        <v>-4</v>
      </c>
    </row>
    <row r="1069" ht="14.5" customHeight="1" spans="11:29" x14ac:dyDescent="0.25">
      <c r="K1069" s="128"/>
      <c r="X1069" s="234">
        <v>2022</v>
      </c>
      <c r="Y1069" s="234">
        <v>2</v>
      </c>
      <c r="Z1069" s="234">
        <v>14</v>
      </c>
      <c r="AA1069" s="235">
        <v>0.4583333333321207</v>
      </c>
      <c r="AB1069" s="236">
        <v>-3.9</v>
      </c>
      <c r="AC1069" s="127">
        <f t="shared" si="31"/>
        <v>-4</v>
      </c>
    </row>
    <row r="1070" ht="14.5" customHeight="1" spans="11:29" x14ac:dyDescent="0.25">
      <c r="K1070" s="128"/>
      <c r="X1070" s="234">
        <v>2022</v>
      </c>
      <c r="Y1070" s="234">
        <v>2</v>
      </c>
      <c r="Z1070" s="234">
        <v>14</v>
      </c>
      <c r="AA1070" s="235">
        <v>0.5</v>
      </c>
      <c r="AB1070" s="236">
        <v>-3.4</v>
      </c>
      <c r="AC1070" s="127">
        <f t="shared" si="31"/>
        <v>-3</v>
      </c>
    </row>
    <row r="1071" ht="14.5" customHeight="1" spans="11:29" x14ac:dyDescent="0.25">
      <c r="K1071" s="128"/>
      <c r="X1071" s="234">
        <v>2022</v>
      </c>
      <c r="Y1071" s="234">
        <v>2</v>
      </c>
      <c r="Z1071" s="234">
        <v>14</v>
      </c>
      <c r="AA1071" s="235">
        <v>0.5416666666678793</v>
      </c>
      <c r="AB1071" s="236">
        <v>-2.8</v>
      </c>
      <c r="AC1071" s="127">
        <f t="shared" si="31"/>
        <v>-3</v>
      </c>
    </row>
    <row r="1072" ht="14.5" customHeight="1" spans="11:29" x14ac:dyDescent="0.25">
      <c r="K1072" s="128"/>
      <c r="X1072" s="234">
        <v>2022</v>
      </c>
      <c r="Y1072" s="234">
        <v>2</v>
      </c>
      <c r="Z1072" s="234">
        <v>14</v>
      </c>
      <c r="AA1072" s="235">
        <v>0.5833333333321207</v>
      </c>
      <c r="AB1072" s="236">
        <v>-2</v>
      </c>
      <c r="AC1072" s="127">
        <f t="shared" si="31"/>
        <v>-2</v>
      </c>
    </row>
    <row r="1073" ht="14.5" customHeight="1" spans="11:29" x14ac:dyDescent="0.25">
      <c r="K1073" s="128"/>
      <c r="X1073" s="234">
        <v>2022</v>
      </c>
      <c r="Y1073" s="234">
        <v>2</v>
      </c>
      <c r="Z1073" s="234">
        <v>14</v>
      </c>
      <c r="AA1073" s="235">
        <v>0.625</v>
      </c>
      <c r="AB1073" s="236">
        <v>-1</v>
      </c>
      <c r="AC1073" s="127">
        <f t="shared" si="31"/>
        <v>-1</v>
      </c>
    </row>
    <row r="1074" ht="14.5" customHeight="1" spans="11:29" x14ac:dyDescent="0.25">
      <c r="K1074" s="128"/>
      <c r="X1074" s="234">
        <v>2022</v>
      </c>
      <c r="Y1074" s="234">
        <v>2</v>
      </c>
      <c r="Z1074" s="234">
        <v>14</v>
      </c>
      <c r="AA1074" s="235">
        <v>0.6666666666678793</v>
      </c>
      <c r="AB1074" s="236">
        <v>-0.8</v>
      </c>
      <c r="AC1074" s="127">
        <f t="shared" si="31"/>
        <v>-1</v>
      </c>
    </row>
    <row r="1075" ht="14.5" customHeight="1" spans="11:29" x14ac:dyDescent="0.25">
      <c r="K1075" s="128"/>
      <c r="X1075" s="234">
        <v>2022</v>
      </c>
      <c r="Y1075" s="234">
        <v>2</v>
      </c>
      <c r="Z1075" s="234">
        <v>14</v>
      </c>
      <c r="AA1075" s="235">
        <v>0.7083333333321207</v>
      </c>
      <c r="AB1075" s="236">
        <v>-0.9</v>
      </c>
      <c r="AC1075" s="127">
        <f t="shared" si="31"/>
        <v>-1</v>
      </c>
    </row>
    <row r="1076" ht="14.5" customHeight="1" spans="11:29" x14ac:dyDescent="0.25">
      <c r="K1076" s="128"/>
      <c r="X1076" s="234">
        <v>2022</v>
      </c>
      <c r="Y1076" s="234">
        <v>2</v>
      </c>
      <c r="Z1076" s="234">
        <v>14</v>
      </c>
      <c r="AA1076" s="235">
        <v>0.75</v>
      </c>
      <c r="AB1076" s="236">
        <v>-1.1</v>
      </c>
      <c r="AC1076" s="127">
        <f t="shared" si="31"/>
        <v>-1</v>
      </c>
    </row>
    <row r="1077" ht="14.5" customHeight="1" spans="11:29" x14ac:dyDescent="0.25">
      <c r="K1077" s="128"/>
      <c r="X1077" s="234">
        <v>2022</v>
      </c>
      <c r="Y1077" s="234">
        <v>2</v>
      </c>
      <c r="Z1077" s="234">
        <v>14</v>
      </c>
      <c r="AA1077" s="235">
        <v>0.7916666666678793</v>
      </c>
      <c r="AB1077" s="236">
        <v>-2.1</v>
      </c>
      <c r="AC1077" s="127">
        <f t="shared" si="31"/>
        <v>-2</v>
      </c>
    </row>
    <row r="1078" ht="14.5" customHeight="1" spans="11:29" x14ac:dyDescent="0.25">
      <c r="K1078" s="128"/>
      <c r="X1078" s="234">
        <v>2022</v>
      </c>
      <c r="Y1078" s="234">
        <v>2</v>
      </c>
      <c r="Z1078" s="234">
        <v>14</v>
      </c>
      <c r="AA1078" s="235">
        <v>0.8333333333321207</v>
      </c>
      <c r="AB1078" s="236">
        <v>-2.3</v>
      </c>
      <c r="AC1078" s="127">
        <f t="shared" si="31"/>
        <v>-2</v>
      </c>
    </row>
    <row r="1079" ht="14.5" customHeight="1" spans="11:29" x14ac:dyDescent="0.25">
      <c r="K1079" s="128"/>
      <c r="X1079" s="234">
        <v>2022</v>
      </c>
      <c r="Y1079" s="234">
        <v>2</v>
      </c>
      <c r="Z1079" s="234">
        <v>14</v>
      </c>
      <c r="AA1079" s="235">
        <v>0.875</v>
      </c>
      <c r="AB1079" s="236">
        <v>-2.4</v>
      </c>
      <c r="AC1079" s="127">
        <f t="shared" si="31"/>
        <v>-2</v>
      </c>
    </row>
    <row r="1080" ht="14.5" customHeight="1" spans="11:29" x14ac:dyDescent="0.25">
      <c r="K1080" s="128"/>
      <c r="X1080" s="234">
        <v>2022</v>
      </c>
      <c r="Y1080" s="234">
        <v>2</v>
      </c>
      <c r="Z1080" s="234">
        <v>14</v>
      </c>
      <c r="AA1080" s="235">
        <v>0.9166666666678793</v>
      </c>
      <c r="AB1080" s="236">
        <v>-2.5</v>
      </c>
      <c r="AC1080" s="127">
        <f t="shared" si="31"/>
        <v>-3</v>
      </c>
    </row>
    <row r="1081" ht="14.5" customHeight="1" spans="11:29" x14ac:dyDescent="0.25">
      <c r="K1081" s="128"/>
      <c r="X1081" s="234">
        <v>2022</v>
      </c>
      <c r="Y1081" s="234">
        <v>2</v>
      </c>
      <c r="Z1081" s="234">
        <v>14</v>
      </c>
      <c r="AA1081" s="235">
        <v>0.9583333333321207</v>
      </c>
      <c r="AB1081" s="236">
        <v>-4</v>
      </c>
      <c r="AC1081" s="127">
        <f t="shared" si="31"/>
        <v>-4</v>
      </c>
    </row>
    <row r="1082" ht="14.5" customHeight="1" spans="11:29" x14ac:dyDescent="0.25">
      <c r="K1082" s="128"/>
      <c r="X1082" s="234">
        <v>2022</v>
      </c>
      <c r="Y1082" s="234">
        <v>2</v>
      </c>
      <c r="Z1082" s="234">
        <v>15</v>
      </c>
      <c r="AA1082" s="235">
        <v>0</v>
      </c>
      <c r="AB1082" s="236">
        <v>-3.3</v>
      </c>
      <c r="AC1082" s="127">
        <f t="shared" si="31"/>
        <v>-3</v>
      </c>
    </row>
    <row r="1083" ht="14.5" customHeight="1" spans="11:29" x14ac:dyDescent="0.25">
      <c r="K1083" s="128"/>
      <c r="X1083" s="234">
        <v>2022</v>
      </c>
      <c r="Y1083" s="234">
        <v>2</v>
      </c>
      <c r="Z1083" s="234">
        <v>15</v>
      </c>
      <c r="AA1083" s="235">
        <v>0.041666666667879326</v>
      </c>
      <c r="AB1083" s="236">
        <v>-4.1</v>
      </c>
      <c r="AC1083" s="127">
        <f t="shared" si="31"/>
        <v>-4</v>
      </c>
    </row>
    <row r="1084" ht="14.5" customHeight="1" spans="11:29" x14ac:dyDescent="0.25">
      <c r="K1084" s="128"/>
      <c r="X1084" s="234">
        <v>2022</v>
      </c>
      <c r="Y1084" s="234">
        <v>2</v>
      </c>
      <c r="Z1084" s="234">
        <v>15</v>
      </c>
      <c r="AA1084" s="235">
        <v>0.08333333333212067</v>
      </c>
      <c r="AB1084" s="236">
        <v>-4.6</v>
      </c>
      <c r="AC1084" s="127">
        <f t="shared" si="31"/>
        <v>-5</v>
      </c>
    </row>
    <row r="1085" ht="14.5" customHeight="1" spans="11:29" x14ac:dyDescent="0.25">
      <c r="K1085" s="128"/>
      <c r="X1085" s="234">
        <v>2022</v>
      </c>
      <c r="Y1085" s="234">
        <v>2</v>
      </c>
      <c r="Z1085" s="234">
        <v>15</v>
      </c>
      <c r="AA1085" s="235">
        <v>0.125</v>
      </c>
      <c r="AB1085" s="236">
        <v>-4.3</v>
      </c>
      <c r="AC1085" s="127">
        <f t="shared" si="31"/>
        <v>-4</v>
      </c>
    </row>
    <row r="1086" ht="14.5" customHeight="1" spans="11:29" x14ac:dyDescent="0.25">
      <c r="K1086" s="128"/>
      <c r="X1086" s="234">
        <v>2022</v>
      </c>
      <c r="Y1086" s="234">
        <v>2</v>
      </c>
      <c r="Z1086" s="234">
        <v>15</v>
      </c>
      <c r="AA1086" s="235">
        <v>0.16666666666787933</v>
      </c>
      <c r="AB1086" s="236">
        <v>-3</v>
      </c>
      <c r="AC1086" s="127">
        <f t="shared" si="31"/>
        <v>-3</v>
      </c>
    </row>
    <row r="1087" ht="14.5" customHeight="1" spans="11:29" x14ac:dyDescent="0.25">
      <c r="K1087" s="128"/>
      <c r="X1087" s="234">
        <v>2022</v>
      </c>
      <c r="Y1087" s="234">
        <v>2</v>
      </c>
      <c r="Z1087" s="234">
        <v>15</v>
      </c>
      <c r="AA1087" s="235">
        <v>0.20833333333212067</v>
      </c>
      <c r="AB1087" s="236">
        <v>-2.6</v>
      </c>
      <c r="AC1087" s="127">
        <f t="shared" si="31"/>
        <v>-3</v>
      </c>
    </row>
    <row r="1088" ht="14.5" customHeight="1" spans="11:29" x14ac:dyDescent="0.25">
      <c r="K1088" s="128"/>
      <c r="X1088" s="234">
        <v>2022</v>
      </c>
      <c r="Y1088" s="234">
        <v>2</v>
      </c>
      <c r="Z1088" s="234">
        <v>15</v>
      </c>
      <c r="AA1088" s="235">
        <v>0.25</v>
      </c>
      <c r="AB1088" s="236">
        <v>-2.6</v>
      </c>
      <c r="AC1088" s="127">
        <f t="shared" si="31"/>
        <v>-3</v>
      </c>
    </row>
    <row r="1089" ht="14.5" customHeight="1" spans="11:29" x14ac:dyDescent="0.25">
      <c r="K1089" s="128"/>
      <c r="X1089" s="234">
        <v>2022</v>
      </c>
      <c r="Y1089" s="234">
        <v>2</v>
      </c>
      <c r="Z1089" s="234">
        <v>15</v>
      </c>
      <c r="AA1089" s="235">
        <v>0.2916666666678793</v>
      </c>
      <c r="AB1089" s="236">
        <v>-3.7</v>
      </c>
      <c r="AC1089" s="127">
        <f t="shared" si="31"/>
        <v>-4</v>
      </c>
    </row>
    <row r="1090" ht="14.5" customHeight="1" spans="11:29" x14ac:dyDescent="0.25">
      <c r="K1090" s="128"/>
      <c r="X1090" s="234">
        <v>2022</v>
      </c>
      <c r="Y1090" s="234">
        <v>2</v>
      </c>
      <c r="Z1090" s="234">
        <v>15</v>
      </c>
      <c r="AA1090" s="235">
        <v>0.3333333333321207</v>
      </c>
      <c r="AB1090" s="236">
        <v>-2.7</v>
      </c>
      <c r="AC1090" s="127">
        <f t="shared" si="31"/>
        <v>-3</v>
      </c>
    </row>
    <row r="1091" ht="14.5" customHeight="1" spans="11:29" x14ac:dyDescent="0.25">
      <c r="K1091" s="128"/>
      <c r="X1091" s="234">
        <v>2022</v>
      </c>
      <c r="Y1091" s="234">
        <v>2</v>
      </c>
      <c r="Z1091" s="234">
        <v>15</v>
      </c>
      <c r="AA1091" s="235">
        <v>0.375</v>
      </c>
      <c r="AB1091" s="236">
        <v>-2.8</v>
      </c>
      <c r="AC1091" s="127">
        <f t="shared" si="31"/>
        <v>-3</v>
      </c>
    </row>
    <row r="1092" ht="14.5" customHeight="1" spans="11:29" x14ac:dyDescent="0.25">
      <c r="K1092" s="128"/>
      <c r="X1092" s="234">
        <v>2022</v>
      </c>
      <c r="Y1092" s="234">
        <v>2</v>
      </c>
      <c r="Z1092" s="234">
        <v>15</v>
      </c>
      <c r="AA1092" s="235">
        <v>0.4166666666678793</v>
      </c>
      <c r="AB1092" s="236">
        <v>-2.4</v>
      </c>
      <c r="AC1092" s="127">
        <f t="shared" si="31"/>
        <v>-2</v>
      </c>
    </row>
    <row r="1093" ht="14.5" customHeight="1" spans="11:29" x14ac:dyDescent="0.25">
      <c r="K1093" s="128"/>
      <c r="X1093" s="234">
        <v>2022</v>
      </c>
      <c r="Y1093" s="234">
        <v>2</v>
      </c>
      <c r="Z1093" s="234">
        <v>15</v>
      </c>
      <c r="AA1093" s="235">
        <v>0.4583333333321207</v>
      </c>
      <c r="AB1093" s="236">
        <v>-2.3</v>
      </c>
      <c r="AC1093" s="127">
        <f t="shared" si="31"/>
        <v>-2</v>
      </c>
    </row>
    <row r="1094" ht="14.5" customHeight="1" spans="11:29" x14ac:dyDescent="0.25">
      <c r="K1094" s="128"/>
      <c r="X1094" s="234">
        <v>2022</v>
      </c>
      <c r="Y1094" s="234">
        <v>2</v>
      </c>
      <c r="Z1094" s="234">
        <v>15</v>
      </c>
      <c r="AA1094" s="235">
        <v>0.5</v>
      </c>
      <c r="AB1094" s="236">
        <v>-2.2</v>
      </c>
      <c r="AC1094" s="127">
        <f t="shared" si="31"/>
        <v>-2</v>
      </c>
    </row>
    <row r="1095" ht="14.5" customHeight="1" spans="11:29" x14ac:dyDescent="0.25">
      <c r="K1095" s="128"/>
      <c r="X1095" s="234">
        <v>2022</v>
      </c>
      <c r="Y1095" s="234">
        <v>2</v>
      </c>
      <c r="Z1095" s="234">
        <v>15</v>
      </c>
      <c r="AA1095" s="235">
        <v>0.5416666666678793</v>
      </c>
      <c r="AB1095" s="236">
        <v>-1.8</v>
      </c>
      <c r="AC1095" s="127">
        <f t="shared" si="31"/>
        <v>-2</v>
      </c>
    </row>
    <row r="1096" ht="14.5" customHeight="1" spans="11:29" x14ac:dyDescent="0.25">
      <c r="K1096" s="128"/>
      <c r="X1096" s="234">
        <v>2022</v>
      </c>
      <c r="Y1096" s="234">
        <v>2</v>
      </c>
      <c r="Z1096" s="234">
        <v>15</v>
      </c>
      <c r="AA1096" s="235">
        <v>0.5833333333321207</v>
      </c>
      <c r="AB1096" s="236">
        <v>-1.8</v>
      </c>
      <c r="AC1096" s="127">
        <f t="shared" si="31"/>
        <v>-2</v>
      </c>
    </row>
    <row r="1097" ht="14.5" customHeight="1" spans="11:29" x14ac:dyDescent="0.25">
      <c r="K1097" s="128"/>
      <c r="X1097" s="234">
        <v>2022</v>
      </c>
      <c r="Y1097" s="234">
        <v>2</v>
      </c>
      <c r="Z1097" s="234">
        <v>15</v>
      </c>
      <c r="AA1097" s="235">
        <v>0.625</v>
      </c>
      <c r="AB1097" s="236">
        <v>-1.6</v>
      </c>
      <c r="AC1097" s="127">
        <f t="shared" si="31"/>
        <v>-2</v>
      </c>
    </row>
    <row r="1098" ht="14.5" customHeight="1" spans="11:29" x14ac:dyDescent="0.25">
      <c r="K1098" s="128"/>
      <c r="X1098" s="234">
        <v>2022</v>
      </c>
      <c r="Y1098" s="234">
        <v>2</v>
      </c>
      <c r="Z1098" s="234">
        <v>15</v>
      </c>
      <c r="AA1098" s="235">
        <v>0.6666666666678793</v>
      </c>
      <c r="AB1098" s="236">
        <v>-1.9</v>
      </c>
      <c r="AC1098" s="127">
        <f t="shared" si="31"/>
        <v>-2</v>
      </c>
    </row>
    <row r="1099" ht="14.5" customHeight="1" spans="11:29" x14ac:dyDescent="0.25">
      <c r="K1099" s="128"/>
      <c r="X1099" s="234">
        <v>2022</v>
      </c>
      <c r="Y1099" s="234">
        <v>2</v>
      </c>
      <c r="Z1099" s="234">
        <v>15</v>
      </c>
      <c r="AA1099" s="235">
        <v>0.7083333333321207</v>
      </c>
      <c r="AB1099" s="236">
        <v>-2.6</v>
      </c>
      <c r="AC1099" s="127">
        <f t="shared" ref="AC1099:AC1162" si="32">ROUND(AB1099,0)</f>
        <v>-3</v>
      </c>
    </row>
    <row r="1100" ht="14.5" customHeight="1" spans="11:29" x14ac:dyDescent="0.25">
      <c r="K1100" s="128"/>
      <c r="X1100" s="234">
        <v>2022</v>
      </c>
      <c r="Y1100" s="234">
        <v>2</v>
      </c>
      <c r="Z1100" s="234">
        <v>15</v>
      </c>
      <c r="AA1100" s="235">
        <v>0.75</v>
      </c>
      <c r="AB1100" s="236">
        <v>-3.3</v>
      </c>
      <c r="AC1100" s="127">
        <f t="shared" si="32"/>
        <v>-3</v>
      </c>
    </row>
    <row r="1101" ht="14.5" customHeight="1" spans="11:29" x14ac:dyDescent="0.25">
      <c r="K1101" s="128"/>
      <c r="X1101" s="234">
        <v>2022</v>
      </c>
      <c r="Y1101" s="234">
        <v>2</v>
      </c>
      <c r="Z1101" s="234">
        <v>15</v>
      </c>
      <c r="AA1101" s="235">
        <v>0.7916666666678793</v>
      </c>
      <c r="AB1101" s="236">
        <v>-4.2</v>
      </c>
      <c r="AC1101" s="127">
        <f t="shared" si="32"/>
        <v>-4</v>
      </c>
    </row>
    <row r="1102" ht="14.5" customHeight="1" spans="11:29" x14ac:dyDescent="0.25">
      <c r="K1102" s="128"/>
      <c r="X1102" s="234">
        <v>2022</v>
      </c>
      <c r="Y1102" s="234">
        <v>2</v>
      </c>
      <c r="Z1102" s="234">
        <v>15</v>
      </c>
      <c r="AA1102" s="235">
        <v>0.8333333333321207</v>
      </c>
      <c r="AB1102" s="236">
        <v>-5.1</v>
      </c>
      <c r="AC1102" s="127">
        <f t="shared" si="32"/>
        <v>-5</v>
      </c>
    </row>
    <row r="1103" ht="14.5" customHeight="1" spans="11:29" x14ac:dyDescent="0.25">
      <c r="K1103" s="128"/>
      <c r="X1103" s="234">
        <v>2022</v>
      </c>
      <c r="Y1103" s="234">
        <v>2</v>
      </c>
      <c r="Z1103" s="234">
        <v>15</v>
      </c>
      <c r="AA1103" s="235">
        <v>0.875</v>
      </c>
      <c r="AB1103" s="236">
        <v>-5.5</v>
      </c>
      <c r="AC1103" s="127">
        <f t="shared" si="32"/>
        <v>-6</v>
      </c>
    </row>
    <row r="1104" ht="14.5" customHeight="1" spans="11:29" x14ac:dyDescent="0.25">
      <c r="K1104" s="128"/>
      <c r="X1104" s="234">
        <v>2022</v>
      </c>
      <c r="Y1104" s="234">
        <v>2</v>
      </c>
      <c r="Z1104" s="234">
        <v>15</v>
      </c>
      <c r="AA1104" s="235">
        <v>0.9166666666678793</v>
      </c>
      <c r="AB1104" s="236">
        <v>-5.5</v>
      </c>
      <c r="AC1104" s="127">
        <f t="shared" si="32"/>
        <v>-6</v>
      </c>
    </row>
    <row r="1105" ht="14.5" customHeight="1" spans="11:29" x14ac:dyDescent="0.25">
      <c r="K1105" s="128"/>
      <c r="X1105" s="234">
        <v>2022</v>
      </c>
      <c r="Y1105" s="234">
        <v>2</v>
      </c>
      <c r="Z1105" s="234">
        <v>15</v>
      </c>
      <c r="AA1105" s="235">
        <v>0.9583333333321207</v>
      </c>
      <c r="AB1105" s="236">
        <v>-7.3</v>
      </c>
      <c r="AC1105" s="127">
        <f t="shared" si="32"/>
        <v>-7</v>
      </c>
    </row>
    <row r="1106" ht="14.5" customHeight="1" spans="11:29" x14ac:dyDescent="0.25">
      <c r="K1106" s="128"/>
      <c r="X1106" s="234">
        <v>2022</v>
      </c>
      <c r="Y1106" s="234">
        <v>2</v>
      </c>
      <c r="Z1106" s="234">
        <v>16</v>
      </c>
      <c r="AA1106" s="235">
        <v>0</v>
      </c>
      <c r="AB1106" s="236">
        <v>-8.5</v>
      </c>
      <c r="AC1106" s="127">
        <f t="shared" si="32"/>
        <v>-9</v>
      </c>
    </row>
    <row r="1107" ht="14.5" customHeight="1" spans="11:29" x14ac:dyDescent="0.25">
      <c r="K1107" s="128"/>
      <c r="X1107" s="234">
        <v>2022</v>
      </c>
      <c r="Y1107" s="234">
        <v>2</v>
      </c>
      <c r="Z1107" s="234">
        <v>16</v>
      </c>
      <c r="AA1107" s="235">
        <v>0.041666666667879326</v>
      </c>
      <c r="AB1107" s="236">
        <v>-9.5</v>
      </c>
      <c r="AC1107" s="127">
        <f t="shared" si="32"/>
        <v>-10</v>
      </c>
    </row>
    <row r="1108" ht="14.5" customHeight="1" spans="11:29" x14ac:dyDescent="0.25">
      <c r="K1108" s="128"/>
      <c r="X1108" s="234">
        <v>2022</v>
      </c>
      <c r="Y1108" s="234">
        <v>2</v>
      </c>
      <c r="Z1108" s="234">
        <v>16</v>
      </c>
      <c r="AA1108" s="235">
        <v>0.08333333333212067</v>
      </c>
      <c r="AB1108" s="236">
        <v>-9.6</v>
      </c>
      <c r="AC1108" s="127">
        <f t="shared" si="32"/>
        <v>-10</v>
      </c>
    </row>
    <row r="1109" ht="14.5" customHeight="1" spans="11:29" x14ac:dyDescent="0.25">
      <c r="K1109" s="128"/>
      <c r="X1109" s="234">
        <v>2022</v>
      </c>
      <c r="Y1109" s="234">
        <v>2</v>
      </c>
      <c r="Z1109" s="234">
        <v>16</v>
      </c>
      <c r="AA1109" s="235">
        <v>0.125</v>
      </c>
      <c r="AB1109" s="236">
        <v>-9.8</v>
      </c>
      <c r="AC1109" s="127">
        <f t="shared" si="32"/>
        <v>-10</v>
      </c>
    </row>
    <row r="1110" ht="14.5" customHeight="1" spans="11:29" x14ac:dyDescent="0.25">
      <c r="K1110" s="128"/>
      <c r="X1110" s="234">
        <v>2022</v>
      </c>
      <c r="Y1110" s="234">
        <v>2</v>
      </c>
      <c r="Z1110" s="234">
        <v>16</v>
      </c>
      <c r="AA1110" s="235">
        <v>0.16666666666787933</v>
      </c>
      <c r="AB1110" s="236">
        <v>-10.1</v>
      </c>
      <c r="AC1110" s="127">
        <f t="shared" si="32"/>
        <v>-10</v>
      </c>
    </row>
    <row r="1111" ht="14.5" customHeight="1" spans="11:29" x14ac:dyDescent="0.25">
      <c r="K1111" s="128"/>
      <c r="X1111" s="234">
        <v>2022</v>
      </c>
      <c r="Y1111" s="234">
        <v>2</v>
      </c>
      <c r="Z1111" s="234">
        <v>16</v>
      </c>
      <c r="AA1111" s="235">
        <v>0.20833333333212067</v>
      </c>
      <c r="AB1111" s="236">
        <v>-10.4</v>
      </c>
      <c r="AC1111" s="127">
        <f t="shared" si="32"/>
        <v>-10</v>
      </c>
    </row>
    <row r="1112" ht="14.5" customHeight="1" spans="11:29" x14ac:dyDescent="0.25">
      <c r="K1112" s="128"/>
      <c r="X1112" s="234">
        <v>2022</v>
      </c>
      <c r="Y1112" s="234">
        <v>2</v>
      </c>
      <c r="Z1112" s="234">
        <v>16</v>
      </c>
      <c r="AA1112" s="235">
        <v>0.25</v>
      </c>
      <c r="AB1112" s="236">
        <v>-13</v>
      </c>
      <c r="AC1112" s="127">
        <f t="shared" si="32"/>
        <v>-13</v>
      </c>
    </row>
    <row r="1113" ht="14.5" customHeight="1" spans="11:29" x14ac:dyDescent="0.25">
      <c r="K1113" s="128"/>
      <c r="X1113" s="234">
        <v>2022</v>
      </c>
      <c r="Y1113" s="234">
        <v>2</v>
      </c>
      <c r="Z1113" s="234">
        <v>16</v>
      </c>
      <c r="AA1113" s="235">
        <v>0.2916666666678793</v>
      </c>
      <c r="AB1113" s="236">
        <v>-13.4</v>
      </c>
      <c r="AC1113" s="127">
        <f t="shared" si="32"/>
        <v>-13</v>
      </c>
    </row>
    <row r="1114" ht="14.5" customHeight="1" spans="11:29" x14ac:dyDescent="0.25">
      <c r="K1114" s="128"/>
      <c r="X1114" s="234">
        <v>2022</v>
      </c>
      <c r="Y1114" s="234">
        <v>2</v>
      </c>
      <c r="Z1114" s="234">
        <v>16</v>
      </c>
      <c r="AA1114" s="235">
        <v>0.3333333333321207</v>
      </c>
      <c r="AB1114" s="236">
        <v>-14.4</v>
      </c>
      <c r="AC1114" s="127">
        <f t="shared" si="32"/>
        <v>-14</v>
      </c>
    </row>
    <row r="1115" ht="14.5" customHeight="1" spans="11:29" x14ac:dyDescent="0.25">
      <c r="K1115" s="128"/>
      <c r="X1115" s="234">
        <v>2022</v>
      </c>
      <c r="Y1115" s="234">
        <v>2</v>
      </c>
      <c r="Z1115" s="234">
        <v>16</v>
      </c>
      <c r="AA1115" s="235">
        <v>0.375</v>
      </c>
      <c r="AB1115" s="236">
        <v>-11.1</v>
      </c>
      <c r="AC1115" s="127">
        <f t="shared" si="32"/>
        <v>-11</v>
      </c>
    </row>
    <row r="1116" ht="14.5" customHeight="1" spans="11:29" x14ac:dyDescent="0.25">
      <c r="K1116" s="128"/>
      <c r="X1116" s="234">
        <v>2022</v>
      </c>
      <c r="Y1116" s="234">
        <v>2</v>
      </c>
      <c r="Z1116" s="234">
        <v>16</v>
      </c>
      <c r="AA1116" s="235">
        <v>0.4166666666678793</v>
      </c>
      <c r="AB1116" s="236">
        <v>-9.8</v>
      </c>
      <c r="AC1116" s="127">
        <f t="shared" si="32"/>
        <v>-10</v>
      </c>
    </row>
    <row r="1117" ht="14.5" customHeight="1" spans="11:29" x14ac:dyDescent="0.25">
      <c r="K1117" s="128"/>
      <c r="X1117" s="234">
        <v>2022</v>
      </c>
      <c r="Y1117" s="234">
        <v>2</v>
      </c>
      <c r="Z1117" s="234">
        <v>16</v>
      </c>
      <c r="AA1117" s="235">
        <v>0.4583333333321207</v>
      </c>
      <c r="AB1117" s="236">
        <v>-8.4</v>
      </c>
      <c r="AC1117" s="127">
        <f t="shared" si="32"/>
        <v>-8</v>
      </c>
    </row>
    <row r="1118" ht="14.5" customHeight="1" spans="11:29" x14ac:dyDescent="0.25">
      <c r="K1118" s="128"/>
      <c r="X1118" s="234">
        <v>2022</v>
      </c>
      <c r="Y1118" s="234">
        <v>2</v>
      </c>
      <c r="Z1118" s="234">
        <v>16</v>
      </c>
      <c r="AA1118" s="235">
        <v>0.5</v>
      </c>
      <c r="AB1118" s="236">
        <v>-6.9</v>
      </c>
      <c r="AC1118" s="127">
        <f t="shared" si="32"/>
        <v>-7</v>
      </c>
    </row>
    <row r="1119" ht="14.5" customHeight="1" spans="11:29" x14ac:dyDescent="0.25">
      <c r="K1119" s="128"/>
      <c r="X1119" s="234">
        <v>2022</v>
      </c>
      <c r="Y1119" s="234">
        <v>2</v>
      </c>
      <c r="Z1119" s="234">
        <v>16</v>
      </c>
      <c r="AA1119" s="235">
        <v>0.5416666666678793</v>
      </c>
      <c r="AB1119" s="236">
        <v>-5.2</v>
      </c>
      <c r="AC1119" s="127">
        <f t="shared" si="32"/>
        <v>-5</v>
      </c>
    </row>
    <row r="1120" ht="14.5" customHeight="1" spans="11:29" x14ac:dyDescent="0.25">
      <c r="K1120" s="128"/>
      <c r="X1120" s="234">
        <v>2022</v>
      </c>
      <c r="Y1120" s="234">
        <v>2</v>
      </c>
      <c r="Z1120" s="234">
        <v>16</v>
      </c>
      <c r="AA1120" s="235">
        <v>0.5833333333321207</v>
      </c>
      <c r="AB1120" s="236">
        <v>-3.5</v>
      </c>
      <c r="AC1120" s="127">
        <f t="shared" si="32"/>
        <v>-4</v>
      </c>
    </row>
    <row r="1121" ht="14.5" customHeight="1" spans="11:29" x14ac:dyDescent="0.25">
      <c r="K1121" s="128"/>
      <c r="X1121" s="234">
        <v>2022</v>
      </c>
      <c r="Y1121" s="234">
        <v>2</v>
      </c>
      <c r="Z1121" s="234">
        <v>16</v>
      </c>
      <c r="AA1121" s="235">
        <v>0.625</v>
      </c>
      <c r="AB1121" s="236">
        <v>-3.4</v>
      </c>
      <c r="AC1121" s="127">
        <f t="shared" si="32"/>
        <v>-3</v>
      </c>
    </row>
    <row r="1122" ht="14.5" customHeight="1" spans="11:29" x14ac:dyDescent="0.25">
      <c r="K1122" s="128"/>
      <c r="X1122" s="234">
        <v>2022</v>
      </c>
      <c r="Y1122" s="234">
        <v>2</v>
      </c>
      <c r="Z1122" s="234">
        <v>16</v>
      </c>
      <c r="AA1122" s="235">
        <v>0.6666666666678793</v>
      </c>
      <c r="AB1122" s="236">
        <v>-3.5</v>
      </c>
      <c r="AC1122" s="127">
        <f t="shared" si="32"/>
        <v>-4</v>
      </c>
    </row>
    <row r="1123" ht="14.5" customHeight="1" spans="11:29" x14ac:dyDescent="0.25">
      <c r="K1123" s="128"/>
      <c r="X1123" s="234">
        <v>2022</v>
      </c>
      <c r="Y1123" s="234">
        <v>2</v>
      </c>
      <c r="Z1123" s="234">
        <v>16</v>
      </c>
      <c r="AA1123" s="235">
        <v>0.7083333333321207</v>
      </c>
      <c r="AB1123" s="236">
        <v>-4.5</v>
      </c>
      <c r="AC1123" s="127">
        <f t="shared" si="32"/>
        <v>-5</v>
      </c>
    </row>
    <row r="1124" ht="14.5" customHeight="1" spans="11:29" x14ac:dyDescent="0.25">
      <c r="K1124" s="128"/>
      <c r="X1124" s="234">
        <v>2022</v>
      </c>
      <c r="Y1124" s="234">
        <v>2</v>
      </c>
      <c r="Z1124" s="234">
        <v>16</v>
      </c>
      <c r="AA1124" s="235">
        <v>0.75</v>
      </c>
      <c r="AB1124" s="236">
        <v>-5.5</v>
      </c>
      <c r="AC1124" s="127">
        <f t="shared" si="32"/>
        <v>-6</v>
      </c>
    </row>
    <row r="1125" ht="14.5" customHeight="1" spans="11:29" x14ac:dyDescent="0.25">
      <c r="K1125" s="128"/>
      <c r="X1125" s="234">
        <v>2022</v>
      </c>
      <c r="Y1125" s="234">
        <v>2</v>
      </c>
      <c r="Z1125" s="234">
        <v>16</v>
      </c>
      <c r="AA1125" s="235">
        <v>0.7916666666678793</v>
      </c>
      <c r="AB1125" s="236">
        <v>-6.2</v>
      </c>
      <c r="AC1125" s="127">
        <f t="shared" si="32"/>
        <v>-6</v>
      </c>
    </row>
    <row r="1126" ht="14.5" customHeight="1" spans="11:29" x14ac:dyDescent="0.25">
      <c r="K1126" s="128"/>
      <c r="X1126" s="234">
        <v>2022</v>
      </c>
      <c r="Y1126" s="234">
        <v>2</v>
      </c>
      <c r="Z1126" s="234">
        <v>16</v>
      </c>
      <c r="AA1126" s="235">
        <v>0.8333333333321207</v>
      </c>
      <c r="AB1126" s="236">
        <v>-7.6</v>
      </c>
      <c r="AC1126" s="127">
        <f t="shared" si="32"/>
        <v>-8</v>
      </c>
    </row>
    <row r="1127" ht="14.5" customHeight="1" spans="11:29" x14ac:dyDescent="0.25">
      <c r="K1127" s="128"/>
      <c r="X1127" s="234">
        <v>2022</v>
      </c>
      <c r="Y1127" s="234">
        <v>2</v>
      </c>
      <c r="Z1127" s="234">
        <v>16</v>
      </c>
      <c r="AA1127" s="235">
        <v>0.875</v>
      </c>
      <c r="AB1127" s="236">
        <v>-6.9</v>
      </c>
      <c r="AC1127" s="127">
        <f t="shared" si="32"/>
        <v>-7</v>
      </c>
    </row>
    <row r="1128" ht="14.5" customHeight="1" spans="11:29" x14ac:dyDescent="0.25">
      <c r="K1128" s="128"/>
      <c r="X1128" s="234">
        <v>2022</v>
      </c>
      <c r="Y1128" s="234">
        <v>2</v>
      </c>
      <c r="Z1128" s="234">
        <v>16</v>
      </c>
      <c r="AA1128" s="235">
        <v>0.9166666666678793</v>
      </c>
      <c r="AB1128" s="236">
        <v>-7.3</v>
      </c>
      <c r="AC1128" s="127">
        <f t="shared" si="32"/>
        <v>-7</v>
      </c>
    </row>
    <row r="1129" ht="14.5" customHeight="1" spans="11:29" x14ac:dyDescent="0.25">
      <c r="K1129" s="128"/>
      <c r="X1129" s="234">
        <v>2022</v>
      </c>
      <c r="Y1129" s="234">
        <v>2</v>
      </c>
      <c r="Z1129" s="234">
        <v>16</v>
      </c>
      <c r="AA1129" s="235">
        <v>0.9583333333321207</v>
      </c>
      <c r="AB1129" s="236">
        <v>-9</v>
      </c>
      <c r="AC1129" s="127">
        <f t="shared" si="32"/>
        <v>-9</v>
      </c>
    </row>
    <row r="1130" ht="14.5" customHeight="1" spans="11:29" x14ac:dyDescent="0.25">
      <c r="K1130" s="128"/>
      <c r="X1130" s="234">
        <v>2022</v>
      </c>
      <c r="Y1130" s="234">
        <v>2</v>
      </c>
      <c r="Z1130" s="234">
        <v>17</v>
      </c>
      <c r="AA1130" s="235">
        <v>0</v>
      </c>
      <c r="AB1130" s="236">
        <v>-7.6</v>
      </c>
      <c r="AC1130" s="127">
        <f t="shared" si="32"/>
        <v>-8</v>
      </c>
    </row>
    <row r="1131" ht="14.5" customHeight="1" spans="11:29" x14ac:dyDescent="0.25">
      <c r="K1131" s="128"/>
      <c r="X1131" s="234">
        <v>2022</v>
      </c>
      <c r="Y1131" s="234">
        <v>2</v>
      </c>
      <c r="Z1131" s="234">
        <v>17</v>
      </c>
      <c r="AA1131" s="235">
        <v>0.041666666667879326</v>
      </c>
      <c r="AB1131" s="236">
        <v>-9.3</v>
      </c>
      <c r="AC1131" s="127">
        <f t="shared" si="32"/>
        <v>-9</v>
      </c>
    </row>
    <row r="1132" ht="14.5" customHeight="1" spans="11:29" x14ac:dyDescent="0.25">
      <c r="K1132" s="128"/>
      <c r="X1132" s="234">
        <v>2022</v>
      </c>
      <c r="Y1132" s="234">
        <v>2</v>
      </c>
      <c r="Z1132" s="234">
        <v>17</v>
      </c>
      <c r="AA1132" s="235">
        <v>0.08333333333212067</v>
      </c>
      <c r="AB1132" s="236">
        <v>-8.6</v>
      </c>
      <c r="AC1132" s="127">
        <f t="shared" si="32"/>
        <v>-9</v>
      </c>
    </row>
    <row r="1133" ht="14.5" customHeight="1" spans="11:29" x14ac:dyDescent="0.25">
      <c r="K1133" s="128"/>
      <c r="X1133" s="234">
        <v>2022</v>
      </c>
      <c r="Y1133" s="234">
        <v>2</v>
      </c>
      <c r="Z1133" s="234">
        <v>17</v>
      </c>
      <c r="AA1133" s="235">
        <v>0.125</v>
      </c>
      <c r="AB1133" s="236">
        <v>-8.9</v>
      </c>
      <c r="AC1133" s="127">
        <f t="shared" si="32"/>
        <v>-9</v>
      </c>
    </row>
    <row r="1134" ht="14.5" customHeight="1" spans="11:29" x14ac:dyDescent="0.25">
      <c r="K1134" s="128"/>
      <c r="X1134" s="234">
        <v>2022</v>
      </c>
      <c r="Y1134" s="234">
        <v>2</v>
      </c>
      <c r="Z1134" s="234">
        <v>17</v>
      </c>
      <c r="AA1134" s="235">
        <v>0.16666666666787933</v>
      </c>
      <c r="AB1134" s="236">
        <v>-8</v>
      </c>
      <c r="AC1134" s="127">
        <f t="shared" si="32"/>
        <v>-8</v>
      </c>
    </row>
    <row r="1135" ht="14.5" customHeight="1" spans="11:29" x14ac:dyDescent="0.25">
      <c r="K1135" s="128"/>
      <c r="X1135" s="234">
        <v>2022</v>
      </c>
      <c r="Y1135" s="234">
        <v>2</v>
      </c>
      <c r="Z1135" s="234">
        <v>17</v>
      </c>
      <c r="AA1135" s="235">
        <v>0.20833333333212067</v>
      </c>
      <c r="AB1135" s="236">
        <v>-7.9</v>
      </c>
      <c r="AC1135" s="127">
        <f t="shared" si="32"/>
        <v>-8</v>
      </c>
    </row>
    <row r="1136" ht="14.5" customHeight="1" spans="11:29" x14ac:dyDescent="0.25">
      <c r="K1136" s="128"/>
      <c r="X1136" s="234">
        <v>2022</v>
      </c>
      <c r="Y1136" s="234">
        <v>2</v>
      </c>
      <c r="Z1136" s="234">
        <v>17</v>
      </c>
      <c r="AA1136" s="235">
        <v>0.25</v>
      </c>
      <c r="AB1136" s="236">
        <v>-7.5</v>
      </c>
      <c r="AC1136" s="127">
        <f t="shared" si="32"/>
        <v>-8</v>
      </c>
    </row>
    <row r="1137" ht="14.5" customHeight="1" spans="11:29" x14ac:dyDescent="0.25">
      <c r="K1137" s="128"/>
      <c r="X1137" s="234">
        <v>2022</v>
      </c>
      <c r="Y1137" s="234">
        <v>2</v>
      </c>
      <c r="Z1137" s="234">
        <v>17</v>
      </c>
      <c r="AA1137" s="235">
        <v>0.2916666666678793</v>
      </c>
      <c r="AB1137" s="236">
        <v>2.1</v>
      </c>
      <c r="AC1137" s="127">
        <f t="shared" si="32"/>
        <v>2</v>
      </c>
    </row>
    <row r="1138" ht="14.5" customHeight="1" spans="11:29" x14ac:dyDescent="0.25">
      <c r="K1138" s="128"/>
      <c r="X1138" s="234">
        <v>2022</v>
      </c>
      <c r="Y1138" s="234">
        <v>2</v>
      </c>
      <c r="Z1138" s="234">
        <v>17</v>
      </c>
      <c r="AA1138" s="235">
        <v>0.3333333333321207</v>
      </c>
      <c r="AB1138" s="236">
        <v>2.9</v>
      </c>
      <c r="AC1138" s="127">
        <f t="shared" si="32"/>
        <v>3</v>
      </c>
    </row>
    <row r="1139" ht="14.5" customHeight="1" spans="11:29" x14ac:dyDescent="0.25">
      <c r="K1139" s="128"/>
      <c r="X1139" s="234">
        <v>2022</v>
      </c>
      <c r="Y1139" s="234">
        <v>2</v>
      </c>
      <c r="Z1139" s="234">
        <v>17</v>
      </c>
      <c r="AA1139" s="235">
        <v>0.375</v>
      </c>
      <c r="AB1139" s="236">
        <v>3.6</v>
      </c>
      <c r="AC1139" s="127">
        <f t="shared" si="32"/>
        <v>4</v>
      </c>
    </row>
    <row r="1140" ht="14.5" customHeight="1" spans="11:29" x14ac:dyDescent="0.25">
      <c r="K1140" s="128"/>
      <c r="X1140" s="234">
        <v>2022</v>
      </c>
      <c r="Y1140" s="234">
        <v>2</v>
      </c>
      <c r="Z1140" s="234">
        <v>17</v>
      </c>
      <c r="AA1140" s="235">
        <v>0.4166666666678793</v>
      </c>
      <c r="AB1140" s="236">
        <v>4.3</v>
      </c>
      <c r="AC1140" s="127">
        <f t="shared" si="32"/>
        <v>4</v>
      </c>
    </row>
    <row r="1141" ht="14.5" customHeight="1" spans="11:29" x14ac:dyDescent="0.25">
      <c r="K1141" s="128"/>
      <c r="X1141" s="234">
        <v>2022</v>
      </c>
      <c r="Y1141" s="234">
        <v>2</v>
      </c>
      <c r="Z1141" s="234">
        <v>17</v>
      </c>
      <c r="AA1141" s="235">
        <v>0.4583333333321207</v>
      </c>
      <c r="AB1141" s="236">
        <v>4.2</v>
      </c>
      <c r="AC1141" s="127">
        <f t="shared" si="32"/>
        <v>4</v>
      </c>
    </row>
    <row r="1142" ht="14.5" customHeight="1" spans="11:29" x14ac:dyDescent="0.25">
      <c r="K1142" s="128"/>
      <c r="X1142" s="234">
        <v>2022</v>
      </c>
      <c r="Y1142" s="234">
        <v>2</v>
      </c>
      <c r="Z1142" s="234">
        <v>17</v>
      </c>
      <c r="AA1142" s="235">
        <v>0.5</v>
      </c>
      <c r="AB1142" s="236">
        <v>5.1</v>
      </c>
      <c r="AC1142" s="127">
        <f t="shared" si="32"/>
        <v>5</v>
      </c>
    </row>
    <row r="1143" ht="14.5" customHeight="1" spans="11:29" x14ac:dyDescent="0.25">
      <c r="K1143" s="128"/>
      <c r="X1143" s="234">
        <v>2022</v>
      </c>
      <c r="Y1143" s="234">
        <v>2</v>
      </c>
      <c r="Z1143" s="234">
        <v>17</v>
      </c>
      <c r="AA1143" s="235">
        <v>0.5416666666678793</v>
      </c>
      <c r="AB1143" s="236">
        <v>6.5</v>
      </c>
      <c r="AC1143" s="127">
        <f t="shared" si="32"/>
        <v>7</v>
      </c>
    </row>
    <row r="1144" ht="14.5" customHeight="1" spans="11:29" x14ac:dyDescent="0.25">
      <c r="K1144" s="128"/>
      <c r="X1144" s="234">
        <v>2022</v>
      </c>
      <c r="Y1144" s="234">
        <v>2</v>
      </c>
      <c r="Z1144" s="234">
        <v>17</v>
      </c>
      <c r="AA1144" s="235">
        <v>0.5833333333321207</v>
      </c>
      <c r="AB1144" s="236">
        <v>6.7</v>
      </c>
      <c r="AC1144" s="127">
        <f t="shared" si="32"/>
        <v>7</v>
      </c>
    </row>
    <row r="1145" ht="14.5" customHeight="1" spans="11:29" x14ac:dyDescent="0.25">
      <c r="K1145" s="128"/>
      <c r="X1145" s="234">
        <v>2022</v>
      </c>
      <c r="Y1145" s="234">
        <v>2</v>
      </c>
      <c r="Z1145" s="234">
        <v>17</v>
      </c>
      <c r="AA1145" s="235">
        <v>0.625</v>
      </c>
      <c r="AB1145" s="236">
        <v>6.3</v>
      </c>
      <c r="AC1145" s="127">
        <f t="shared" si="32"/>
        <v>6</v>
      </c>
    </row>
    <row r="1146" ht="14.5" customHeight="1" spans="11:29" x14ac:dyDescent="0.25">
      <c r="K1146" s="128"/>
      <c r="X1146" s="234">
        <v>2022</v>
      </c>
      <c r="Y1146" s="234">
        <v>2</v>
      </c>
      <c r="Z1146" s="234">
        <v>17</v>
      </c>
      <c r="AA1146" s="235">
        <v>0.6666666666678793</v>
      </c>
      <c r="AB1146" s="236">
        <v>6.2</v>
      </c>
      <c r="AC1146" s="127">
        <f t="shared" si="32"/>
        <v>6</v>
      </c>
    </row>
    <row r="1147" ht="14.5" customHeight="1" spans="11:29" x14ac:dyDescent="0.25">
      <c r="K1147" s="128"/>
      <c r="X1147" s="234">
        <v>2022</v>
      </c>
      <c r="Y1147" s="234">
        <v>2</v>
      </c>
      <c r="Z1147" s="234">
        <v>17</v>
      </c>
      <c r="AA1147" s="235">
        <v>0.7083333333321207</v>
      </c>
      <c r="AB1147" s="236">
        <v>5.7</v>
      </c>
      <c r="AC1147" s="127">
        <f t="shared" si="32"/>
        <v>6</v>
      </c>
    </row>
    <row r="1148" ht="14.5" customHeight="1" spans="11:29" x14ac:dyDescent="0.25">
      <c r="K1148" s="128"/>
      <c r="X1148" s="234">
        <v>2022</v>
      </c>
      <c r="Y1148" s="234">
        <v>2</v>
      </c>
      <c r="Z1148" s="234">
        <v>17</v>
      </c>
      <c r="AA1148" s="235">
        <v>0.75</v>
      </c>
      <c r="AB1148" s="236">
        <v>2.9</v>
      </c>
      <c r="AC1148" s="127">
        <f t="shared" si="32"/>
        <v>3</v>
      </c>
    </row>
    <row r="1149" ht="14.5" customHeight="1" spans="11:29" x14ac:dyDescent="0.25">
      <c r="K1149" s="128"/>
      <c r="X1149" s="234">
        <v>2022</v>
      </c>
      <c r="Y1149" s="234">
        <v>2</v>
      </c>
      <c r="Z1149" s="234">
        <v>17</v>
      </c>
      <c r="AA1149" s="235">
        <v>0.7916666666678793</v>
      </c>
      <c r="AB1149" s="236">
        <v>0.9</v>
      </c>
      <c r="AC1149" s="127">
        <f t="shared" si="32"/>
        <v>1</v>
      </c>
    </row>
    <row r="1150" ht="14.5" customHeight="1" spans="11:29" x14ac:dyDescent="0.25">
      <c r="K1150" s="128"/>
      <c r="X1150" s="234">
        <v>2022</v>
      </c>
      <c r="Y1150" s="234">
        <v>2</v>
      </c>
      <c r="Z1150" s="234">
        <v>17</v>
      </c>
      <c r="AA1150" s="235">
        <v>0.8333333333321207</v>
      </c>
      <c r="AB1150" s="236">
        <v>0.5</v>
      </c>
      <c r="AC1150" s="127">
        <f t="shared" si="32"/>
        <v>1</v>
      </c>
    </row>
    <row r="1151" ht="14.5" customHeight="1" spans="11:29" x14ac:dyDescent="0.25">
      <c r="K1151" s="128"/>
      <c r="X1151" s="234">
        <v>2022</v>
      </c>
      <c r="Y1151" s="234">
        <v>2</v>
      </c>
      <c r="Z1151" s="234">
        <v>17</v>
      </c>
      <c r="AA1151" s="235">
        <v>0.875</v>
      </c>
      <c r="AB1151" s="236">
        <v>-0.4</v>
      </c>
      <c r="AC1151" s="127">
        <f t="shared" si="32"/>
        <v>0</v>
      </c>
    </row>
    <row r="1152" ht="14.5" customHeight="1" spans="11:29" x14ac:dyDescent="0.25">
      <c r="K1152" s="128"/>
      <c r="X1152" s="234">
        <v>2022</v>
      </c>
      <c r="Y1152" s="234">
        <v>2</v>
      </c>
      <c r="Z1152" s="234">
        <v>17</v>
      </c>
      <c r="AA1152" s="235">
        <v>0.9166666666678793</v>
      </c>
      <c r="AB1152" s="236">
        <v>-1.5</v>
      </c>
      <c r="AC1152" s="127">
        <f t="shared" si="32"/>
        <v>-2</v>
      </c>
    </row>
    <row r="1153" ht="14.5" customHeight="1" spans="11:29" x14ac:dyDescent="0.25">
      <c r="K1153" s="128"/>
      <c r="X1153" s="234">
        <v>2022</v>
      </c>
      <c r="Y1153" s="234">
        <v>2</v>
      </c>
      <c r="Z1153" s="234">
        <v>17</v>
      </c>
      <c r="AA1153" s="235">
        <v>0.9583333333321207</v>
      </c>
      <c r="AB1153" s="236">
        <v>-1.1</v>
      </c>
      <c r="AC1153" s="127">
        <f t="shared" si="32"/>
        <v>-1</v>
      </c>
    </row>
    <row r="1154" ht="14.5" customHeight="1" spans="11:29" x14ac:dyDescent="0.25">
      <c r="K1154" s="128"/>
      <c r="X1154" s="234">
        <v>2022</v>
      </c>
      <c r="Y1154" s="234">
        <v>2</v>
      </c>
      <c r="Z1154" s="234">
        <v>18</v>
      </c>
      <c r="AA1154" s="235">
        <v>0</v>
      </c>
      <c r="AB1154" s="236">
        <v>-0.4</v>
      </c>
      <c r="AC1154" s="127">
        <f t="shared" si="32"/>
        <v>0</v>
      </c>
    </row>
    <row r="1155" ht="14.5" customHeight="1" spans="11:29" x14ac:dyDescent="0.25">
      <c r="K1155" s="128"/>
      <c r="X1155" s="234">
        <v>2022</v>
      </c>
      <c r="Y1155" s="234">
        <v>2</v>
      </c>
      <c r="Z1155" s="234">
        <v>18</v>
      </c>
      <c r="AA1155" s="235">
        <v>0.041666666667879326</v>
      </c>
      <c r="AB1155" s="236">
        <v>-0.8</v>
      </c>
      <c r="AC1155" s="127">
        <f t="shared" si="32"/>
        <v>-1</v>
      </c>
    </row>
    <row r="1156" ht="14.5" customHeight="1" spans="11:29" x14ac:dyDescent="0.25">
      <c r="K1156" s="128"/>
      <c r="X1156" s="234">
        <v>2022</v>
      </c>
      <c r="Y1156" s="234">
        <v>2</v>
      </c>
      <c r="Z1156" s="234">
        <v>18</v>
      </c>
      <c r="AA1156" s="235">
        <v>0.08333333333212067</v>
      </c>
      <c r="AB1156" s="236">
        <v>-2.2</v>
      </c>
      <c r="AC1156" s="127">
        <f t="shared" si="32"/>
        <v>-2</v>
      </c>
    </row>
    <row r="1157" ht="14.5" customHeight="1" spans="11:29" x14ac:dyDescent="0.25">
      <c r="K1157" s="128"/>
      <c r="X1157" s="234">
        <v>2022</v>
      </c>
      <c r="Y1157" s="234">
        <v>2</v>
      </c>
      <c r="Z1157" s="234">
        <v>18</v>
      </c>
      <c r="AA1157" s="235">
        <v>0.125</v>
      </c>
      <c r="AB1157" s="236">
        <v>-2.1</v>
      </c>
      <c r="AC1157" s="127">
        <f t="shared" si="32"/>
        <v>-2</v>
      </c>
    </row>
    <row r="1158" ht="14.5" customHeight="1" spans="11:29" x14ac:dyDescent="0.25">
      <c r="K1158" s="128"/>
      <c r="X1158" s="234">
        <v>2022</v>
      </c>
      <c r="Y1158" s="234">
        <v>2</v>
      </c>
      <c r="Z1158" s="234">
        <v>18</v>
      </c>
      <c r="AA1158" s="235">
        <v>0.16666666666787933</v>
      </c>
      <c r="AB1158" s="236">
        <v>-2.5</v>
      </c>
      <c r="AC1158" s="127">
        <f t="shared" si="32"/>
        <v>-3</v>
      </c>
    </row>
    <row r="1159" ht="14.5" customHeight="1" spans="11:29" x14ac:dyDescent="0.25">
      <c r="K1159" s="128"/>
      <c r="X1159" s="234">
        <v>2022</v>
      </c>
      <c r="Y1159" s="234">
        <v>2</v>
      </c>
      <c r="Z1159" s="234">
        <v>18</v>
      </c>
      <c r="AA1159" s="235">
        <v>0.20833333333212067</v>
      </c>
      <c r="AB1159" s="236">
        <v>-3.4</v>
      </c>
      <c r="AC1159" s="127">
        <f t="shared" si="32"/>
        <v>-3</v>
      </c>
    </row>
    <row r="1160" ht="14.5" customHeight="1" spans="11:29" x14ac:dyDescent="0.25">
      <c r="K1160" s="128"/>
      <c r="X1160" s="234">
        <v>2022</v>
      </c>
      <c r="Y1160" s="234">
        <v>2</v>
      </c>
      <c r="Z1160" s="234">
        <v>18</v>
      </c>
      <c r="AA1160" s="235">
        <v>0.25</v>
      </c>
      <c r="AB1160" s="236">
        <v>-7.8</v>
      </c>
      <c r="AC1160" s="127">
        <f t="shared" si="32"/>
        <v>-8</v>
      </c>
    </row>
    <row r="1161" ht="14.5" customHeight="1" spans="11:29" x14ac:dyDescent="0.25">
      <c r="K1161" s="128"/>
      <c r="X1161" s="234">
        <v>2022</v>
      </c>
      <c r="Y1161" s="234">
        <v>2</v>
      </c>
      <c r="Z1161" s="234">
        <v>18</v>
      </c>
      <c r="AA1161" s="235">
        <v>0.2916666666678793</v>
      </c>
      <c r="AB1161" s="236">
        <v>-9.4</v>
      </c>
      <c r="AC1161" s="127">
        <f t="shared" si="32"/>
        <v>-9</v>
      </c>
    </row>
    <row r="1162" ht="14.5" customHeight="1" spans="11:29" x14ac:dyDescent="0.25">
      <c r="K1162" s="128"/>
      <c r="X1162" s="234">
        <v>2022</v>
      </c>
      <c r="Y1162" s="234">
        <v>2</v>
      </c>
      <c r="Z1162" s="234">
        <v>18</v>
      </c>
      <c r="AA1162" s="235">
        <v>0.3333333333321207</v>
      </c>
      <c r="AB1162" s="236">
        <v>-10.6</v>
      </c>
      <c r="AC1162" s="127">
        <f t="shared" si="32"/>
        <v>-11</v>
      </c>
    </row>
    <row r="1163" ht="14.5" customHeight="1" spans="11:29" x14ac:dyDescent="0.25">
      <c r="K1163" s="128"/>
      <c r="X1163" s="234">
        <v>2022</v>
      </c>
      <c r="Y1163" s="234">
        <v>2</v>
      </c>
      <c r="Z1163" s="234">
        <v>18</v>
      </c>
      <c r="AA1163" s="235">
        <v>0.375</v>
      </c>
      <c r="AB1163" s="236">
        <v>-10.9</v>
      </c>
      <c r="AC1163" s="127">
        <f t="shared" ref="AC1163:AC1226" si="33">ROUND(AB1163,0)</f>
        <v>-11</v>
      </c>
    </row>
    <row r="1164" ht="14.5" customHeight="1" spans="11:29" x14ac:dyDescent="0.25">
      <c r="K1164" s="128"/>
      <c r="X1164" s="234">
        <v>2022</v>
      </c>
      <c r="Y1164" s="234">
        <v>2</v>
      </c>
      <c r="Z1164" s="234">
        <v>18</v>
      </c>
      <c r="AA1164" s="235">
        <v>0.4166666666678793</v>
      </c>
      <c r="AB1164" s="236">
        <v>-10.5</v>
      </c>
      <c r="AC1164" s="127">
        <f t="shared" si="33"/>
        <v>-11</v>
      </c>
    </row>
    <row r="1165" ht="14.5" customHeight="1" spans="11:29" x14ac:dyDescent="0.25">
      <c r="K1165" s="128"/>
      <c r="X1165" s="234">
        <v>2022</v>
      </c>
      <c r="Y1165" s="234">
        <v>2</v>
      </c>
      <c r="Z1165" s="234">
        <v>18</v>
      </c>
      <c r="AA1165" s="235">
        <v>0.4583333333321207</v>
      </c>
      <c r="AB1165" s="236">
        <v>-9.7</v>
      </c>
      <c r="AC1165" s="127">
        <f t="shared" si="33"/>
        <v>-10</v>
      </c>
    </row>
    <row r="1166" ht="14.5" customHeight="1" spans="11:29" x14ac:dyDescent="0.25">
      <c r="K1166" s="128"/>
      <c r="X1166" s="234">
        <v>2022</v>
      </c>
      <c r="Y1166" s="234">
        <v>2</v>
      </c>
      <c r="Z1166" s="234">
        <v>18</v>
      </c>
      <c r="AA1166" s="235">
        <v>0.5</v>
      </c>
      <c r="AB1166" s="236">
        <v>-8.8</v>
      </c>
      <c r="AC1166" s="127">
        <f t="shared" si="33"/>
        <v>-9</v>
      </c>
    </row>
    <row r="1167" ht="14.5" customHeight="1" spans="11:29" x14ac:dyDescent="0.25">
      <c r="K1167" s="128"/>
      <c r="X1167" s="234">
        <v>2022</v>
      </c>
      <c r="Y1167" s="234">
        <v>2</v>
      </c>
      <c r="Z1167" s="234">
        <v>18</v>
      </c>
      <c r="AA1167" s="235">
        <v>0.5416666666678793</v>
      </c>
      <c r="AB1167" s="236">
        <v>-8.4</v>
      </c>
      <c r="AC1167" s="127">
        <f t="shared" si="33"/>
        <v>-8</v>
      </c>
    </row>
    <row r="1168" ht="14.5" customHeight="1" spans="11:29" x14ac:dyDescent="0.25">
      <c r="K1168" s="128"/>
      <c r="X1168" s="234">
        <v>2022</v>
      </c>
      <c r="Y1168" s="234">
        <v>2</v>
      </c>
      <c r="Z1168" s="234">
        <v>18</v>
      </c>
      <c r="AA1168" s="235">
        <v>0.5833333333321207</v>
      </c>
      <c r="AB1168" s="236">
        <v>-7.2</v>
      </c>
      <c r="AC1168" s="127">
        <f t="shared" si="33"/>
        <v>-7</v>
      </c>
    </row>
    <row r="1169" ht="14.5" customHeight="1" spans="11:29" x14ac:dyDescent="0.25">
      <c r="K1169" s="128"/>
      <c r="X1169" s="234">
        <v>2022</v>
      </c>
      <c r="Y1169" s="234">
        <v>2</v>
      </c>
      <c r="Z1169" s="234">
        <v>18</v>
      </c>
      <c r="AA1169" s="235">
        <v>0.625</v>
      </c>
      <c r="AB1169" s="236">
        <v>-7.2</v>
      </c>
      <c r="AC1169" s="127">
        <f t="shared" si="33"/>
        <v>-7</v>
      </c>
    </row>
    <row r="1170" ht="14.5" customHeight="1" spans="11:29" x14ac:dyDescent="0.25">
      <c r="K1170" s="128"/>
      <c r="X1170" s="234">
        <v>2022</v>
      </c>
      <c r="Y1170" s="234">
        <v>2</v>
      </c>
      <c r="Z1170" s="234">
        <v>18</v>
      </c>
      <c r="AA1170" s="235">
        <v>0.6666666666678793</v>
      </c>
      <c r="AB1170" s="236">
        <v>-7.8</v>
      </c>
      <c r="AC1170" s="127">
        <f t="shared" si="33"/>
        <v>-8</v>
      </c>
    </row>
    <row r="1171" ht="14.5" customHeight="1" spans="11:29" x14ac:dyDescent="0.25">
      <c r="K1171" s="128"/>
      <c r="X1171" s="234">
        <v>2022</v>
      </c>
      <c r="Y1171" s="234">
        <v>2</v>
      </c>
      <c r="Z1171" s="234">
        <v>18</v>
      </c>
      <c r="AA1171" s="235">
        <v>0.7083333333321207</v>
      </c>
      <c r="AB1171" s="236">
        <v>-7.7</v>
      </c>
      <c r="AC1171" s="127">
        <f t="shared" si="33"/>
        <v>-8</v>
      </c>
    </row>
    <row r="1172" ht="14.5" customHeight="1" spans="11:29" x14ac:dyDescent="0.25">
      <c r="K1172" s="128"/>
      <c r="X1172" s="234">
        <v>2022</v>
      </c>
      <c r="Y1172" s="234">
        <v>2</v>
      </c>
      <c r="Z1172" s="234">
        <v>18</v>
      </c>
      <c r="AA1172" s="235">
        <v>0.75</v>
      </c>
      <c r="AB1172" s="236">
        <v>-7.2</v>
      </c>
      <c r="AC1172" s="127">
        <f t="shared" si="33"/>
        <v>-7</v>
      </c>
    </row>
    <row r="1173" ht="14.5" customHeight="1" spans="11:29" x14ac:dyDescent="0.25">
      <c r="K1173" s="128"/>
      <c r="X1173" s="234">
        <v>2022</v>
      </c>
      <c r="Y1173" s="234">
        <v>2</v>
      </c>
      <c r="Z1173" s="234">
        <v>18</v>
      </c>
      <c r="AA1173" s="235">
        <v>0.7916666666678793</v>
      </c>
      <c r="AB1173" s="236">
        <v>-6.8</v>
      </c>
      <c r="AC1173" s="127">
        <f t="shared" si="33"/>
        <v>-7</v>
      </c>
    </row>
    <row r="1174" ht="14.5" customHeight="1" spans="11:29" x14ac:dyDescent="0.25">
      <c r="K1174" s="128"/>
      <c r="X1174" s="234">
        <v>2022</v>
      </c>
      <c r="Y1174" s="234">
        <v>2</v>
      </c>
      <c r="Z1174" s="234">
        <v>18</v>
      </c>
      <c r="AA1174" s="235">
        <v>0.8333333333321207</v>
      </c>
      <c r="AB1174" s="236">
        <v>-6.7</v>
      </c>
      <c r="AC1174" s="127">
        <f t="shared" si="33"/>
        <v>-7</v>
      </c>
    </row>
    <row r="1175" ht="14.5" customHeight="1" spans="11:29" x14ac:dyDescent="0.25">
      <c r="K1175" s="128"/>
      <c r="X1175" s="234">
        <v>2022</v>
      </c>
      <c r="Y1175" s="234">
        <v>2</v>
      </c>
      <c r="Z1175" s="234">
        <v>18</v>
      </c>
      <c r="AA1175" s="235">
        <v>0.875</v>
      </c>
      <c r="AB1175" s="236">
        <v>-6.7</v>
      </c>
      <c r="AC1175" s="127">
        <f t="shared" si="33"/>
        <v>-7</v>
      </c>
    </row>
    <row r="1176" ht="14.5" customHeight="1" spans="11:29" x14ac:dyDescent="0.25">
      <c r="K1176" s="128"/>
      <c r="X1176" s="234">
        <v>2022</v>
      </c>
      <c r="Y1176" s="234">
        <v>2</v>
      </c>
      <c r="Z1176" s="234">
        <v>18</v>
      </c>
      <c r="AA1176" s="235">
        <v>0.9166666666678793</v>
      </c>
      <c r="AB1176" s="236">
        <v>-6.6</v>
      </c>
      <c r="AC1176" s="127">
        <f t="shared" si="33"/>
        <v>-7</v>
      </c>
    </row>
    <row r="1177" ht="14.5" customHeight="1" spans="11:29" x14ac:dyDescent="0.25">
      <c r="K1177" s="128"/>
      <c r="X1177" s="234">
        <v>2022</v>
      </c>
      <c r="Y1177" s="234">
        <v>2</v>
      </c>
      <c r="Z1177" s="234">
        <v>18</v>
      </c>
      <c r="AA1177" s="235">
        <v>0.9583333333321207</v>
      </c>
      <c r="AB1177" s="236">
        <v>-5.3</v>
      </c>
      <c r="AC1177" s="127">
        <f t="shared" si="33"/>
        <v>-5</v>
      </c>
    </row>
    <row r="1178" ht="14.5" customHeight="1" spans="11:29" x14ac:dyDescent="0.25">
      <c r="K1178" s="128"/>
      <c r="X1178" s="234">
        <v>2022</v>
      </c>
      <c r="Y1178" s="234">
        <v>2</v>
      </c>
      <c r="Z1178" s="234">
        <v>19</v>
      </c>
      <c r="AA1178" s="235">
        <v>0</v>
      </c>
      <c r="AB1178" s="236">
        <v>-1.7</v>
      </c>
      <c r="AC1178" s="127">
        <f t="shared" si="33"/>
        <v>-2</v>
      </c>
    </row>
    <row r="1179" ht="14.5" customHeight="1" spans="11:29" x14ac:dyDescent="0.25">
      <c r="K1179" s="128"/>
      <c r="X1179" s="234">
        <v>2022</v>
      </c>
      <c r="Y1179" s="234">
        <v>2</v>
      </c>
      <c r="Z1179" s="234">
        <v>19</v>
      </c>
      <c r="AA1179" s="235">
        <v>0.041666666667879326</v>
      </c>
      <c r="AB1179" s="236">
        <v>5.3</v>
      </c>
      <c r="AC1179" s="127">
        <f t="shared" si="33"/>
        <v>5</v>
      </c>
    </row>
    <row r="1180" ht="14.5" customHeight="1" spans="11:29" x14ac:dyDescent="0.25">
      <c r="K1180" s="128"/>
      <c r="X1180" s="234">
        <v>2022</v>
      </c>
      <c r="Y1180" s="234">
        <v>2</v>
      </c>
      <c r="Z1180" s="234">
        <v>19</v>
      </c>
      <c r="AA1180" s="235">
        <v>0.08333333333212067</v>
      </c>
      <c r="AB1180" s="236">
        <v>6.8</v>
      </c>
      <c r="AC1180" s="127">
        <f t="shared" si="33"/>
        <v>7</v>
      </c>
    </row>
    <row r="1181" ht="14.5" customHeight="1" spans="11:29" x14ac:dyDescent="0.25">
      <c r="K1181" s="128"/>
      <c r="X1181" s="234">
        <v>2022</v>
      </c>
      <c r="Y1181" s="234">
        <v>2</v>
      </c>
      <c r="Z1181" s="234">
        <v>19</v>
      </c>
      <c r="AA1181" s="235">
        <v>0.125</v>
      </c>
      <c r="AB1181" s="236">
        <v>7.8</v>
      </c>
      <c r="AC1181" s="127">
        <f t="shared" si="33"/>
        <v>8</v>
      </c>
    </row>
    <row r="1182" ht="14.5" customHeight="1" spans="11:29" x14ac:dyDescent="0.25">
      <c r="K1182" s="128"/>
      <c r="X1182" s="234">
        <v>2022</v>
      </c>
      <c r="Y1182" s="234">
        <v>2</v>
      </c>
      <c r="Z1182" s="234">
        <v>19</v>
      </c>
      <c r="AA1182" s="235">
        <v>0.16666666666787933</v>
      </c>
      <c r="AB1182" s="236">
        <v>6.8</v>
      </c>
      <c r="AC1182" s="127">
        <f t="shared" si="33"/>
        <v>7</v>
      </c>
    </row>
    <row r="1183" ht="14.5" customHeight="1" spans="11:29" x14ac:dyDescent="0.25">
      <c r="K1183" s="128"/>
      <c r="X1183" s="234">
        <v>2022</v>
      </c>
      <c r="Y1183" s="234">
        <v>2</v>
      </c>
      <c r="Z1183" s="234">
        <v>19</v>
      </c>
      <c r="AA1183" s="235">
        <v>0.20833333333212067</v>
      </c>
      <c r="AB1183" s="236">
        <v>7.6</v>
      </c>
      <c r="AC1183" s="127">
        <f t="shared" si="33"/>
        <v>8</v>
      </c>
    </row>
    <row r="1184" ht="14.5" customHeight="1" spans="11:29" x14ac:dyDescent="0.25">
      <c r="K1184" s="128"/>
      <c r="X1184" s="234">
        <v>2022</v>
      </c>
      <c r="Y1184" s="234">
        <v>2</v>
      </c>
      <c r="Z1184" s="234">
        <v>19</v>
      </c>
      <c r="AA1184" s="235">
        <v>0.25</v>
      </c>
      <c r="AB1184" s="236">
        <v>5.3</v>
      </c>
      <c r="AC1184" s="127">
        <f t="shared" si="33"/>
        <v>5</v>
      </c>
    </row>
    <row r="1185" ht="14.5" customHeight="1" spans="11:29" x14ac:dyDescent="0.25">
      <c r="K1185" s="128"/>
      <c r="X1185" s="234">
        <v>2022</v>
      </c>
      <c r="Y1185" s="234">
        <v>2</v>
      </c>
      <c r="Z1185" s="234">
        <v>19</v>
      </c>
      <c r="AA1185" s="235">
        <v>0.2916666666678793</v>
      </c>
      <c r="AB1185" s="236">
        <v>4.9</v>
      </c>
      <c r="AC1185" s="127">
        <f t="shared" si="33"/>
        <v>5</v>
      </c>
    </row>
    <row r="1186" ht="14.5" customHeight="1" spans="11:29" x14ac:dyDescent="0.25">
      <c r="K1186" s="128"/>
      <c r="X1186" s="234">
        <v>2022</v>
      </c>
      <c r="Y1186" s="234">
        <v>2</v>
      </c>
      <c r="Z1186" s="234">
        <v>19</v>
      </c>
      <c r="AA1186" s="235">
        <v>0.3333333333321207</v>
      </c>
      <c r="AB1186" s="236">
        <v>3.4</v>
      </c>
      <c r="AC1186" s="127">
        <f t="shared" si="33"/>
        <v>3</v>
      </c>
    </row>
    <row r="1187" ht="14.5" customHeight="1" spans="11:29" x14ac:dyDescent="0.25">
      <c r="K1187" s="128"/>
      <c r="X1187" s="234">
        <v>2022</v>
      </c>
      <c r="Y1187" s="234">
        <v>2</v>
      </c>
      <c r="Z1187" s="234">
        <v>19</v>
      </c>
      <c r="AA1187" s="235">
        <v>0.375</v>
      </c>
      <c r="AB1187" s="236">
        <v>4.4</v>
      </c>
      <c r="AC1187" s="127">
        <f t="shared" si="33"/>
        <v>4</v>
      </c>
    </row>
    <row r="1188" ht="14.5" customHeight="1" spans="11:29" x14ac:dyDescent="0.25">
      <c r="K1188" s="128"/>
      <c r="X1188" s="234">
        <v>2022</v>
      </c>
      <c r="Y1188" s="234">
        <v>2</v>
      </c>
      <c r="Z1188" s="234">
        <v>19</v>
      </c>
      <c r="AA1188" s="235">
        <v>0.4166666666678793</v>
      </c>
      <c r="AB1188" s="236">
        <v>6.1</v>
      </c>
      <c r="AC1188" s="127">
        <f t="shared" si="33"/>
        <v>6</v>
      </c>
    </row>
    <row r="1189" ht="14.5" customHeight="1" spans="11:29" x14ac:dyDescent="0.25">
      <c r="K1189" s="128"/>
      <c r="X1189" s="234">
        <v>2022</v>
      </c>
      <c r="Y1189" s="234">
        <v>2</v>
      </c>
      <c r="Z1189" s="234">
        <v>19</v>
      </c>
      <c r="AA1189" s="235">
        <v>0.4583333333321207</v>
      </c>
      <c r="AB1189" s="236">
        <v>8.3</v>
      </c>
      <c r="AC1189" s="127">
        <f t="shared" si="33"/>
        <v>8</v>
      </c>
    </row>
    <row r="1190" ht="14.5" customHeight="1" spans="11:29" x14ac:dyDescent="0.25">
      <c r="K1190" s="128"/>
      <c r="X1190" s="234">
        <v>2022</v>
      </c>
      <c r="Y1190" s="234">
        <v>2</v>
      </c>
      <c r="Z1190" s="234">
        <v>19</v>
      </c>
      <c r="AA1190" s="235">
        <v>0.5</v>
      </c>
      <c r="AB1190" s="236">
        <v>7.9</v>
      </c>
      <c r="AC1190" s="127">
        <f t="shared" si="33"/>
        <v>8</v>
      </c>
    </row>
    <row r="1191" ht="14.5" customHeight="1" spans="11:29" x14ac:dyDescent="0.25">
      <c r="K1191" s="128"/>
      <c r="X1191" s="234">
        <v>2022</v>
      </c>
      <c r="Y1191" s="234">
        <v>2</v>
      </c>
      <c r="Z1191" s="234">
        <v>19</v>
      </c>
      <c r="AA1191" s="235">
        <v>0.5416666666678793</v>
      </c>
      <c r="AB1191" s="236">
        <v>3.1</v>
      </c>
      <c r="AC1191" s="127">
        <f t="shared" si="33"/>
        <v>3</v>
      </c>
    </row>
    <row r="1192" ht="14.5" customHeight="1" spans="11:29" x14ac:dyDescent="0.25">
      <c r="K1192" s="128"/>
      <c r="X1192" s="234">
        <v>2022</v>
      </c>
      <c r="Y1192" s="234">
        <v>2</v>
      </c>
      <c r="Z1192" s="234">
        <v>19</v>
      </c>
      <c r="AA1192" s="235">
        <v>0.5833333333321207</v>
      </c>
      <c r="AB1192" s="236">
        <v>2.5</v>
      </c>
      <c r="AC1192" s="127">
        <f t="shared" si="33"/>
        <v>3</v>
      </c>
    </row>
    <row r="1193" ht="14.5" customHeight="1" spans="11:29" x14ac:dyDescent="0.25">
      <c r="K1193" s="128"/>
      <c r="X1193" s="234">
        <v>2022</v>
      </c>
      <c r="Y1193" s="234">
        <v>2</v>
      </c>
      <c r="Z1193" s="234">
        <v>19</v>
      </c>
      <c r="AA1193" s="235">
        <v>0.625</v>
      </c>
      <c r="AB1193" s="236">
        <v>2.3</v>
      </c>
      <c r="AC1193" s="127">
        <f t="shared" si="33"/>
        <v>2</v>
      </c>
    </row>
    <row r="1194" ht="14.5" customHeight="1" spans="11:29" x14ac:dyDescent="0.25">
      <c r="K1194" s="128"/>
      <c r="X1194" s="234">
        <v>2022</v>
      </c>
      <c r="Y1194" s="234">
        <v>2</v>
      </c>
      <c r="Z1194" s="234">
        <v>19</v>
      </c>
      <c r="AA1194" s="235">
        <v>0.6666666666678793</v>
      </c>
      <c r="AB1194" s="236">
        <v>1.3</v>
      </c>
      <c r="AC1194" s="127">
        <f t="shared" si="33"/>
        <v>1</v>
      </c>
    </row>
    <row r="1195" ht="14.5" customHeight="1" spans="11:29" x14ac:dyDescent="0.25">
      <c r="K1195" s="128"/>
      <c r="X1195" s="234">
        <v>2022</v>
      </c>
      <c r="Y1195" s="234">
        <v>2</v>
      </c>
      <c r="Z1195" s="234">
        <v>19</v>
      </c>
      <c r="AA1195" s="235">
        <v>0.7083333333321207</v>
      </c>
      <c r="AB1195" s="236">
        <v>1.7</v>
      </c>
      <c r="AC1195" s="127">
        <f t="shared" si="33"/>
        <v>2</v>
      </c>
    </row>
    <row r="1196" ht="14.5" customHeight="1" spans="11:29" x14ac:dyDescent="0.25">
      <c r="K1196" s="128"/>
      <c r="X1196" s="234">
        <v>2022</v>
      </c>
      <c r="Y1196" s="234">
        <v>2</v>
      </c>
      <c r="Z1196" s="234">
        <v>19</v>
      </c>
      <c r="AA1196" s="235">
        <v>0.75</v>
      </c>
      <c r="AB1196" s="236">
        <v>1.2</v>
      </c>
      <c r="AC1196" s="127">
        <f t="shared" si="33"/>
        <v>1</v>
      </c>
    </row>
    <row r="1197" ht="14.5" customHeight="1" spans="11:29" x14ac:dyDescent="0.25">
      <c r="K1197" s="128"/>
      <c r="X1197" s="234">
        <v>2022</v>
      </c>
      <c r="Y1197" s="234">
        <v>2</v>
      </c>
      <c r="Z1197" s="234">
        <v>19</v>
      </c>
      <c r="AA1197" s="235">
        <v>0.7916666666678793</v>
      </c>
      <c r="AB1197" s="236">
        <v>0.9</v>
      </c>
      <c r="AC1197" s="127">
        <f t="shared" si="33"/>
        <v>1</v>
      </c>
    </row>
    <row r="1198" ht="14.5" customHeight="1" spans="11:29" x14ac:dyDescent="0.25">
      <c r="K1198" s="128"/>
      <c r="X1198" s="234">
        <v>2022</v>
      </c>
      <c r="Y1198" s="234">
        <v>2</v>
      </c>
      <c r="Z1198" s="234">
        <v>19</v>
      </c>
      <c r="AA1198" s="235">
        <v>0.8333333333321207</v>
      </c>
      <c r="AB1198" s="236">
        <v>0.7</v>
      </c>
      <c r="AC1198" s="127">
        <f t="shared" si="33"/>
        <v>1</v>
      </c>
    </row>
    <row r="1199" ht="14.5" customHeight="1" spans="11:29" x14ac:dyDescent="0.25">
      <c r="K1199" s="128"/>
      <c r="X1199" s="234">
        <v>2022</v>
      </c>
      <c r="Y1199" s="234">
        <v>2</v>
      </c>
      <c r="Z1199" s="234">
        <v>19</v>
      </c>
      <c r="AA1199" s="235">
        <v>0.875</v>
      </c>
      <c r="AB1199" s="236">
        <v>0.7</v>
      </c>
      <c r="AC1199" s="127">
        <f t="shared" si="33"/>
        <v>1</v>
      </c>
    </row>
    <row r="1200" ht="14.5" customHeight="1" spans="11:29" x14ac:dyDescent="0.25">
      <c r="K1200" s="128"/>
      <c r="X1200" s="234">
        <v>2022</v>
      </c>
      <c r="Y1200" s="234">
        <v>2</v>
      </c>
      <c r="Z1200" s="234">
        <v>19</v>
      </c>
      <c r="AA1200" s="235">
        <v>0.9166666666678793</v>
      </c>
      <c r="AB1200" s="236">
        <v>-0.1</v>
      </c>
      <c r="AC1200" s="127">
        <f t="shared" si="33"/>
        <v>0</v>
      </c>
    </row>
    <row r="1201" ht="14.5" customHeight="1" spans="11:29" x14ac:dyDescent="0.25">
      <c r="K1201" s="128"/>
      <c r="X1201" s="234">
        <v>2022</v>
      </c>
      <c r="Y1201" s="234">
        <v>2</v>
      </c>
      <c r="Z1201" s="234">
        <v>19</v>
      </c>
      <c r="AA1201" s="235">
        <v>0.9583333333321207</v>
      </c>
      <c r="AB1201" s="236">
        <v>-5</v>
      </c>
      <c r="AC1201" s="127">
        <f t="shared" si="33"/>
        <v>-5</v>
      </c>
    </row>
    <row r="1202" ht="14.5" customHeight="1" spans="11:29" x14ac:dyDescent="0.25">
      <c r="K1202" s="128"/>
      <c r="X1202" s="234">
        <v>2022</v>
      </c>
      <c r="Y1202" s="234">
        <v>2</v>
      </c>
      <c r="Z1202" s="234">
        <v>20</v>
      </c>
      <c r="AA1202" s="235">
        <v>0</v>
      </c>
      <c r="AB1202" s="236">
        <v>-9.2</v>
      </c>
      <c r="AC1202" s="127">
        <f t="shared" si="33"/>
        <v>-9</v>
      </c>
    </row>
    <row r="1203" ht="14.5" customHeight="1" spans="11:29" x14ac:dyDescent="0.25">
      <c r="K1203" s="128"/>
      <c r="X1203" s="234">
        <v>2022</v>
      </c>
      <c r="Y1203" s="234">
        <v>2</v>
      </c>
      <c r="Z1203" s="234">
        <v>20</v>
      </c>
      <c r="AA1203" s="235">
        <v>0.041666666667879326</v>
      </c>
      <c r="AB1203" s="236">
        <v>-11.7</v>
      </c>
      <c r="AC1203" s="127">
        <f t="shared" si="33"/>
        <v>-12</v>
      </c>
    </row>
    <row r="1204" ht="14.5" customHeight="1" spans="11:29" x14ac:dyDescent="0.25">
      <c r="K1204" s="128"/>
      <c r="X1204" s="234">
        <v>2022</v>
      </c>
      <c r="Y1204" s="234">
        <v>2</v>
      </c>
      <c r="Z1204" s="234">
        <v>20</v>
      </c>
      <c r="AA1204" s="235">
        <v>0.08333333333212067</v>
      </c>
      <c r="AB1204" s="236">
        <v>-12.6</v>
      </c>
      <c r="AC1204" s="127">
        <f t="shared" si="33"/>
        <v>-13</v>
      </c>
    </row>
    <row r="1205" ht="14.5" customHeight="1" spans="11:29" x14ac:dyDescent="0.25">
      <c r="K1205" s="128"/>
      <c r="X1205" s="234">
        <v>2022</v>
      </c>
      <c r="Y1205" s="234">
        <v>2</v>
      </c>
      <c r="Z1205" s="234">
        <v>20</v>
      </c>
      <c r="AA1205" s="235">
        <v>0.125</v>
      </c>
      <c r="AB1205" s="236">
        <v>-13.5</v>
      </c>
      <c r="AC1205" s="127">
        <f t="shared" si="33"/>
        <v>-14</v>
      </c>
    </row>
    <row r="1206" ht="14.5" customHeight="1" spans="11:29" x14ac:dyDescent="0.25">
      <c r="K1206" s="128"/>
      <c r="X1206" s="234">
        <v>2022</v>
      </c>
      <c r="Y1206" s="234">
        <v>2</v>
      </c>
      <c r="Z1206" s="234">
        <v>20</v>
      </c>
      <c r="AA1206" s="235">
        <v>0.16666666666787933</v>
      </c>
      <c r="AB1206" s="236">
        <v>-14.4</v>
      </c>
      <c r="AC1206" s="127">
        <f t="shared" si="33"/>
        <v>-14</v>
      </c>
    </row>
    <row r="1207" ht="14.5" customHeight="1" spans="11:29" x14ac:dyDescent="0.25">
      <c r="K1207" s="128"/>
      <c r="X1207" s="234">
        <v>2022</v>
      </c>
      <c r="Y1207" s="234">
        <v>2</v>
      </c>
      <c r="Z1207" s="234">
        <v>20</v>
      </c>
      <c r="AA1207" s="235">
        <v>0.20833333333212067</v>
      </c>
      <c r="AB1207" s="236">
        <v>-14.8</v>
      </c>
      <c r="AC1207" s="127">
        <f t="shared" si="33"/>
        <v>-15</v>
      </c>
    </row>
    <row r="1208" ht="14.5" customHeight="1" spans="11:29" x14ac:dyDescent="0.25">
      <c r="K1208" s="128"/>
      <c r="X1208" s="234">
        <v>2022</v>
      </c>
      <c r="Y1208" s="234">
        <v>2</v>
      </c>
      <c r="Z1208" s="234">
        <v>20</v>
      </c>
      <c r="AA1208" s="235">
        <v>0.25</v>
      </c>
      <c r="AB1208" s="236">
        <v>-15.4</v>
      </c>
      <c r="AC1208" s="127">
        <f t="shared" si="33"/>
        <v>-15</v>
      </c>
    </row>
    <row r="1209" ht="14.5" customHeight="1" spans="11:29" x14ac:dyDescent="0.25">
      <c r="K1209" s="128"/>
      <c r="X1209" s="234">
        <v>2022</v>
      </c>
      <c r="Y1209" s="234">
        <v>2</v>
      </c>
      <c r="Z1209" s="234">
        <v>20</v>
      </c>
      <c r="AA1209" s="235">
        <v>0.2916666666678793</v>
      </c>
      <c r="AB1209" s="236">
        <v>-16.4</v>
      </c>
      <c r="AC1209" s="127">
        <f t="shared" si="33"/>
        <v>-16</v>
      </c>
    </row>
    <row r="1210" ht="14.5" customHeight="1" spans="11:29" x14ac:dyDescent="0.25">
      <c r="K1210" s="128"/>
      <c r="X1210" s="234">
        <v>2022</v>
      </c>
      <c r="Y1210" s="234">
        <v>2</v>
      </c>
      <c r="Z1210" s="234">
        <v>20</v>
      </c>
      <c r="AA1210" s="235">
        <v>0.3333333333321207</v>
      </c>
      <c r="AB1210" s="236">
        <v>-17.2</v>
      </c>
      <c r="AC1210" s="127">
        <f t="shared" si="33"/>
        <v>-17</v>
      </c>
    </row>
    <row r="1211" ht="14.5" customHeight="1" spans="11:29" x14ac:dyDescent="0.25">
      <c r="K1211" s="128"/>
      <c r="X1211" s="234">
        <v>2022</v>
      </c>
      <c r="Y1211" s="234">
        <v>2</v>
      </c>
      <c r="Z1211" s="234">
        <v>20</v>
      </c>
      <c r="AA1211" s="235">
        <v>0.375</v>
      </c>
      <c r="AB1211" s="236">
        <v>-17.1</v>
      </c>
      <c r="AC1211" s="127">
        <f t="shared" si="33"/>
        <v>-17</v>
      </c>
    </row>
    <row r="1212" ht="14.5" customHeight="1" spans="11:29" x14ac:dyDescent="0.25">
      <c r="K1212" s="128"/>
      <c r="X1212" s="234">
        <v>2022</v>
      </c>
      <c r="Y1212" s="234">
        <v>2</v>
      </c>
      <c r="Z1212" s="234">
        <v>20</v>
      </c>
      <c r="AA1212" s="235">
        <v>0.4166666666678793</v>
      </c>
      <c r="AB1212" s="236">
        <v>-17.2</v>
      </c>
      <c r="AC1212" s="127">
        <f t="shared" si="33"/>
        <v>-17</v>
      </c>
    </row>
    <row r="1213" ht="14.5" customHeight="1" spans="11:29" x14ac:dyDescent="0.25">
      <c r="K1213" s="128"/>
      <c r="X1213" s="234">
        <v>2022</v>
      </c>
      <c r="Y1213" s="234">
        <v>2</v>
      </c>
      <c r="Z1213" s="234">
        <v>20</v>
      </c>
      <c r="AA1213" s="235">
        <v>0.4583333333321207</v>
      </c>
      <c r="AB1213" s="236">
        <v>-16.9</v>
      </c>
      <c r="AC1213" s="127">
        <f t="shared" si="33"/>
        <v>-17</v>
      </c>
    </row>
    <row r="1214" ht="14.5" customHeight="1" spans="11:29" x14ac:dyDescent="0.25">
      <c r="K1214" s="128"/>
      <c r="X1214" s="234">
        <v>2022</v>
      </c>
      <c r="Y1214" s="234">
        <v>2</v>
      </c>
      <c r="Z1214" s="234">
        <v>20</v>
      </c>
      <c r="AA1214" s="235">
        <v>0.5</v>
      </c>
      <c r="AB1214" s="236">
        <v>-16.9</v>
      </c>
      <c r="AC1214" s="127">
        <f t="shared" si="33"/>
        <v>-17</v>
      </c>
    </row>
    <row r="1215" ht="14.5" customHeight="1" spans="11:29" x14ac:dyDescent="0.25">
      <c r="K1215" s="128"/>
      <c r="X1215" s="234">
        <v>2022</v>
      </c>
      <c r="Y1215" s="234">
        <v>2</v>
      </c>
      <c r="Z1215" s="234">
        <v>20</v>
      </c>
      <c r="AA1215" s="235">
        <v>0.5416666666678793</v>
      </c>
      <c r="AB1215" s="236">
        <v>-17.1</v>
      </c>
      <c r="AC1215" s="127">
        <f t="shared" si="33"/>
        <v>-17</v>
      </c>
    </row>
    <row r="1216" ht="14.5" customHeight="1" spans="11:29" x14ac:dyDescent="0.25">
      <c r="K1216" s="128"/>
      <c r="X1216" s="234">
        <v>2022</v>
      </c>
      <c r="Y1216" s="234">
        <v>2</v>
      </c>
      <c r="Z1216" s="234">
        <v>20</v>
      </c>
      <c r="AA1216" s="235">
        <v>0.5833333333321207</v>
      </c>
      <c r="AB1216" s="236">
        <v>-16.9</v>
      </c>
      <c r="AC1216" s="127">
        <f t="shared" si="33"/>
        <v>-17</v>
      </c>
    </row>
    <row r="1217" ht="14.5" customHeight="1" spans="11:29" x14ac:dyDescent="0.25">
      <c r="K1217" s="128"/>
      <c r="X1217" s="234">
        <v>2022</v>
      </c>
      <c r="Y1217" s="234">
        <v>2</v>
      </c>
      <c r="Z1217" s="234">
        <v>20</v>
      </c>
      <c r="AA1217" s="235">
        <v>0.625</v>
      </c>
      <c r="AB1217" s="236">
        <v>-16.9</v>
      </c>
      <c r="AC1217" s="127">
        <f t="shared" si="33"/>
        <v>-17</v>
      </c>
    </row>
    <row r="1218" ht="14.5" customHeight="1" spans="11:29" x14ac:dyDescent="0.25">
      <c r="K1218" s="128"/>
      <c r="X1218" s="234">
        <v>2022</v>
      </c>
      <c r="Y1218" s="234">
        <v>2</v>
      </c>
      <c r="Z1218" s="234">
        <v>20</v>
      </c>
      <c r="AA1218" s="235">
        <v>0.6666666666678793</v>
      </c>
      <c r="AB1218" s="236">
        <v>-17.2</v>
      </c>
      <c r="AC1218" s="127">
        <f t="shared" si="33"/>
        <v>-17</v>
      </c>
    </row>
    <row r="1219" ht="14.5" customHeight="1" spans="11:29" x14ac:dyDescent="0.25">
      <c r="K1219" s="128"/>
      <c r="X1219" s="234">
        <v>2022</v>
      </c>
      <c r="Y1219" s="234">
        <v>2</v>
      </c>
      <c r="Z1219" s="234">
        <v>20</v>
      </c>
      <c r="AA1219" s="235">
        <v>0.7083333333321207</v>
      </c>
      <c r="AB1219" s="236">
        <v>-17.6</v>
      </c>
      <c r="AC1219" s="127">
        <f t="shared" si="33"/>
        <v>-18</v>
      </c>
    </row>
    <row r="1220" ht="14.5" customHeight="1" spans="11:29" x14ac:dyDescent="0.25">
      <c r="K1220" s="128"/>
      <c r="X1220" s="234">
        <v>2022</v>
      </c>
      <c r="Y1220" s="234">
        <v>2</v>
      </c>
      <c r="Z1220" s="234">
        <v>20</v>
      </c>
      <c r="AA1220" s="235">
        <v>0.75</v>
      </c>
      <c r="AB1220" s="236">
        <v>-18.2</v>
      </c>
      <c r="AC1220" s="127">
        <f t="shared" si="33"/>
        <v>-18</v>
      </c>
    </row>
    <row r="1221" ht="14.5" customHeight="1" spans="11:29" x14ac:dyDescent="0.25">
      <c r="K1221" s="128"/>
      <c r="X1221" s="234">
        <v>2022</v>
      </c>
      <c r="Y1221" s="234">
        <v>2</v>
      </c>
      <c r="Z1221" s="234">
        <v>20</v>
      </c>
      <c r="AA1221" s="235">
        <v>0.7916666666678793</v>
      </c>
      <c r="AB1221" s="236">
        <v>-18.5</v>
      </c>
      <c r="AC1221" s="127">
        <f t="shared" si="33"/>
        <v>-19</v>
      </c>
    </row>
    <row r="1222" ht="14.5" customHeight="1" spans="11:29" x14ac:dyDescent="0.25">
      <c r="K1222" s="128"/>
      <c r="X1222" s="234">
        <v>2022</v>
      </c>
      <c r="Y1222" s="234">
        <v>2</v>
      </c>
      <c r="Z1222" s="234">
        <v>20</v>
      </c>
      <c r="AA1222" s="235">
        <v>0.8333333333321207</v>
      </c>
      <c r="AB1222" s="236">
        <v>-18.7</v>
      </c>
      <c r="AC1222" s="127">
        <f t="shared" si="33"/>
        <v>-19</v>
      </c>
    </row>
    <row r="1223" ht="14.5" customHeight="1" spans="11:29" x14ac:dyDescent="0.25">
      <c r="K1223" s="128"/>
      <c r="X1223" s="234">
        <v>2022</v>
      </c>
      <c r="Y1223" s="234">
        <v>2</v>
      </c>
      <c r="Z1223" s="234">
        <v>20</v>
      </c>
      <c r="AA1223" s="235">
        <v>0.875</v>
      </c>
      <c r="AB1223" s="236">
        <v>-19.4</v>
      </c>
      <c r="AC1223" s="127">
        <f t="shared" si="33"/>
        <v>-19</v>
      </c>
    </row>
    <row r="1224" ht="14.5" customHeight="1" spans="11:29" x14ac:dyDescent="0.25">
      <c r="K1224" s="128"/>
      <c r="X1224" s="234">
        <v>2022</v>
      </c>
      <c r="Y1224" s="234">
        <v>2</v>
      </c>
      <c r="Z1224" s="234">
        <v>20</v>
      </c>
      <c r="AA1224" s="235">
        <v>0.9166666666678793</v>
      </c>
      <c r="AB1224" s="236">
        <v>-20.1</v>
      </c>
      <c r="AC1224" s="127">
        <f t="shared" si="33"/>
        <v>-20</v>
      </c>
    </row>
    <row r="1225" ht="14.5" customHeight="1" spans="11:29" x14ac:dyDescent="0.25">
      <c r="K1225" s="128"/>
      <c r="X1225" s="234">
        <v>2022</v>
      </c>
      <c r="Y1225" s="234">
        <v>2</v>
      </c>
      <c r="Z1225" s="234">
        <v>20</v>
      </c>
      <c r="AA1225" s="235">
        <v>0.9583333333321207</v>
      </c>
      <c r="AB1225" s="236">
        <v>-21.3</v>
      </c>
      <c r="AC1225" s="127">
        <f t="shared" si="33"/>
        <v>-21</v>
      </c>
    </row>
    <row r="1226" ht="14.5" customHeight="1" spans="11:29" x14ac:dyDescent="0.25">
      <c r="K1226" s="128"/>
      <c r="X1226" s="234">
        <v>2022</v>
      </c>
      <c r="Y1226" s="234">
        <v>2</v>
      </c>
      <c r="Z1226" s="234">
        <v>21</v>
      </c>
      <c r="AA1226" s="235">
        <v>0</v>
      </c>
      <c r="AB1226" s="236">
        <v>-20.1</v>
      </c>
      <c r="AC1226" s="127">
        <f t="shared" si="33"/>
        <v>-20</v>
      </c>
    </row>
    <row r="1227" ht="14.5" customHeight="1" spans="11:29" x14ac:dyDescent="0.25">
      <c r="K1227" s="128"/>
      <c r="X1227" s="234">
        <v>2022</v>
      </c>
      <c r="Y1227" s="234">
        <v>2</v>
      </c>
      <c r="Z1227" s="234">
        <v>21</v>
      </c>
      <c r="AA1227" s="235">
        <v>0.041666666667879326</v>
      </c>
      <c r="AB1227" s="236">
        <v>-19.8</v>
      </c>
      <c r="AC1227" s="127">
        <f t="shared" ref="AC1227:AC1290" si="34">ROUND(AB1227,0)</f>
        <v>-20</v>
      </c>
    </row>
    <row r="1228" ht="14.5" customHeight="1" spans="11:29" x14ac:dyDescent="0.25">
      <c r="K1228" s="128"/>
      <c r="X1228" s="234">
        <v>2022</v>
      </c>
      <c r="Y1228" s="234">
        <v>2</v>
      </c>
      <c r="Z1228" s="234">
        <v>21</v>
      </c>
      <c r="AA1228" s="235">
        <v>0.08333333333212067</v>
      </c>
      <c r="AB1228" s="236">
        <v>-19.7</v>
      </c>
      <c r="AC1228" s="127">
        <f t="shared" si="34"/>
        <v>-20</v>
      </c>
    </row>
    <row r="1229" ht="14.5" customHeight="1" spans="11:29" x14ac:dyDescent="0.25">
      <c r="K1229" s="128"/>
      <c r="X1229" s="234">
        <v>2022</v>
      </c>
      <c r="Y1229" s="234">
        <v>2</v>
      </c>
      <c r="Z1229" s="234">
        <v>21</v>
      </c>
      <c r="AA1229" s="235">
        <v>0.125</v>
      </c>
      <c r="AB1229" s="236">
        <v>-19.8</v>
      </c>
      <c r="AC1229" s="127">
        <f t="shared" si="34"/>
        <v>-20</v>
      </c>
    </row>
    <row r="1230" ht="14.5" customHeight="1" spans="11:29" x14ac:dyDescent="0.25">
      <c r="K1230" s="128"/>
      <c r="X1230" s="234">
        <v>2022</v>
      </c>
      <c r="Y1230" s="234">
        <v>2</v>
      </c>
      <c r="Z1230" s="234">
        <v>21</v>
      </c>
      <c r="AA1230" s="235">
        <v>0.16666666666787933</v>
      </c>
      <c r="AB1230" s="236">
        <v>-19.9</v>
      </c>
      <c r="AC1230" s="127">
        <f t="shared" si="34"/>
        <v>-20</v>
      </c>
    </row>
    <row r="1231" ht="14.5" customHeight="1" spans="11:29" x14ac:dyDescent="0.25">
      <c r="K1231" s="128"/>
      <c r="X1231" s="234">
        <v>2022</v>
      </c>
      <c r="Y1231" s="234">
        <v>2</v>
      </c>
      <c r="Z1231" s="234">
        <v>21</v>
      </c>
      <c r="AA1231" s="235">
        <v>0.20833333333212067</v>
      </c>
      <c r="AB1231" s="236">
        <v>-20.4</v>
      </c>
      <c r="AC1231" s="127">
        <f t="shared" si="34"/>
        <v>-20</v>
      </c>
    </row>
    <row r="1232" ht="14.5" customHeight="1" spans="11:29" x14ac:dyDescent="0.25">
      <c r="K1232" s="128"/>
      <c r="X1232" s="234">
        <v>2022</v>
      </c>
      <c r="Y1232" s="234">
        <v>2</v>
      </c>
      <c r="Z1232" s="234">
        <v>21</v>
      </c>
      <c r="AA1232" s="235">
        <v>0.25</v>
      </c>
      <c r="AB1232" s="236">
        <v>-21.2</v>
      </c>
      <c r="AC1232" s="127">
        <f t="shared" si="34"/>
        <v>-21</v>
      </c>
    </row>
    <row r="1233" ht="14.5" customHeight="1" spans="11:29" x14ac:dyDescent="0.25">
      <c r="K1233" s="128"/>
      <c r="X1233" s="234">
        <v>2022</v>
      </c>
      <c r="Y1233" s="234">
        <v>2</v>
      </c>
      <c r="Z1233" s="234">
        <v>21</v>
      </c>
      <c r="AA1233" s="235">
        <v>0.2916666666678793</v>
      </c>
      <c r="AB1233" s="236">
        <v>-21.4</v>
      </c>
      <c r="AC1233" s="127">
        <f t="shared" si="34"/>
        <v>-21</v>
      </c>
    </row>
    <row r="1234" ht="14.5" customHeight="1" spans="11:29" x14ac:dyDescent="0.25">
      <c r="K1234" s="128"/>
      <c r="X1234" s="234">
        <v>2022</v>
      </c>
      <c r="Y1234" s="234">
        <v>2</v>
      </c>
      <c r="Z1234" s="234">
        <v>21</v>
      </c>
      <c r="AA1234" s="235">
        <v>0.3333333333321207</v>
      </c>
      <c r="AB1234" s="236">
        <v>-20.9</v>
      </c>
      <c r="AC1234" s="127">
        <f t="shared" si="34"/>
        <v>-21</v>
      </c>
    </row>
    <row r="1235" ht="14.5" customHeight="1" spans="11:29" x14ac:dyDescent="0.25">
      <c r="K1235" s="128"/>
      <c r="X1235" s="234">
        <v>2022</v>
      </c>
      <c r="Y1235" s="234">
        <v>2</v>
      </c>
      <c r="Z1235" s="234">
        <v>21</v>
      </c>
      <c r="AA1235" s="235">
        <v>0.375</v>
      </c>
      <c r="AB1235" s="236">
        <v>-21.2</v>
      </c>
      <c r="AC1235" s="127">
        <f t="shared" si="34"/>
        <v>-21</v>
      </c>
    </row>
    <row r="1236" ht="14.5" customHeight="1" spans="11:29" x14ac:dyDescent="0.25">
      <c r="K1236" s="128"/>
      <c r="X1236" s="234">
        <v>2022</v>
      </c>
      <c r="Y1236" s="234">
        <v>2</v>
      </c>
      <c r="Z1236" s="234">
        <v>21</v>
      </c>
      <c r="AA1236" s="235">
        <v>0.4166666666678793</v>
      </c>
      <c r="AB1236" s="236">
        <v>-21</v>
      </c>
      <c r="AC1236" s="127">
        <f t="shared" si="34"/>
        <v>-21</v>
      </c>
    </row>
    <row r="1237" ht="14.5" customHeight="1" spans="11:29" x14ac:dyDescent="0.25">
      <c r="K1237" s="128"/>
      <c r="X1237" s="234">
        <v>2022</v>
      </c>
      <c r="Y1237" s="234">
        <v>2</v>
      </c>
      <c r="Z1237" s="234">
        <v>21</v>
      </c>
      <c r="AA1237" s="235">
        <v>0.4583333333321207</v>
      </c>
      <c r="AB1237" s="236">
        <v>-21</v>
      </c>
      <c r="AC1237" s="127">
        <f t="shared" si="34"/>
        <v>-21</v>
      </c>
    </row>
    <row r="1238" ht="14.5" customHeight="1" spans="11:29" x14ac:dyDescent="0.25">
      <c r="K1238" s="128"/>
      <c r="X1238" s="234">
        <v>2022</v>
      </c>
      <c r="Y1238" s="234">
        <v>2</v>
      </c>
      <c r="Z1238" s="234">
        <v>21</v>
      </c>
      <c r="AA1238" s="235">
        <v>0.5</v>
      </c>
      <c r="AB1238" s="236">
        <v>-20.5</v>
      </c>
      <c r="AC1238" s="127">
        <f t="shared" si="34"/>
        <v>-21</v>
      </c>
    </row>
    <row r="1239" ht="14.5" customHeight="1" spans="11:29" x14ac:dyDescent="0.25">
      <c r="K1239" s="128"/>
      <c r="X1239" s="234">
        <v>2022</v>
      </c>
      <c r="Y1239" s="234">
        <v>2</v>
      </c>
      <c r="Z1239" s="234">
        <v>21</v>
      </c>
      <c r="AA1239" s="235">
        <v>0.5416666666678793</v>
      </c>
      <c r="AB1239" s="236">
        <v>-20.7</v>
      </c>
      <c r="AC1239" s="127">
        <f t="shared" si="34"/>
        <v>-21</v>
      </c>
    </row>
    <row r="1240" ht="14.5" customHeight="1" spans="11:29" x14ac:dyDescent="0.25">
      <c r="K1240" s="128"/>
      <c r="X1240" s="234">
        <v>2022</v>
      </c>
      <c r="Y1240" s="234">
        <v>2</v>
      </c>
      <c r="Z1240" s="234">
        <v>21</v>
      </c>
      <c r="AA1240" s="235">
        <v>0.5833333333321207</v>
      </c>
      <c r="AB1240" s="236">
        <v>-20.5</v>
      </c>
      <c r="AC1240" s="127">
        <f t="shared" si="34"/>
        <v>-21</v>
      </c>
    </row>
    <row r="1241" ht="14.5" customHeight="1" spans="11:29" x14ac:dyDescent="0.25">
      <c r="K1241" s="128"/>
      <c r="X1241" s="234">
        <v>2022</v>
      </c>
      <c r="Y1241" s="234">
        <v>2</v>
      </c>
      <c r="Z1241" s="234">
        <v>21</v>
      </c>
      <c r="AA1241" s="235">
        <v>0.625</v>
      </c>
      <c r="AB1241" s="236">
        <v>-20.5</v>
      </c>
      <c r="AC1241" s="127">
        <f t="shared" si="34"/>
        <v>-21</v>
      </c>
    </row>
    <row r="1242" ht="14.5" customHeight="1" spans="11:29" x14ac:dyDescent="0.25">
      <c r="K1242" s="128"/>
      <c r="X1242" s="234">
        <v>2022</v>
      </c>
      <c r="Y1242" s="234">
        <v>2</v>
      </c>
      <c r="Z1242" s="234">
        <v>21</v>
      </c>
      <c r="AA1242" s="235">
        <v>0.6666666666678793</v>
      </c>
      <c r="AB1242" s="236">
        <v>-20.9</v>
      </c>
      <c r="AC1242" s="127">
        <f t="shared" si="34"/>
        <v>-21</v>
      </c>
    </row>
    <row r="1243" ht="14.5" customHeight="1" spans="11:29" x14ac:dyDescent="0.25">
      <c r="K1243" s="128"/>
      <c r="X1243" s="234">
        <v>2022</v>
      </c>
      <c r="Y1243" s="234">
        <v>2</v>
      </c>
      <c r="Z1243" s="234">
        <v>21</v>
      </c>
      <c r="AA1243" s="235">
        <v>0.7083333333321207</v>
      </c>
      <c r="AB1243" s="236">
        <v>-21.1</v>
      </c>
      <c r="AC1243" s="127">
        <f t="shared" si="34"/>
        <v>-21</v>
      </c>
    </row>
    <row r="1244" ht="14.5" customHeight="1" spans="11:29" x14ac:dyDescent="0.25">
      <c r="K1244" s="128"/>
      <c r="X1244" s="234">
        <v>2022</v>
      </c>
      <c r="Y1244" s="234">
        <v>2</v>
      </c>
      <c r="Z1244" s="234">
        <v>21</v>
      </c>
      <c r="AA1244" s="235">
        <v>0.75</v>
      </c>
      <c r="AB1244" s="236">
        <v>-21.8</v>
      </c>
      <c r="AC1244" s="127">
        <f t="shared" si="34"/>
        <v>-22</v>
      </c>
    </row>
    <row r="1245" ht="14.5" customHeight="1" spans="11:29" x14ac:dyDescent="0.25">
      <c r="K1245" s="128"/>
      <c r="X1245" s="234">
        <v>2022</v>
      </c>
      <c r="Y1245" s="234">
        <v>2</v>
      </c>
      <c r="Z1245" s="234">
        <v>21</v>
      </c>
      <c r="AA1245" s="235">
        <v>0.7916666666678793</v>
      </c>
      <c r="AB1245" s="236">
        <v>-22.3</v>
      </c>
      <c r="AC1245" s="127">
        <f t="shared" si="34"/>
        <v>-22</v>
      </c>
    </row>
    <row r="1246" ht="14.5" customHeight="1" spans="11:29" x14ac:dyDescent="0.25">
      <c r="K1246" s="128"/>
      <c r="X1246" s="234">
        <v>2022</v>
      </c>
      <c r="Y1246" s="234">
        <v>2</v>
      </c>
      <c r="Z1246" s="234">
        <v>21</v>
      </c>
      <c r="AA1246" s="235">
        <v>0.8333333333321207</v>
      </c>
      <c r="AB1246" s="236">
        <v>-22.2</v>
      </c>
      <c r="AC1246" s="127">
        <f t="shared" si="34"/>
        <v>-22</v>
      </c>
    </row>
    <row r="1247" ht="14.5" customHeight="1" spans="11:29" x14ac:dyDescent="0.25">
      <c r="K1247" s="128"/>
      <c r="X1247" s="234">
        <v>2022</v>
      </c>
      <c r="Y1247" s="234">
        <v>2</v>
      </c>
      <c r="Z1247" s="234">
        <v>21</v>
      </c>
      <c r="AA1247" s="235">
        <v>0.875</v>
      </c>
      <c r="AB1247" s="236">
        <v>-22.8</v>
      </c>
      <c r="AC1247" s="127">
        <f t="shared" si="34"/>
        <v>-23</v>
      </c>
    </row>
    <row r="1248" ht="14.5" customHeight="1" spans="11:29" x14ac:dyDescent="0.25">
      <c r="K1248" s="128"/>
      <c r="X1248" s="234">
        <v>2022</v>
      </c>
      <c r="Y1248" s="234">
        <v>2</v>
      </c>
      <c r="Z1248" s="234">
        <v>21</v>
      </c>
      <c r="AA1248" s="235">
        <v>0.9166666666678793</v>
      </c>
      <c r="AB1248" s="236">
        <v>-23.6</v>
      </c>
      <c r="AC1248" s="127">
        <f t="shared" si="34"/>
        <v>-24</v>
      </c>
    </row>
    <row r="1249" ht="14.5" customHeight="1" spans="11:29" x14ac:dyDescent="0.25">
      <c r="K1249" s="128"/>
      <c r="X1249" s="234">
        <v>2022</v>
      </c>
      <c r="Y1249" s="234">
        <v>2</v>
      </c>
      <c r="Z1249" s="234">
        <v>21</v>
      </c>
      <c r="AA1249" s="235">
        <v>0.9583333333321207</v>
      </c>
      <c r="AB1249" s="236">
        <v>-24.7</v>
      </c>
      <c r="AC1249" s="127">
        <f t="shared" si="34"/>
        <v>-25</v>
      </c>
    </row>
    <row r="1250" ht="14.5" customHeight="1" spans="11:29" x14ac:dyDescent="0.25">
      <c r="K1250" s="128"/>
      <c r="X1250" s="234">
        <v>2022</v>
      </c>
      <c r="Y1250" s="234">
        <v>2</v>
      </c>
      <c r="Z1250" s="234">
        <v>22</v>
      </c>
      <c r="AA1250" s="235">
        <v>0</v>
      </c>
      <c r="AB1250" s="236">
        <v>-25.9</v>
      </c>
      <c r="AC1250" s="127">
        <f t="shared" si="34"/>
        <v>-26</v>
      </c>
    </row>
    <row r="1251" ht="14.5" customHeight="1" spans="11:29" x14ac:dyDescent="0.25">
      <c r="K1251" s="128"/>
      <c r="X1251" s="234">
        <v>2022</v>
      </c>
      <c r="Y1251" s="234">
        <v>2</v>
      </c>
      <c r="Z1251" s="234">
        <v>22</v>
      </c>
      <c r="AA1251" s="235">
        <v>0.041666666667879326</v>
      </c>
      <c r="AB1251" s="236">
        <v>-25</v>
      </c>
      <c r="AC1251" s="127">
        <f t="shared" si="34"/>
        <v>-25</v>
      </c>
    </row>
    <row r="1252" ht="14.5" customHeight="1" spans="11:29" x14ac:dyDescent="0.25">
      <c r="K1252" s="128"/>
      <c r="X1252" s="234">
        <v>2022</v>
      </c>
      <c r="Y1252" s="234">
        <v>2</v>
      </c>
      <c r="Z1252" s="234">
        <v>22</v>
      </c>
      <c r="AA1252" s="235">
        <v>0.08333333333212067</v>
      </c>
      <c r="AB1252" s="236">
        <v>-25.9</v>
      </c>
      <c r="AC1252" s="127">
        <f t="shared" si="34"/>
        <v>-26</v>
      </c>
    </row>
    <row r="1253" ht="14.5" customHeight="1" spans="11:29" x14ac:dyDescent="0.25">
      <c r="K1253" s="128"/>
      <c r="X1253" s="234">
        <v>2022</v>
      </c>
      <c r="Y1253" s="234">
        <v>2</v>
      </c>
      <c r="Z1253" s="234">
        <v>22</v>
      </c>
      <c r="AA1253" s="235">
        <v>0.125</v>
      </c>
      <c r="AB1253" s="236">
        <v>-26.4</v>
      </c>
      <c r="AC1253" s="127">
        <f t="shared" si="34"/>
        <v>-26</v>
      </c>
    </row>
    <row r="1254" ht="14.5" customHeight="1" spans="11:29" x14ac:dyDescent="0.25">
      <c r="K1254" s="128"/>
      <c r="X1254" s="234">
        <v>2022</v>
      </c>
      <c r="Y1254" s="234">
        <v>2</v>
      </c>
      <c r="Z1254" s="234">
        <v>22</v>
      </c>
      <c r="AA1254" s="235">
        <v>0.16666666666787933</v>
      </c>
      <c r="AB1254" s="236">
        <v>-25.7</v>
      </c>
      <c r="AC1254" s="127">
        <f t="shared" si="34"/>
        <v>-26</v>
      </c>
    </row>
    <row r="1255" ht="14.5" customHeight="1" spans="11:29" x14ac:dyDescent="0.25">
      <c r="K1255" s="128"/>
      <c r="X1255" s="234">
        <v>2022</v>
      </c>
      <c r="Y1255" s="234">
        <v>2</v>
      </c>
      <c r="Z1255" s="234">
        <v>22</v>
      </c>
      <c r="AA1255" s="235">
        <v>0.20833333333212067</v>
      </c>
      <c r="AB1255" s="236">
        <v>-25.4</v>
      </c>
      <c r="AC1255" s="127">
        <f t="shared" si="34"/>
        <v>-25</v>
      </c>
    </row>
    <row r="1256" ht="14.5" customHeight="1" spans="11:29" x14ac:dyDescent="0.25">
      <c r="K1256" s="128"/>
      <c r="X1256" s="234">
        <v>2022</v>
      </c>
      <c r="Y1256" s="234">
        <v>2</v>
      </c>
      <c r="Z1256" s="234">
        <v>22</v>
      </c>
      <c r="AA1256" s="235">
        <v>0.25</v>
      </c>
      <c r="AB1256" s="236">
        <v>-25.3</v>
      </c>
      <c r="AC1256" s="127">
        <f t="shared" si="34"/>
        <v>-25</v>
      </c>
    </row>
    <row r="1257" ht="14.5" customHeight="1" spans="11:29" x14ac:dyDescent="0.25">
      <c r="K1257" s="128"/>
      <c r="X1257" s="234">
        <v>2022</v>
      </c>
      <c r="Y1257" s="234">
        <v>2</v>
      </c>
      <c r="Z1257" s="234">
        <v>22</v>
      </c>
      <c r="AA1257" s="235">
        <v>0.2916666666678793</v>
      </c>
      <c r="AB1257" s="236">
        <v>-25.9</v>
      </c>
      <c r="AC1257" s="127">
        <f t="shared" si="34"/>
        <v>-26</v>
      </c>
    </row>
    <row r="1258" ht="14.5" customHeight="1" spans="11:29" x14ac:dyDescent="0.25">
      <c r="K1258" s="128"/>
      <c r="X1258" s="234">
        <v>2022</v>
      </c>
      <c r="Y1258" s="234">
        <v>2</v>
      </c>
      <c r="Z1258" s="234">
        <v>22</v>
      </c>
      <c r="AA1258" s="235">
        <v>0.3333333333321207</v>
      </c>
      <c r="AB1258" s="236">
        <v>-26.5</v>
      </c>
      <c r="AC1258" s="127">
        <f t="shared" si="34"/>
        <v>-27</v>
      </c>
    </row>
    <row r="1259" ht="14.5" customHeight="1" spans="11:29" x14ac:dyDescent="0.25">
      <c r="K1259" s="128"/>
      <c r="X1259" s="234">
        <v>2022</v>
      </c>
      <c r="Y1259" s="234">
        <v>2</v>
      </c>
      <c r="Z1259" s="234">
        <v>22</v>
      </c>
      <c r="AA1259" s="235">
        <v>0.375</v>
      </c>
      <c r="AB1259" s="236">
        <v>-25</v>
      </c>
      <c r="AC1259" s="127">
        <f t="shared" si="34"/>
        <v>-25</v>
      </c>
    </row>
    <row r="1260" ht="14.5" customHeight="1" spans="11:29" x14ac:dyDescent="0.25">
      <c r="K1260" s="128"/>
      <c r="X1260" s="234">
        <v>2022</v>
      </c>
      <c r="Y1260" s="234">
        <v>2</v>
      </c>
      <c r="Z1260" s="234">
        <v>22</v>
      </c>
      <c r="AA1260" s="235">
        <v>0.4166666666678793</v>
      </c>
      <c r="AB1260" s="236">
        <v>-23</v>
      </c>
      <c r="AC1260" s="127">
        <f t="shared" si="34"/>
        <v>-23</v>
      </c>
    </row>
    <row r="1261" ht="14.5" customHeight="1" spans="11:29" x14ac:dyDescent="0.25">
      <c r="K1261" s="128"/>
      <c r="X1261" s="234">
        <v>2022</v>
      </c>
      <c r="Y1261" s="234">
        <v>2</v>
      </c>
      <c r="Z1261" s="234">
        <v>22</v>
      </c>
      <c r="AA1261" s="235">
        <v>0.4583333333321207</v>
      </c>
      <c r="AB1261" s="236">
        <v>-20.8</v>
      </c>
      <c r="AC1261" s="127">
        <f t="shared" si="34"/>
        <v>-21</v>
      </c>
    </row>
    <row r="1262" ht="14.5" customHeight="1" spans="11:29" x14ac:dyDescent="0.25">
      <c r="K1262" s="128"/>
      <c r="X1262" s="234">
        <v>2022</v>
      </c>
      <c r="Y1262" s="234">
        <v>2</v>
      </c>
      <c r="Z1262" s="234">
        <v>22</v>
      </c>
      <c r="AA1262" s="235">
        <v>0.5</v>
      </c>
      <c r="AB1262" s="236">
        <v>-20.3</v>
      </c>
      <c r="AC1262" s="127">
        <f t="shared" si="34"/>
        <v>-20</v>
      </c>
    </row>
    <row r="1263" ht="14.5" customHeight="1" spans="11:29" x14ac:dyDescent="0.25">
      <c r="K1263" s="128"/>
      <c r="X1263" s="234">
        <v>2022</v>
      </c>
      <c r="Y1263" s="234">
        <v>2</v>
      </c>
      <c r="Z1263" s="234">
        <v>22</v>
      </c>
      <c r="AA1263" s="235">
        <v>0.5416666666678793</v>
      </c>
      <c r="AB1263" s="236">
        <v>-19.7</v>
      </c>
      <c r="AC1263" s="127">
        <f t="shared" si="34"/>
        <v>-20</v>
      </c>
    </row>
    <row r="1264" ht="14.5" customHeight="1" spans="11:29" x14ac:dyDescent="0.25">
      <c r="K1264" s="128"/>
      <c r="X1264" s="234">
        <v>2022</v>
      </c>
      <c r="Y1264" s="234">
        <v>2</v>
      </c>
      <c r="Z1264" s="234">
        <v>22</v>
      </c>
      <c r="AA1264" s="235">
        <v>0.5833333333321207</v>
      </c>
      <c r="AB1264" s="236">
        <v>-18.7</v>
      </c>
      <c r="AC1264" s="127">
        <f t="shared" si="34"/>
        <v>-19</v>
      </c>
    </row>
    <row r="1265" ht="14.5" customHeight="1" spans="11:29" x14ac:dyDescent="0.25">
      <c r="K1265" s="128"/>
      <c r="X1265" s="234">
        <v>2022</v>
      </c>
      <c r="Y1265" s="234">
        <v>2</v>
      </c>
      <c r="Z1265" s="234">
        <v>22</v>
      </c>
      <c r="AA1265" s="235">
        <v>0.625</v>
      </c>
      <c r="AB1265" s="236">
        <v>-19</v>
      </c>
      <c r="AC1265" s="127">
        <f t="shared" si="34"/>
        <v>-19</v>
      </c>
    </row>
    <row r="1266" ht="14.5" customHeight="1" spans="11:29" x14ac:dyDescent="0.25">
      <c r="K1266" s="128"/>
      <c r="X1266" s="234">
        <v>2022</v>
      </c>
      <c r="Y1266" s="234">
        <v>2</v>
      </c>
      <c r="Z1266" s="234">
        <v>22</v>
      </c>
      <c r="AA1266" s="235">
        <v>0.6666666666678793</v>
      </c>
      <c r="AB1266" s="236">
        <v>-18</v>
      </c>
      <c r="AC1266" s="127">
        <f t="shared" si="34"/>
        <v>-18</v>
      </c>
    </row>
    <row r="1267" ht="14.5" customHeight="1" spans="11:29" x14ac:dyDescent="0.25">
      <c r="K1267" s="128"/>
      <c r="X1267" s="234">
        <v>2022</v>
      </c>
      <c r="Y1267" s="234">
        <v>2</v>
      </c>
      <c r="Z1267" s="234">
        <v>22</v>
      </c>
      <c r="AA1267" s="235">
        <v>0.7083333333321207</v>
      </c>
      <c r="AB1267" s="236">
        <v>-20.4</v>
      </c>
      <c r="AC1267" s="127">
        <f t="shared" si="34"/>
        <v>-20</v>
      </c>
    </row>
    <row r="1268" ht="14.5" customHeight="1" spans="11:29" x14ac:dyDescent="0.25">
      <c r="K1268" s="128"/>
      <c r="X1268" s="234">
        <v>2022</v>
      </c>
      <c r="Y1268" s="234">
        <v>2</v>
      </c>
      <c r="Z1268" s="234">
        <v>22</v>
      </c>
      <c r="AA1268" s="235">
        <v>0.75</v>
      </c>
      <c r="AB1268" s="236">
        <v>-22</v>
      </c>
      <c r="AC1268" s="127">
        <f t="shared" si="34"/>
        <v>-22</v>
      </c>
    </row>
    <row r="1269" ht="14.5" customHeight="1" spans="11:29" x14ac:dyDescent="0.25">
      <c r="K1269" s="128"/>
      <c r="X1269" s="234">
        <v>2022</v>
      </c>
      <c r="Y1269" s="234">
        <v>2</v>
      </c>
      <c r="Z1269" s="234">
        <v>22</v>
      </c>
      <c r="AA1269" s="235">
        <v>0.7916666666678793</v>
      </c>
      <c r="AB1269" s="236">
        <v>-23</v>
      </c>
      <c r="AC1269" s="127">
        <f t="shared" si="34"/>
        <v>-23</v>
      </c>
    </row>
    <row r="1270" ht="14.5" customHeight="1" spans="11:29" x14ac:dyDescent="0.25">
      <c r="K1270" s="128"/>
      <c r="X1270" s="234">
        <v>2022</v>
      </c>
      <c r="Y1270" s="234">
        <v>2</v>
      </c>
      <c r="Z1270" s="234">
        <v>22</v>
      </c>
      <c r="AA1270" s="235">
        <v>0.8333333333321207</v>
      </c>
      <c r="AB1270" s="236">
        <v>-22.4</v>
      </c>
      <c r="AC1270" s="127">
        <f t="shared" si="34"/>
        <v>-22</v>
      </c>
    </row>
    <row r="1271" ht="14.5" customHeight="1" spans="11:29" x14ac:dyDescent="0.25">
      <c r="K1271" s="128"/>
      <c r="X1271" s="234">
        <v>2022</v>
      </c>
      <c r="Y1271" s="234">
        <v>2</v>
      </c>
      <c r="Z1271" s="234">
        <v>22</v>
      </c>
      <c r="AA1271" s="235">
        <v>0.875</v>
      </c>
      <c r="AB1271" s="236">
        <v>-22.9</v>
      </c>
      <c r="AC1271" s="127">
        <f t="shared" si="34"/>
        <v>-23</v>
      </c>
    </row>
    <row r="1272" ht="14.5" customHeight="1" spans="11:29" x14ac:dyDescent="0.25">
      <c r="K1272" s="128"/>
      <c r="X1272" s="234">
        <v>2022</v>
      </c>
      <c r="Y1272" s="234">
        <v>2</v>
      </c>
      <c r="Z1272" s="234">
        <v>22</v>
      </c>
      <c r="AA1272" s="235">
        <v>0.9166666666678793</v>
      </c>
      <c r="AB1272" s="236">
        <v>-23.5</v>
      </c>
      <c r="AC1272" s="127">
        <f t="shared" si="34"/>
        <v>-24</v>
      </c>
    </row>
    <row r="1273" ht="14.5" customHeight="1" spans="11:29" x14ac:dyDescent="0.25">
      <c r="K1273" s="128"/>
      <c r="X1273" s="234">
        <v>2022</v>
      </c>
      <c r="Y1273" s="234">
        <v>2</v>
      </c>
      <c r="Z1273" s="234">
        <v>22</v>
      </c>
      <c r="AA1273" s="235">
        <v>0.9583333333321207</v>
      </c>
      <c r="AB1273" s="236">
        <v>-23.3</v>
      </c>
      <c r="AC1273" s="127">
        <f t="shared" si="34"/>
        <v>-23</v>
      </c>
    </row>
    <row r="1274" ht="14.5" customHeight="1" spans="11:29" x14ac:dyDescent="0.25">
      <c r="K1274" s="128"/>
      <c r="X1274" s="234">
        <v>2022</v>
      </c>
      <c r="Y1274" s="234">
        <v>2</v>
      </c>
      <c r="Z1274" s="234">
        <v>23</v>
      </c>
      <c r="AA1274" s="235">
        <v>0</v>
      </c>
      <c r="AB1274" s="236">
        <v>-23.3</v>
      </c>
      <c r="AC1274" s="127">
        <f t="shared" si="34"/>
        <v>-23</v>
      </c>
    </row>
    <row r="1275" ht="14.5" customHeight="1" spans="11:29" x14ac:dyDescent="0.25">
      <c r="K1275" s="128"/>
      <c r="X1275" s="234">
        <v>2022</v>
      </c>
      <c r="Y1275" s="234">
        <v>2</v>
      </c>
      <c r="Z1275" s="234">
        <v>23</v>
      </c>
      <c r="AA1275" s="235">
        <v>0.041666666667879326</v>
      </c>
      <c r="AB1275" s="236">
        <v>-24.5</v>
      </c>
      <c r="AC1275" s="127">
        <f t="shared" si="34"/>
        <v>-25</v>
      </c>
    </row>
    <row r="1276" ht="14.5" customHeight="1" spans="11:29" x14ac:dyDescent="0.25">
      <c r="K1276" s="128"/>
      <c r="X1276" s="234">
        <v>2022</v>
      </c>
      <c r="Y1276" s="234">
        <v>2</v>
      </c>
      <c r="Z1276" s="234">
        <v>23</v>
      </c>
      <c r="AA1276" s="235">
        <v>0.08333333333212067</v>
      </c>
      <c r="AB1276" s="236">
        <v>-26.4</v>
      </c>
      <c r="AC1276" s="127">
        <f t="shared" si="34"/>
        <v>-26</v>
      </c>
    </row>
    <row r="1277" ht="14.5" customHeight="1" spans="11:29" x14ac:dyDescent="0.25">
      <c r="K1277" s="128"/>
      <c r="X1277" s="234">
        <v>2022</v>
      </c>
      <c r="Y1277" s="234">
        <v>2</v>
      </c>
      <c r="Z1277" s="234">
        <v>23</v>
      </c>
      <c r="AA1277" s="235">
        <v>0.125</v>
      </c>
      <c r="AB1277" s="236">
        <v>-25.5</v>
      </c>
      <c r="AC1277" s="127">
        <f t="shared" si="34"/>
        <v>-26</v>
      </c>
    </row>
    <row r="1278" ht="14.5" customHeight="1" spans="11:29" x14ac:dyDescent="0.25">
      <c r="K1278" s="128"/>
      <c r="X1278" s="234">
        <v>2022</v>
      </c>
      <c r="Y1278" s="234">
        <v>2</v>
      </c>
      <c r="Z1278" s="234">
        <v>23</v>
      </c>
      <c r="AA1278" s="235">
        <v>0.16666666666787933</v>
      </c>
      <c r="AB1278" s="236">
        <v>-26.2</v>
      </c>
      <c r="AC1278" s="127">
        <f t="shared" si="34"/>
        <v>-26</v>
      </c>
    </row>
    <row r="1279" ht="14.5" customHeight="1" spans="11:29" x14ac:dyDescent="0.25">
      <c r="K1279" s="128"/>
      <c r="X1279" s="234">
        <v>2022</v>
      </c>
      <c r="Y1279" s="234">
        <v>2</v>
      </c>
      <c r="Z1279" s="234">
        <v>23</v>
      </c>
      <c r="AA1279" s="235">
        <v>0.20833333333212067</v>
      </c>
      <c r="AB1279" s="236">
        <v>-26.1</v>
      </c>
      <c r="AC1279" s="127">
        <f t="shared" si="34"/>
        <v>-26</v>
      </c>
    </row>
    <row r="1280" ht="14.5" customHeight="1" spans="11:29" x14ac:dyDescent="0.25">
      <c r="K1280" s="128"/>
      <c r="X1280" s="234">
        <v>2022</v>
      </c>
      <c r="Y1280" s="234">
        <v>2</v>
      </c>
      <c r="Z1280" s="234">
        <v>23</v>
      </c>
      <c r="AA1280" s="235">
        <v>0.25</v>
      </c>
      <c r="AB1280" s="236">
        <v>-26.8</v>
      </c>
      <c r="AC1280" s="127">
        <f t="shared" si="34"/>
        <v>-27</v>
      </c>
    </row>
    <row r="1281" ht="14.5" customHeight="1" spans="11:29" x14ac:dyDescent="0.25">
      <c r="K1281" s="128"/>
      <c r="X1281" s="234">
        <v>2022</v>
      </c>
      <c r="Y1281" s="234">
        <v>2</v>
      </c>
      <c r="Z1281" s="234">
        <v>23</v>
      </c>
      <c r="AA1281" s="235">
        <v>0.2916666666678793</v>
      </c>
      <c r="AB1281" s="236">
        <v>-26.2</v>
      </c>
      <c r="AC1281" s="127">
        <f t="shared" si="34"/>
        <v>-26</v>
      </c>
    </row>
    <row r="1282" ht="14.5" customHeight="1" spans="11:29" x14ac:dyDescent="0.25">
      <c r="K1282" s="128"/>
      <c r="X1282" s="234">
        <v>2022</v>
      </c>
      <c r="Y1282" s="234">
        <v>2</v>
      </c>
      <c r="Z1282" s="234">
        <v>23</v>
      </c>
      <c r="AA1282" s="235">
        <v>0.3333333333321207</v>
      </c>
      <c r="AB1282" s="236">
        <v>-25.9</v>
      </c>
      <c r="AC1282" s="127">
        <f t="shared" si="34"/>
        <v>-26</v>
      </c>
    </row>
    <row r="1283" ht="14.5" customHeight="1" spans="11:29" x14ac:dyDescent="0.25">
      <c r="K1283" s="128"/>
      <c r="X1283" s="234">
        <v>2022</v>
      </c>
      <c r="Y1283" s="234">
        <v>2</v>
      </c>
      <c r="Z1283" s="234">
        <v>23</v>
      </c>
      <c r="AA1283" s="235">
        <v>0.375</v>
      </c>
      <c r="AB1283" s="236">
        <v>-22.9</v>
      </c>
      <c r="AC1283" s="127">
        <f t="shared" si="34"/>
        <v>-23</v>
      </c>
    </row>
    <row r="1284" ht="14.5" customHeight="1" spans="11:29" x14ac:dyDescent="0.25">
      <c r="K1284" s="128"/>
      <c r="X1284" s="234">
        <v>2022</v>
      </c>
      <c r="Y1284" s="234">
        <v>2</v>
      </c>
      <c r="Z1284" s="234">
        <v>23</v>
      </c>
      <c r="AA1284" s="235">
        <v>0.4166666666678793</v>
      </c>
      <c r="AB1284" s="236">
        <v>-20.5</v>
      </c>
      <c r="AC1284" s="127">
        <f t="shared" si="34"/>
        <v>-21</v>
      </c>
    </row>
    <row r="1285" ht="14.5" customHeight="1" spans="11:29" x14ac:dyDescent="0.25">
      <c r="K1285" s="128"/>
      <c r="X1285" s="234">
        <v>2022</v>
      </c>
      <c r="Y1285" s="234">
        <v>2</v>
      </c>
      <c r="Z1285" s="234">
        <v>23</v>
      </c>
      <c r="AA1285" s="235">
        <v>0.4583333333321207</v>
      </c>
      <c r="AB1285" s="236">
        <v>-17.5</v>
      </c>
      <c r="AC1285" s="127">
        <f t="shared" si="34"/>
        <v>-18</v>
      </c>
    </row>
    <row r="1286" ht="14.5" customHeight="1" spans="11:29" x14ac:dyDescent="0.25">
      <c r="K1286" s="128"/>
      <c r="X1286" s="234">
        <v>2022</v>
      </c>
      <c r="Y1286" s="234">
        <v>2</v>
      </c>
      <c r="Z1286" s="234">
        <v>23</v>
      </c>
      <c r="AA1286" s="235">
        <v>0.5</v>
      </c>
      <c r="AB1286" s="236">
        <v>-15.2</v>
      </c>
      <c r="AC1286" s="127">
        <f t="shared" si="34"/>
        <v>-15</v>
      </c>
    </row>
    <row r="1287" ht="14.5" customHeight="1" spans="11:29" x14ac:dyDescent="0.25">
      <c r="K1287" s="128"/>
      <c r="X1287" s="234">
        <v>2022</v>
      </c>
      <c r="Y1287" s="234">
        <v>2</v>
      </c>
      <c r="Z1287" s="234">
        <v>23</v>
      </c>
      <c r="AA1287" s="235">
        <v>0.5416666666678793</v>
      </c>
      <c r="AB1287" s="236">
        <v>-12.9</v>
      </c>
      <c r="AC1287" s="127">
        <f t="shared" si="34"/>
        <v>-13</v>
      </c>
    </row>
    <row r="1288" ht="14.5" customHeight="1" spans="11:29" x14ac:dyDescent="0.25">
      <c r="K1288" s="128"/>
      <c r="X1288" s="234">
        <v>2022</v>
      </c>
      <c r="Y1288" s="234">
        <v>2</v>
      </c>
      <c r="Z1288" s="234">
        <v>23</v>
      </c>
      <c r="AA1288" s="235">
        <v>0.5833333333321207</v>
      </c>
      <c r="AB1288" s="236">
        <v>-12.3</v>
      </c>
      <c r="AC1288" s="127">
        <f t="shared" si="34"/>
        <v>-12</v>
      </c>
    </row>
    <row r="1289" ht="14.5" customHeight="1" spans="11:29" x14ac:dyDescent="0.25">
      <c r="K1289" s="128"/>
      <c r="X1289" s="234">
        <v>2022</v>
      </c>
      <c r="Y1289" s="234">
        <v>2</v>
      </c>
      <c r="Z1289" s="234">
        <v>23</v>
      </c>
      <c r="AA1289" s="235">
        <v>0.625</v>
      </c>
      <c r="AB1289" s="236">
        <v>-14</v>
      </c>
      <c r="AC1289" s="127">
        <f t="shared" si="34"/>
        <v>-14</v>
      </c>
    </row>
    <row r="1290" ht="14.5" customHeight="1" spans="11:29" x14ac:dyDescent="0.25">
      <c r="K1290" s="128"/>
      <c r="X1290" s="234">
        <v>2022</v>
      </c>
      <c r="Y1290" s="234">
        <v>2</v>
      </c>
      <c r="Z1290" s="234">
        <v>23</v>
      </c>
      <c r="AA1290" s="235">
        <v>0.6666666666678793</v>
      </c>
      <c r="AB1290" s="236">
        <v>-13.3</v>
      </c>
      <c r="AC1290" s="127">
        <f t="shared" si="34"/>
        <v>-13</v>
      </c>
    </row>
    <row r="1291" ht="14.5" customHeight="1" spans="11:29" x14ac:dyDescent="0.25">
      <c r="K1291" s="128"/>
      <c r="X1291" s="234">
        <v>2022</v>
      </c>
      <c r="Y1291" s="234">
        <v>2</v>
      </c>
      <c r="Z1291" s="234">
        <v>23</v>
      </c>
      <c r="AA1291" s="235">
        <v>0.7083333333321207</v>
      </c>
      <c r="AB1291" s="236">
        <v>-11.6</v>
      </c>
      <c r="AC1291" s="127">
        <f t="shared" ref="AC1291:AC1354" si="35">ROUND(AB1291,0)</f>
        <v>-12</v>
      </c>
    </row>
    <row r="1292" ht="14.5" customHeight="1" spans="11:29" x14ac:dyDescent="0.25">
      <c r="K1292" s="128"/>
      <c r="X1292" s="234">
        <v>2022</v>
      </c>
      <c r="Y1292" s="234">
        <v>2</v>
      </c>
      <c r="Z1292" s="234">
        <v>23</v>
      </c>
      <c r="AA1292" s="235">
        <v>0.75</v>
      </c>
      <c r="AB1292" s="236">
        <v>-11.9</v>
      </c>
      <c r="AC1292" s="127">
        <f t="shared" si="35"/>
        <v>-12</v>
      </c>
    </row>
    <row r="1293" ht="14.5" customHeight="1" spans="11:29" x14ac:dyDescent="0.25">
      <c r="K1293" s="128"/>
      <c r="X1293" s="234">
        <v>2022</v>
      </c>
      <c r="Y1293" s="234">
        <v>2</v>
      </c>
      <c r="Z1293" s="234">
        <v>23</v>
      </c>
      <c r="AA1293" s="235">
        <v>0.7916666666678793</v>
      </c>
      <c r="AB1293" s="236">
        <v>-10.5</v>
      </c>
      <c r="AC1293" s="127">
        <f t="shared" si="35"/>
        <v>-11</v>
      </c>
    </row>
    <row r="1294" ht="14.5" customHeight="1" spans="11:29" x14ac:dyDescent="0.25">
      <c r="K1294" s="128"/>
      <c r="X1294" s="234">
        <v>2022</v>
      </c>
      <c r="Y1294" s="234">
        <v>2</v>
      </c>
      <c r="Z1294" s="234">
        <v>23</v>
      </c>
      <c r="AA1294" s="235">
        <v>0.8333333333321207</v>
      </c>
      <c r="AB1294" s="236">
        <v>-10.3</v>
      </c>
      <c r="AC1294" s="127">
        <f t="shared" si="35"/>
        <v>-10</v>
      </c>
    </row>
    <row r="1295" ht="14.5" customHeight="1" spans="11:29" x14ac:dyDescent="0.25">
      <c r="K1295" s="128"/>
      <c r="X1295" s="234">
        <v>2022</v>
      </c>
      <c r="Y1295" s="234">
        <v>2</v>
      </c>
      <c r="Z1295" s="234">
        <v>23</v>
      </c>
      <c r="AA1295" s="235">
        <v>0.875</v>
      </c>
      <c r="AB1295" s="236">
        <v>-10.1</v>
      </c>
      <c r="AC1295" s="127">
        <f t="shared" si="35"/>
        <v>-10</v>
      </c>
    </row>
    <row r="1296" ht="14.5" customHeight="1" spans="11:29" x14ac:dyDescent="0.25">
      <c r="K1296" s="128"/>
      <c r="X1296" s="234">
        <v>2022</v>
      </c>
      <c r="Y1296" s="234">
        <v>2</v>
      </c>
      <c r="Z1296" s="234">
        <v>23</v>
      </c>
      <c r="AA1296" s="235">
        <v>0.9166666666678793</v>
      </c>
      <c r="AB1296" s="236">
        <v>-10.7</v>
      </c>
      <c r="AC1296" s="127">
        <f t="shared" si="35"/>
        <v>-11</v>
      </c>
    </row>
    <row r="1297" ht="14.5" customHeight="1" spans="11:29" x14ac:dyDescent="0.25">
      <c r="K1297" s="128"/>
      <c r="X1297" s="234">
        <v>2022</v>
      </c>
      <c r="Y1297" s="234">
        <v>2</v>
      </c>
      <c r="Z1297" s="234">
        <v>23</v>
      </c>
      <c r="AA1297" s="235">
        <v>0.9583333333321207</v>
      </c>
      <c r="AB1297" s="236">
        <v>-9.4</v>
      </c>
      <c r="AC1297" s="127">
        <f t="shared" si="35"/>
        <v>-9</v>
      </c>
    </row>
    <row r="1298" ht="14.5" customHeight="1" spans="11:29" x14ac:dyDescent="0.25">
      <c r="K1298" s="128"/>
      <c r="X1298" s="234">
        <v>2022</v>
      </c>
      <c r="Y1298" s="234">
        <v>2</v>
      </c>
      <c r="Z1298" s="234">
        <v>24</v>
      </c>
      <c r="AA1298" s="235">
        <v>0</v>
      </c>
      <c r="AB1298" s="236">
        <v>-10.1</v>
      </c>
      <c r="AC1298" s="127">
        <f t="shared" si="35"/>
        <v>-10</v>
      </c>
    </row>
    <row r="1299" ht="14.5" customHeight="1" spans="11:29" x14ac:dyDescent="0.25">
      <c r="K1299" s="128"/>
      <c r="X1299" s="234">
        <v>2022</v>
      </c>
      <c r="Y1299" s="234">
        <v>2</v>
      </c>
      <c r="Z1299" s="234">
        <v>24</v>
      </c>
      <c r="AA1299" s="235">
        <v>0.041666666667879326</v>
      </c>
      <c r="AB1299" s="236">
        <v>-8.7</v>
      </c>
      <c r="AC1299" s="127">
        <f t="shared" si="35"/>
        <v>-9</v>
      </c>
    </row>
    <row r="1300" ht="14.5" customHeight="1" spans="11:29" x14ac:dyDescent="0.25">
      <c r="K1300" s="128"/>
      <c r="X1300" s="234">
        <v>2022</v>
      </c>
      <c r="Y1300" s="234">
        <v>2</v>
      </c>
      <c r="Z1300" s="234">
        <v>24</v>
      </c>
      <c r="AA1300" s="235">
        <v>0.08333333333212067</v>
      </c>
      <c r="AB1300" s="236">
        <v>-8.5</v>
      </c>
      <c r="AC1300" s="127">
        <f t="shared" si="35"/>
        <v>-9</v>
      </c>
    </row>
    <row r="1301" ht="14.5" customHeight="1" spans="11:29" x14ac:dyDescent="0.25">
      <c r="K1301" s="128"/>
      <c r="X1301" s="234">
        <v>2022</v>
      </c>
      <c r="Y1301" s="234">
        <v>2</v>
      </c>
      <c r="Z1301" s="234">
        <v>24</v>
      </c>
      <c r="AA1301" s="235">
        <v>0.125</v>
      </c>
      <c r="AB1301" s="236">
        <v>-8.7</v>
      </c>
      <c r="AC1301" s="127">
        <f t="shared" si="35"/>
        <v>-9</v>
      </c>
    </row>
    <row r="1302" ht="14.5" customHeight="1" spans="11:29" x14ac:dyDescent="0.25">
      <c r="K1302" s="128"/>
      <c r="X1302" s="234">
        <v>2022</v>
      </c>
      <c r="Y1302" s="234">
        <v>2</v>
      </c>
      <c r="Z1302" s="234">
        <v>24</v>
      </c>
      <c r="AA1302" s="235">
        <v>0.16666666666787933</v>
      </c>
      <c r="AB1302" s="236">
        <v>-8.6</v>
      </c>
      <c r="AC1302" s="127">
        <f t="shared" si="35"/>
        <v>-9</v>
      </c>
    </row>
    <row r="1303" ht="14.5" customHeight="1" spans="11:29" x14ac:dyDescent="0.25">
      <c r="K1303" s="128"/>
      <c r="X1303" s="234">
        <v>2022</v>
      </c>
      <c r="Y1303" s="234">
        <v>2</v>
      </c>
      <c r="Z1303" s="234">
        <v>24</v>
      </c>
      <c r="AA1303" s="235">
        <v>0.20833333333212067</v>
      </c>
      <c r="AB1303" s="236">
        <v>-8.2</v>
      </c>
      <c r="AC1303" s="127">
        <f t="shared" si="35"/>
        <v>-8</v>
      </c>
    </row>
    <row r="1304" ht="14.5" customHeight="1" spans="11:29" x14ac:dyDescent="0.25">
      <c r="K1304" s="128"/>
      <c r="X1304" s="234">
        <v>2022</v>
      </c>
      <c r="Y1304" s="234">
        <v>2</v>
      </c>
      <c r="Z1304" s="234">
        <v>24</v>
      </c>
      <c r="AA1304" s="235">
        <v>0.25</v>
      </c>
      <c r="AB1304" s="236">
        <v>-9</v>
      </c>
      <c r="AC1304" s="127">
        <f t="shared" si="35"/>
        <v>-9</v>
      </c>
    </row>
    <row r="1305" ht="14.5" customHeight="1" spans="11:29" x14ac:dyDescent="0.25">
      <c r="K1305" s="128"/>
      <c r="X1305" s="234">
        <v>2022</v>
      </c>
      <c r="Y1305" s="234">
        <v>2</v>
      </c>
      <c r="Z1305" s="234">
        <v>24</v>
      </c>
      <c r="AA1305" s="235">
        <v>0.2916666666678793</v>
      </c>
      <c r="AB1305" s="236">
        <v>-8.7</v>
      </c>
      <c r="AC1305" s="127">
        <f t="shared" si="35"/>
        <v>-9</v>
      </c>
    </row>
    <row r="1306" ht="14.5" customHeight="1" spans="11:29" x14ac:dyDescent="0.25">
      <c r="K1306" s="128"/>
      <c r="X1306" s="234">
        <v>2022</v>
      </c>
      <c r="Y1306" s="234">
        <v>2</v>
      </c>
      <c r="Z1306" s="234">
        <v>24</v>
      </c>
      <c r="AA1306" s="235">
        <v>0.3333333333321207</v>
      </c>
      <c r="AB1306" s="236">
        <v>-8.4</v>
      </c>
      <c r="AC1306" s="127">
        <f t="shared" si="35"/>
        <v>-8</v>
      </c>
    </row>
    <row r="1307" ht="14.5" customHeight="1" spans="11:29" x14ac:dyDescent="0.25">
      <c r="K1307" s="128"/>
      <c r="X1307" s="234">
        <v>2022</v>
      </c>
      <c r="Y1307" s="234">
        <v>2</v>
      </c>
      <c r="Z1307" s="234">
        <v>24</v>
      </c>
      <c r="AA1307" s="235">
        <v>0.375</v>
      </c>
      <c r="AB1307" s="236">
        <v>-8</v>
      </c>
      <c r="AC1307" s="127">
        <f t="shared" si="35"/>
        <v>-8</v>
      </c>
    </row>
    <row r="1308" ht="14.5" customHeight="1" spans="11:29" x14ac:dyDescent="0.25">
      <c r="K1308" s="128"/>
      <c r="X1308" s="234">
        <v>2022</v>
      </c>
      <c r="Y1308" s="234">
        <v>2</v>
      </c>
      <c r="Z1308" s="234">
        <v>24</v>
      </c>
      <c r="AA1308" s="235">
        <v>0.4166666666678793</v>
      </c>
      <c r="AB1308" s="236">
        <v>-7.4</v>
      </c>
      <c r="AC1308" s="127">
        <f t="shared" si="35"/>
        <v>-7</v>
      </c>
    </row>
    <row r="1309" ht="14.5" customHeight="1" spans="11:29" x14ac:dyDescent="0.25">
      <c r="K1309" s="128"/>
      <c r="X1309" s="234">
        <v>2022</v>
      </c>
      <c r="Y1309" s="234">
        <v>2</v>
      </c>
      <c r="Z1309" s="234">
        <v>24</v>
      </c>
      <c r="AA1309" s="235">
        <v>0.4583333333321207</v>
      </c>
      <c r="AB1309" s="236">
        <v>-6.6</v>
      </c>
      <c r="AC1309" s="127">
        <f t="shared" si="35"/>
        <v>-7</v>
      </c>
    </row>
    <row r="1310" ht="14.5" customHeight="1" spans="11:29" x14ac:dyDescent="0.25">
      <c r="K1310" s="128"/>
      <c r="X1310" s="234">
        <v>2022</v>
      </c>
      <c r="Y1310" s="234">
        <v>2</v>
      </c>
      <c r="Z1310" s="234">
        <v>24</v>
      </c>
      <c r="AA1310" s="235">
        <v>0.5</v>
      </c>
      <c r="AB1310" s="236">
        <v>-6.4</v>
      </c>
      <c r="AC1310" s="127">
        <f t="shared" si="35"/>
        <v>-6</v>
      </c>
    </row>
    <row r="1311" ht="14.5" customHeight="1" spans="11:29" x14ac:dyDescent="0.25">
      <c r="K1311" s="128"/>
      <c r="X1311" s="234">
        <v>2022</v>
      </c>
      <c r="Y1311" s="234">
        <v>2</v>
      </c>
      <c r="Z1311" s="234">
        <v>24</v>
      </c>
      <c r="AA1311" s="235">
        <v>0.5416666666678793</v>
      </c>
      <c r="AB1311" s="236">
        <v>-6</v>
      </c>
      <c r="AC1311" s="127">
        <f t="shared" si="35"/>
        <v>-6</v>
      </c>
    </row>
    <row r="1312" ht="14.5" customHeight="1" spans="11:29" x14ac:dyDescent="0.25">
      <c r="K1312" s="128"/>
      <c r="X1312" s="234">
        <v>2022</v>
      </c>
      <c r="Y1312" s="234">
        <v>2</v>
      </c>
      <c r="Z1312" s="234">
        <v>24</v>
      </c>
      <c r="AA1312" s="235">
        <v>0.5833333333321207</v>
      </c>
      <c r="AB1312" s="236">
        <v>-6</v>
      </c>
      <c r="AC1312" s="127">
        <f t="shared" si="35"/>
        <v>-6</v>
      </c>
    </row>
    <row r="1313" ht="14.5" customHeight="1" spans="11:29" x14ac:dyDescent="0.25">
      <c r="K1313" s="128"/>
      <c r="X1313" s="234">
        <v>2022</v>
      </c>
      <c r="Y1313" s="234">
        <v>2</v>
      </c>
      <c r="Z1313" s="234">
        <v>24</v>
      </c>
      <c r="AA1313" s="235">
        <v>0.625</v>
      </c>
      <c r="AB1313" s="236">
        <v>-5.8</v>
      </c>
      <c r="AC1313" s="127">
        <f t="shared" si="35"/>
        <v>-6</v>
      </c>
    </row>
    <row r="1314" ht="14.5" customHeight="1" spans="11:29" x14ac:dyDescent="0.25">
      <c r="K1314" s="128"/>
      <c r="X1314" s="234">
        <v>2022</v>
      </c>
      <c r="Y1314" s="234">
        <v>2</v>
      </c>
      <c r="Z1314" s="234">
        <v>24</v>
      </c>
      <c r="AA1314" s="235">
        <v>0.6666666666678793</v>
      </c>
      <c r="AB1314" s="236">
        <v>-6.5</v>
      </c>
      <c r="AC1314" s="127">
        <f t="shared" si="35"/>
        <v>-7</v>
      </c>
    </row>
    <row r="1315" ht="14.5" customHeight="1" spans="11:29" x14ac:dyDescent="0.25">
      <c r="K1315" s="128"/>
      <c r="X1315" s="234">
        <v>2022</v>
      </c>
      <c r="Y1315" s="234">
        <v>2</v>
      </c>
      <c r="Z1315" s="234">
        <v>24</v>
      </c>
      <c r="AA1315" s="235">
        <v>0.7083333333321207</v>
      </c>
      <c r="AB1315" s="236">
        <v>-6.7</v>
      </c>
      <c r="AC1315" s="127">
        <f t="shared" si="35"/>
        <v>-7</v>
      </c>
    </row>
    <row r="1316" ht="14.5" customHeight="1" spans="11:29" x14ac:dyDescent="0.25">
      <c r="K1316" s="128"/>
      <c r="X1316" s="234">
        <v>2022</v>
      </c>
      <c r="Y1316" s="234">
        <v>2</v>
      </c>
      <c r="Z1316" s="234">
        <v>24</v>
      </c>
      <c r="AA1316" s="235">
        <v>0.75</v>
      </c>
      <c r="AB1316" s="236">
        <v>-6.6</v>
      </c>
      <c r="AC1316" s="127">
        <f t="shared" si="35"/>
        <v>-7</v>
      </c>
    </row>
    <row r="1317" ht="14.5" customHeight="1" spans="11:29" x14ac:dyDescent="0.25">
      <c r="K1317" s="128"/>
      <c r="X1317" s="234">
        <v>2022</v>
      </c>
      <c r="Y1317" s="234">
        <v>2</v>
      </c>
      <c r="Z1317" s="234">
        <v>24</v>
      </c>
      <c r="AA1317" s="235">
        <v>0.7916666666678793</v>
      </c>
      <c r="AB1317" s="236">
        <v>-9</v>
      </c>
      <c r="AC1317" s="127">
        <f t="shared" si="35"/>
        <v>-9</v>
      </c>
    </row>
    <row r="1318" ht="14.5" customHeight="1" spans="11:29" x14ac:dyDescent="0.25">
      <c r="K1318" s="128"/>
      <c r="X1318" s="234">
        <v>2022</v>
      </c>
      <c r="Y1318" s="234">
        <v>2</v>
      </c>
      <c r="Z1318" s="234">
        <v>24</v>
      </c>
      <c r="AA1318" s="235">
        <v>0.8333333333321207</v>
      </c>
      <c r="AB1318" s="236">
        <v>-8.5</v>
      </c>
      <c r="AC1318" s="127">
        <f t="shared" si="35"/>
        <v>-9</v>
      </c>
    </row>
    <row r="1319" ht="14.5" customHeight="1" spans="11:29" x14ac:dyDescent="0.25">
      <c r="K1319" s="128"/>
      <c r="X1319" s="234">
        <v>2022</v>
      </c>
      <c r="Y1319" s="234">
        <v>2</v>
      </c>
      <c r="Z1319" s="234">
        <v>24</v>
      </c>
      <c r="AA1319" s="235">
        <v>0.875</v>
      </c>
      <c r="AB1319" s="236">
        <v>-8.9</v>
      </c>
      <c r="AC1319" s="127">
        <f t="shared" si="35"/>
        <v>-9</v>
      </c>
    </row>
    <row r="1320" ht="14.5" customHeight="1" spans="11:29" x14ac:dyDescent="0.25">
      <c r="K1320" s="128"/>
      <c r="X1320" s="234">
        <v>2022</v>
      </c>
      <c r="Y1320" s="234">
        <v>2</v>
      </c>
      <c r="Z1320" s="234">
        <v>24</v>
      </c>
      <c r="AA1320" s="235">
        <v>0.9166666666678793</v>
      </c>
      <c r="AB1320" s="236">
        <v>-8.7</v>
      </c>
      <c r="AC1320" s="127">
        <f t="shared" si="35"/>
        <v>-9</v>
      </c>
    </row>
    <row r="1321" ht="14.5" customHeight="1" spans="11:29" x14ac:dyDescent="0.25">
      <c r="K1321" s="128"/>
      <c r="X1321" s="234">
        <v>2022</v>
      </c>
      <c r="Y1321" s="234">
        <v>2</v>
      </c>
      <c r="Z1321" s="234">
        <v>24</v>
      </c>
      <c r="AA1321" s="235">
        <v>0.9583333333321207</v>
      </c>
      <c r="AB1321" s="236">
        <v>-11.3</v>
      </c>
      <c r="AC1321" s="127">
        <f t="shared" si="35"/>
        <v>-11</v>
      </c>
    </row>
    <row r="1322" ht="14.5" customHeight="1" spans="11:29" x14ac:dyDescent="0.25">
      <c r="K1322" s="128"/>
      <c r="X1322" s="234">
        <v>2022</v>
      </c>
      <c r="Y1322" s="234">
        <v>2</v>
      </c>
      <c r="Z1322" s="234">
        <v>25</v>
      </c>
      <c r="AA1322" s="235">
        <v>0</v>
      </c>
      <c r="AB1322" s="236">
        <v>-12.1</v>
      </c>
      <c r="AC1322" s="127">
        <f t="shared" si="35"/>
        <v>-12</v>
      </c>
    </row>
    <row r="1323" ht="14.5" customHeight="1" spans="11:29" x14ac:dyDescent="0.25">
      <c r="K1323" s="128"/>
      <c r="X1323" s="234">
        <v>2022</v>
      </c>
      <c r="Y1323" s="234">
        <v>2</v>
      </c>
      <c r="Z1323" s="234">
        <v>25</v>
      </c>
      <c r="AA1323" s="235">
        <v>0.041666666667879326</v>
      </c>
      <c r="AB1323" s="236">
        <v>-13.3</v>
      </c>
      <c r="AC1323" s="127">
        <f t="shared" si="35"/>
        <v>-13</v>
      </c>
    </row>
    <row r="1324" ht="14.5" customHeight="1" spans="11:29" x14ac:dyDescent="0.25">
      <c r="K1324" s="128"/>
      <c r="X1324" s="234">
        <v>2022</v>
      </c>
      <c r="Y1324" s="234">
        <v>2</v>
      </c>
      <c r="Z1324" s="234">
        <v>25</v>
      </c>
      <c r="AA1324" s="235">
        <v>0.08333333333212067</v>
      </c>
      <c r="AB1324" s="236">
        <v>-12.2</v>
      </c>
      <c r="AC1324" s="127">
        <f t="shared" si="35"/>
        <v>-12</v>
      </c>
    </row>
    <row r="1325" ht="14.5" customHeight="1" spans="11:29" x14ac:dyDescent="0.25">
      <c r="K1325" s="128"/>
      <c r="X1325" s="234">
        <v>2022</v>
      </c>
      <c r="Y1325" s="234">
        <v>2</v>
      </c>
      <c r="Z1325" s="234">
        <v>25</v>
      </c>
      <c r="AA1325" s="235">
        <v>0.125</v>
      </c>
      <c r="AB1325" s="236">
        <v>-9.9</v>
      </c>
      <c r="AC1325" s="127">
        <f t="shared" si="35"/>
        <v>-10</v>
      </c>
    </row>
    <row r="1326" ht="14.5" customHeight="1" spans="11:29" x14ac:dyDescent="0.25">
      <c r="K1326" s="128"/>
      <c r="X1326" s="234">
        <v>2022</v>
      </c>
      <c r="Y1326" s="234">
        <v>2</v>
      </c>
      <c r="Z1326" s="234">
        <v>25</v>
      </c>
      <c r="AA1326" s="235">
        <v>0.16666666666787933</v>
      </c>
      <c r="AB1326" s="236">
        <v>-14.1</v>
      </c>
      <c r="AC1326" s="127">
        <f t="shared" si="35"/>
        <v>-14</v>
      </c>
    </row>
    <row r="1327" ht="14.5" customHeight="1" spans="11:29" x14ac:dyDescent="0.25">
      <c r="K1327" s="128"/>
      <c r="X1327" s="234">
        <v>2022</v>
      </c>
      <c r="Y1327" s="234">
        <v>2</v>
      </c>
      <c r="Z1327" s="234">
        <v>25</v>
      </c>
      <c r="AA1327" s="235">
        <v>0.20833333333212067</v>
      </c>
      <c r="AB1327" s="236">
        <v>-14.7</v>
      </c>
      <c r="AC1327" s="127">
        <f t="shared" si="35"/>
        <v>-15</v>
      </c>
    </row>
    <row r="1328" ht="14.5" customHeight="1" spans="11:29" x14ac:dyDescent="0.25">
      <c r="K1328" s="128"/>
      <c r="X1328" s="234">
        <v>2022</v>
      </c>
      <c r="Y1328" s="234">
        <v>2</v>
      </c>
      <c r="Z1328" s="234">
        <v>25</v>
      </c>
      <c r="AA1328" s="235">
        <v>0.25</v>
      </c>
      <c r="AB1328" s="236">
        <v>-14.1</v>
      </c>
      <c r="AC1328" s="127">
        <f t="shared" si="35"/>
        <v>-14</v>
      </c>
    </row>
    <row r="1329" ht="14.5" customHeight="1" spans="11:29" x14ac:dyDescent="0.25">
      <c r="K1329" s="128"/>
      <c r="X1329" s="234">
        <v>2022</v>
      </c>
      <c r="Y1329" s="234">
        <v>2</v>
      </c>
      <c r="Z1329" s="234">
        <v>25</v>
      </c>
      <c r="AA1329" s="235">
        <v>0.2916666666678793</v>
      </c>
      <c r="AB1329" s="236">
        <v>-11.7</v>
      </c>
      <c r="AC1329" s="127">
        <f t="shared" si="35"/>
        <v>-12</v>
      </c>
    </row>
    <row r="1330" ht="14.5" customHeight="1" spans="11:29" x14ac:dyDescent="0.25">
      <c r="K1330" s="128"/>
      <c r="X1330" s="234">
        <v>2022</v>
      </c>
      <c r="Y1330" s="234">
        <v>2</v>
      </c>
      <c r="Z1330" s="234">
        <v>25</v>
      </c>
      <c r="AA1330" s="235">
        <v>0.3333333333321207</v>
      </c>
      <c r="AB1330" s="236">
        <v>-12.6</v>
      </c>
      <c r="AC1330" s="127">
        <f t="shared" si="35"/>
        <v>-13</v>
      </c>
    </row>
    <row r="1331" ht="14.5" customHeight="1" spans="11:29" x14ac:dyDescent="0.25">
      <c r="K1331" s="128"/>
      <c r="X1331" s="234">
        <v>2022</v>
      </c>
      <c r="Y1331" s="234">
        <v>2</v>
      </c>
      <c r="Z1331" s="234">
        <v>25</v>
      </c>
      <c r="AA1331" s="235">
        <v>0.375</v>
      </c>
      <c r="AB1331" s="236">
        <v>-10.5</v>
      </c>
      <c r="AC1331" s="127">
        <f t="shared" si="35"/>
        <v>-11</v>
      </c>
    </row>
    <row r="1332" ht="14.5" customHeight="1" spans="11:29" x14ac:dyDescent="0.25">
      <c r="K1332" s="128"/>
      <c r="X1332" s="234">
        <v>2022</v>
      </c>
      <c r="Y1332" s="234">
        <v>2</v>
      </c>
      <c r="Z1332" s="234">
        <v>25</v>
      </c>
      <c r="AA1332" s="235">
        <v>0.4166666666678793</v>
      </c>
      <c r="AB1332" s="236">
        <v>-6.5</v>
      </c>
      <c r="AC1332" s="127">
        <f t="shared" si="35"/>
        <v>-7</v>
      </c>
    </row>
    <row r="1333" ht="14.5" customHeight="1" spans="11:29" x14ac:dyDescent="0.25">
      <c r="K1333" s="128"/>
      <c r="X1333" s="234">
        <v>2022</v>
      </c>
      <c r="Y1333" s="234">
        <v>2</v>
      </c>
      <c r="Z1333" s="234">
        <v>25</v>
      </c>
      <c r="AA1333" s="235">
        <v>0.4583333333321207</v>
      </c>
      <c r="AB1333" s="236">
        <v>-4.6</v>
      </c>
      <c r="AC1333" s="127">
        <f t="shared" si="35"/>
        <v>-5</v>
      </c>
    </row>
    <row r="1334" ht="14.5" customHeight="1" spans="11:29" x14ac:dyDescent="0.25">
      <c r="K1334" s="128"/>
      <c r="X1334" s="234">
        <v>2022</v>
      </c>
      <c r="Y1334" s="234">
        <v>2</v>
      </c>
      <c r="Z1334" s="234">
        <v>25</v>
      </c>
      <c r="AA1334" s="235">
        <v>0.5</v>
      </c>
      <c r="AB1334" s="236">
        <v>-2.6</v>
      </c>
      <c r="AC1334" s="127">
        <f t="shared" si="35"/>
        <v>-3</v>
      </c>
    </row>
    <row r="1335" ht="14.5" customHeight="1" spans="11:29" x14ac:dyDescent="0.25">
      <c r="K1335" s="128"/>
      <c r="X1335" s="234">
        <v>2022</v>
      </c>
      <c r="Y1335" s="234">
        <v>2</v>
      </c>
      <c r="Z1335" s="234">
        <v>25</v>
      </c>
      <c r="AA1335" s="235">
        <v>0.5416666666678793</v>
      </c>
      <c r="AB1335" s="236">
        <v>-1.1</v>
      </c>
      <c r="AC1335" s="127">
        <f t="shared" si="35"/>
        <v>-1</v>
      </c>
    </row>
    <row r="1336" ht="14.5" customHeight="1" spans="11:29" x14ac:dyDescent="0.25">
      <c r="K1336" s="128"/>
      <c r="X1336" s="234">
        <v>2022</v>
      </c>
      <c r="Y1336" s="234">
        <v>2</v>
      </c>
      <c r="Z1336" s="234">
        <v>25</v>
      </c>
      <c r="AA1336" s="235">
        <v>0.5833333333321207</v>
      </c>
      <c r="AB1336" s="236">
        <v>0.2</v>
      </c>
      <c r="AC1336" s="127">
        <f t="shared" si="35"/>
        <v>0</v>
      </c>
    </row>
    <row r="1337" ht="14.5" customHeight="1" spans="11:29" x14ac:dyDescent="0.25">
      <c r="K1337" s="128"/>
      <c r="X1337" s="234">
        <v>2022</v>
      </c>
      <c r="Y1337" s="234">
        <v>2</v>
      </c>
      <c r="Z1337" s="234">
        <v>25</v>
      </c>
      <c r="AA1337" s="235">
        <v>0.625</v>
      </c>
      <c r="AB1337" s="236">
        <v>2.5</v>
      </c>
      <c r="AC1337" s="127">
        <f t="shared" si="35"/>
        <v>3</v>
      </c>
    </row>
    <row r="1338" ht="14.5" customHeight="1" spans="11:29" x14ac:dyDescent="0.25">
      <c r="K1338" s="128"/>
      <c r="X1338" s="234">
        <v>2022</v>
      </c>
      <c r="Y1338" s="234">
        <v>2</v>
      </c>
      <c r="Z1338" s="234">
        <v>25</v>
      </c>
      <c r="AA1338" s="235">
        <v>0.6666666666678793</v>
      </c>
      <c r="AB1338" s="236">
        <v>1.5</v>
      </c>
      <c r="AC1338" s="127">
        <f t="shared" si="35"/>
        <v>2</v>
      </c>
    </row>
    <row r="1339" ht="14.5" customHeight="1" spans="11:29" x14ac:dyDescent="0.25">
      <c r="K1339" s="128"/>
      <c r="X1339" s="234">
        <v>2022</v>
      </c>
      <c r="Y1339" s="234">
        <v>2</v>
      </c>
      <c r="Z1339" s="234">
        <v>25</v>
      </c>
      <c r="AA1339" s="235">
        <v>0.7083333333321207</v>
      </c>
      <c r="AB1339" s="236">
        <v>0.8</v>
      </c>
      <c r="AC1339" s="127">
        <f t="shared" si="35"/>
        <v>1</v>
      </c>
    </row>
    <row r="1340" ht="14.5" customHeight="1" spans="11:29" x14ac:dyDescent="0.25">
      <c r="K1340" s="128"/>
      <c r="X1340" s="234">
        <v>2022</v>
      </c>
      <c r="Y1340" s="234">
        <v>2</v>
      </c>
      <c r="Z1340" s="234">
        <v>25</v>
      </c>
      <c r="AA1340" s="235">
        <v>0.75</v>
      </c>
      <c r="AB1340" s="236">
        <v>-2.5</v>
      </c>
      <c r="AC1340" s="127">
        <f t="shared" si="35"/>
        <v>-3</v>
      </c>
    </row>
    <row r="1341" ht="14.5" customHeight="1" spans="11:29" x14ac:dyDescent="0.25">
      <c r="K1341" s="128"/>
      <c r="X1341" s="234">
        <v>2022</v>
      </c>
      <c r="Y1341" s="234">
        <v>2</v>
      </c>
      <c r="Z1341" s="234">
        <v>25</v>
      </c>
      <c r="AA1341" s="235">
        <v>0.7916666666678793</v>
      </c>
      <c r="AB1341" s="236">
        <v>-4.5</v>
      </c>
      <c r="AC1341" s="127">
        <f t="shared" si="35"/>
        <v>-5</v>
      </c>
    </row>
    <row r="1342" ht="14.5" customHeight="1" spans="11:29" x14ac:dyDescent="0.25">
      <c r="K1342" s="128"/>
      <c r="X1342" s="234">
        <v>2022</v>
      </c>
      <c r="Y1342" s="234">
        <v>2</v>
      </c>
      <c r="Z1342" s="234">
        <v>25</v>
      </c>
      <c r="AA1342" s="235">
        <v>0.8333333333321207</v>
      </c>
      <c r="AB1342" s="236">
        <v>-1.5</v>
      </c>
      <c r="AC1342" s="127">
        <f t="shared" si="35"/>
        <v>-2</v>
      </c>
    </row>
    <row r="1343" ht="14.5" customHeight="1" spans="11:29" x14ac:dyDescent="0.25">
      <c r="K1343" s="128"/>
      <c r="X1343" s="234">
        <v>2022</v>
      </c>
      <c r="Y1343" s="234">
        <v>2</v>
      </c>
      <c r="Z1343" s="234">
        <v>25</v>
      </c>
      <c r="AA1343" s="235">
        <v>0.875</v>
      </c>
      <c r="AB1343" s="236">
        <v>-2.4</v>
      </c>
      <c r="AC1343" s="127">
        <f t="shared" si="35"/>
        <v>-2</v>
      </c>
    </row>
    <row r="1344" ht="14.5" customHeight="1" spans="11:29" x14ac:dyDescent="0.25">
      <c r="K1344" s="128"/>
      <c r="X1344" s="234">
        <v>2022</v>
      </c>
      <c r="Y1344" s="234">
        <v>2</v>
      </c>
      <c r="Z1344" s="234">
        <v>25</v>
      </c>
      <c r="AA1344" s="235">
        <v>0.9166666666678793</v>
      </c>
      <c r="AB1344" s="236">
        <v>-2.3</v>
      </c>
      <c r="AC1344" s="127">
        <f t="shared" si="35"/>
        <v>-2</v>
      </c>
    </row>
    <row r="1345" ht="14.5" customHeight="1" spans="11:29" x14ac:dyDescent="0.25">
      <c r="K1345" s="128"/>
      <c r="X1345" s="234">
        <v>2022</v>
      </c>
      <c r="Y1345" s="234">
        <v>2</v>
      </c>
      <c r="Z1345" s="234">
        <v>25</v>
      </c>
      <c r="AA1345" s="235">
        <v>0.9583333333321207</v>
      </c>
      <c r="AB1345" s="236">
        <v>-1.3</v>
      </c>
      <c r="AC1345" s="127">
        <f t="shared" si="35"/>
        <v>-1</v>
      </c>
    </row>
    <row r="1346" ht="14.5" customHeight="1" spans="11:29" x14ac:dyDescent="0.25">
      <c r="K1346" s="128"/>
      <c r="X1346" s="234">
        <v>2022</v>
      </c>
      <c r="Y1346" s="234">
        <v>2</v>
      </c>
      <c r="Z1346" s="234">
        <v>26</v>
      </c>
      <c r="AA1346" s="235">
        <v>0</v>
      </c>
      <c r="AB1346" s="236">
        <v>-2.6</v>
      </c>
      <c r="AC1346" s="127">
        <f t="shared" si="35"/>
        <v>-3</v>
      </c>
    </row>
    <row r="1347" ht="14.5" customHeight="1" spans="11:29" x14ac:dyDescent="0.25">
      <c r="K1347" s="128"/>
      <c r="X1347" s="234">
        <v>2022</v>
      </c>
      <c r="Y1347" s="234">
        <v>2</v>
      </c>
      <c r="Z1347" s="234">
        <v>26</v>
      </c>
      <c r="AA1347" s="235">
        <v>0.041666666667879326</v>
      </c>
      <c r="AB1347" s="236">
        <v>-3.1</v>
      </c>
      <c r="AC1347" s="127">
        <f t="shared" si="35"/>
        <v>-3</v>
      </c>
    </row>
    <row r="1348" ht="14.5" customHeight="1" spans="11:29" x14ac:dyDescent="0.25">
      <c r="K1348" s="128"/>
      <c r="X1348" s="234">
        <v>2022</v>
      </c>
      <c r="Y1348" s="234">
        <v>2</v>
      </c>
      <c r="Z1348" s="234">
        <v>26</v>
      </c>
      <c r="AA1348" s="235">
        <v>0.08333333333212067</v>
      </c>
      <c r="AB1348" s="236">
        <v>-4.3</v>
      </c>
      <c r="AC1348" s="127">
        <f t="shared" si="35"/>
        <v>-4</v>
      </c>
    </row>
    <row r="1349" ht="14.5" customHeight="1" spans="11:29" x14ac:dyDescent="0.25">
      <c r="K1349" s="128"/>
      <c r="X1349" s="234">
        <v>2022</v>
      </c>
      <c r="Y1349" s="234">
        <v>2</v>
      </c>
      <c r="Z1349" s="234">
        <v>26</v>
      </c>
      <c r="AA1349" s="235">
        <v>0.125</v>
      </c>
      <c r="AB1349" s="236">
        <v>-4.6</v>
      </c>
      <c r="AC1349" s="127">
        <f t="shared" si="35"/>
        <v>-5</v>
      </c>
    </row>
    <row r="1350" ht="14.5" customHeight="1" spans="11:29" x14ac:dyDescent="0.25">
      <c r="K1350" s="128"/>
      <c r="X1350" s="234">
        <v>2022</v>
      </c>
      <c r="Y1350" s="234">
        <v>2</v>
      </c>
      <c r="Z1350" s="234">
        <v>26</v>
      </c>
      <c r="AA1350" s="235">
        <v>0.16666666666787933</v>
      </c>
      <c r="AB1350" s="236">
        <v>-7.5</v>
      </c>
      <c r="AC1350" s="127">
        <f t="shared" si="35"/>
        <v>-8</v>
      </c>
    </row>
    <row r="1351" ht="14.5" customHeight="1" spans="11:29" x14ac:dyDescent="0.25">
      <c r="K1351" s="128"/>
      <c r="X1351" s="234">
        <v>2022</v>
      </c>
      <c r="Y1351" s="234">
        <v>2</v>
      </c>
      <c r="Z1351" s="234">
        <v>26</v>
      </c>
      <c r="AA1351" s="235">
        <v>0.20833333333212067</v>
      </c>
      <c r="AB1351" s="236">
        <v>-8.6</v>
      </c>
      <c r="AC1351" s="127">
        <f t="shared" si="35"/>
        <v>-9</v>
      </c>
    </row>
    <row r="1352" ht="14.5" customHeight="1" spans="11:29" x14ac:dyDescent="0.25">
      <c r="K1352" s="128"/>
      <c r="X1352" s="234">
        <v>2022</v>
      </c>
      <c r="Y1352" s="234">
        <v>2</v>
      </c>
      <c r="Z1352" s="234">
        <v>26</v>
      </c>
      <c r="AA1352" s="235">
        <v>0.25</v>
      </c>
      <c r="AB1352" s="236">
        <v>-8.2</v>
      </c>
      <c r="AC1352" s="127">
        <f t="shared" si="35"/>
        <v>-8</v>
      </c>
    </row>
    <row r="1353" ht="14.5" customHeight="1" spans="11:29" x14ac:dyDescent="0.25">
      <c r="K1353" s="128"/>
      <c r="X1353" s="234">
        <v>2022</v>
      </c>
      <c r="Y1353" s="234">
        <v>2</v>
      </c>
      <c r="Z1353" s="234">
        <v>26</v>
      </c>
      <c r="AA1353" s="235">
        <v>0.2916666666678793</v>
      </c>
      <c r="AB1353" s="236">
        <v>-7.9</v>
      </c>
      <c r="AC1353" s="127">
        <f t="shared" si="35"/>
        <v>-8</v>
      </c>
    </row>
    <row r="1354" ht="14.5" customHeight="1" spans="11:29" x14ac:dyDescent="0.25">
      <c r="K1354" s="128"/>
      <c r="X1354" s="234">
        <v>2022</v>
      </c>
      <c r="Y1354" s="234">
        <v>2</v>
      </c>
      <c r="Z1354" s="234">
        <v>26</v>
      </c>
      <c r="AA1354" s="235">
        <v>0.3333333333321207</v>
      </c>
      <c r="AB1354" s="236">
        <v>-7.6</v>
      </c>
      <c r="AC1354" s="127">
        <f t="shared" si="35"/>
        <v>-8</v>
      </c>
    </row>
    <row r="1355" ht="14.5" customHeight="1" spans="11:29" x14ac:dyDescent="0.25">
      <c r="K1355" s="128"/>
      <c r="X1355" s="234">
        <v>2022</v>
      </c>
      <c r="Y1355" s="234">
        <v>2</v>
      </c>
      <c r="Z1355" s="234">
        <v>26</v>
      </c>
      <c r="AA1355" s="235">
        <v>0.375</v>
      </c>
      <c r="AB1355" s="236">
        <v>-4.8</v>
      </c>
      <c r="AC1355" s="127">
        <f t="shared" ref="AC1355:AC1418" si="36">ROUND(AB1355,0)</f>
        <v>-5</v>
      </c>
    </row>
    <row r="1356" ht="14.5" customHeight="1" spans="11:29" x14ac:dyDescent="0.25">
      <c r="K1356" s="128"/>
      <c r="X1356" s="234">
        <v>2022</v>
      </c>
      <c r="Y1356" s="234">
        <v>2</v>
      </c>
      <c r="Z1356" s="234">
        <v>26</v>
      </c>
      <c r="AA1356" s="235">
        <v>0.4166666666678793</v>
      </c>
      <c r="AB1356" s="236">
        <v>-1.3</v>
      </c>
      <c r="AC1356" s="127">
        <f t="shared" si="36"/>
        <v>-1</v>
      </c>
    </row>
    <row r="1357" ht="14.5" customHeight="1" spans="11:29" x14ac:dyDescent="0.25">
      <c r="K1357" s="128"/>
      <c r="X1357" s="234">
        <v>2022</v>
      </c>
      <c r="Y1357" s="234">
        <v>2</v>
      </c>
      <c r="Z1357" s="234">
        <v>26</v>
      </c>
      <c r="AA1357" s="235">
        <v>0.4583333333321207</v>
      </c>
      <c r="AB1357" s="236">
        <v>-0.2</v>
      </c>
      <c r="AC1357" s="127">
        <f t="shared" si="36"/>
        <v>0</v>
      </c>
    </row>
    <row r="1358" ht="14.5" customHeight="1" spans="11:29" x14ac:dyDescent="0.25">
      <c r="K1358" s="128"/>
      <c r="X1358" s="234">
        <v>2022</v>
      </c>
      <c r="Y1358" s="234">
        <v>2</v>
      </c>
      <c r="Z1358" s="234">
        <v>26</v>
      </c>
      <c r="AA1358" s="235">
        <v>0.5</v>
      </c>
      <c r="AB1358" s="236">
        <v>3.1</v>
      </c>
      <c r="AC1358" s="127">
        <f t="shared" si="36"/>
        <v>3</v>
      </c>
    </row>
    <row r="1359" ht="14.5" customHeight="1" spans="11:29" x14ac:dyDescent="0.25">
      <c r="K1359" s="128"/>
      <c r="X1359" s="234">
        <v>2022</v>
      </c>
      <c r="Y1359" s="234">
        <v>2</v>
      </c>
      <c r="Z1359" s="234">
        <v>26</v>
      </c>
      <c r="AA1359" s="235">
        <v>0.5416666666678793</v>
      </c>
      <c r="AB1359" s="236">
        <v>4.6</v>
      </c>
      <c r="AC1359" s="127">
        <f t="shared" si="36"/>
        <v>5</v>
      </c>
    </row>
    <row r="1360" ht="14.5" customHeight="1" spans="11:29" x14ac:dyDescent="0.25">
      <c r="K1360" s="128"/>
      <c r="X1360" s="234">
        <v>2022</v>
      </c>
      <c r="Y1360" s="234">
        <v>2</v>
      </c>
      <c r="Z1360" s="234">
        <v>26</v>
      </c>
      <c r="AA1360" s="235">
        <v>0.5833333333321207</v>
      </c>
      <c r="AB1360" s="236">
        <v>7.2</v>
      </c>
      <c r="AC1360" s="127">
        <f t="shared" si="36"/>
        <v>7</v>
      </c>
    </row>
    <row r="1361" ht="14.5" customHeight="1" spans="11:29" x14ac:dyDescent="0.25">
      <c r="K1361" s="128"/>
      <c r="X1361" s="234">
        <v>2022</v>
      </c>
      <c r="Y1361" s="234">
        <v>2</v>
      </c>
      <c r="Z1361" s="234">
        <v>26</v>
      </c>
      <c r="AA1361" s="235">
        <v>0.625</v>
      </c>
      <c r="AB1361" s="236">
        <v>7.3</v>
      </c>
      <c r="AC1361" s="127">
        <f t="shared" si="36"/>
        <v>7</v>
      </c>
    </row>
    <row r="1362" ht="14.5" customHeight="1" spans="11:29" x14ac:dyDescent="0.25">
      <c r="K1362" s="128"/>
      <c r="X1362" s="234">
        <v>2022</v>
      </c>
      <c r="Y1362" s="234">
        <v>2</v>
      </c>
      <c r="Z1362" s="234">
        <v>26</v>
      </c>
      <c r="AA1362" s="235">
        <v>0.6666666666678793</v>
      </c>
      <c r="AB1362" s="236">
        <v>6.6</v>
      </c>
      <c r="AC1362" s="127">
        <f t="shared" si="36"/>
        <v>7</v>
      </c>
    </row>
    <row r="1363" ht="14.5" customHeight="1" spans="11:29" x14ac:dyDescent="0.25">
      <c r="K1363" s="128"/>
      <c r="X1363" s="234">
        <v>2022</v>
      </c>
      <c r="Y1363" s="234">
        <v>2</v>
      </c>
      <c r="Z1363" s="234">
        <v>26</v>
      </c>
      <c r="AA1363" s="235">
        <v>0.7083333333321207</v>
      </c>
      <c r="AB1363" s="236">
        <v>6.4</v>
      </c>
      <c r="AC1363" s="127">
        <f t="shared" si="36"/>
        <v>6</v>
      </c>
    </row>
    <row r="1364" ht="14.5" customHeight="1" spans="11:29" x14ac:dyDescent="0.25">
      <c r="K1364" s="128"/>
      <c r="X1364" s="234">
        <v>2022</v>
      </c>
      <c r="Y1364" s="234">
        <v>2</v>
      </c>
      <c r="Z1364" s="234">
        <v>26</v>
      </c>
      <c r="AA1364" s="235">
        <v>0.75</v>
      </c>
      <c r="AB1364" s="236">
        <v>7.4</v>
      </c>
      <c r="AC1364" s="127">
        <f t="shared" si="36"/>
        <v>7</v>
      </c>
    </row>
    <row r="1365" ht="14.5" customHeight="1" spans="11:29" x14ac:dyDescent="0.25">
      <c r="K1365" s="128"/>
      <c r="X1365" s="234">
        <v>2022</v>
      </c>
      <c r="Y1365" s="234">
        <v>2</v>
      </c>
      <c r="Z1365" s="234">
        <v>26</v>
      </c>
      <c r="AA1365" s="235">
        <v>0.7916666666678793</v>
      </c>
      <c r="AB1365" s="236">
        <v>6.4</v>
      </c>
      <c r="AC1365" s="127">
        <f t="shared" si="36"/>
        <v>6</v>
      </c>
    </row>
    <row r="1366" ht="14.5" customHeight="1" spans="11:29" x14ac:dyDescent="0.25">
      <c r="K1366" s="128"/>
      <c r="X1366" s="234">
        <v>2022</v>
      </c>
      <c r="Y1366" s="234">
        <v>2</v>
      </c>
      <c r="Z1366" s="234">
        <v>26</v>
      </c>
      <c r="AA1366" s="235">
        <v>0.8333333333321207</v>
      </c>
      <c r="AB1366" s="236">
        <v>5.5</v>
      </c>
      <c r="AC1366" s="127">
        <f t="shared" si="36"/>
        <v>6</v>
      </c>
    </row>
    <row r="1367" ht="14.5" customHeight="1" spans="11:29" x14ac:dyDescent="0.25">
      <c r="K1367" s="128"/>
      <c r="X1367" s="234">
        <v>2022</v>
      </c>
      <c r="Y1367" s="234">
        <v>2</v>
      </c>
      <c r="Z1367" s="234">
        <v>26</v>
      </c>
      <c r="AA1367" s="235">
        <v>0.875</v>
      </c>
      <c r="AB1367" s="236">
        <v>5.7</v>
      </c>
      <c r="AC1367" s="127">
        <f t="shared" si="36"/>
        <v>6</v>
      </c>
    </row>
    <row r="1368" ht="14.5" customHeight="1" spans="11:29" x14ac:dyDescent="0.25">
      <c r="K1368" s="128"/>
      <c r="X1368" s="234">
        <v>2022</v>
      </c>
      <c r="Y1368" s="234">
        <v>2</v>
      </c>
      <c r="Z1368" s="234">
        <v>26</v>
      </c>
      <c r="AA1368" s="235">
        <v>0.9166666666678793</v>
      </c>
      <c r="AB1368" s="236">
        <v>5.9</v>
      </c>
      <c r="AC1368" s="127">
        <f t="shared" si="36"/>
        <v>6</v>
      </c>
    </row>
    <row r="1369" ht="14.5" customHeight="1" spans="11:29" x14ac:dyDescent="0.25">
      <c r="K1369" s="128"/>
      <c r="X1369" s="234">
        <v>2022</v>
      </c>
      <c r="Y1369" s="234">
        <v>2</v>
      </c>
      <c r="Z1369" s="234">
        <v>26</v>
      </c>
      <c r="AA1369" s="235">
        <v>0.9583333333321207</v>
      </c>
      <c r="AB1369" s="236">
        <v>5.2</v>
      </c>
      <c r="AC1369" s="127">
        <f t="shared" si="36"/>
        <v>5</v>
      </c>
    </row>
    <row r="1370" ht="14.5" customHeight="1" spans="11:29" x14ac:dyDescent="0.25">
      <c r="K1370" s="128"/>
      <c r="X1370" s="234">
        <v>2022</v>
      </c>
      <c r="Y1370" s="234">
        <v>2</v>
      </c>
      <c r="Z1370" s="234">
        <v>27</v>
      </c>
      <c r="AA1370" s="235">
        <v>0</v>
      </c>
      <c r="AB1370" s="236">
        <v>5.1</v>
      </c>
      <c r="AC1370" s="127">
        <f t="shared" si="36"/>
        <v>5</v>
      </c>
    </row>
    <row r="1371" ht="14.5" customHeight="1" spans="11:29" x14ac:dyDescent="0.25">
      <c r="K1371" s="128"/>
      <c r="X1371" s="234">
        <v>2022</v>
      </c>
      <c r="Y1371" s="234">
        <v>2</v>
      </c>
      <c r="Z1371" s="234">
        <v>27</v>
      </c>
      <c r="AA1371" s="235">
        <v>0.041666666667879326</v>
      </c>
      <c r="AB1371" s="236">
        <v>5</v>
      </c>
      <c r="AC1371" s="127">
        <f t="shared" si="36"/>
        <v>5</v>
      </c>
    </row>
    <row r="1372" ht="14.5" customHeight="1" spans="11:29" x14ac:dyDescent="0.25">
      <c r="K1372" s="128"/>
      <c r="X1372" s="234">
        <v>2022</v>
      </c>
      <c r="Y1372" s="234">
        <v>2</v>
      </c>
      <c r="Z1372" s="234">
        <v>27</v>
      </c>
      <c r="AA1372" s="235">
        <v>0.08333333333212067</v>
      </c>
      <c r="AB1372" s="236">
        <v>5.1</v>
      </c>
      <c r="AC1372" s="127">
        <f t="shared" si="36"/>
        <v>5</v>
      </c>
    </row>
    <row r="1373" ht="14.5" customHeight="1" spans="11:29" x14ac:dyDescent="0.25">
      <c r="K1373" s="128"/>
      <c r="X1373" s="234">
        <v>2022</v>
      </c>
      <c r="Y1373" s="234">
        <v>2</v>
      </c>
      <c r="Z1373" s="234">
        <v>27</v>
      </c>
      <c r="AA1373" s="235">
        <v>0.125</v>
      </c>
      <c r="AB1373" s="236">
        <v>4</v>
      </c>
      <c r="AC1373" s="127">
        <f t="shared" si="36"/>
        <v>4</v>
      </c>
    </row>
    <row r="1374" ht="14.5" customHeight="1" spans="11:29" x14ac:dyDescent="0.25">
      <c r="K1374" s="128"/>
      <c r="X1374" s="234">
        <v>2022</v>
      </c>
      <c r="Y1374" s="234">
        <v>2</v>
      </c>
      <c r="Z1374" s="234">
        <v>27</v>
      </c>
      <c r="AA1374" s="235">
        <v>0.16666666666787933</v>
      </c>
      <c r="AB1374" s="236">
        <v>3.6</v>
      </c>
      <c r="AC1374" s="127">
        <f t="shared" si="36"/>
        <v>4</v>
      </c>
    </row>
    <row r="1375" ht="14.5" customHeight="1" spans="11:29" x14ac:dyDescent="0.25">
      <c r="K1375" s="128"/>
      <c r="X1375" s="234">
        <v>2022</v>
      </c>
      <c r="Y1375" s="234">
        <v>2</v>
      </c>
      <c r="Z1375" s="234">
        <v>27</v>
      </c>
      <c r="AA1375" s="235">
        <v>0.20833333333212067</v>
      </c>
      <c r="AB1375" s="236">
        <v>4.2</v>
      </c>
      <c r="AC1375" s="127">
        <f t="shared" si="36"/>
        <v>4</v>
      </c>
    </row>
    <row r="1376" ht="14.5" customHeight="1" spans="11:29" x14ac:dyDescent="0.25">
      <c r="K1376" s="128"/>
      <c r="X1376" s="234">
        <v>2022</v>
      </c>
      <c r="Y1376" s="234">
        <v>2</v>
      </c>
      <c r="Z1376" s="234">
        <v>27</v>
      </c>
      <c r="AA1376" s="235">
        <v>0.25</v>
      </c>
      <c r="AB1376" s="236">
        <v>3.9</v>
      </c>
      <c r="AC1376" s="127">
        <f t="shared" si="36"/>
        <v>4</v>
      </c>
    </row>
    <row r="1377" ht="14.5" customHeight="1" spans="11:29" x14ac:dyDescent="0.25">
      <c r="K1377" s="128"/>
      <c r="X1377" s="234">
        <v>2022</v>
      </c>
      <c r="Y1377" s="234">
        <v>2</v>
      </c>
      <c r="Z1377" s="234">
        <v>27</v>
      </c>
      <c r="AA1377" s="235">
        <v>0.2916666666678793</v>
      </c>
      <c r="AB1377" s="236">
        <v>3.5</v>
      </c>
      <c r="AC1377" s="127">
        <f t="shared" si="36"/>
        <v>4</v>
      </c>
    </row>
    <row r="1378" ht="14.5" customHeight="1" spans="11:29" x14ac:dyDescent="0.25">
      <c r="K1378" s="128"/>
      <c r="X1378" s="234">
        <v>2022</v>
      </c>
      <c r="Y1378" s="234">
        <v>2</v>
      </c>
      <c r="Z1378" s="234">
        <v>27</v>
      </c>
      <c r="AA1378" s="235">
        <v>0.3333333333321207</v>
      </c>
      <c r="AB1378" s="236">
        <v>3.7</v>
      </c>
      <c r="AC1378" s="127">
        <f t="shared" si="36"/>
        <v>4</v>
      </c>
    </row>
    <row r="1379" ht="14.5" customHeight="1" spans="11:29" x14ac:dyDescent="0.25">
      <c r="K1379" s="128"/>
      <c r="X1379" s="234">
        <v>2022</v>
      </c>
      <c r="Y1379" s="234">
        <v>2</v>
      </c>
      <c r="Z1379" s="234">
        <v>27</v>
      </c>
      <c r="AA1379" s="235">
        <v>0.375</v>
      </c>
      <c r="AB1379" s="236">
        <v>3.5</v>
      </c>
      <c r="AC1379" s="127">
        <f t="shared" si="36"/>
        <v>4</v>
      </c>
    </row>
    <row r="1380" ht="14.5" customHeight="1" spans="11:29" x14ac:dyDescent="0.25">
      <c r="K1380" s="128"/>
      <c r="X1380" s="234">
        <v>2022</v>
      </c>
      <c r="Y1380" s="234">
        <v>2</v>
      </c>
      <c r="Z1380" s="234">
        <v>27</v>
      </c>
      <c r="AA1380" s="235">
        <v>0.4166666666678793</v>
      </c>
      <c r="AB1380" s="236">
        <v>4.2</v>
      </c>
      <c r="AC1380" s="127">
        <f t="shared" si="36"/>
        <v>4</v>
      </c>
    </row>
    <row r="1381" ht="14.5" customHeight="1" spans="11:29" x14ac:dyDescent="0.25">
      <c r="K1381" s="128"/>
      <c r="X1381" s="234">
        <v>2022</v>
      </c>
      <c r="Y1381" s="234">
        <v>2</v>
      </c>
      <c r="Z1381" s="234">
        <v>27</v>
      </c>
      <c r="AA1381" s="235">
        <v>0.4583333333321207</v>
      </c>
      <c r="AB1381" s="236">
        <v>4.1</v>
      </c>
      <c r="AC1381" s="127">
        <f t="shared" si="36"/>
        <v>4</v>
      </c>
    </row>
    <row r="1382" ht="14.5" customHeight="1" spans="11:29" x14ac:dyDescent="0.25">
      <c r="K1382" s="128"/>
      <c r="X1382" s="234">
        <v>2022</v>
      </c>
      <c r="Y1382" s="234">
        <v>2</v>
      </c>
      <c r="Z1382" s="234">
        <v>27</v>
      </c>
      <c r="AA1382" s="235">
        <v>0.5</v>
      </c>
      <c r="AB1382" s="236">
        <v>5.3</v>
      </c>
      <c r="AC1382" s="127">
        <f t="shared" si="36"/>
        <v>5</v>
      </c>
    </row>
    <row r="1383" ht="14.5" customHeight="1" spans="11:29" x14ac:dyDescent="0.25">
      <c r="K1383" s="128"/>
      <c r="X1383" s="234">
        <v>2022</v>
      </c>
      <c r="Y1383" s="234">
        <v>2</v>
      </c>
      <c r="Z1383" s="234">
        <v>27</v>
      </c>
      <c r="AA1383" s="235">
        <v>0.5416666666678793</v>
      </c>
      <c r="AB1383" s="236">
        <v>6.5</v>
      </c>
      <c r="AC1383" s="127">
        <f t="shared" si="36"/>
        <v>7</v>
      </c>
    </row>
    <row r="1384" ht="14.5" customHeight="1" spans="11:29" x14ac:dyDescent="0.25">
      <c r="K1384" s="128"/>
      <c r="X1384" s="234">
        <v>2022</v>
      </c>
      <c r="Y1384" s="234">
        <v>2</v>
      </c>
      <c r="Z1384" s="234">
        <v>27</v>
      </c>
      <c r="AA1384" s="235">
        <v>0.5833333333321207</v>
      </c>
      <c r="AB1384" s="236">
        <v>8</v>
      </c>
      <c r="AC1384" s="127">
        <f t="shared" si="36"/>
        <v>8</v>
      </c>
    </row>
    <row r="1385" ht="14.5" customHeight="1" spans="11:29" x14ac:dyDescent="0.25">
      <c r="K1385" s="128"/>
      <c r="X1385" s="234">
        <v>2022</v>
      </c>
      <c r="Y1385" s="234">
        <v>2</v>
      </c>
      <c r="Z1385" s="234">
        <v>27</v>
      </c>
      <c r="AA1385" s="235">
        <v>0.625</v>
      </c>
      <c r="AB1385" s="236">
        <v>8.4</v>
      </c>
      <c r="AC1385" s="127">
        <f t="shared" si="36"/>
        <v>8</v>
      </c>
    </row>
    <row r="1386" ht="14.5" customHeight="1" spans="11:29" x14ac:dyDescent="0.25">
      <c r="K1386" s="128"/>
      <c r="X1386" s="234">
        <v>2022</v>
      </c>
      <c r="Y1386" s="234">
        <v>2</v>
      </c>
      <c r="Z1386" s="234">
        <v>27</v>
      </c>
      <c r="AA1386" s="235">
        <v>0.6666666666678793</v>
      </c>
      <c r="AB1386" s="236">
        <v>7.8</v>
      </c>
      <c r="AC1386" s="127">
        <f t="shared" si="36"/>
        <v>8</v>
      </c>
    </row>
    <row r="1387" ht="14.5" customHeight="1" spans="11:29" x14ac:dyDescent="0.25">
      <c r="K1387" s="128"/>
      <c r="X1387" s="234">
        <v>2022</v>
      </c>
      <c r="Y1387" s="234">
        <v>2</v>
      </c>
      <c r="Z1387" s="234">
        <v>27</v>
      </c>
      <c r="AA1387" s="235">
        <v>0.7083333333321207</v>
      </c>
      <c r="AB1387" s="236">
        <v>7</v>
      </c>
      <c r="AC1387" s="127">
        <f t="shared" si="36"/>
        <v>7</v>
      </c>
    </row>
    <row r="1388" ht="14.5" customHeight="1" spans="11:29" x14ac:dyDescent="0.25">
      <c r="K1388" s="128"/>
      <c r="X1388" s="234">
        <v>2022</v>
      </c>
      <c r="Y1388" s="234">
        <v>2</v>
      </c>
      <c r="Z1388" s="234">
        <v>27</v>
      </c>
      <c r="AA1388" s="235">
        <v>0.75</v>
      </c>
      <c r="AB1388" s="236">
        <v>6.2</v>
      </c>
      <c r="AC1388" s="127">
        <f t="shared" si="36"/>
        <v>6</v>
      </c>
    </row>
    <row r="1389" ht="14.5" customHeight="1" spans="11:29" x14ac:dyDescent="0.25">
      <c r="K1389" s="128"/>
      <c r="X1389" s="234">
        <v>2022</v>
      </c>
      <c r="Y1389" s="234">
        <v>2</v>
      </c>
      <c r="Z1389" s="234">
        <v>27</v>
      </c>
      <c r="AA1389" s="235">
        <v>0.7916666666678793</v>
      </c>
      <c r="AB1389" s="236">
        <v>5</v>
      </c>
      <c r="AC1389" s="127">
        <f t="shared" si="36"/>
        <v>5</v>
      </c>
    </row>
    <row r="1390" ht="14.5" customHeight="1" spans="11:29" x14ac:dyDescent="0.25">
      <c r="K1390" s="128"/>
      <c r="X1390" s="234">
        <v>2022</v>
      </c>
      <c r="Y1390" s="234">
        <v>2</v>
      </c>
      <c r="Z1390" s="234">
        <v>27</v>
      </c>
      <c r="AA1390" s="235">
        <v>0.8333333333321207</v>
      </c>
      <c r="AB1390" s="236">
        <v>4.6</v>
      </c>
      <c r="AC1390" s="127">
        <f t="shared" si="36"/>
        <v>5</v>
      </c>
    </row>
    <row r="1391" ht="14.5" customHeight="1" spans="11:29" x14ac:dyDescent="0.25">
      <c r="K1391" s="128"/>
      <c r="X1391" s="234">
        <v>2022</v>
      </c>
      <c r="Y1391" s="234">
        <v>2</v>
      </c>
      <c r="Z1391" s="234">
        <v>27</v>
      </c>
      <c r="AA1391" s="235">
        <v>0.875</v>
      </c>
      <c r="AB1391" s="236">
        <v>4</v>
      </c>
      <c r="AC1391" s="127">
        <f t="shared" si="36"/>
        <v>4</v>
      </c>
    </row>
    <row r="1392" ht="14.5" customHeight="1" spans="11:29" x14ac:dyDescent="0.25">
      <c r="K1392" s="128"/>
      <c r="X1392" s="234">
        <v>2022</v>
      </c>
      <c r="Y1392" s="234">
        <v>2</v>
      </c>
      <c r="Z1392" s="234">
        <v>27</v>
      </c>
      <c r="AA1392" s="235">
        <v>0.9166666666678793</v>
      </c>
      <c r="AB1392" s="236">
        <v>3.7</v>
      </c>
      <c r="AC1392" s="127">
        <f t="shared" si="36"/>
        <v>4</v>
      </c>
    </row>
    <row r="1393" ht="14.5" customHeight="1" spans="11:29" x14ac:dyDescent="0.25">
      <c r="K1393" s="128"/>
      <c r="X1393" s="234">
        <v>2022</v>
      </c>
      <c r="Y1393" s="234">
        <v>2</v>
      </c>
      <c r="Z1393" s="234">
        <v>27</v>
      </c>
      <c r="AA1393" s="235">
        <v>0.9583333333321207</v>
      </c>
      <c r="AB1393" s="236">
        <v>3.4</v>
      </c>
      <c r="AC1393" s="127">
        <f t="shared" si="36"/>
        <v>3</v>
      </c>
    </row>
    <row r="1394" ht="14.5" customHeight="1" spans="11:29" x14ac:dyDescent="0.25">
      <c r="K1394" s="128"/>
      <c r="X1394" s="234">
        <v>2022</v>
      </c>
      <c r="Y1394" s="234">
        <v>2</v>
      </c>
      <c r="Z1394" s="234">
        <v>28</v>
      </c>
      <c r="AA1394" s="235">
        <v>0</v>
      </c>
      <c r="AB1394" s="236">
        <v>2</v>
      </c>
      <c r="AC1394" s="127">
        <f t="shared" si="36"/>
        <v>2</v>
      </c>
    </row>
    <row r="1395" ht="14.5" customHeight="1" spans="11:29" x14ac:dyDescent="0.25">
      <c r="K1395" s="128"/>
      <c r="X1395" s="234">
        <v>2022</v>
      </c>
      <c r="Y1395" s="234">
        <v>2</v>
      </c>
      <c r="Z1395" s="234">
        <v>28</v>
      </c>
      <c r="AA1395" s="235">
        <v>0.041666666667879326</v>
      </c>
      <c r="AB1395" s="236">
        <v>1</v>
      </c>
      <c r="AC1395" s="127">
        <f t="shared" si="36"/>
        <v>1</v>
      </c>
    </row>
    <row r="1396" ht="14.5" customHeight="1" spans="11:29" x14ac:dyDescent="0.25">
      <c r="K1396" s="128"/>
      <c r="X1396" s="234">
        <v>2022</v>
      </c>
      <c r="Y1396" s="234">
        <v>2</v>
      </c>
      <c r="Z1396" s="234">
        <v>28</v>
      </c>
      <c r="AA1396" s="235">
        <v>0.08333333333212067</v>
      </c>
      <c r="AB1396" s="236">
        <v>2.5</v>
      </c>
      <c r="AC1396" s="127">
        <f t="shared" si="36"/>
        <v>3</v>
      </c>
    </row>
    <row r="1397" ht="14.5" customHeight="1" spans="11:29" x14ac:dyDescent="0.25">
      <c r="K1397" s="128"/>
      <c r="X1397" s="234">
        <v>2022</v>
      </c>
      <c r="Y1397" s="234">
        <v>2</v>
      </c>
      <c r="Z1397" s="234">
        <v>28</v>
      </c>
      <c r="AA1397" s="235">
        <v>0.125</v>
      </c>
      <c r="AB1397" s="236">
        <v>3.4</v>
      </c>
      <c r="AC1397" s="127">
        <f t="shared" si="36"/>
        <v>3</v>
      </c>
    </row>
    <row r="1398" ht="14.5" customHeight="1" spans="11:29" x14ac:dyDescent="0.25">
      <c r="K1398" s="128"/>
      <c r="X1398" s="234">
        <v>2022</v>
      </c>
      <c r="Y1398" s="234">
        <v>2</v>
      </c>
      <c r="Z1398" s="234">
        <v>28</v>
      </c>
      <c r="AA1398" s="235">
        <v>0.16666666666787933</v>
      </c>
      <c r="AB1398" s="236">
        <v>3.8</v>
      </c>
      <c r="AC1398" s="127">
        <f t="shared" si="36"/>
        <v>4</v>
      </c>
    </row>
    <row r="1399" ht="14.5" customHeight="1" spans="11:29" x14ac:dyDescent="0.25">
      <c r="K1399" s="128"/>
      <c r="X1399" s="234">
        <v>2022</v>
      </c>
      <c r="Y1399" s="234">
        <v>2</v>
      </c>
      <c r="Z1399" s="234">
        <v>28</v>
      </c>
      <c r="AA1399" s="235">
        <v>0.20833333333212067</v>
      </c>
      <c r="AB1399" s="236">
        <v>3.6</v>
      </c>
      <c r="AC1399" s="127">
        <f t="shared" si="36"/>
        <v>4</v>
      </c>
    </row>
    <row r="1400" ht="14.5" customHeight="1" spans="11:29" x14ac:dyDescent="0.25">
      <c r="K1400" s="128"/>
      <c r="X1400" s="234">
        <v>2022</v>
      </c>
      <c r="Y1400" s="234">
        <v>2</v>
      </c>
      <c r="Z1400" s="234">
        <v>28</v>
      </c>
      <c r="AA1400" s="235">
        <v>0.25</v>
      </c>
      <c r="AB1400" s="236">
        <v>0.5</v>
      </c>
      <c r="AC1400" s="127">
        <f t="shared" si="36"/>
        <v>1</v>
      </c>
    </row>
    <row r="1401" ht="14.5" customHeight="1" spans="11:29" x14ac:dyDescent="0.25">
      <c r="K1401" s="128"/>
      <c r="X1401" s="234">
        <v>2022</v>
      </c>
      <c r="Y1401" s="234">
        <v>2</v>
      </c>
      <c r="Z1401" s="234">
        <v>28</v>
      </c>
      <c r="AA1401" s="235">
        <v>0.2916666666678793</v>
      </c>
      <c r="AB1401" s="236">
        <v>0</v>
      </c>
      <c r="AC1401" s="127">
        <f t="shared" si="36"/>
        <v>0</v>
      </c>
    </row>
    <row r="1402" ht="14.5" customHeight="1" spans="11:29" x14ac:dyDescent="0.25">
      <c r="K1402" s="128"/>
      <c r="X1402" s="234">
        <v>2022</v>
      </c>
      <c r="Y1402" s="234">
        <v>2</v>
      </c>
      <c r="Z1402" s="234">
        <v>28</v>
      </c>
      <c r="AA1402" s="235">
        <v>0.3333333333321207</v>
      </c>
      <c r="AB1402" s="236">
        <v>-0.9</v>
      </c>
      <c r="AC1402" s="127">
        <f t="shared" si="36"/>
        <v>-1</v>
      </c>
    </row>
    <row r="1403" ht="14.5" customHeight="1" spans="11:29" x14ac:dyDescent="0.25">
      <c r="K1403" s="128"/>
      <c r="X1403" s="234">
        <v>2022</v>
      </c>
      <c r="Y1403" s="234">
        <v>2</v>
      </c>
      <c r="Z1403" s="234">
        <v>28</v>
      </c>
      <c r="AA1403" s="235">
        <v>0.375</v>
      </c>
      <c r="AB1403" s="236">
        <v>-0.1</v>
      </c>
      <c r="AC1403" s="127">
        <f t="shared" si="36"/>
        <v>0</v>
      </c>
    </row>
    <row r="1404" ht="14.5" customHeight="1" spans="11:29" x14ac:dyDescent="0.25">
      <c r="K1404" s="128"/>
      <c r="X1404" s="234">
        <v>2022</v>
      </c>
      <c r="Y1404" s="234">
        <v>2</v>
      </c>
      <c r="Z1404" s="234">
        <v>28</v>
      </c>
      <c r="AA1404" s="235">
        <v>0.4166666666678793</v>
      </c>
      <c r="AB1404" s="236">
        <v>1.9</v>
      </c>
      <c r="AC1404" s="127">
        <f t="shared" si="36"/>
        <v>2</v>
      </c>
    </row>
    <row r="1405" ht="14.5" customHeight="1" spans="11:29" x14ac:dyDescent="0.25">
      <c r="K1405" s="128"/>
      <c r="X1405" s="234">
        <v>2022</v>
      </c>
      <c r="Y1405" s="234">
        <v>2</v>
      </c>
      <c r="Z1405" s="234">
        <v>28</v>
      </c>
      <c r="AA1405" s="235">
        <v>0.4583333333321207</v>
      </c>
      <c r="AB1405" s="236">
        <v>2.7</v>
      </c>
      <c r="AC1405" s="127">
        <f t="shared" si="36"/>
        <v>3</v>
      </c>
    </row>
    <row r="1406" ht="14.5" customHeight="1" spans="11:29" x14ac:dyDescent="0.25">
      <c r="K1406" s="128"/>
      <c r="X1406" s="234">
        <v>2022</v>
      </c>
      <c r="Y1406" s="234">
        <v>2</v>
      </c>
      <c r="Z1406" s="234">
        <v>28</v>
      </c>
      <c r="AA1406" s="235">
        <v>0.5</v>
      </c>
      <c r="AB1406" s="236">
        <v>3.9</v>
      </c>
      <c r="AC1406" s="127">
        <f t="shared" si="36"/>
        <v>4</v>
      </c>
    </row>
    <row r="1407" ht="14.5" customHeight="1" spans="11:29" x14ac:dyDescent="0.25">
      <c r="K1407" s="128"/>
      <c r="X1407" s="234">
        <v>2022</v>
      </c>
      <c r="Y1407" s="234">
        <v>2</v>
      </c>
      <c r="Z1407" s="234">
        <v>28</v>
      </c>
      <c r="AA1407" s="235">
        <v>0.5416666666678793</v>
      </c>
      <c r="AB1407" s="236">
        <v>5.3</v>
      </c>
      <c r="AC1407" s="127">
        <f t="shared" si="36"/>
        <v>5</v>
      </c>
    </row>
    <row r="1408" ht="14.5" customHeight="1" spans="11:29" x14ac:dyDescent="0.25">
      <c r="K1408" s="128"/>
      <c r="X1408" s="234">
        <v>2022</v>
      </c>
      <c r="Y1408" s="234">
        <v>2</v>
      </c>
      <c r="Z1408" s="234">
        <v>28</v>
      </c>
      <c r="AA1408" s="235">
        <v>0.5833333333321207</v>
      </c>
      <c r="AB1408" s="236">
        <v>4.1</v>
      </c>
      <c r="AC1408" s="127">
        <f t="shared" si="36"/>
        <v>4</v>
      </c>
    </row>
    <row r="1409" ht="14.5" customHeight="1" spans="11:29" x14ac:dyDescent="0.25">
      <c r="K1409" s="128"/>
      <c r="X1409" s="234">
        <v>2022</v>
      </c>
      <c r="Y1409" s="234">
        <v>2</v>
      </c>
      <c r="Z1409" s="234">
        <v>28</v>
      </c>
      <c r="AA1409" s="235">
        <v>0.625</v>
      </c>
      <c r="AB1409" s="236">
        <v>0.7</v>
      </c>
      <c r="AC1409" s="127">
        <f t="shared" si="36"/>
        <v>1</v>
      </c>
    </row>
    <row r="1410" ht="14.5" customHeight="1" spans="11:29" x14ac:dyDescent="0.25">
      <c r="K1410" s="128"/>
      <c r="X1410" s="234">
        <v>2022</v>
      </c>
      <c r="Y1410" s="234">
        <v>2</v>
      </c>
      <c r="Z1410" s="234">
        <v>28</v>
      </c>
      <c r="AA1410" s="235">
        <v>0.6666666666678793</v>
      </c>
      <c r="AB1410" s="236">
        <v>-0.2</v>
      </c>
      <c r="AC1410" s="127">
        <f t="shared" si="36"/>
        <v>0</v>
      </c>
    </row>
    <row r="1411" ht="14.5" customHeight="1" spans="11:29" x14ac:dyDescent="0.25">
      <c r="K1411" s="128"/>
      <c r="X1411" s="234">
        <v>2022</v>
      </c>
      <c r="Y1411" s="234">
        <v>2</v>
      </c>
      <c r="Z1411" s="234">
        <v>28</v>
      </c>
      <c r="AA1411" s="235">
        <v>0.7083333333321207</v>
      </c>
      <c r="AB1411" s="236">
        <v>-1.8</v>
      </c>
      <c r="AC1411" s="127">
        <f t="shared" si="36"/>
        <v>-2</v>
      </c>
    </row>
    <row r="1412" ht="14.5" customHeight="1" spans="11:29" x14ac:dyDescent="0.25">
      <c r="K1412" s="128"/>
      <c r="X1412" s="234">
        <v>2022</v>
      </c>
      <c r="Y1412" s="234">
        <v>2</v>
      </c>
      <c r="Z1412" s="234">
        <v>28</v>
      </c>
      <c r="AA1412" s="235">
        <v>0.75</v>
      </c>
      <c r="AB1412" s="236">
        <v>-2.8</v>
      </c>
      <c r="AC1412" s="127">
        <f t="shared" si="36"/>
        <v>-3</v>
      </c>
    </row>
    <row r="1413" ht="14.5" customHeight="1" spans="11:29" x14ac:dyDescent="0.25">
      <c r="K1413" s="128"/>
      <c r="X1413" s="234">
        <v>2022</v>
      </c>
      <c r="Y1413" s="234">
        <v>2</v>
      </c>
      <c r="Z1413" s="234">
        <v>28</v>
      </c>
      <c r="AA1413" s="235">
        <v>0.7916666666678793</v>
      </c>
      <c r="AB1413" s="236">
        <v>-3.3</v>
      </c>
      <c r="AC1413" s="127">
        <f t="shared" si="36"/>
        <v>-3</v>
      </c>
    </row>
    <row r="1414" ht="14.5" customHeight="1" spans="11:29" x14ac:dyDescent="0.25">
      <c r="K1414" s="128"/>
      <c r="X1414" s="234">
        <v>2022</v>
      </c>
      <c r="Y1414" s="234">
        <v>2</v>
      </c>
      <c r="Z1414" s="234">
        <v>28</v>
      </c>
      <c r="AA1414" s="235">
        <v>0.8333333333321207</v>
      </c>
      <c r="AB1414" s="236">
        <v>-3.8</v>
      </c>
      <c r="AC1414" s="127">
        <f t="shared" si="36"/>
        <v>-4</v>
      </c>
    </row>
    <row r="1415" ht="14.5" customHeight="1" spans="11:29" x14ac:dyDescent="0.25">
      <c r="K1415" s="128"/>
      <c r="X1415" s="234">
        <v>2022</v>
      </c>
      <c r="Y1415" s="234">
        <v>2</v>
      </c>
      <c r="Z1415" s="234">
        <v>28</v>
      </c>
      <c r="AA1415" s="235">
        <v>0.875</v>
      </c>
      <c r="AB1415" s="236">
        <v>-4.4</v>
      </c>
      <c r="AC1415" s="127">
        <f t="shared" si="36"/>
        <v>-4</v>
      </c>
    </row>
    <row r="1416" ht="14.5" customHeight="1" spans="11:29" x14ac:dyDescent="0.25">
      <c r="K1416" s="128"/>
      <c r="X1416" s="234">
        <v>2022</v>
      </c>
      <c r="Y1416" s="234">
        <v>2</v>
      </c>
      <c r="Z1416" s="234">
        <v>28</v>
      </c>
      <c r="AA1416" s="235">
        <v>0.9166666666678793</v>
      </c>
      <c r="AB1416" s="236">
        <v>-4.8</v>
      </c>
      <c r="AC1416" s="127">
        <f t="shared" si="36"/>
        <v>-5</v>
      </c>
    </row>
    <row r="1417" ht="14.5" customHeight="1" spans="11:29" x14ac:dyDescent="0.25">
      <c r="K1417" s="128"/>
      <c r="X1417" s="234">
        <v>2022</v>
      </c>
      <c r="Y1417" s="234">
        <v>2</v>
      </c>
      <c r="Z1417" s="234">
        <v>28</v>
      </c>
      <c r="AA1417" s="235">
        <v>0.9583333333321207</v>
      </c>
      <c r="AB1417" s="236">
        <v>-5.1</v>
      </c>
      <c r="AC1417" s="127">
        <f t="shared" si="36"/>
        <v>-5</v>
      </c>
    </row>
    <row r="1418" ht="14.5" customHeight="1" spans="11:29" x14ac:dyDescent="0.25">
      <c r="K1418" s="128"/>
      <c r="X1418" s="234">
        <v>2022</v>
      </c>
      <c r="Y1418" s="234">
        <v>3</v>
      </c>
      <c r="Z1418" s="234">
        <v>1</v>
      </c>
      <c r="AA1418" s="235">
        <v>0</v>
      </c>
      <c r="AB1418" s="236">
        <v>-5</v>
      </c>
      <c r="AC1418" s="127">
        <f t="shared" si="36"/>
        <v>-5</v>
      </c>
    </row>
    <row r="1419" ht="14.5" customHeight="1" spans="11:29" x14ac:dyDescent="0.25">
      <c r="K1419" s="128"/>
      <c r="X1419" s="234">
        <v>2022</v>
      </c>
      <c r="Y1419" s="234">
        <v>3</v>
      </c>
      <c r="Z1419" s="234">
        <v>1</v>
      </c>
      <c r="AA1419" s="235">
        <v>0.041666666667879326</v>
      </c>
      <c r="AB1419" s="236">
        <v>-4.7</v>
      </c>
      <c r="AC1419" s="127">
        <f t="shared" ref="AC1419:AC1482" si="37">ROUND(AB1419,0)</f>
        <v>-5</v>
      </c>
    </row>
    <row r="1420" ht="14.5" customHeight="1" spans="11:29" x14ac:dyDescent="0.25">
      <c r="K1420" s="128"/>
      <c r="X1420" s="234">
        <v>2022</v>
      </c>
      <c r="Y1420" s="234">
        <v>3</v>
      </c>
      <c r="Z1420" s="234">
        <v>1</v>
      </c>
      <c r="AA1420" s="235">
        <v>0.08333333333212067</v>
      </c>
      <c r="AB1420" s="236">
        <v>-5.9</v>
      </c>
      <c r="AC1420" s="127">
        <f t="shared" si="37"/>
        <v>-6</v>
      </c>
    </row>
    <row r="1421" ht="14.5" customHeight="1" spans="11:29" x14ac:dyDescent="0.25">
      <c r="K1421" s="128"/>
      <c r="X1421" s="234">
        <v>2022</v>
      </c>
      <c r="Y1421" s="234">
        <v>3</v>
      </c>
      <c r="Z1421" s="234">
        <v>1</v>
      </c>
      <c r="AA1421" s="235">
        <v>0.125</v>
      </c>
      <c r="AB1421" s="236">
        <v>-6.3</v>
      </c>
      <c r="AC1421" s="127">
        <f t="shared" si="37"/>
        <v>-6</v>
      </c>
    </row>
    <row r="1422" ht="14.5" customHeight="1" spans="11:29" x14ac:dyDescent="0.25">
      <c r="K1422" s="128"/>
      <c r="X1422" s="234">
        <v>2022</v>
      </c>
      <c r="Y1422" s="234">
        <v>3</v>
      </c>
      <c r="Z1422" s="234">
        <v>1</v>
      </c>
      <c r="AA1422" s="235">
        <v>0.16666666666787933</v>
      </c>
      <c r="AB1422" s="236">
        <v>-6.1</v>
      </c>
      <c r="AC1422" s="127">
        <f t="shared" si="37"/>
        <v>-6</v>
      </c>
    </row>
    <row r="1423" ht="14.5" customHeight="1" spans="11:29" x14ac:dyDescent="0.25">
      <c r="K1423" s="128"/>
      <c r="X1423" s="234">
        <v>2022</v>
      </c>
      <c r="Y1423" s="234">
        <v>3</v>
      </c>
      <c r="Z1423" s="234">
        <v>1</v>
      </c>
      <c r="AA1423" s="235">
        <v>0.20833333333212067</v>
      </c>
      <c r="AB1423" s="236">
        <v>-5.8</v>
      </c>
      <c r="AC1423" s="127">
        <f t="shared" si="37"/>
        <v>-6</v>
      </c>
    </row>
    <row r="1424" ht="14.5" customHeight="1" spans="11:29" x14ac:dyDescent="0.25">
      <c r="K1424" s="128"/>
      <c r="X1424" s="234">
        <v>2022</v>
      </c>
      <c r="Y1424" s="234">
        <v>3</v>
      </c>
      <c r="Z1424" s="234">
        <v>1</v>
      </c>
      <c r="AA1424" s="235">
        <v>0.25</v>
      </c>
      <c r="AB1424" s="236">
        <v>-6.3</v>
      </c>
      <c r="AC1424" s="127">
        <f t="shared" si="37"/>
        <v>-6</v>
      </c>
    </row>
    <row r="1425" ht="14.5" customHeight="1" spans="11:29" x14ac:dyDescent="0.25">
      <c r="K1425" s="128"/>
      <c r="X1425" s="234">
        <v>2022</v>
      </c>
      <c r="Y1425" s="234">
        <v>3</v>
      </c>
      <c r="Z1425" s="234">
        <v>1</v>
      </c>
      <c r="AA1425" s="235">
        <v>0.2916666666678793</v>
      </c>
      <c r="AB1425" s="236">
        <v>-7.2</v>
      </c>
      <c r="AC1425" s="127">
        <f t="shared" si="37"/>
        <v>-7</v>
      </c>
    </row>
    <row r="1426" ht="14.5" customHeight="1" spans="11:29" x14ac:dyDescent="0.25">
      <c r="K1426" s="128"/>
      <c r="X1426" s="234">
        <v>2022</v>
      </c>
      <c r="Y1426" s="234">
        <v>3</v>
      </c>
      <c r="Z1426" s="234">
        <v>1</v>
      </c>
      <c r="AA1426" s="235">
        <v>0.3333333333321207</v>
      </c>
      <c r="AB1426" s="236">
        <v>-6.7</v>
      </c>
      <c r="AC1426" s="127">
        <f t="shared" si="37"/>
        <v>-7</v>
      </c>
    </row>
    <row r="1427" ht="14.5" customHeight="1" spans="11:29" x14ac:dyDescent="0.25">
      <c r="K1427" s="128"/>
      <c r="X1427" s="234">
        <v>2022</v>
      </c>
      <c r="Y1427" s="234">
        <v>3</v>
      </c>
      <c r="Z1427" s="234">
        <v>1</v>
      </c>
      <c r="AA1427" s="235">
        <v>0.375</v>
      </c>
      <c r="AB1427" s="236">
        <v>-5.1</v>
      </c>
      <c r="AC1427" s="127">
        <f t="shared" si="37"/>
        <v>-5</v>
      </c>
    </row>
    <row r="1428" ht="14.5" customHeight="1" spans="11:29" x14ac:dyDescent="0.25">
      <c r="K1428" s="128"/>
      <c r="X1428" s="234">
        <v>2022</v>
      </c>
      <c r="Y1428" s="234">
        <v>3</v>
      </c>
      <c r="Z1428" s="234">
        <v>1</v>
      </c>
      <c r="AA1428" s="235">
        <v>0.4166666666678793</v>
      </c>
      <c r="AB1428" s="236">
        <v>-4.3</v>
      </c>
      <c r="AC1428" s="127">
        <f t="shared" si="37"/>
        <v>-4</v>
      </c>
    </row>
    <row r="1429" ht="14.5" customHeight="1" spans="11:29" x14ac:dyDescent="0.25">
      <c r="K1429" s="128"/>
      <c r="X1429" s="234">
        <v>2022</v>
      </c>
      <c r="Y1429" s="234">
        <v>3</v>
      </c>
      <c r="Z1429" s="234">
        <v>1</v>
      </c>
      <c r="AA1429" s="235">
        <v>0.4583333333321207</v>
      </c>
      <c r="AB1429" s="236">
        <v>-1.8</v>
      </c>
      <c r="AC1429" s="127">
        <f t="shared" si="37"/>
        <v>-2</v>
      </c>
    </row>
    <row r="1430" ht="14.5" customHeight="1" spans="11:29" x14ac:dyDescent="0.25">
      <c r="K1430" s="128"/>
      <c r="X1430" s="234">
        <v>2022</v>
      </c>
      <c r="Y1430" s="234">
        <v>3</v>
      </c>
      <c r="Z1430" s="234">
        <v>1</v>
      </c>
      <c r="AA1430" s="235">
        <v>0.5</v>
      </c>
      <c r="AB1430" s="236">
        <v>1.5</v>
      </c>
      <c r="AC1430" s="127">
        <f t="shared" si="37"/>
        <v>2</v>
      </c>
    </row>
    <row r="1431" ht="14.5" customHeight="1" spans="11:29" x14ac:dyDescent="0.25">
      <c r="K1431" s="128"/>
      <c r="X1431" s="234">
        <v>2022</v>
      </c>
      <c r="Y1431" s="234">
        <v>3</v>
      </c>
      <c r="Z1431" s="234">
        <v>1</v>
      </c>
      <c r="AA1431" s="235">
        <v>0.5416666666678793</v>
      </c>
      <c r="AB1431" s="236">
        <v>4.6</v>
      </c>
      <c r="AC1431" s="127">
        <f t="shared" si="37"/>
        <v>5</v>
      </c>
    </row>
    <row r="1432" ht="14.5" customHeight="1" spans="11:29" x14ac:dyDescent="0.25">
      <c r="K1432" s="128"/>
      <c r="X1432" s="234">
        <v>2022</v>
      </c>
      <c r="Y1432" s="234">
        <v>3</v>
      </c>
      <c r="Z1432" s="234">
        <v>1</v>
      </c>
      <c r="AA1432" s="235">
        <v>0.5833333333321207</v>
      </c>
      <c r="AB1432" s="236">
        <v>9.2</v>
      </c>
      <c r="AC1432" s="127">
        <f t="shared" si="37"/>
        <v>9</v>
      </c>
    </row>
    <row r="1433" ht="14.5" customHeight="1" spans="11:29" x14ac:dyDescent="0.25">
      <c r="K1433" s="128"/>
      <c r="X1433" s="234">
        <v>2022</v>
      </c>
      <c r="Y1433" s="234">
        <v>3</v>
      </c>
      <c r="Z1433" s="234">
        <v>1</v>
      </c>
      <c r="AA1433" s="235">
        <v>0.625</v>
      </c>
      <c r="AB1433" s="236">
        <v>11.4</v>
      </c>
      <c r="AC1433" s="127">
        <f t="shared" si="37"/>
        <v>11</v>
      </c>
    </row>
    <row r="1434" ht="14.5" customHeight="1" spans="11:29" x14ac:dyDescent="0.25">
      <c r="K1434" s="128"/>
      <c r="X1434" s="234">
        <v>2022</v>
      </c>
      <c r="Y1434" s="234">
        <v>3</v>
      </c>
      <c r="Z1434" s="234">
        <v>1</v>
      </c>
      <c r="AA1434" s="235">
        <v>0.6666666666678793</v>
      </c>
      <c r="AB1434" s="236">
        <v>4.4</v>
      </c>
      <c r="AC1434" s="127">
        <f t="shared" si="37"/>
        <v>4</v>
      </c>
    </row>
    <row r="1435" ht="14.5" customHeight="1" spans="11:29" x14ac:dyDescent="0.25">
      <c r="K1435" s="128"/>
      <c r="X1435" s="234">
        <v>2022</v>
      </c>
      <c r="Y1435" s="234">
        <v>3</v>
      </c>
      <c r="Z1435" s="234">
        <v>1</v>
      </c>
      <c r="AA1435" s="235">
        <v>0.7083333333321207</v>
      </c>
      <c r="AB1435" s="236">
        <v>-0.8</v>
      </c>
      <c r="AC1435" s="127">
        <f t="shared" si="37"/>
        <v>-1</v>
      </c>
    </row>
    <row r="1436" ht="14.5" customHeight="1" spans="11:29" x14ac:dyDescent="0.25">
      <c r="K1436" s="128"/>
      <c r="X1436" s="234">
        <v>2022</v>
      </c>
      <c r="Y1436" s="234">
        <v>3</v>
      </c>
      <c r="Z1436" s="234">
        <v>1</v>
      </c>
      <c r="AA1436" s="235">
        <v>0.75</v>
      </c>
      <c r="AB1436" s="236">
        <v>-2</v>
      </c>
      <c r="AC1436" s="127">
        <f t="shared" si="37"/>
        <v>-2</v>
      </c>
    </row>
    <row r="1437" ht="14.5" customHeight="1" spans="11:29" x14ac:dyDescent="0.25">
      <c r="K1437" s="128"/>
      <c r="X1437" s="234">
        <v>2022</v>
      </c>
      <c r="Y1437" s="234">
        <v>3</v>
      </c>
      <c r="Z1437" s="234">
        <v>1</v>
      </c>
      <c r="AA1437" s="235">
        <v>0.7916666666678793</v>
      </c>
      <c r="AB1437" s="236">
        <v>-2.6</v>
      </c>
      <c r="AC1437" s="127">
        <f t="shared" si="37"/>
        <v>-3</v>
      </c>
    </row>
    <row r="1438" ht="14.5" customHeight="1" spans="11:29" x14ac:dyDescent="0.25">
      <c r="K1438" s="128"/>
      <c r="X1438" s="234">
        <v>2022</v>
      </c>
      <c r="Y1438" s="234">
        <v>3</v>
      </c>
      <c r="Z1438" s="234">
        <v>1</v>
      </c>
      <c r="AA1438" s="235">
        <v>0.8333333333321207</v>
      </c>
      <c r="AB1438" s="236">
        <v>-3.1</v>
      </c>
      <c r="AC1438" s="127">
        <f t="shared" si="37"/>
        <v>-3</v>
      </c>
    </row>
    <row r="1439" ht="14.5" customHeight="1" spans="11:29" x14ac:dyDescent="0.25">
      <c r="K1439" s="128"/>
      <c r="X1439" s="234">
        <v>2022</v>
      </c>
      <c r="Y1439" s="234">
        <v>3</v>
      </c>
      <c r="Z1439" s="234">
        <v>1</v>
      </c>
      <c r="AA1439" s="235">
        <v>0.875</v>
      </c>
      <c r="AB1439" s="236">
        <v>-4.2</v>
      </c>
      <c r="AC1439" s="127">
        <f t="shared" si="37"/>
        <v>-4</v>
      </c>
    </row>
    <row r="1440" ht="14.5" customHeight="1" spans="11:29" x14ac:dyDescent="0.25">
      <c r="K1440" s="128"/>
      <c r="X1440" s="234">
        <v>2022</v>
      </c>
      <c r="Y1440" s="234">
        <v>3</v>
      </c>
      <c r="Z1440" s="234">
        <v>1</v>
      </c>
      <c r="AA1440" s="235">
        <v>0.9166666666678793</v>
      </c>
      <c r="AB1440" s="236">
        <v>-5.1</v>
      </c>
      <c r="AC1440" s="127">
        <f t="shared" si="37"/>
        <v>-5</v>
      </c>
    </row>
    <row r="1441" ht="14.5" customHeight="1" spans="11:29" x14ac:dyDescent="0.25">
      <c r="K1441" s="128"/>
      <c r="X1441" s="234">
        <v>2022</v>
      </c>
      <c r="Y1441" s="234">
        <v>3</v>
      </c>
      <c r="Z1441" s="234">
        <v>1</v>
      </c>
      <c r="AA1441" s="235">
        <v>0.9583333333321207</v>
      </c>
      <c r="AB1441" s="236">
        <v>-5.6</v>
      </c>
      <c r="AC1441" s="127">
        <f t="shared" si="37"/>
        <v>-6</v>
      </c>
    </row>
    <row r="1442" ht="14.5" customHeight="1" spans="11:29" x14ac:dyDescent="0.25">
      <c r="K1442" s="128"/>
      <c r="X1442" s="234">
        <v>2022</v>
      </c>
      <c r="Y1442" s="234">
        <v>3</v>
      </c>
      <c r="Z1442" s="234">
        <v>2</v>
      </c>
      <c r="AA1442" s="235">
        <v>0</v>
      </c>
      <c r="AB1442" s="236">
        <v>-6.1</v>
      </c>
      <c r="AC1442" s="127">
        <f t="shared" si="37"/>
        <v>-6</v>
      </c>
    </row>
    <row r="1443" ht="14.5" customHeight="1" spans="11:29" x14ac:dyDescent="0.25">
      <c r="K1443" s="128"/>
      <c r="X1443" s="234">
        <v>2022</v>
      </c>
      <c r="Y1443" s="234">
        <v>3</v>
      </c>
      <c r="Z1443" s="234">
        <v>2</v>
      </c>
      <c r="AA1443" s="235">
        <v>0.041666666667879326</v>
      </c>
      <c r="AB1443" s="236">
        <v>-6</v>
      </c>
      <c r="AC1443" s="127">
        <f t="shared" si="37"/>
        <v>-6</v>
      </c>
    </row>
    <row r="1444" ht="14.5" customHeight="1" spans="11:29" x14ac:dyDescent="0.25">
      <c r="K1444" s="128"/>
      <c r="X1444" s="234">
        <v>2022</v>
      </c>
      <c r="Y1444" s="234">
        <v>3</v>
      </c>
      <c r="Z1444" s="234">
        <v>2</v>
      </c>
      <c r="AA1444" s="235">
        <v>0.08333333333212067</v>
      </c>
      <c r="AB1444" s="236">
        <v>-6.7</v>
      </c>
      <c r="AC1444" s="127">
        <f t="shared" si="37"/>
        <v>-7</v>
      </c>
    </row>
    <row r="1445" ht="14.5" customHeight="1" spans="11:29" x14ac:dyDescent="0.25">
      <c r="K1445" s="128"/>
      <c r="X1445" s="234">
        <v>2022</v>
      </c>
      <c r="Y1445" s="234">
        <v>3</v>
      </c>
      <c r="Z1445" s="234">
        <v>2</v>
      </c>
      <c r="AA1445" s="235">
        <v>0.125</v>
      </c>
      <c r="AB1445" s="236">
        <v>-6.7</v>
      </c>
      <c r="AC1445" s="127">
        <f t="shared" si="37"/>
        <v>-7</v>
      </c>
    </row>
    <row r="1446" ht="14.5" customHeight="1" spans="11:29" x14ac:dyDescent="0.25">
      <c r="K1446" s="128"/>
      <c r="X1446" s="234">
        <v>2022</v>
      </c>
      <c r="Y1446" s="234">
        <v>3</v>
      </c>
      <c r="Z1446" s="234">
        <v>2</v>
      </c>
      <c r="AA1446" s="235">
        <v>0.16666666666787933</v>
      </c>
      <c r="AB1446" s="236">
        <v>-6.8</v>
      </c>
      <c r="AC1446" s="127">
        <f t="shared" si="37"/>
        <v>-7</v>
      </c>
    </row>
    <row r="1447" ht="14.5" customHeight="1" spans="11:29" x14ac:dyDescent="0.25">
      <c r="K1447" s="128"/>
      <c r="X1447" s="234">
        <v>2022</v>
      </c>
      <c r="Y1447" s="234">
        <v>3</v>
      </c>
      <c r="Z1447" s="234">
        <v>2</v>
      </c>
      <c r="AA1447" s="235">
        <v>0.20833333333212067</v>
      </c>
      <c r="AB1447" s="236">
        <v>-7</v>
      </c>
      <c r="AC1447" s="127">
        <f t="shared" si="37"/>
        <v>-7</v>
      </c>
    </row>
    <row r="1448" ht="14.5" customHeight="1" spans="11:29" x14ac:dyDescent="0.25">
      <c r="K1448" s="128"/>
      <c r="X1448" s="234">
        <v>2022</v>
      </c>
      <c r="Y1448" s="234">
        <v>3</v>
      </c>
      <c r="Z1448" s="234">
        <v>2</v>
      </c>
      <c r="AA1448" s="235">
        <v>0.25</v>
      </c>
      <c r="AB1448" s="236">
        <v>-7.2</v>
      </c>
      <c r="AC1448" s="127">
        <f t="shared" si="37"/>
        <v>-7</v>
      </c>
    </row>
    <row r="1449" ht="14.5" customHeight="1" spans="11:29" x14ac:dyDescent="0.25">
      <c r="K1449" s="128"/>
      <c r="X1449" s="234">
        <v>2022</v>
      </c>
      <c r="Y1449" s="234">
        <v>3</v>
      </c>
      <c r="Z1449" s="234">
        <v>2</v>
      </c>
      <c r="AA1449" s="235">
        <v>0.2916666666678793</v>
      </c>
      <c r="AB1449" s="236">
        <v>-7.2</v>
      </c>
      <c r="AC1449" s="127">
        <f t="shared" si="37"/>
        <v>-7</v>
      </c>
    </row>
    <row r="1450" ht="14.5" customHeight="1" spans="11:29" x14ac:dyDescent="0.25">
      <c r="K1450" s="128"/>
      <c r="X1450" s="234">
        <v>2022</v>
      </c>
      <c r="Y1450" s="234">
        <v>3</v>
      </c>
      <c r="Z1450" s="234">
        <v>2</v>
      </c>
      <c r="AA1450" s="235">
        <v>0.3333333333321207</v>
      </c>
      <c r="AB1450" s="236">
        <v>-6.8</v>
      </c>
      <c r="AC1450" s="127">
        <f t="shared" si="37"/>
        <v>-7</v>
      </c>
    </row>
    <row r="1451" ht="14.5" customHeight="1" spans="11:29" x14ac:dyDescent="0.25">
      <c r="K1451" s="128"/>
      <c r="X1451" s="234">
        <v>2022</v>
      </c>
      <c r="Y1451" s="234">
        <v>3</v>
      </c>
      <c r="Z1451" s="234">
        <v>2</v>
      </c>
      <c r="AA1451" s="235">
        <v>0.375</v>
      </c>
      <c r="AB1451" s="236">
        <v>-7</v>
      </c>
      <c r="AC1451" s="127">
        <f t="shared" si="37"/>
        <v>-7</v>
      </c>
    </row>
    <row r="1452" ht="14.5" customHeight="1" spans="11:29" x14ac:dyDescent="0.25">
      <c r="K1452" s="128"/>
      <c r="X1452" s="234">
        <v>2022</v>
      </c>
      <c r="Y1452" s="234">
        <v>3</v>
      </c>
      <c r="Z1452" s="234">
        <v>2</v>
      </c>
      <c r="AA1452" s="235">
        <v>0.4166666666678793</v>
      </c>
      <c r="AB1452" s="236">
        <v>-6.5</v>
      </c>
      <c r="AC1452" s="127">
        <f t="shared" si="37"/>
        <v>-7</v>
      </c>
    </row>
    <row r="1453" ht="14.5" customHeight="1" spans="11:29" x14ac:dyDescent="0.25">
      <c r="K1453" s="128"/>
      <c r="X1453" s="234">
        <v>2022</v>
      </c>
      <c r="Y1453" s="234">
        <v>3</v>
      </c>
      <c r="Z1453" s="234">
        <v>2</v>
      </c>
      <c r="AA1453" s="235">
        <v>0.4583333333321207</v>
      </c>
      <c r="AB1453" s="236">
        <v>-6.3</v>
      </c>
      <c r="AC1453" s="127">
        <f t="shared" si="37"/>
        <v>-6</v>
      </c>
    </row>
    <row r="1454" ht="14.5" customHeight="1" spans="11:29" x14ac:dyDescent="0.25">
      <c r="K1454" s="128"/>
      <c r="X1454" s="234">
        <v>2022</v>
      </c>
      <c r="Y1454" s="234">
        <v>3</v>
      </c>
      <c r="Z1454" s="234">
        <v>2</v>
      </c>
      <c r="AA1454" s="235">
        <v>0.5</v>
      </c>
      <c r="AB1454" s="236">
        <v>-6.3</v>
      </c>
      <c r="AC1454" s="127">
        <f t="shared" si="37"/>
        <v>-6</v>
      </c>
    </row>
    <row r="1455" ht="14.5" customHeight="1" spans="11:29" x14ac:dyDescent="0.25">
      <c r="K1455" s="128"/>
      <c r="X1455" s="234">
        <v>2022</v>
      </c>
      <c r="Y1455" s="234">
        <v>3</v>
      </c>
      <c r="Z1455" s="234">
        <v>2</v>
      </c>
      <c r="AA1455" s="235">
        <v>0.5416666666678793</v>
      </c>
      <c r="AB1455" s="236">
        <v>-6.4</v>
      </c>
      <c r="AC1455" s="127">
        <f t="shared" si="37"/>
        <v>-6</v>
      </c>
    </row>
    <row r="1456" ht="14.5" customHeight="1" spans="11:29" x14ac:dyDescent="0.25">
      <c r="K1456" s="128"/>
      <c r="X1456" s="234">
        <v>2022</v>
      </c>
      <c r="Y1456" s="234">
        <v>3</v>
      </c>
      <c r="Z1456" s="234">
        <v>2</v>
      </c>
      <c r="AA1456" s="235">
        <v>0.5833333333321207</v>
      </c>
      <c r="AB1456" s="236">
        <v>-6.7</v>
      </c>
      <c r="AC1456" s="127">
        <f t="shared" si="37"/>
        <v>-7</v>
      </c>
    </row>
    <row r="1457" ht="14.5" customHeight="1" spans="11:29" x14ac:dyDescent="0.25">
      <c r="K1457" s="128"/>
      <c r="X1457" s="234">
        <v>2022</v>
      </c>
      <c r="Y1457" s="234">
        <v>3</v>
      </c>
      <c r="Z1457" s="234">
        <v>2</v>
      </c>
      <c r="AA1457" s="235">
        <v>0.625</v>
      </c>
      <c r="AB1457" s="236">
        <v>-6.8</v>
      </c>
      <c r="AC1457" s="127">
        <f t="shared" si="37"/>
        <v>-7</v>
      </c>
    </row>
    <row r="1458" ht="14.5" customHeight="1" spans="11:29" x14ac:dyDescent="0.25">
      <c r="K1458" s="128"/>
      <c r="X1458" s="234">
        <v>2022</v>
      </c>
      <c r="Y1458" s="234">
        <v>3</v>
      </c>
      <c r="Z1458" s="234">
        <v>2</v>
      </c>
      <c r="AA1458" s="235">
        <v>0.6666666666678793</v>
      </c>
      <c r="AB1458" s="236">
        <v>-7</v>
      </c>
      <c r="AC1458" s="127">
        <f t="shared" si="37"/>
        <v>-7</v>
      </c>
    </row>
    <row r="1459" ht="14.5" customHeight="1" spans="11:29" x14ac:dyDescent="0.25">
      <c r="K1459" s="128"/>
      <c r="X1459" s="234">
        <v>2022</v>
      </c>
      <c r="Y1459" s="234">
        <v>3</v>
      </c>
      <c r="Z1459" s="234">
        <v>2</v>
      </c>
      <c r="AA1459" s="235">
        <v>0.7083333333321207</v>
      </c>
      <c r="AB1459" s="236">
        <v>-6.9</v>
      </c>
      <c r="AC1459" s="127">
        <f t="shared" si="37"/>
        <v>-7</v>
      </c>
    </row>
    <row r="1460" ht="14.5" customHeight="1" spans="11:29" x14ac:dyDescent="0.25">
      <c r="K1460" s="128"/>
      <c r="X1460" s="234">
        <v>2022</v>
      </c>
      <c r="Y1460" s="234">
        <v>3</v>
      </c>
      <c r="Z1460" s="234">
        <v>2</v>
      </c>
      <c r="AA1460" s="235">
        <v>0.75</v>
      </c>
      <c r="AB1460" s="236">
        <v>-7.3</v>
      </c>
      <c r="AC1460" s="127">
        <f t="shared" si="37"/>
        <v>-7</v>
      </c>
    </row>
    <row r="1461" ht="14.5" customHeight="1" spans="11:29" x14ac:dyDescent="0.25">
      <c r="K1461" s="128"/>
      <c r="X1461" s="234">
        <v>2022</v>
      </c>
      <c r="Y1461" s="234">
        <v>3</v>
      </c>
      <c r="Z1461" s="234">
        <v>2</v>
      </c>
      <c r="AA1461" s="235">
        <v>0.7916666666678793</v>
      </c>
      <c r="AB1461" s="236">
        <v>-7.7</v>
      </c>
      <c r="AC1461" s="127">
        <f t="shared" si="37"/>
        <v>-8</v>
      </c>
    </row>
    <row r="1462" ht="14.5" customHeight="1" spans="11:29" x14ac:dyDescent="0.25">
      <c r="K1462" s="128"/>
      <c r="X1462" s="234">
        <v>2022</v>
      </c>
      <c r="Y1462" s="234">
        <v>3</v>
      </c>
      <c r="Z1462" s="234">
        <v>2</v>
      </c>
      <c r="AA1462" s="235">
        <v>0.8333333333321207</v>
      </c>
      <c r="AB1462" s="236">
        <v>-7.8</v>
      </c>
      <c r="AC1462" s="127">
        <f t="shared" si="37"/>
        <v>-8</v>
      </c>
    </row>
    <row r="1463" ht="14.5" customHeight="1" spans="11:29" x14ac:dyDescent="0.25">
      <c r="K1463" s="128"/>
      <c r="X1463" s="234">
        <v>2022</v>
      </c>
      <c r="Y1463" s="234">
        <v>3</v>
      </c>
      <c r="Z1463" s="234">
        <v>2</v>
      </c>
      <c r="AA1463" s="235">
        <v>0.875</v>
      </c>
      <c r="AB1463" s="236">
        <v>-7.8</v>
      </c>
      <c r="AC1463" s="127">
        <f t="shared" si="37"/>
        <v>-8</v>
      </c>
    </row>
    <row r="1464" ht="14.5" customHeight="1" spans="11:29" x14ac:dyDescent="0.25">
      <c r="K1464" s="128"/>
      <c r="X1464" s="234">
        <v>2022</v>
      </c>
      <c r="Y1464" s="234">
        <v>3</v>
      </c>
      <c r="Z1464" s="234">
        <v>2</v>
      </c>
      <c r="AA1464" s="235">
        <v>0.9166666666678793</v>
      </c>
      <c r="AB1464" s="236">
        <v>-7.8</v>
      </c>
      <c r="AC1464" s="127">
        <f t="shared" si="37"/>
        <v>-8</v>
      </c>
    </row>
    <row r="1465" ht="14.5" customHeight="1" spans="11:29" x14ac:dyDescent="0.25">
      <c r="K1465" s="128"/>
      <c r="X1465" s="234">
        <v>2022</v>
      </c>
      <c r="Y1465" s="234">
        <v>3</v>
      </c>
      <c r="Z1465" s="234">
        <v>2</v>
      </c>
      <c r="AA1465" s="235">
        <v>0.9583333333321207</v>
      </c>
      <c r="AB1465" s="236">
        <v>-7.7</v>
      </c>
      <c r="AC1465" s="127">
        <f t="shared" si="37"/>
        <v>-8</v>
      </c>
    </row>
    <row r="1466" ht="14.5" customHeight="1" spans="11:29" x14ac:dyDescent="0.25">
      <c r="K1466" s="128"/>
      <c r="X1466" s="234">
        <v>2022</v>
      </c>
      <c r="Y1466" s="234">
        <v>3</v>
      </c>
      <c r="Z1466" s="234">
        <v>3</v>
      </c>
      <c r="AA1466" s="235">
        <v>0</v>
      </c>
      <c r="AB1466" s="236">
        <v>-7.8</v>
      </c>
      <c r="AC1466" s="127">
        <f t="shared" si="37"/>
        <v>-8</v>
      </c>
    </row>
    <row r="1467" ht="14.5" customHeight="1" spans="11:29" x14ac:dyDescent="0.25">
      <c r="K1467" s="128"/>
      <c r="X1467" s="234">
        <v>2022</v>
      </c>
      <c r="Y1467" s="234">
        <v>3</v>
      </c>
      <c r="Z1467" s="234">
        <v>3</v>
      </c>
      <c r="AA1467" s="235">
        <v>0.041666666667879326</v>
      </c>
      <c r="AB1467" s="236">
        <v>-7.8</v>
      </c>
      <c r="AC1467" s="127">
        <f t="shared" si="37"/>
        <v>-8</v>
      </c>
    </row>
    <row r="1468" ht="14.5" customHeight="1" spans="11:29" x14ac:dyDescent="0.25">
      <c r="K1468" s="128"/>
      <c r="X1468" s="234">
        <v>2022</v>
      </c>
      <c r="Y1468" s="234">
        <v>3</v>
      </c>
      <c r="Z1468" s="234">
        <v>3</v>
      </c>
      <c r="AA1468" s="235">
        <v>0.08333333333212067</v>
      </c>
      <c r="AB1468" s="236">
        <v>-7.7</v>
      </c>
      <c r="AC1468" s="127">
        <f t="shared" si="37"/>
        <v>-8</v>
      </c>
    </row>
    <row r="1469" ht="14.5" customHeight="1" spans="11:29" x14ac:dyDescent="0.25">
      <c r="K1469" s="128"/>
      <c r="X1469" s="234">
        <v>2022</v>
      </c>
      <c r="Y1469" s="234">
        <v>3</v>
      </c>
      <c r="Z1469" s="234">
        <v>3</v>
      </c>
      <c r="AA1469" s="235">
        <v>0.125</v>
      </c>
      <c r="AB1469" s="236">
        <v>-7.8</v>
      </c>
      <c r="AC1469" s="127">
        <f t="shared" si="37"/>
        <v>-8</v>
      </c>
    </row>
    <row r="1470" ht="14.5" customHeight="1" spans="11:29" x14ac:dyDescent="0.25">
      <c r="K1470" s="128"/>
      <c r="X1470" s="234">
        <v>2022</v>
      </c>
      <c r="Y1470" s="234">
        <v>3</v>
      </c>
      <c r="Z1470" s="234">
        <v>3</v>
      </c>
      <c r="AA1470" s="235">
        <v>0.16666666666787933</v>
      </c>
      <c r="AB1470" s="236">
        <v>-7.8</v>
      </c>
      <c r="AC1470" s="127">
        <f t="shared" si="37"/>
        <v>-8</v>
      </c>
    </row>
    <row r="1471" ht="14.5" customHeight="1" spans="11:29" x14ac:dyDescent="0.25">
      <c r="K1471" s="128"/>
      <c r="X1471" s="234">
        <v>2022</v>
      </c>
      <c r="Y1471" s="234">
        <v>3</v>
      </c>
      <c r="Z1471" s="234">
        <v>3</v>
      </c>
      <c r="AA1471" s="235">
        <v>0.20833333333212067</v>
      </c>
      <c r="AB1471" s="236">
        <v>-7.9</v>
      </c>
      <c r="AC1471" s="127">
        <f t="shared" si="37"/>
        <v>-8</v>
      </c>
    </row>
    <row r="1472" ht="14.5" customHeight="1" spans="11:29" x14ac:dyDescent="0.25">
      <c r="K1472" s="128"/>
      <c r="X1472" s="234">
        <v>2022</v>
      </c>
      <c r="Y1472" s="234">
        <v>3</v>
      </c>
      <c r="Z1472" s="234">
        <v>3</v>
      </c>
      <c r="AA1472" s="235">
        <v>0.25</v>
      </c>
      <c r="AB1472" s="236">
        <v>-8.2</v>
      </c>
      <c r="AC1472" s="127">
        <f t="shared" si="37"/>
        <v>-8</v>
      </c>
    </row>
    <row r="1473" ht="14.5" customHeight="1" spans="11:29" x14ac:dyDescent="0.25">
      <c r="K1473" s="128"/>
      <c r="X1473" s="234">
        <v>2022</v>
      </c>
      <c r="Y1473" s="234">
        <v>3</v>
      </c>
      <c r="Z1473" s="234">
        <v>3</v>
      </c>
      <c r="AA1473" s="235">
        <v>0.2916666666678793</v>
      </c>
      <c r="AB1473" s="236">
        <v>-8.5</v>
      </c>
      <c r="AC1473" s="127">
        <f t="shared" si="37"/>
        <v>-9</v>
      </c>
    </row>
    <row r="1474" ht="14.5" customHeight="1" spans="11:29" x14ac:dyDescent="0.25">
      <c r="K1474" s="128"/>
      <c r="X1474" s="234">
        <v>2022</v>
      </c>
      <c r="Y1474" s="234">
        <v>3</v>
      </c>
      <c r="Z1474" s="234">
        <v>3</v>
      </c>
      <c r="AA1474" s="235">
        <v>0.3333333333321207</v>
      </c>
      <c r="AB1474" s="236">
        <v>-8.3</v>
      </c>
      <c r="AC1474" s="127">
        <f t="shared" si="37"/>
        <v>-8</v>
      </c>
    </row>
    <row r="1475" ht="14.5" customHeight="1" spans="11:29" x14ac:dyDescent="0.25">
      <c r="K1475" s="128"/>
      <c r="X1475" s="234">
        <v>2022</v>
      </c>
      <c r="Y1475" s="234">
        <v>3</v>
      </c>
      <c r="Z1475" s="234">
        <v>3</v>
      </c>
      <c r="AA1475" s="235">
        <v>0.375</v>
      </c>
      <c r="AB1475" s="236">
        <v>-8.3</v>
      </c>
      <c r="AC1475" s="127">
        <f t="shared" si="37"/>
        <v>-8</v>
      </c>
    </row>
    <row r="1476" ht="14.5" customHeight="1" spans="11:29" x14ac:dyDescent="0.25">
      <c r="K1476" s="128"/>
      <c r="X1476" s="234">
        <v>2022</v>
      </c>
      <c r="Y1476" s="234">
        <v>3</v>
      </c>
      <c r="Z1476" s="234">
        <v>3</v>
      </c>
      <c r="AA1476" s="235">
        <v>0.4166666666678793</v>
      </c>
      <c r="AB1476" s="236">
        <v>-8.4</v>
      </c>
      <c r="AC1476" s="127">
        <f t="shared" si="37"/>
        <v>-8</v>
      </c>
    </row>
    <row r="1477" ht="14.5" customHeight="1" spans="11:29" x14ac:dyDescent="0.25">
      <c r="K1477" s="128"/>
      <c r="X1477" s="234">
        <v>2022</v>
      </c>
      <c r="Y1477" s="234">
        <v>3</v>
      </c>
      <c r="Z1477" s="234">
        <v>3</v>
      </c>
      <c r="AA1477" s="235">
        <v>0.4583333333321207</v>
      </c>
      <c r="AB1477" s="236">
        <v>-8.2</v>
      </c>
      <c r="AC1477" s="127">
        <f t="shared" si="37"/>
        <v>-8</v>
      </c>
    </row>
    <row r="1478" ht="14.5" customHeight="1" spans="11:29" x14ac:dyDescent="0.25">
      <c r="K1478" s="128"/>
      <c r="X1478" s="234">
        <v>2022</v>
      </c>
      <c r="Y1478" s="234">
        <v>3</v>
      </c>
      <c r="Z1478" s="234">
        <v>3</v>
      </c>
      <c r="AA1478" s="235">
        <v>0.5</v>
      </c>
      <c r="AB1478" s="236">
        <v>-7.5</v>
      </c>
      <c r="AC1478" s="127">
        <f t="shared" si="37"/>
        <v>-8</v>
      </c>
    </row>
    <row r="1479" ht="14.5" customHeight="1" spans="11:29" x14ac:dyDescent="0.25">
      <c r="K1479" s="128"/>
      <c r="X1479" s="234">
        <v>2022</v>
      </c>
      <c r="Y1479" s="234">
        <v>3</v>
      </c>
      <c r="Z1479" s="234">
        <v>3</v>
      </c>
      <c r="AA1479" s="235">
        <v>0.5416666666678793</v>
      </c>
      <c r="AB1479" s="236">
        <v>-6.9</v>
      </c>
      <c r="AC1479" s="127">
        <f t="shared" si="37"/>
        <v>-7</v>
      </c>
    </row>
    <row r="1480" ht="14.5" customHeight="1" spans="11:29" x14ac:dyDescent="0.25">
      <c r="K1480" s="128"/>
      <c r="X1480" s="234">
        <v>2022</v>
      </c>
      <c r="Y1480" s="234">
        <v>3</v>
      </c>
      <c r="Z1480" s="234">
        <v>3</v>
      </c>
      <c r="AA1480" s="235">
        <v>0.5833333333321207</v>
      </c>
      <c r="AB1480" s="236">
        <v>-6.7</v>
      </c>
      <c r="AC1480" s="127">
        <f t="shared" si="37"/>
        <v>-7</v>
      </c>
    </row>
    <row r="1481" ht="14.5" customHeight="1" spans="11:29" x14ac:dyDescent="0.25">
      <c r="K1481" s="128"/>
      <c r="X1481" s="234">
        <v>2022</v>
      </c>
      <c r="Y1481" s="234">
        <v>3</v>
      </c>
      <c r="Z1481" s="234">
        <v>3</v>
      </c>
      <c r="AA1481" s="235">
        <v>0.625</v>
      </c>
      <c r="AB1481" s="236">
        <v>-7.4</v>
      </c>
      <c r="AC1481" s="127">
        <f t="shared" si="37"/>
        <v>-7</v>
      </c>
    </row>
    <row r="1482" ht="14.5" customHeight="1" spans="11:29" x14ac:dyDescent="0.25">
      <c r="K1482" s="128"/>
      <c r="X1482" s="234">
        <v>2022</v>
      </c>
      <c r="Y1482" s="234">
        <v>3</v>
      </c>
      <c r="Z1482" s="234">
        <v>3</v>
      </c>
      <c r="AA1482" s="235">
        <v>0.6666666666678793</v>
      </c>
      <c r="AB1482" s="236">
        <v>-8</v>
      </c>
      <c r="AC1482" s="127">
        <f t="shared" si="37"/>
        <v>-8</v>
      </c>
    </row>
    <row r="1483" ht="14.5" customHeight="1" spans="11:29" x14ac:dyDescent="0.25">
      <c r="K1483" s="128"/>
      <c r="X1483" s="234">
        <v>2022</v>
      </c>
      <c r="Y1483" s="234">
        <v>3</v>
      </c>
      <c r="Z1483" s="234">
        <v>3</v>
      </c>
      <c r="AA1483" s="235">
        <v>0.7083333333321207</v>
      </c>
      <c r="AB1483" s="236">
        <v>-8.5</v>
      </c>
      <c r="AC1483" s="127">
        <f t="shared" ref="AC1483:AC1546" si="38">ROUND(AB1483,0)</f>
        <v>-9</v>
      </c>
    </row>
    <row r="1484" ht="14.5" customHeight="1" spans="11:29" x14ac:dyDescent="0.25">
      <c r="K1484" s="128"/>
      <c r="X1484" s="234">
        <v>2022</v>
      </c>
      <c r="Y1484" s="234">
        <v>3</v>
      </c>
      <c r="Z1484" s="234">
        <v>3</v>
      </c>
      <c r="AA1484" s="235">
        <v>0.75</v>
      </c>
      <c r="AB1484" s="236">
        <v>-8.9</v>
      </c>
      <c r="AC1484" s="127">
        <f t="shared" si="38"/>
        <v>-9</v>
      </c>
    </row>
    <row r="1485" ht="14.5" customHeight="1" spans="11:29" x14ac:dyDescent="0.25">
      <c r="K1485" s="128"/>
      <c r="X1485" s="234">
        <v>2022</v>
      </c>
      <c r="Y1485" s="234">
        <v>3</v>
      </c>
      <c r="Z1485" s="234">
        <v>3</v>
      </c>
      <c r="AA1485" s="235">
        <v>0.7916666666678793</v>
      </c>
      <c r="AB1485" s="236">
        <v>-9.1</v>
      </c>
      <c r="AC1485" s="127">
        <f t="shared" si="38"/>
        <v>-9</v>
      </c>
    </row>
    <row r="1486" ht="14.5" customHeight="1" spans="11:29" x14ac:dyDescent="0.25">
      <c r="K1486" s="128"/>
      <c r="X1486" s="234">
        <v>2022</v>
      </c>
      <c r="Y1486" s="234">
        <v>3</v>
      </c>
      <c r="Z1486" s="234">
        <v>3</v>
      </c>
      <c r="AA1486" s="235">
        <v>0.8333333333321207</v>
      </c>
      <c r="AB1486" s="236">
        <v>-9</v>
      </c>
      <c r="AC1486" s="127">
        <f t="shared" si="38"/>
        <v>-9</v>
      </c>
    </row>
    <row r="1487" ht="14.5" customHeight="1" spans="11:29" x14ac:dyDescent="0.25">
      <c r="K1487" s="128"/>
      <c r="X1487" s="234">
        <v>2022</v>
      </c>
      <c r="Y1487" s="234">
        <v>3</v>
      </c>
      <c r="Z1487" s="234">
        <v>3</v>
      </c>
      <c r="AA1487" s="235">
        <v>0.875</v>
      </c>
      <c r="AB1487" s="236">
        <v>-8.8</v>
      </c>
      <c r="AC1487" s="127">
        <f t="shared" si="38"/>
        <v>-9</v>
      </c>
    </row>
    <row r="1488" ht="14.5" customHeight="1" spans="11:29" x14ac:dyDescent="0.25">
      <c r="K1488" s="128"/>
      <c r="X1488" s="234">
        <v>2022</v>
      </c>
      <c r="Y1488" s="234">
        <v>3</v>
      </c>
      <c r="Z1488" s="234">
        <v>3</v>
      </c>
      <c r="AA1488" s="235">
        <v>0.9166666666678793</v>
      </c>
      <c r="AB1488" s="236">
        <v>-9.3</v>
      </c>
      <c r="AC1488" s="127">
        <f t="shared" si="38"/>
        <v>-9</v>
      </c>
    </row>
    <row r="1489" ht="14.5" customHeight="1" spans="11:29" x14ac:dyDescent="0.25">
      <c r="K1489" s="128"/>
      <c r="X1489" s="234">
        <v>2022</v>
      </c>
      <c r="Y1489" s="234">
        <v>3</v>
      </c>
      <c r="Z1489" s="234">
        <v>3</v>
      </c>
      <c r="AA1489" s="235">
        <v>0.9583333333321207</v>
      </c>
      <c r="AB1489" s="236">
        <v>-9.7</v>
      </c>
      <c r="AC1489" s="127">
        <f t="shared" si="38"/>
        <v>-10</v>
      </c>
    </row>
    <row r="1490" ht="14.5" customHeight="1" spans="11:29" x14ac:dyDescent="0.25">
      <c r="K1490" s="128"/>
      <c r="X1490" s="234">
        <v>2022</v>
      </c>
      <c r="Y1490" s="234">
        <v>3</v>
      </c>
      <c r="Z1490" s="234">
        <v>4</v>
      </c>
      <c r="AA1490" s="235">
        <v>0</v>
      </c>
      <c r="AB1490" s="236">
        <v>-10.3</v>
      </c>
      <c r="AC1490" s="127">
        <f t="shared" si="38"/>
        <v>-10</v>
      </c>
    </row>
    <row r="1491" ht="14.5" customHeight="1" spans="11:29" x14ac:dyDescent="0.25">
      <c r="K1491" s="128"/>
      <c r="X1491" s="234">
        <v>2022</v>
      </c>
      <c r="Y1491" s="234">
        <v>3</v>
      </c>
      <c r="Z1491" s="234">
        <v>4</v>
      </c>
      <c r="AA1491" s="235">
        <v>0.041666666667879326</v>
      </c>
      <c r="AB1491" s="236">
        <v>-10.6</v>
      </c>
      <c r="AC1491" s="127">
        <f t="shared" si="38"/>
        <v>-11</v>
      </c>
    </row>
    <row r="1492" ht="14.5" customHeight="1" spans="11:29" x14ac:dyDescent="0.25">
      <c r="K1492" s="128"/>
      <c r="X1492" s="234">
        <v>2022</v>
      </c>
      <c r="Y1492" s="234">
        <v>3</v>
      </c>
      <c r="Z1492" s="234">
        <v>4</v>
      </c>
      <c r="AA1492" s="235">
        <v>0.08333333333212067</v>
      </c>
      <c r="AB1492" s="236">
        <v>-10.5</v>
      </c>
      <c r="AC1492" s="127">
        <f t="shared" si="38"/>
        <v>-11</v>
      </c>
    </row>
    <row r="1493" ht="14.5" customHeight="1" spans="11:29" x14ac:dyDescent="0.25">
      <c r="K1493" s="128"/>
      <c r="X1493" s="234">
        <v>2022</v>
      </c>
      <c r="Y1493" s="234">
        <v>3</v>
      </c>
      <c r="Z1493" s="234">
        <v>4</v>
      </c>
      <c r="AA1493" s="235">
        <v>0.125</v>
      </c>
      <c r="AB1493" s="236">
        <v>-10.6</v>
      </c>
      <c r="AC1493" s="127">
        <f t="shared" si="38"/>
        <v>-11</v>
      </c>
    </row>
    <row r="1494" ht="14.5" customHeight="1" spans="11:29" x14ac:dyDescent="0.25">
      <c r="K1494" s="128"/>
      <c r="X1494" s="234">
        <v>2022</v>
      </c>
      <c r="Y1494" s="234">
        <v>3</v>
      </c>
      <c r="Z1494" s="234">
        <v>4</v>
      </c>
      <c r="AA1494" s="235">
        <v>0.16666666666787933</v>
      </c>
      <c r="AB1494" s="236">
        <v>-10.7</v>
      </c>
      <c r="AC1494" s="127">
        <f t="shared" si="38"/>
        <v>-11</v>
      </c>
    </row>
    <row r="1495" ht="14.5" customHeight="1" spans="11:29" x14ac:dyDescent="0.25">
      <c r="K1495" s="128"/>
      <c r="X1495" s="234">
        <v>2022</v>
      </c>
      <c r="Y1495" s="234">
        <v>3</v>
      </c>
      <c r="Z1495" s="234">
        <v>4</v>
      </c>
      <c r="AA1495" s="235">
        <v>0.20833333333212067</v>
      </c>
      <c r="AB1495" s="236">
        <v>-10.8</v>
      </c>
      <c r="AC1495" s="127">
        <f t="shared" si="38"/>
        <v>-11</v>
      </c>
    </row>
    <row r="1496" ht="14.5" customHeight="1" spans="11:29" x14ac:dyDescent="0.25">
      <c r="K1496" s="128"/>
      <c r="X1496" s="234">
        <v>2022</v>
      </c>
      <c r="Y1496" s="234">
        <v>3</v>
      </c>
      <c r="Z1496" s="234">
        <v>4</v>
      </c>
      <c r="AA1496" s="235">
        <v>0.25</v>
      </c>
      <c r="AB1496" s="236">
        <v>-10.8</v>
      </c>
      <c r="AC1496" s="127">
        <f t="shared" si="38"/>
        <v>-11</v>
      </c>
    </row>
    <row r="1497" ht="14.5" customHeight="1" spans="11:29" x14ac:dyDescent="0.25">
      <c r="K1497" s="128"/>
      <c r="X1497" s="234">
        <v>2022</v>
      </c>
      <c r="Y1497" s="234">
        <v>3</v>
      </c>
      <c r="Z1497" s="234">
        <v>4</v>
      </c>
      <c r="AA1497" s="235">
        <v>0.2916666666678793</v>
      </c>
      <c r="AB1497" s="236">
        <v>-10.6</v>
      </c>
      <c r="AC1497" s="127">
        <f t="shared" si="38"/>
        <v>-11</v>
      </c>
    </row>
    <row r="1498" ht="14.5" customHeight="1" spans="11:29" x14ac:dyDescent="0.25">
      <c r="K1498" s="128"/>
      <c r="X1498" s="234">
        <v>2022</v>
      </c>
      <c r="Y1498" s="234">
        <v>3</v>
      </c>
      <c r="Z1498" s="234">
        <v>4</v>
      </c>
      <c r="AA1498" s="235">
        <v>0.3333333333321207</v>
      </c>
      <c r="AB1498" s="236">
        <v>-10.4</v>
      </c>
      <c r="AC1498" s="127">
        <f t="shared" si="38"/>
        <v>-10</v>
      </c>
    </row>
    <row r="1499" ht="14.5" customHeight="1" spans="11:29" x14ac:dyDescent="0.25">
      <c r="K1499" s="128"/>
      <c r="X1499" s="234">
        <v>2022</v>
      </c>
      <c r="Y1499" s="234">
        <v>3</v>
      </c>
      <c r="Z1499" s="234">
        <v>4</v>
      </c>
      <c r="AA1499" s="235">
        <v>0.375</v>
      </c>
      <c r="AB1499" s="236">
        <v>-9.9</v>
      </c>
      <c r="AC1499" s="127">
        <f t="shared" si="38"/>
        <v>-10</v>
      </c>
    </row>
    <row r="1500" ht="14.5" customHeight="1" spans="11:29" x14ac:dyDescent="0.25">
      <c r="K1500" s="128"/>
      <c r="X1500" s="234">
        <v>2022</v>
      </c>
      <c r="Y1500" s="234">
        <v>3</v>
      </c>
      <c r="Z1500" s="234">
        <v>4</v>
      </c>
      <c r="AA1500" s="235">
        <v>0.4166666666678793</v>
      </c>
      <c r="AB1500" s="236">
        <v>-9.6</v>
      </c>
      <c r="AC1500" s="127">
        <f t="shared" si="38"/>
        <v>-10</v>
      </c>
    </row>
    <row r="1501" ht="14.5" customHeight="1" spans="11:29" x14ac:dyDescent="0.25">
      <c r="K1501" s="128"/>
      <c r="X1501" s="234">
        <v>2022</v>
      </c>
      <c r="Y1501" s="234">
        <v>3</v>
      </c>
      <c r="Z1501" s="234">
        <v>4</v>
      </c>
      <c r="AA1501" s="235">
        <v>0.4583333333321207</v>
      </c>
      <c r="AB1501" s="236">
        <v>-9.2</v>
      </c>
      <c r="AC1501" s="127">
        <f t="shared" si="38"/>
        <v>-9</v>
      </c>
    </row>
    <row r="1502" ht="14.5" customHeight="1" spans="11:29" x14ac:dyDescent="0.25">
      <c r="K1502" s="128"/>
      <c r="X1502" s="234">
        <v>2022</v>
      </c>
      <c r="Y1502" s="234">
        <v>3</v>
      </c>
      <c r="Z1502" s="234">
        <v>4</v>
      </c>
      <c r="AA1502" s="235">
        <v>0.5</v>
      </c>
      <c r="AB1502" s="236">
        <v>-8.3</v>
      </c>
      <c r="AC1502" s="127">
        <f t="shared" si="38"/>
        <v>-8</v>
      </c>
    </row>
    <row r="1503" ht="14.5" customHeight="1" spans="11:29" x14ac:dyDescent="0.25">
      <c r="K1503" s="128"/>
      <c r="X1503" s="234">
        <v>2022</v>
      </c>
      <c r="Y1503" s="234">
        <v>3</v>
      </c>
      <c r="Z1503" s="234">
        <v>4</v>
      </c>
      <c r="AA1503" s="235">
        <v>0.5416666666678793</v>
      </c>
      <c r="AB1503" s="236">
        <v>-7.2</v>
      </c>
      <c r="AC1503" s="127">
        <f t="shared" si="38"/>
        <v>-7</v>
      </c>
    </row>
    <row r="1504" ht="14.5" customHeight="1" spans="11:29" x14ac:dyDescent="0.25">
      <c r="K1504" s="128"/>
      <c r="X1504" s="234">
        <v>2022</v>
      </c>
      <c r="Y1504" s="234">
        <v>3</v>
      </c>
      <c r="Z1504" s="234">
        <v>4</v>
      </c>
      <c r="AA1504" s="235">
        <v>0.5833333333321207</v>
      </c>
      <c r="AB1504" s="236">
        <v>-6.7</v>
      </c>
      <c r="AC1504" s="127">
        <f t="shared" si="38"/>
        <v>-7</v>
      </c>
    </row>
    <row r="1505" ht="14.5" customHeight="1" spans="11:29" x14ac:dyDescent="0.25">
      <c r="K1505" s="128"/>
      <c r="X1505" s="234">
        <v>2022</v>
      </c>
      <c r="Y1505" s="234">
        <v>3</v>
      </c>
      <c r="Z1505" s="234">
        <v>4</v>
      </c>
      <c r="AA1505" s="235">
        <v>0.625</v>
      </c>
      <c r="AB1505" s="236">
        <v>-6.7</v>
      </c>
      <c r="AC1505" s="127">
        <f t="shared" si="38"/>
        <v>-7</v>
      </c>
    </row>
    <row r="1506" ht="14.5" customHeight="1" spans="11:29" x14ac:dyDescent="0.25">
      <c r="K1506" s="128"/>
      <c r="X1506" s="234">
        <v>2022</v>
      </c>
      <c r="Y1506" s="234">
        <v>3</v>
      </c>
      <c r="Z1506" s="234">
        <v>4</v>
      </c>
      <c r="AA1506" s="235">
        <v>0.6666666666678793</v>
      </c>
      <c r="AB1506" s="236">
        <v>-6.6</v>
      </c>
      <c r="AC1506" s="127">
        <f t="shared" si="38"/>
        <v>-7</v>
      </c>
    </row>
    <row r="1507" ht="14.5" customHeight="1" spans="11:29" x14ac:dyDescent="0.25">
      <c r="K1507" s="128"/>
      <c r="X1507" s="234">
        <v>2022</v>
      </c>
      <c r="Y1507" s="234">
        <v>3</v>
      </c>
      <c r="Z1507" s="234">
        <v>4</v>
      </c>
      <c r="AA1507" s="235">
        <v>0.7083333333321207</v>
      </c>
      <c r="AB1507" s="236">
        <v>-6.7</v>
      </c>
      <c r="AC1507" s="127">
        <f t="shared" si="38"/>
        <v>-7</v>
      </c>
    </row>
    <row r="1508" ht="14.5" customHeight="1" spans="11:29" x14ac:dyDescent="0.25">
      <c r="K1508" s="128"/>
      <c r="X1508" s="234">
        <v>2022</v>
      </c>
      <c r="Y1508" s="234">
        <v>3</v>
      </c>
      <c r="Z1508" s="234">
        <v>4</v>
      </c>
      <c r="AA1508" s="235">
        <v>0.75</v>
      </c>
      <c r="AB1508" s="236">
        <v>-8</v>
      </c>
      <c r="AC1508" s="127">
        <f t="shared" si="38"/>
        <v>-8</v>
      </c>
    </row>
    <row r="1509" ht="14.5" customHeight="1" spans="11:29" x14ac:dyDescent="0.25">
      <c r="K1509" s="128"/>
      <c r="X1509" s="234">
        <v>2022</v>
      </c>
      <c r="Y1509" s="234">
        <v>3</v>
      </c>
      <c r="Z1509" s="234">
        <v>4</v>
      </c>
      <c r="AA1509" s="235">
        <v>0.7916666666678793</v>
      </c>
      <c r="AB1509" s="236">
        <v>-8.6</v>
      </c>
      <c r="AC1509" s="127">
        <f t="shared" si="38"/>
        <v>-9</v>
      </c>
    </row>
    <row r="1510" ht="14.5" customHeight="1" spans="11:29" x14ac:dyDescent="0.25">
      <c r="K1510" s="128"/>
      <c r="X1510" s="234">
        <v>2022</v>
      </c>
      <c r="Y1510" s="234">
        <v>3</v>
      </c>
      <c r="Z1510" s="234">
        <v>4</v>
      </c>
      <c r="AA1510" s="235">
        <v>0.8333333333321207</v>
      </c>
      <c r="AB1510" s="236">
        <v>-8.7</v>
      </c>
      <c r="AC1510" s="127">
        <f t="shared" si="38"/>
        <v>-9</v>
      </c>
    </row>
    <row r="1511" ht="14.5" customHeight="1" spans="11:29" x14ac:dyDescent="0.25">
      <c r="K1511" s="128"/>
      <c r="X1511" s="234">
        <v>2022</v>
      </c>
      <c r="Y1511" s="234">
        <v>3</v>
      </c>
      <c r="Z1511" s="234">
        <v>4</v>
      </c>
      <c r="AA1511" s="235">
        <v>0.875</v>
      </c>
      <c r="AB1511" s="236">
        <v>-9</v>
      </c>
      <c r="AC1511" s="127">
        <f t="shared" si="38"/>
        <v>-9</v>
      </c>
    </row>
    <row r="1512" ht="14.5" customHeight="1" spans="11:29" x14ac:dyDescent="0.25">
      <c r="K1512" s="128"/>
      <c r="X1512" s="234">
        <v>2022</v>
      </c>
      <c r="Y1512" s="234">
        <v>3</v>
      </c>
      <c r="Z1512" s="234">
        <v>4</v>
      </c>
      <c r="AA1512" s="235">
        <v>0.9166666666678793</v>
      </c>
      <c r="AB1512" s="236">
        <v>-8.9</v>
      </c>
      <c r="AC1512" s="127">
        <f t="shared" si="38"/>
        <v>-9</v>
      </c>
    </row>
    <row r="1513" ht="14.5" customHeight="1" spans="11:29" x14ac:dyDescent="0.25">
      <c r="K1513" s="128"/>
      <c r="X1513" s="234">
        <v>2022</v>
      </c>
      <c r="Y1513" s="234">
        <v>3</v>
      </c>
      <c r="Z1513" s="234">
        <v>4</v>
      </c>
      <c r="AA1513" s="235">
        <v>0.9583333333321207</v>
      </c>
      <c r="AB1513" s="236">
        <v>-9</v>
      </c>
      <c r="AC1513" s="127">
        <f t="shared" si="38"/>
        <v>-9</v>
      </c>
    </row>
    <row r="1514" ht="14.5" customHeight="1" spans="11:29" x14ac:dyDescent="0.25">
      <c r="K1514" s="128"/>
      <c r="X1514" s="234">
        <v>2022</v>
      </c>
      <c r="Y1514" s="234">
        <v>3</v>
      </c>
      <c r="Z1514" s="234">
        <v>5</v>
      </c>
      <c r="AA1514" s="235">
        <v>0</v>
      </c>
      <c r="AB1514" s="236">
        <v>-8.9</v>
      </c>
      <c r="AC1514" s="127">
        <f t="shared" si="38"/>
        <v>-9</v>
      </c>
    </row>
    <row r="1515" ht="14.5" customHeight="1" spans="11:29" x14ac:dyDescent="0.25">
      <c r="K1515" s="128"/>
      <c r="X1515" s="234">
        <v>2022</v>
      </c>
      <c r="Y1515" s="234">
        <v>3</v>
      </c>
      <c r="Z1515" s="234">
        <v>5</v>
      </c>
      <c r="AA1515" s="235">
        <v>0.041666666667879326</v>
      </c>
      <c r="AB1515" s="236">
        <v>-9.1</v>
      </c>
      <c r="AC1515" s="127">
        <f t="shared" si="38"/>
        <v>-9</v>
      </c>
    </row>
    <row r="1516" ht="14.5" customHeight="1" spans="11:29" x14ac:dyDescent="0.25">
      <c r="K1516" s="128"/>
      <c r="X1516" s="234">
        <v>2022</v>
      </c>
      <c r="Y1516" s="234">
        <v>3</v>
      </c>
      <c r="Z1516" s="234">
        <v>5</v>
      </c>
      <c r="AA1516" s="235">
        <v>0.08333333333212067</v>
      </c>
      <c r="AB1516" s="236">
        <v>-9.1</v>
      </c>
      <c r="AC1516" s="127">
        <f t="shared" si="38"/>
        <v>-9</v>
      </c>
    </row>
    <row r="1517" ht="14.5" customHeight="1" spans="11:29" x14ac:dyDescent="0.25">
      <c r="K1517" s="128"/>
      <c r="X1517" s="234">
        <v>2022</v>
      </c>
      <c r="Y1517" s="234">
        <v>3</v>
      </c>
      <c r="Z1517" s="234">
        <v>5</v>
      </c>
      <c r="AA1517" s="235">
        <v>0.125</v>
      </c>
      <c r="AB1517" s="236">
        <v>-9.1</v>
      </c>
      <c r="AC1517" s="127">
        <f t="shared" si="38"/>
        <v>-9</v>
      </c>
    </row>
    <row r="1518" ht="14.5" customHeight="1" spans="11:29" x14ac:dyDescent="0.25">
      <c r="K1518" s="128"/>
      <c r="X1518" s="234">
        <v>2022</v>
      </c>
      <c r="Y1518" s="234">
        <v>3</v>
      </c>
      <c r="Z1518" s="234">
        <v>5</v>
      </c>
      <c r="AA1518" s="235">
        <v>0.16666666666787933</v>
      </c>
      <c r="AB1518" s="236">
        <v>-9</v>
      </c>
      <c r="AC1518" s="127">
        <f t="shared" si="38"/>
        <v>-9</v>
      </c>
    </row>
    <row r="1519" ht="14.5" customHeight="1" spans="11:29" x14ac:dyDescent="0.25">
      <c r="K1519" s="128"/>
      <c r="X1519" s="234">
        <v>2022</v>
      </c>
      <c r="Y1519" s="234">
        <v>3</v>
      </c>
      <c r="Z1519" s="234">
        <v>5</v>
      </c>
      <c r="AA1519" s="235">
        <v>0.20833333333212067</v>
      </c>
      <c r="AB1519" s="236">
        <v>-8.7</v>
      </c>
      <c r="AC1519" s="127">
        <f t="shared" si="38"/>
        <v>-9</v>
      </c>
    </row>
    <row r="1520" ht="14.5" customHeight="1" spans="11:29" x14ac:dyDescent="0.25">
      <c r="K1520" s="128"/>
      <c r="X1520" s="234">
        <v>2022</v>
      </c>
      <c r="Y1520" s="234">
        <v>3</v>
      </c>
      <c r="Z1520" s="234">
        <v>5</v>
      </c>
      <c r="AA1520" s="235">
        <v>0.25</v>
      </c>
      <c r="AB1520" s="236">
        <v>-10.5</v>
      </c>
      <c r="AC1520" s="127">
        <f t="shared" si="38"/>
        <v>-11</v>
      </c>
    </row>
    <row r="1521" ht="14.5" customHeight="1" spans="11:29" x14ac:dyDescent="0.25">
      <c r="K1521" s="128"/>
      <c r="X1521" s="234">
        <v>2022</v>
      </c>
      <c r="Y1521" s="234">
        <v>3</v>
      </c>
      <c r="Z1521" s="234">
        <v>5</v>
      </c>
      <c r="AA1521" s="235">
        <v>0.2916666666678793</v>
      </c>
      <c r="AB1521" s="236">
        <v>-9.1</v>
      </c>
      <c r="AC1521" s="127">
        <f t="shared" si="38"/>
        <v>-9</v>
      </c>
    </row>
    <row r="1522" ht="14.5" customHeight="1" spans="11:29" x14ac:dyDescent="0.25">
      <c r="K1522" s="128"/>
      <c r="X1522" s="234">
        <v>2022</v>
      </c>
      <c r="Y1522" s="234">
        <v>3</v>
      </c>
      <c r="Z1522" s="234">
        <v>5</v>
      </c>
      <c r="AA1522" s="235">
        <v>0.3333333333321207</v>
      </c>
      <c r="AB1522" s="236">
        <v>-8.9</v>
      </c>
      <c r="AC1522" s="127">
        <f t="shared" si="38"/>
        <v>-9</v>
      </c>
    </row>
    <row r="1523" ht="14.5" customHeight="1" spans="11:29" x14ac:dyDescent="0.25">
      <c r="K1523" s="128"/>
      <c r="X1523" s="234">
        <v>2022</v>
      </c>
      <c r="Y1523" s="234">
        <v>3</v>
      </c>
      <c r="Z1523" s="234">
        <v>5</v>
      </c>
      <c r="AA1523" s="235">
        <v>0.375</v>
      </c>
      <c r="AB1523" s="236">
        <v>-7.2</v>
      </c>
      <c r="AC1523" s="127">
        <f t="shared" si="38"/>
        <v>-7</v>
      </c>
    </row>
    <row r="1524" ht="14.5" customHeight="1" spans="11:29" x14ac:dyDescent="0.25">
      <c r="K1524" s="128"/>
      <c r="X1524" s="234">
        <v>2022</v>
      </c>
      <c r="Y1524" s="234">
        <v>3</v>
      </c>
      <c r="Z1524" s="234">
        <v>5</v>
      </c>
      <c r="AA1524" s="235">
        <v>0.4166666666678793</v>
      </c>
      <c r="AB1524" s="236">
        <v>-5.7</v>
      </c>
      <c r="AC1524" s="127">
        <f t="shared" si="38"/>
        <v>-6</v>
      </c>
    </row>
    <row r="1525" ht="14.5" customHeight="1" spans="11:29" x14ac:dyDescent="0.25">
      <c r="K1525" s="128"/>
      <c r="X1525" s="234">
        <v>2022</v>
      </c>
      <c r="Y1525" s="234">
        <v>3</v>
      </c>
      <c r="Z1525" s="234">
        <v>5</v>
      </c>
      <c r="AA1525" s="235">
        <v>0.4583333333321207</v>
      </c>
      <c r="AB1525" s="236">
        <v>-5.3</v>
      </c>
      <c r="AC1525" s="127">
        <f t="shared" si="38"/>
        <v>-5</v>
      </c>
    </row>
    <row r="1526" ht="14.5" customHeight="1" spans="11:29" x14ac:dyDescent="0.25">
      <c r="K1526" s="128"/>
      <c r="X1526" s="234">
        <v>2022</v>
      </c>
      <c r="Y1526" s="234">
        <v>3</v>
      </c>
      <c r="Z1526" s="234">
        <v>5</v>
      </c>
      <c r="AA1526" s="235">
        <v>0.5</v>
      </c>
      <c r="AB1526" s="236">
        <v>-4.9</v>
      </c>
      <c r="AC1526" s="127">
        <f t="shared" si="38"/>
        <v>-5</v>
      </c>
    </row>
    <row r="1527" ht="14.5" customHeight="1" spans="11:29" x14ac:dyDescent="0.25">
      <c r="K1527" s="128"/>
      <c r="X1527" s="234">
        <v>2022</v>
      </c>
      <c r="Y1527" s="234">
        <v>3</v>
      </c>
      <c r="Z1527" s="234">
        <v>5</v>
      </c>
      <c r="AA1527" s="235">
        <v>0.5416666666678793</v>
      </c>
      <c r="AB1527" s="236">
        <v>-4.3</v>
      </c>
      <c r="AC1527" s="127">
        <f t="shared" si="38"/>
        <v>-4</v>
      </c>
    </row>
    <row r="1528" ht="14.5" customHeight="1" spans="11:29" x14ac:dyDescent="0.25">
      <c r="K1528" s="128"/>
      <c r="X1528" s="234">
        <v>2022</v>
      </c>
      <c r="Y1528" s="234">
        <v>3</v>
      </c>
      <c r="Z1528" s="234">
        <v>5</v>
      </c>
      <c r="AA1528" s="235">
        <v>0.5833333333321207</v>
      </c>
      <c r="AB1528" s="236">
        <v>-3.5</v>
      </c>
      <c r="AC1528" s="127">
        <f t="shared" si="38"/>
        <v>-4</v>
      </c>
    </row>
    <row r="1529" ht="14.5" customHeight="1" spans="11:29" x14ac:dyDescent="0.25">
      <c r="K1529" s="128"/>
      <c r="X1529" s="234">
        <v>2022</v>
      </c>
      <c r="Y1529" s="234">
        <v>3</v>
      </c>
      <c r="Z1529" s="234">
        <v>5</v>
      </c>
      <c r="AA1529" s="235">
        <v>0.625</v>
      </c>
      <c r="AB1529" s="236">
        <v>-2.7</v>
      </c>
      <c r="AC1529" s="127">
        <f t="shared" si="38"/>
        <v>-3</v>
      </c>
    </row>
    <row r="1530" ht="14.5" customHeight="1" spans="11:29" x14ac:dyDescent="0.25">
      <c r="K1530" s="128"/>
      <c r="X1530" s="234">
        <v>2022</v>
      </c>
      <c r="Y1530" s="234">
        <v>3</v>
      </c>
      <c r="Z1530" s="234">
        <v>5</v>
      </c>
      <c r="AA1530" s="235">
        <v>0.6666666666678793</v>
      </c>
      <c r="AB1530" s="236">
        <v>-2.6</v>
      </c>
      <c r="AC1530" s="127">
        <f t="shared" si="38"/>
        <v>-3</v>
      </c>
    </row>
    <row r="1531" ht="14.5" customHeight="1" spans="11:29" x14ac:dyDescent="0.25">
      <c r="K1531" s="128"/>
      <c r="X1531" s="234">
        <v>2022</v>
      </c>
      <c r="Y1531" s="234">
        <v>3</v>
      </c>
      <c r="Z1531" s="234">
        <v>5</v>
      </c>
      <c r="AA1531" s="235">
        <v>0.7083333333321207</v>
      </c>
      <c r="AB1531" s="236">
        <v>-4</v>
      </c>
      <c r="AC1531" s="127">
        <f t="shared" si="38"/>
        <v>-4</v>
      </c>
    </row>
    <row r="1532" ht="14.5" customHeight="1" spans="11:29" x14ac:dyDescent="0.25">
      <c r="K1532" s="128"/>
      <c r="X1532" s="234">
        <v>2022</v>
      </c>
      <c r="Y1532" s="234">
        <v>3</v>
      </c>
      <c r="Z1532" s="234">
        <v>5</v>
      </c>
      <c r="AA1532" s="235">
        <v>0.75</v>
      </c>
      <c r="AB1532" s="236">
        <v>-4.6</v>
      </c>
      <c r="AC1532" s="127">
        <f t="shared" si="38"/>
        <v>-5</v>
      </c>
    </row>
    <row r="1533" ht="14.5" customHeight="1" spans="11:29" x14ac:dyDescent="0.25">
      <c r="K1533" s="128"/>
      <c r="X1533" s="234">
        <v>2022</v>
      </c>
      <c r="Y1533" s="234">
        <v>3</v>
      </c>
      <c r="Z1533" s="234">
        <v>5</v>
      </c>
      <c r="AA1533" s="235">
        <v>0.7916666666678793</v>
      </c>
      <c r="AB1533" s="236">
        <v>-4.7</v>
      </c>
      <c r="AC1533" s="127">
        <f t="shared" si="38"/>
        <v>-5</v>
      </c>
    </row>
    <row r="1534" ht="14.5" customHeight="1" spans="11:29" x14ac:dyDescent="0.25">
      <c r="K1534" s="128"/>
      <c r="X1534" s="234">
        <v>2022</v>
      </c>
      <c r="Y1534" s="234">
        <v>3</v>
      </c>
      <c r="Z1534" s="234">
        <v>5</v>
      </c>
      <c r="AA1534" s="235">
        <v>0.8333333333321207</v>
      </c>
      <c r="AB1534" s="236">
        <v>-5.8</v>
      </c>
      <c r="AC1534" s="127">
        <f t="shared" si="38"/>
        <v>-6</v>
      </c>
    </row>
    <row r="1535" ht="14.5" customHeight="1" spans="11:29" x14ac:dyDescent="0.25">
      <c r="K1535" s="128"/>
      <c r="X1535" s="234">
        <v>2022</v>
      </c>
      <c r="Y1535" s="234">
        <v>3</v>
      </c>
      <c r="Z1535" s="234">
        <v>5</v>
      </c>
      <c r="AA1535" s="235">
        <v>0.875</v>
      </c>
      <c r="AB1535" s="236">
        <v>-6.3</v>
      </c>
      <c r="AC1535" s="127">
        <f t="shared" si="38"/>
        <v>-6</v>
      </c>
    </row>
    <row r="1536" ht="14.5" customHeight="1" spans="11:29" x14ac:dyDescent="0.25">
      <c r="K1536" s="128"/>
      <c r="X1536" s="234">
        <v>2022</v>
      </c>
      <c r="Y1536" s="234">
        <v>3</v>
      </c>
      <c r="Z1536" s="234">
        <v>5</v>
      </c>
      <c r="AA1536" s="235">
        <v>0.9166666666678793</v>
      </c>
      <c r="AB1536" s="236">
        <v>-7.2</v>
      </c>
      <c r="AC1536" s="127">
        <f t="shared" si="38"/>
        <v>-7</v>
      </c>
    </row>
    <row r="1537" ht="14.5" customHeight="1" spans="11:29" x14ac:dyDescent="0.25">
      <c r="K1537" s="128"/>
      <c r="X1537" s="234">
        <v>2022</v>
      </c>
      <c r="Y1537" s="234">
        <v>3</v>
      </c>
      <c r="Z1537" s="234">
        <v>5</v>
      </c>
      <c r="AA1537" s="235">
        <v>0.9583333333321207</v>
      </c>
      <c r="AB1537" s="236">
        <v>-6.5</v>
      </c>
      <c r="AC1537" s="127">
        <f t="shared" si="38"/>
        <v>-7</v>
      </c>
    </row>
    <row r="1538" ht="14.5" customHeight="1" spans="11:29" x14ac:dyDescent="0.25">
      <c r="K1538" s="128"/>
      <c r="X1538" s="234">
        <v>2022</v>
      </c>
      <c r="Y1538" s="234">
        <v>3</v>
      </c>
      <c r="Z1538" s="234">
        <v>6</v>
      </c>
      <c r="AA1538" s="235">
        <v>0</v>
      </c>
      <c r="AB1538" s="236">
        <v>-6</v>
      </c>
      <c r="AC1538" s="127">
        <f t="shared" si="38"/>
        <v>-6</v>
      </c>
    </row>
    <row r="1539" ht="14.5" customHeight="1" spans="11:29" x14ac:dyDescent="0.25">
      <c r="K1539" s="128"/>
      <c r="X1539" s="234">
        <v>2022</v>
      </c>
      <c r="Y1539" s="234">
        <v>3</v>
      </c>
      <c r="Z1539" s="234">
        <v>6</v>
      </c>
      <c r="AA1539" s="235">
        <v>0.041666666667879326</v>
      </c>
      <c r="AB1539" s="236">
        <v>-5.2</v>
      </c>
      <c r="AC1539" s="127">
        <f t="shared" si="38"/>
        <v>-5</v>
      </c>
    </row>
    <row r="1540" ht="14.5" customHeight="1" spans="11:29" x14ac:dyDescent="0.25">
      <c r="K1540" s="128"/>
      <c r="X1540" s="234">
        <v>2022</v>
      </c>
      <c r="Y1540" s="234">
        <v>3</v>
      </c>
      <c r="Z1540" s="234">
        <v>6</v>
      </c>
      <c r="AA1540" s="235">
        <v>0.08333333333212067</v>
      </c>
      <c r="AB1540" s="236">
        <v>-5.2</v>
      </c>
      <c r="AC1540" s="127">
        <f t="shared" si="38"/>
        <v>-5</v>
      </c>
    </row>
    <row r="1541" ht="14.5" customHeight="1" spans="11:29" x14ac:dyDescent="0.25">
      <c r="K1541" s="128"/>
      <c r="X1541" s="234">
        <v>2022</v>
      </c>
      <c r="Y1541" s="234">
        <v>3</v>
      </c>
      <c r="Z1541" s="234">
        <v>6</v>
      </c>
      <c r="AA1541" s="235">
        <v>0.125</v>
      </c>
      <c r="AB1541" s="236">
        <v>-5</v>
      </c>
      <c r="AC1541" s="127">
        <f t="shared" si="38"/>
        <v>-5</v>
      </c>
    </row>
    <row r="1542" ht="14.5" customHeight="1" spans="11:29" x14ac:dyDescent="0.25">
      <c r="K1542" s="128"/>
      <c r="X1542" s="234">
        <v>2022</v>
      </c>
      <c r="Y1542" s="234">
        <v>3</v>
      </c>
      <c r="Z1542" s="234">
        <v>6</v>
      </c>
      <c r="AA1542" s="235">
        <v>0.16666666666787933</v>
      </c>
      <c r="AB1542" s="236">
        <v>-5.1</v>
      </c>
      <c r="AC1542" s="127">
        <f t="shared" si="38"/>
        <v>-5</v>
      </c>
    </row>
    <row r="1543" ht="14.5" customHeight="1" spans="11:29" x14ac:dyDescent="0.25">
      <c r="K1543" s="128"/>
      <c r="X1543" s="234">
        <v>2022</v>
      </c>
      <c r="Y1543" s="234">
        <v>3</v>
      </c>
      <c r="Z1543" s="234">
        <v>6</v>
      </c>
      <c r="AA1543" s="235">
        <v>0.20833333333212067</v>
      </c>
      <c r="AB1543" s="236">
        <v>-6.5</v>
      </c>
      <c r="AC1543" s="127">
        <f t="shared" si="38"/>
        <v>-7</v>
      </c>
    </row>
    <row r="1544" ht="14.5" customHeight="1" spans="11:29" x14ac:dyDescent="0.25">
      <c r="K1544" s="128"/>
      <c r="X1544" s="234">
        <v>2022</v>
      </c>
      <c r="Y1544" s="234">
        <v>3</v>
      </c>
      <c r="Z1544" s="234">
        <v>6</v>
      </c>
      <c r="AA1544" s="235">
        <v>0.25</v>
      </c>
      <c r="AB1544" s="236">
        <v>-6.7</v>
      </c>
      <c r="AC1544" s="127">
        <f t="shared" si="38"/>
        <v>-7</v>
      </c>
    </row>
    <row r="1545" ht="14.5" customHeight="1" spans="11:29" x14ac:dyDescent="0.25">
      <c r="K1545" s="128"/>
      <c r="X1545" s="234">
        <v>2022</v>
      </c>
      <c r="Y1545" s="234">
        <v>3</v>
      </c>
      <c r="Z1545" s="234">
        <v>6</v>
      </c>
      <c r="AA1545" s="235">
        <v>0.2916666666678793</v>
      </c>
      <c r="AB1545" s="236">
        <v>-6.7</v>
      </c>
      <c r="AC1545" s="127">
        <f t="shared" si="38"/>
        <v>-7</v>
      </c>
    </row>
    <row r="1546" ht="14.5" customHeight="1" spans="11:29" x14ac:dyDescent="0.25">
      <c r="K1546" s="128"/>
      <c r="X1546" s="234">
        <v>2022</v>
      </c>
      <c r="Y1546" s="234">
        <v>3</v>
      </c>
      <c r="Z1546" s="234">
        <v>6</v>
      </c>
      <c r="AA1546" s="235">
        <v>0.3333333333321207</v>
      </c>
      <c r="AB1546" s="236">
        <v>-7.8</v>
      </c>
      <c r="AC1546" s="127">
        <f t="shared" si="38"/>
        <v>-8</v>
      </c>
    </row>
    <row r="1547" ht="14.5" customHeight="1" spans="11:29" x14ac:dyDescent="0.25">
      <c r="K1547" s="128"/>
      <c r="X1547" s="234">
        <v>2022</v>
      </c>
      <c r="Y1547" s="234">
        <v>3</v>
      </c>
      <c r="Z1547" s="234">
        <v>6</v>
      </c>
      <c r="AA1547" s="235">
        <v>0.375</v>
      </c>
      <c r="AB1547" s="236">
        <v>-5.7</v>
      </c>
      <c r="AC1547" s="127">
        <f t="shared" ref="AC1547:AC1610" si="39">ROUND(AB1547,0)</f>
        <v>-6</v>
      </c>
    </row>
    <row r="1548" ht="14.5" customHeight="1" spans="11:29" x14ac:dyDescent="0.25">
      <c r="K1548" s="128"/>
      <c r="X1548" s="234">
        <v>2022</v>
      </c>
      <c r="Y1548" s="234">
        <v>3</v>
      </c>
      <c r="Z1548" s="234">
        <v>6</v>
      </c>
      <c r="AA1548" s="235">
        <v>0.4166666666678793</v>
      </c>
      <c r="AB1548" s="236">
        <v>-4</v>
      </c>
      <c r="AC1548" s="127">
        <f t="shared" si="39"/>
        <v>-4</v>
      </c>
    </row>
    <row r="1549" ht="14.5" customHeight="1" spans="11:29" x14ac:dyDescent="0.25">
      <c r="K1549" s="128"/>
      <c r="X1549" s="234">
        <v>2022</v>
      </c>
      <c r="Y1549" s="234">
        <v>3</v>
      </c>
      <c r="Z1549" s="234">
        <v>6</v>
      </c>
      <c r="AA1549" s="235">
        <v>0.4583333333321207</v>
      </c>
      <c r="AB1549" s="236">
        <v>-2.9</v>
      </c>
      <c r="AC1549" s="127">
        <f t="shared" si="39"/>
        <v>-3</v>
      </c>
    </row>
    <row r="1550" ht="14.5" customHeight="1" spans="11:29" x14ac:dyDescent="0.25">
      <c r="K1550" s="128"/>
      <c r="X1550" s="234">
        <v>2022</v>
      </c>
      <c r="Y1550" s="234">
        <v>3</v>
      </c>
      <c r="Z1550" s="234">
        <v>6</v>
      </c>
      <c r="AA1550" s="235">
        <v>0.5</v>
      </c>
      <c r="AB1550" s="236">
        <v>-2</v>
      </c>
      <c r="AC1550" s="127">
        <f t="shared" si="39"/>
        <v>-2</v>
      </c>
    </row>
    <row r="1551" ht="14.5" customHeight="1" spans="11:29" x14ac:dyDescent="0.25">
      <c r="K1551" s="128"/>
      <c r="X1551" s="234">
        <v>2022</v>
      </c>
      <c r="Y1551" s="234">
        <v>3</v>
      </c>
      <c r="Z1551" s="234">
        <v>6</v>
      </c>
      <c r="AA1551" s="235">
        <v>0.5416666666678793</v>
      </c>
      <c r="AB1551" s="236">
        <v>-1.2</v>
      </c>
      <c r="AC1551" s="127">
        <f t="shared" si="39"/>
        <v>-1</v>
      </c>
    </row>
    <row r="1552" ht="14.5" customHeight="1" spans="11:29" x14ac:dyDescent="0.25">
      <c r="K1552" s="128"/>
      <c r="X1552" s="234">
        <v>2022</v>
      </c>
      <c r="Y1552" s="234">
        <v>3</v>
      </c>
      <c r="Z1552" s="234">
        <v>6</v>
      </c>
      <c r="AA1552" s="235">
        <v>0.5833333333321207</v>
      </c>
      <c r="AB1552" s="236">
        <v>-0.4</v>
      </c>
      <c r="AC1552" s="127">
        <f t="shared" si="39"/>
        <v>0</v>
      </c>
    </row>
    <row r="1553" ht="14.5" customHeight="1" spans="11:29" x14ac:dyDescent="0.25">
      <c r="K1553" s="128"/>
      <c r="X1553" s="234">
        <v>2022</v>
      </c>
      <c r="Y1553" s="234">
        <v>3</v>
      </c>
      <c r="Z1553" s="234">
        <v>6</v>
      </c>
      <c r="AA1553" s="235">
        <v>0.625</v>
      </c>
      <c r="AB1553" s="236">
        <v>0</v>
      </c>
      <c r="AC1553" s="127">
        <f t="shared" si="39"/>
        <v>0</v>
      </c>
    </row>
    <row r="1554" ht="14.5" customHeight="1" spans="11:29" x14ac:dyDescent="0.25">
      <c r="K1554" s="128"/>
      <c r="X1554" s="234">
        <v>2022</v>
      </c>
      <c r="Y1554" s="234">
        <v>3</v>
      </c>
      <c r="Z1554" s="234">
        <v>6</v>
      </c>
      <c r="AA1554" s="235">
        <v>0.6666666666678793</v>
      </c>
      <c r="AB1554" s="236">
        <v>-0.6</v>
      </c>
      <c r="AC1554" s="127">
        <f t="shared" si="39"/>
        <v>-1</v>
      </c>
    </row>
    <row r="1555" ht="14.5" customHeight="1" spans="11:29" x14ac:dyDescent="0.25">
      <c r="K1555" s="128"/>
      <c r="X1555" s="234">
        <v>2022</v>
      </c>
      <c r="Y1555" s="234">
        <v>3</v>
      </c>
      <c r="Z1555" s="234">
        <v>6</v>
      </c>
      <c r="AA1555" s="235">
        <v>0.7083333333321207</v>
      </c>
      <c r="AB1555" s="236">
        <v>-0.6</v>
      </c>
      <c r="AC1555" s="127">
        <f t="shared" si="39"/>
        <v>-1</v>
      </c>
    </row>
    <row r="1556" ht="14.5" customHeight="1" spans="11:29" x14ac:dyDescent="0.25">
      <c r="K1556" s="128"/>
      <c r="X1556" s="234">
        <v>2022</v>
      </c>
      <c r="Y1556" s="234">
        <v>3</v>
      </c>
      <c r="Z1556" s="234">
        <v>6</v>
      </c>
      <c r="AA1556" s="235">
        <v>0.75</v>
      </c>
      <c r="AB1556" s="236">
        <v>-2.5</v>
      </c>
      <c r="AC1556" s="127">
        <f t="shared" si="39"/>
        <v>-3</v>
      </c>
    </row>
    <row r="1557" ht="14.5" customHeight="1" spans="11:29" x14ac:dyDescent="0.25">
      <c r="K1557" s="128"/>
      <c r="X1557" s="234">
        <v>2022</v>
      </c>
      <c r="Y1557" s="234">
        <v>3</v>
      </c>
      <c r="Z1557" s="234">
        <v>6</v>
      </c>
      <c r="AA1557" s="235">
        <v>0.7916666666678793</v>
      </c>
      <c r="AB1557" s="236">
        <v>-3.8</v>
      </c>
      <c r="AC1557" s="127">
        <f t="shared" si="39"/>
        <v>-4</v>
      </c>
    </row>
    <row r="1558" ht="14.5" customHeight="1" spans="11:29" x14ac:dyDescent="0.25">
      <c r="K1558" s="128"/>
      <c r="X1558" s="234">
        <v>2022</v>
      </c>
      <c r="Y1558" s="234">
        <v>3</v>
      </c>
      <c r="Z1558" s="234">
        <v>6</v>
      </c>
      <c r="AA1558" s="235">
        <v>0.8333333333321207</v>
      </c>
      <c r="AB1558" s="236">
        <v>-4.1</v>
      </c>
      <c r="AC1558" s="127">
        <f t="shared" si="39"/>
        <v>-4</v>
      </c>
    </row>
    <row r="1559" ht="14.5" customHeight="1" spans="11:29" x14ac:dyDescent="0.25">
      <c r="K1559" s="128"/>
      <c r="X1559" s="234">
        <v>2022</v>
      </c>
      <c r="Y1559" s="234">
        <v>3</v>
      </c>
      <c r="Z1559" s="234">
        <v>6</v>
      </c>
      <c r="AA1559" s="235">
        <v>0.875</v>
      </c>
      <c r="AB1559" s="236">
        <v>-4.6</v>
      </c>
      <c r="AC1559" s="127">
        <f t="shared" si="39"/>
        <v>-5</v>
      </c>
    </row>
    <row r="1560" ht="14.5" customHeight="1" spans="11:29" x14ac:dyDescent="0.25">
      <c r="K1560" s="128"/>
      <c r="X1560" s="234">
        <v>2022</v>
      </c>
      <c r="Y1560" s="234">
        <v>3</v>
      </c>
      <c r="Z1560" s="234">
        <v>6</v>
      </c>
      <c r="AA1560" s="235">
        <v>0.9166666666678793</v>
      </c>
      <c r="AB1560" s="236">
        <v>-4.9</v>
      </c>
      <c r="AC1560" s="127">
        <f t="shared" si="39"/>
        <v>-5</v>
      </c>
    </row>
    <row r="1561" ht="14.5" customHeight="1" spans="11:29" x14ac:dyDescent="0.25">
      <c r="K1561" s="128"/>
      <c r="X1561" s="234">
        <v>2022</v>
      </c>
      <c r="Y1561" s="234">
        <v>3</v>
      </c>
      <c r="Z1561" s="234">
        <v>6</v>
      </c>
      <c r="AA1561" s="235">
        <v>0.9583333333321207</v>
      </c>
      <c r="AB1561" s="236">
        <v>-3.1</v>
      </c>
      <c r="AC1561" s="127">
        <f t="shared" si="39"/>
        <v>-3</v>
      </c>
    </row>
    <row r="1562" ht="14.5" customHeight="1" spans="11:29" x14ac:dyDescent="0.25">
      <c r="K1562" s="128"/>
      <c r="X1562" s="234">
        <v>2022</v>
      </c>
      <c r="Y1562" s="234">
        <v>3</v>
      </c>
      <c r="Z1562" s="234">
        <v>7</v>
      </c>
      <c r="AA1562" s="235">
        <v>0</v>
      </c>
      <c r="AB1562" s="236">
        <v>-2.3</v>
      </c>
      <c r="AC1562" s="127">
        <f t="shared" si="39"/>
        <v>-2</v>
      </c>
    </row>
    <row r="1563" ht="14.5" customHeight="1" spans="11:29" x14ac:dyDescent="0.25">
      <c r="K1563" s="128"/>
      <c r="X1563" s="234">
        <v>2022</v>
      </c>
      <c r="Y1563" s="234">
        <v>3</v>
      </c>
      <c r="Z1563" s="234">
        <v>7</v>
      </c>
      <c r="AA1563" s="235">
        <v>0.041666666667879326</v>
      </c>
      <c r="AB1563" s="236">
        <v>2.7</v>
      </c>
      <c r="AC1563" s="127">
        <f t="shared" si="39"/>
        <v>3</v>
      </c>
    </row>
    <row r="1564" ht="14.5" customHeight="1" spans="11:29" x14ac:dyDescent="0.25">
      <c r="K1564" s="128"/>
      <c r="X1564" s="234">
        <v>2022</v>
      </c>
      <c r="Y1564" s="234">
        <v>3</v>
      </c>
      <c r="Z1564" s="234">
        <v>7</v>
      </c>
      <c r="AA1564" s="235">
        <v>0.08333333333212067</v>
      </c>
      <c r="AB1564" s="236">
        <v>2.7</v>
      </c>
      <c r="AC1564" s="127">
        <f t="shared" si="39"/>
        <v>3</v>
      </c>
    </row>
    <row r="1565" ht="14.5" customHeight="1" spans="11:29" x14ac:dyDescent="0.25">
      <c r="K1565" s="128"/>
      <c r="X1565" s="234">
        <v>2022</v>
      </c>
      <c r="Y1565" s="234">
        <v>3</v>
      </c>
      <c r="Z1565" s="234">
        <v>7</v>
      </c>
      <c r="AA1565" s="235">
        <v>0.125</v>
      </c>
      <c r="AB1565" s="236">
        <v>2.7</v>
      </c>
      <c r="AC1565" s="127">
        <f t="shared" si="39"/>
        <v>3</v>
      </c>
    </row>
    <row r="1566" ht="14.5" customHeight="1" spans="11:29" x14ac:dyDescent="0.25">
      <c r="K1566" s="128"/>
      <c r="X1566" s="234">
        <v>2022</v>
      </c>
      <c r="Y1566" s="234">
        <v>3</v>
      </c>
      <c r="Z1566" s="234">
        <v>7</v>
      </c>
      <c r="AA1566" s="235">
        <v>0.16666666666787933</v>
      </c>
      <c r="AB1566" s="236">
        <v>2.9</v>
      </c>
      <c r="AC1566" s="127">
        <f t="shared" si="39"/>
        <v>3</v>
      </c>
    </row>
    <row r="1567" ht="14.5" customHeight="1" spans="11:29" x14ac:dyDescent="0.25">
      <c r="K1567" s="128"/>
      <c r="X1567" s="234">
        <v>2022</v>
      </c>
      <c r="Y1567" s="234">
        <v>3</v>
      </c>
      <c r="Z1567" s="234">
        <v>7</v>
      </c>
      <c r="AA1567" s="235">
        <v>0.20833333333212067</v>
      </c>
      <c r="AB1567" s="236">
        <v>3.1</v>
      </c>
      <c r="AC1567" s="127">
        <f t="shared" si="39"/>
        <v>3</v>
      </c>
    </row>
    <row r="1568" ht="14.5" customHeight="1" spans="11:29" x14ac:dyDescent="0.25">
      <c r="K1568" s="128"/>
      <c r="X1568" s="234">
        <v>2022</v>
      </c>
      <c r="Y1568" s="234">
        <v>3</v>
      </c>
      <c r="Z1568" s="234">
        <v>7</v>
      </c>
      <c r="AA1568" s="235">
        <v>0.25</v>
      </c>
      <c r="AB1568" s="236">
        <v>2.5</v>
      </c>
      <c r="AC1568" s="127">
        <f t="shared" si="39"/>
        <v>3</v>
      </c>
    </row>
    <row r="1569" ht="14.5" customHeight="1" spans="11:29" x14ac:dyDescent="0.25">
      <c r="K1569" s="128"/>
      <c r="X1569" s="234">
        <v>2022</v>
      </c>
      <c r="Y1569" s="234">
        <v>3</v>
      </c>
      <c r="Z1569" s="234">
        <v>7</v>
      </c>
      <c r="AA1569" s="235">
        <v>0.2916666666678793</v>
      </c>
      <c r="AB1569" s="236">
        <v>3.1</v>
      </c>
      <c r="AC1569" s="127">
        <f t="shared" si="39"/>
        <v>3</v>
      </c>
    </row>
    <row r="1570" ht="14.5" customHeight="1" spans="11:29" x14ac:dyDescent="0.25">
      <c r="K1570" s="128"/>
      <c r="X1570" s="234">
        <v>2022</v>
      </c>
      <c r="Y1570" s="234">
        <v>3</v>
      </c>
      <c r="Z1570" s="234">
        <v>7</v>
      </c>
      <c r="AA1570" s="235">
        <v>0.3333333333321207</v>
      </c>
      <c r="AB1570" s="236">
        <v>2.9</v>
      </c>
      <c r="AC1570" s="127">
        <f t="shared" si="39"/>
        <v>3</v>
      </c>
    </row>
    <row r="1571" ht="14.5" customHeight="1" spans="11:29" x14ac:dyDescent="0.25">
      <c r="K1571" s="128"/>
      <c r="X1571" s="234">
        <v>2022</v>
      </c>
      <c r="Y1571" s="234">
        <v>3</v>
      </c>
      <c r="Z1571" s="234">
        <v>7</v>
      </c>
      <c r="AA1571" s="235">
        <v>0.375</v>
      </c>
      <c r="AB1571" s="236">
        <v>3.5</v>
      </c>
      <c r="AC1571" s="127">
        <f t="shared" si="39"/>
        <v>4</v>
      </c>
    </row>
    <row r="1572" ht="14.5" customHeight="1" spans="11:29" x14ac:dyDescent="0.25">
      <c r="K1572" s="128"/>
      <c r="X1572" s="234">
        <v>2022</v>
      </c>
      <c r="Y1572" s="234">
        <v>3</v>
      </c>
      <c r="Z1572" s="234">
        <v>7</v>
      </c>
      <c r="AA1572" s="235">
        <v>0.4166666666678793</v>
      </c>
      <c r="AB1572" s="236">
        <v>1.1</v>
      </c>
      <c r="AC1572" s="127">
        <f t="shared" si="39"/>
        <v>1</v>
      </c>
    </row>
    <row r="1573" ht="14.5" customHeight="1" spans="11:29" x14ac:dyDescent="0.25">
      <c r="K1573" s="128"/>
      <c r="X1573" s="234">
        <v>2022</v>
      </c>
      <c r="Y1573" s="234">
        <v>3</v>
      </c>
      <c r="Z1573" s="234">
        <v>7</v>
      </c>
      <c r="AA1573" s="235">
        <v>0.4583333333321207</v>
      </c>
      <c r="AB1573" s="236">
        <v>0</v>
      </c>
      <c r="AC1573" s="127">
        <f t="shared" si="39"/>
        <v>0</v>
      </c>
    </row>
    <row r="1574" ht="14.5" customHeight="1" spans="11:29" x14ac:dyDescent="0.25">
      <c r="K1574" s="128"/>
      <c r="X1574" s="234">
        <v>2022</v>
      </c>
      <c r="Y1574" s="234">
        <v>3</v>
      </c>
      <c r="Z1574" s="234">
        <v>7</v>
      </c>
      <c r="AA1574" s="235">
        <v>0.5</v>
      </c>
      <c r="AB1574" s="236">
        <v>1.1</v>
      </c>
      <c r="AC1574" s="127">
        <f t="shared" si="39"/>
        <v>1</v>
      </c>
    </row>
    <row r="1575" ht="14.5" customHeight="1" spans="11:29" x14ac:dyDescent="0.25">
      <c r="K1575" s="128"/>
      <c r="X1575" s="234">
        <v>2022</v>
      </c>
      <c r="Y1575" s="234">
        <v>3</v>
      </c>
      <c r="Z1575" s="234">
        <v>7</v>
      </c>
      <c r="AA1575" s="235">
        <v>0.5416666666678793</v>
      </c>
      <c r="AB1575" s="236">
        <v>0.7</v>
      </c>
      <c r="AC1575" s="127">
        <f t="shared" si="39"/>
        <v>1</v>
      </c>
    </row>
    <row r="1576" ht="14.5" customHeight="1" spans="11:29" x14ac:dyDescent="0.25">
      <c r="K1576" s="128"/>
      <c r="X1576" s="234">
        <v>2022</v>
      </c>
      <c r="Y1576" s="234">
        <v>3</v>
      </c>
      <c r="Z1576" s="234">
        <v>7</v>
      </c>
      <c r="AA1576" s="235">
        <v>0.5833333333321207</v>
      </c>
      <c r="AB1576" s="236">
        <v>0.9</v>
      </c>
      <c r="AC1576" s="127">
        <f t="shared" si="39"/>
        <v>1</v>
      </c>
    </row>
    <row r="1577" ht="14.5" customHeight="1" spans="11:29" x14ac:dyDescent="0.25">
      <c r="K1577" s="128"/>
      <c r="X1577" s="234">
        <v>2022</v>
      </c>
      <c r="Y1577" s="234">
        <v>3</v>
      </c>
      <c r="Z1577" s="234">
        <v>7</v>
      </c>
      <c r="AA1577" s="235">
        <v>0.625</v>
      </c>
      <c r="AB1577" s="236">
        <v>-0.8</v>
      </c>
      <c r="AC1577" s="127">
        <f t="shared" si="39"/>
        <v>-1</v>
      </c>
    </row>
    <row r="1578" ht="14.5" customHeight="1" spans="11:29" x14ac:dyDescent="0.25">
      <c r="K1578" s="128"/>
      <c r="X1578" s="234">
        <v>2022</v>
      </c>
      <c r="Y1578" s="234">
        <v>3</v>
      </c>
      <c r="Z1578" s="234">
        <v>7</v>
      </c>
      <c r="AA1578" s="235">
        <v>0.6666666666678793</v>
      </c>
      <c r="AB1578" s="236">
        <v>-1.3</v>
      </c>
      <c r="AC1578" s="127">
        <f t="shared" si="39"/>
        <v>-1</v>
      </c>
    </row>
    <row r="1579" ht="14.5" customHeight="1" spans="11:29" x14ac:dyDescent="0.25">
      <c r="K1579" s="128"/>
      <c r="X1579" s="234">
        <v>2022</v>
      </c>
      <c r="Y1579" s="234">
        <v>3</v>
      </c>
      <c r="Z1579" s="234">
        <v>7</v>
      </c>
      <c r="AA1579" s="235">
        <v>0.7083333333321207</v>
      </c>
      <c r="AB1579" s="236">
        <v>-2.2</v>
      </c>
      <c r="AC1579" s="127">
        <f t="shared" si="39"/>
        <v>-2</v>
      </c>
    </row>
    <row r="1580" ht="14.5" customHeight="1" spans="11:29" x14ac:dyDescent="0.25">
      <c r="K1580" s="128"/>
      <c r="X1580" s="234">
        <v>2022</v>
      </c>
      <c r="Y1580" s="234">
        <v>3</v>
      </c>
      <c r="Z1580" s="234">
        <v>7</v>
      </c>
      <c r="AA1580" s="235">
        <v>0.75</v>
      </c>
      <c r="AB1580" s="236">
        <v>-3.4</v>
      </c>
      <c r="AC1580" s="127">
        <f t="shared" si="39"/>
        <v>-3</v>
      </c>
    </row>
    <row r="1581" ht="14.5" customHeight="1" spans="11:29" x14ac:dyDescent="0.25">
      <c r="K1581" s="128"/>
      <c r="X1581" s="234">
        <v>2022</v>
      </c>
      <c r="Y1581" s="234">
        <v>3</v>
      </c>
      <c r="Z1581" s="234">
        <v>7</v>
      </c>
      <c r="AA1581" s="235">
        <v>0.7916666666678793</v>
      </c>
      <c r="AB1581" s="236">
        <v>-4.3</v>
      </c>
      <c r="AC1581" s="127">
        <f t="shared" si="39"/>
        <v>-4</v>
      </c>
    </row>
    <row r="1582" ht="14.5" customHeight="1" spans="11:29" x14ac:dyDescent="0.25">
      <c r="K1582" s="128"/>
      <c r="X1582" s="234">
        <v>2022</v>
      </c>
      <c r="Y1582" s="234">
        <v>3</v>
      </c>
      <c r="Z1582" s="234">
        <v>7</v>
      </c>
      <c r="AA1582" s="235">
        <v>0.8333333333321207</v>
      </c>
      <c r="AB1582" s="236">
        <v>-5.6</v>
      </c>
      <c r="AC1582" s="127">
        <f t="shared" si="39"/>
        <v>-6</v>
      </c>
    </row>
    <row r="1583" ht="14.5" customHeight="1" spans="11:29" x14ac:dyDescent="0.25">
      <c r="K1583" s="128"/>
      <c r="X1583" s="234">
        <v>2022</v>
      </c>
      <c r="Y1583" s="234">
        <v>3</v>
      </c>
      <c r="Z1583" s="234">
        <v>7</v>
      </c>
      <c r="AA1583" s="235">
        <v>0.875</v>
      </c>
      <c r="AB1583" s="236">
        <v>-6.3</v>
      </c>
      <c r="AC1583" s="127">
        <f t="shared" si="39"/>
        <v>-6</v>
      </c>
    </row>
    <row r="1584" ht="14.5" customHeight="1" spans="11:29" x14ac:dyDescent="0.25">
      <c r="K1584" s="128"/>
      <c r="X1584" s="234">
        <v>2022</v>
      </c>
      <c r="Y1584" s="234">
        <v>3</v>
      </c>
      <c r="Z1584" s="234">
        <v>7</v>
      </c>
      <c r="AA1584" s="235">
        <v>0.9166666666678793</v>
      </c>
      <c r="AB1584" s="236">
        <v>-6.4</v>
      </c>
      <c r="AC1584" s="127">
        <f t="shared" si="39"/>
        <v>-6</v>
      </c>
    </row>
    <row r="1585" ht="14.5" customHeight="1" spans="11:29" x14ac:dyDescent="0.25">
      <c r="K1585" s="128"/>
      <c r="X1585" s="234">
        <v>2022</v>
      </c>
      <c r="Y1585" s="234">
        <v>3</v>
      </c>
      <c r="Z1585" s="234">
        <v>7</v>
      </c>
      <c r="AA1585" s="235">
        <v>0.9583333333321207</v>
      </c>
      <c r="AB1585" s="236">
        <v>-7</v>
      </c>
      <c r="AC1585" s="127">
        <f t="shared" si="39"/>
        <v>-7</v>
      </c>
    </row>
    <row r="1586" ht="14.5" customHeight="1" spans="11:29" x14ac:dyDescent="0.25">
      <c r="K1586" s="128"/>
      <c r="X1586" s="234">
        <v>2022</v>
      </c>
      <c r="Y1586" s="234">
        <v>3</v>
      </c>
      <c r="Z1586" s="234">
        <v>8</v>
      </c>
      <c r="AA1586" s="235">
        <v>0</v>
      </c>
      <c r="AB1586" s="236">
        <v>-7.2</v>
      </c>
      <c r="AC1586" s="127">
        <f t="shared" si="39"/>
        <v>-7</v>
      </c>
    </row>
    <row r="1587" ht="14.5" customHeight="1" spans="11:29" x14ac:dyDescent="0.25">
      <c r="K1587" s="128"/>
      <c r="X1587" s="234">
        <v>2022</v>
      </c>
      <c r="Y1587" s="234">
        <v>3</v>
      </c>
      <c r="Z1587" s="234">
        <v>8</v>
      </c>
      <c r="AA1587" s="235">
        <v>0.041666666667879326</v>
      </c>
      <c r="AB1587" s="236">
        <v>-7.6</v>
      </c>
      <c r="AC1587" s="127">
        <f t="shared" si="39"/>
        <v>-8</v>
      </c>
    </row>
    <row r="1588" ht="14.5" customHeight="1" spans="11:29" x14ac:dyDescent="0.25">
      <c r="K1588" s="128"/>
      <c r="X1588" s="234">
        <v>2022</v>
      </c>
      <c r="Y1588" s="234">
        <v>3</v>
      </c>
      <c r="Z1588" s="234">
        <v>8</v>
      </c>
      <c r="AA1588" s="235">
        <v>0.08333333333212067</v>
      </c>
      <c r="AB1588" s="236">
        <v>-9.1</v>
      </c>
      <c r="AC1588" s="127">
        <f t="shared" si="39"/>
        <v>-9</v>
      </c>
    </row>
    <row r="1589" ht="14.5" customHeight="1" spans="11:29" x14ac:dyDescent="0.25">
      <c r="K1589" s="128"/>
      <c r="X1589" s="234">
        <v>2022</v>
      </c>
      <c r="Y1589" s="234">
        <v>3</v>
      </c>
      <c r="Z1589" s="234">
        <v>8</v>
      </c>
      <c r="AA1589" s="235">
        <v>0.125</v>
      </c>
      <c r="AB1589" s="236">
        <v>-9.6</v>
      </c>
      <c r="AC1589" s="127">
        <f t="shared" si="39"/>
        <v>-10</v>
      </c>
    </row>
    <row r="1590" ht="14.5" customHeight="1" spans="11:29" x14ac:dyDescent="0.25">
      <c r="K1590" s="128"/>
      <c r="X1590" s="234">
        <v>2022</v>
      </c>
      <c r="Y1590" s="234">
        <v>3</v>
      </c>
      <c r="Z1590" s="234">
        <v>8</v>
      </c>
      <c r="AA1590" s="235">
        <v>0.16666666666787933</v>
      </c>
      <c r="AB1590" s="236">
        <v>-9.6</v>
      </c>
      <c r="AC1590" s="127">
        <f t="shared" si="39"/>
        <v>-10</v>
      </c>
    </row>
    <row r="1591" ht="14.5" customHeight="1" spans="11:29" x14ac:dyDescent="0.25">
      <c r="K1591" s="128"/>
      <c r="X1591" s="234">
        <v>2022</v>
      </c>
      <c r="Y1591" s="234">
        <v>3</v>
      </c>
      <c r="Z1591" s="234">
        <v>8</v>
      </c>
      <c r="AA1591" s="235">
        <v>0.20833333333212067</v>
      </c>
      <c r="AB1591" s="236">
        <v>-11.5</v>
      </c>
      <c r="AC1591" s="127">
        <f t="shared" si="39"/>
        <v>-12</v>
      </c>
    </row>
    <row r="1592" ht="14.5" customHeight="1" spans="11:29" x14ac:dyDescent="0.25">
      <c r="K1592" s="128"/>
      <c r="X1592" s="234">
        <v>2022</v>
      </c>
      <c r="Y1592" s="234">
        <v>3</v>
      </c>
      <c r="Z1592" s="234">
        <v>8</v>
      </c>
      <c r="AA1592" s="235">
        <v>0.25</v>
      </c>
      <c r="AB1592" s="236">
        <v>-11.6</v>
      </c>
      <c r="AC1592" s="127">
        <f t="shared" si="39"/>
        <v>-12</v>
      </c>
    </row>
    <row r="1593" ht="14.5" customHeight="1" spans="11:29" x14ac:dyDescent="0.25">
      <c r="K1593" s="128"/>
      <c r="X1593" s="234">
        <v>2022</v>
      </c>
      <c r="Y1593" s="234">
        <v>3</v>
      </c>
      <c r="Z1593" s="234">
        <v>8</v>
      </c>
      <c r="AA1593" s="235">
        <v>0.2916666666678793</v>
      </c>
      <c r="AB1593" s="236">
        <v>-11.4</v>
      </c>
      <c r="AC1593" s="127">
        <f t="shared" si="39"/>
        <v>-11</v>
      </c>
    </row>
    <row r="1594" ht="14.5" customHeight="1" spans="11:29" x14ac:dyDescent="0.25">
      <c r="K1594" s="128"/>
      <c r="X1594" s="234">
        <v>2022</v>
      </c>
      <c r="Y1594" s="234">
        <v>3</v>
      </c>
      <c r="Z1594" s="234">
        <v>8</v>
      </c>
      <c r="AA1594" s="235">
        <v>0.3333333333321207</v>
      </c>
      <c r="AB1594" s="236">
        <v>-11.7</v>
      </c>
      <c r="AC1594" s="127">
        <f t="shared" si="39"/>
        <v>-12</v>
      </c>
    </row>
    <row r="1595" ht="14.5" customHeight="1" spans="11:29" x14ac:dyDescent="0.25">
      <c r="K1595" s="128"/>
      <c r="X1595" s="234">
        <v>2022</v>
      </c>
      <c r="Y1595" s="234">
        <v>3</v>
      </c>
      <c r="Z1595" s="234">
        <v>8</v>
      </c>
      <c r="AA1595" s="235">
        <v>0.375</v>
      </c>
      <c r="AB1595" s="236">
        <v>-10.9</v>
      </c>
      <c r="AC1595" s="127">
        <f t="shared" si="39"/>
        <v>-11</v>
      </c>
    </row>
    <row r="1596" ht="14.5" customHeight="1" spans="11:29" x14ac:dyDescent="0.25">
      <c r="K1596" s="128"/>
      <c r="X1596" s="234">
        <v>2022</v>
      </c>
      <c r="Y1596" s="234">
        <v>3</v>
      </c>
      <c r="Z1596" s="234">
        <v>8</v>
      </c>
      <c r="AA1596" s="235">
        <v>0.4166666666678793</v>
      </c>
      <c r="AB1596" s="236">
        <v>-9.9</v>
      </c>
      <c r="AC1596" s="127">
        <f t="shared" si="39"/>
        <v>-10</v>
      </c>
    </row>
    <row r="1597" ht="14.5" customHeight="1" spans="11:29" x14ac:dyDescent="0.25">
      <c r="K1597" s="128"/>
      <c r="X1597" s="234">
        <v>2022</v>
      </c>
      <c r="Y1597" s="234">
        <v>3</v>
      </c>
      <c r="Z1597" s="234">
        <v>8</v>
      </c>
      <c r="AA1597" s="235">
        <v>0.4583333333321207</v>
      </c>
      <c r="AB1597" s="236">
        <v>-9</v>
      </c>
      <c r="AC1597" s="127">
        <f t="shared" si="39"/>
        <v>-9</v>
      </c>
    </row>
    <row r="1598" ht="14.5" customHeight="1" spans="11:29" x14ac:dyDescent="0.25">
      <c r="K1598" s="128"/>
      <c r="X1598" s="234">
        <v>2022</v>
      </c>
      <c r="Y1598" s="234">
        <v>3</v>
      </c>
      <c r="Z1598" s="234">
        <v>8</v>
      </c>
      <c r="AA1598" s="235">
        <v>0.5</v>
      </c>
      <c r="AB1598" s="236">
        <v>-8.9</v>
      </c>
      <c r="AC1598" s="127">
        <f t="shared" si="39"/>
        <v>-9</v>
      </c>
    </row>
    <row r="1599" ht="14.5" customHeight="1" spans="11:29" x14ac:dyDescent="0.25">
      <c r="K1599" s="128"/>
      <c r="X1599" s="234">
        <v>2022</v>
      </c>
      <c r="Y1599" s="234">
        <v>3</v>
      </c>
      <c r="Z1599" s="234">
        <v>8</v>
      </c>
      <c r="AA1599" s="235">
        <v>0.5416666666678793</v>
      </c>
      <c r="AB1599" s="236">
        <v>-8.4</v>
      </c>
      <c r="AC1599" s="127">
        <f t="shared" si="39"/>
        <v>-8</v>
      </c>
    </row>
    <row r="1600" ht="14.5" customHeight="1" spans="11:29" x14ac:dyDescent="0.25">
      <c r="K1600" s="128"/>
      <c r="X1600" s="234">
        <v>2022</v>
      </c>
      <c r="Y1600" s="234">
        <v>3</v>
      </c>
      <c r="Z1600" s="234">
        <v>8</v>
      </c>
      <c r="AA1600" s="235">
        <v>0.5833333333321207</v>
      </c>
      <c r="AB1600" s="236">
        <v>-6.9</v>
      </c>
      <c r="AC1600" s="127">
        <f t="shared" si="39"/>
        <v>-7</v>
      </c>
    </row>
    <row r="1601" ht="14.5" customHeight="1" spans="11:29" x14ac:dyDescent="0.25">
      <c r="K1601" s="128"/>
      <c r="X1601" s="234">
        <v>2022</v>
      </c>
      <c r="Y1601" s="234">
        <v>3</v>
      </c>
      <c r="Z1601" s="234">
        <v>8</v>
      </c>
      <c r="AA1601" s="235">
        <v>0.625</v>
      </c>
      <c r="AB1601" s="236">
        <v>-8.1</v>
      </c>
      <c r="AC1601" s="127">
        <f t="shared" si="39"/>
        <v>-8</v>
      </c>
    </row>
    <row r="1602" ht="14.5" customHeight="1" spans="11:29" x14ac:dyDescent="0.25">
      <c r="K1602" s="128"/>
      <c r="X1602" s="234">
        <v>2022</v>
      </c>
      <c r="Y1602" s="234">
        <v>3</v>
      </c>
      <c r="Z1602" s="234">
        <v>8</v>
      </c>
      <c r="AA1602" s="235">
        <v>0.6666666666678793</v>
      </c>
      <c r="AB1602" s="236">
        <v>-7.9</v>
      </c>
      <c r="AC1602" s="127">
        <f t="shared" si="39"/>
        <v>-8</v>
      </c>
    </row>
    <row r="1603" ht="14.5" customHeight="1" spans="11:29" x14ac:dyDescent="0.25">
      <c r="K1603" s="128"/>
      <c r="X1603" s="234">
        <v>2022</v>
      </c>
      <c r="Y1603" s="234">
        <v>3</v>
      </c>
      <c r="Z1603" s="234">
        <v>8</v>
      </c>
      <c r="AA1603" s="235">
        <v>0.7083333333321207</v>
      </c>
      <c r="AB1603" s="236">
        <v>-8.3</v>
      </c>
      <c r="AC1603" s="127">
        <f t="shared" si="39"/>
        <v>-8</v>
      </c>
    </row>
    <row r="1604" ht="14.5" customHeight="1" spans="11:29" x14ac:dyDescent="0.25">
      <c r="K1604" s="128"/>
      <c r="X1604" s="234">
        <v>2022</v>
      </c>
      <c r="Y1604" s="234">
        <v>3</v>
      </c>
      <c r="Z1604" s="234">
        <v>8</v>
      </c>
      <c r="AA1604" s="235">
        <v>0.75</v>
      </c>
      <c r="AB1604" s="236">
        <v>-9.4</v>
      </c>
      <c r="AC1604" s="127">
        <f t="shared" si="39"/>
        <v>-9</v>
      </c>
    </row>
    <row r="1605" ht="14.5" customHeight="1" spans="11:29" x14ac:dyDescent="0.25">
      <c r="K1605" s="128"/>
      <c r="X1605" s="234">
        <v>2022</v>
      </c>
      <c r="Y1605" s="234">
        <v>3</v>
      </c>
      <c r="Z1605" s="234">
        <v>8</v>
      </c>
      <c r="AA1605" s="235">
        <v>0.7916666666678793</v>
      </c>
      <c r="AB1605" s="236">
        <v>-11</v>
      </c>
      <c r="AC1605" s="127">
        <f t="shared" si="39"/>
        <v>-11</v>
      </c>
    </row>
    <row r="1606" ht="14.5" customHeight="1" spans="11:29" x14ac:dyDescent="0.25">
      <c r="K1606" s="128"/>
      <c r="X1606" s="234">
        <v>2022</v>
      </c>
      <c r="Y1606" s="234">
        <v>3</v>
      </c>
      <c r="Z1606" s="234">
        <v>8</v>
      </c>
      <c r="AA1606" s="235">
        <v>0.8333333333321207</v>
      </c>
      <c r="AB1606" s="236">
        <v>-10.6</v>
      </c>
      <c r="AC1606" s="127">
        <f t="shared" si="39"/>
        <v>-11</v>
      </c>
    </row>
    <row r="1607" ht="14.5" customHeight="1" spans="11:29" x14ac:dyDescent="0.25">
      <c r="K1607" s="128"/>
      <c r="X1607" s="234">
        <v>2022</v>
      </c>
      <c r="Y1607" s="234">
        <v>3</v>
      </c>
      <c r="Z1607" s="234">
        <v>8</v>
      </c>
      <c r="AA1607" s="235">
        <v>0.875</v>
      </c>
      <c r="AB1607" s="236">
        <v>-10.7</v>
      </c>
      <c r="AC1607" s="127">
        <f t="shared" si="39"/>
        <v>-11</v>
      </c>
    </row>
    <row r="1608" ht="14.5" customHeight="1" spans="11:29" x14ac:dyDescent="0.25">
      <c r="K1608" s="128"/>
      <c r="X1608" s="234">
        <v>2022</v>
      </c>
      <c r="Y1608" s="234">
        <v>3</v>
      </c>
      <c r="Z1608" s="234">
        <v>8</v>
      </c>
      <c r="AA1608" s="235">
        <v>0.9166666666678793</v>
      </c>
      <c r="AB1608" s="236">
        <v>-11.7</v>
      </c>
      <c r="AC1608" s="127">
        <f t="shared" si="39"/>
        <v>-12</v>
      </c>
    </row>
    <row r="1609" ht="14.5" customHeight="1" spans="11:29" x14ac:dyDescent="0.25">
      <c r="K1609" s="128"/>
      <c r="X1609" s="234">
        <v>2022</v>
      </c>
      <c r="Y1609" s="234">
        <v>3</v>
      </c>
      <c r="Z1609" s="234">
        <v>8</v>
      </c>
      <c r="AA1609" s="235">
        <v>0.9583333333321207</v>
      </c>
      <c r="AB1609" s="236">
        <v>-11.9</v>
      </c>
      <c r="AC1609" s="127">
        <f t="shared" si="39"/>
        <v>-12</v>
      </c>
    </row>
    <row r="1610" ht="14.5" customHeight="1" spans="11:29" x14ac:dyDescent="0.25">
      <c r="K1610" s="128"/>
      <c r="X1610" s="234">
        <v>2022</v>
      </c>
      <c r="Y1610" s="234">
        <v>3</v>
      </c>
      <c r="Z1610" s="234">
        <v>9</v>
      </c>
      <c r="AA1610" s="235">
        <v>0</v>
      </c>
      <c r="AB1610" s="236">
        <v>-12.9</v>
      </c>
      <c r="AC1610" s="127">
        <f t="shared" si="39"/>
        <v>-13</v>
      </c>
    </row>
    <row r="1611" ht="14.5" customHeight="1" spans="11:29" x14ac:dyDescent="0.25">
      <c r="K1611" s="128"/>
      <c r="X1611" s="234">
        <v>2022</v>
      </c>
      <c r="Y1611" s="234">
        <v>3</v>
      </c>
      <c r="Z1611" s="234">
        <v>9</v>
      </c>
      <c r="AA1611" s="235">
        <v>0.041666666667879326</v>
      </c>
      <c r="AB1611" s="236">
        <v>-14.5</v>
      </c>
      <c r="AC1611" s="127">
        <f t="shared" ref="AC1611:AC1674" si="40">ROUND(AB1611,0)</f>
        <v>-15</v>
      </c>
    </row>
    <row r="1612" ht="14.5" customHeight="1" spans="11:29" x14ac:dyDescent="0.25">
      <c r="K1612" s="128"/>
      <c r="X1612" s="234">
        <v>2022</v>
      </c>
      <c r="Y1612" s="234">
        <v>3</v>
      </c>
      <c r="Z1612" s="234">
        <v>9</v>
      </c>
      <c r="AA1612" s="235">
        <v>0.08333333333212067</v>
      </c>
      <c r="AB1612" s="236">
        <v>-15.4</v>
      </c>
      <c r="AC1612" s="127">
        <f t="shared" si="40"/>
        <v>-15</v>
      </c>
    </row>
    <row r="1613" ht="14.5" customHeight="1" spans="11:29" x14ac:dyDescent="0.25">
      <c r="K1613" s="128"/>
      <c r="X1613" s="234">
        <v>2022</v>
      </c>
      <c r="Y1613" s="234">
        <v>3</v>
      </c>
      <c r="Z1613" s="234">
        <v>9</v>
      </c>
      <c r="AA1613" s="235">
        <v>0.125</v>
      </c>
      <c r="AB1613" s="236">
        <v>-16.3</v>
      </c>
      <c r="AC1613" s="127">
        <f t="shared" si="40"/>
        <v>-16</v>
      </c>
    </row>
    <row r="1614" ht="14.5" customHeight="1" spans="11:29" x14ac:dyDescent="0.25">
      <c r="K1614" s="128"/>
      <c r="X1614" s="234">
        <v>2022</v>
      </c>
      <c r="Y1614" s="234">
        <v>3</v>
      </c>
      <c r="Z1614" s="234">
        <v>9</v>
      </c>
      <c r="AA1614" s="235">
        <v>0.16666666666787933</v>
      </c>
      <c r="AB1614" s="236">
        <v>-16.3</v>
      </c>
      <c r="AC1614" s="127">
        <f t="shared" si="40"/>
        <v>-16</v>
      </c>
    </row>
    <row r="1615" ht="14.5" customHeight="1" spans="11:29" x14ac:dyDescent="0.25">
      <c r="K1615" s="128"/>
      <c r="X1615" s="234">
        <v>2022</v>
      </c>
      <c r="Y1615" s="234">
        <v>3</v>
      </c>
      <c r="Z1615" s="234">
        <v>9</v>
      </c>
      <c r="AA1615" s="235">
        <v>0.20833333333212067</v>
      </c>
      <c r="AB1615" s="236">
        <v>-16.9</v>
      </c>
      <c r="AC1615" s="127">
        <f t="shared" si="40"/>
        <v>-17</v>
      </c>
    </row>
    <row r="1616" ht="14.5" customHeight="1" spans="11:29" x14ac:dyDescent="0.25">
      <c r="K1616" s="128"/>
      <c r="X1616" s="234">
        <v>2022</v>
      </c>
      <c r="Y1616" s="234">
        <v>3</v>
      </c>
      <c r="Z1616" s="234">
        <v>9</v>
      </c>
      <c r="AA1616" s="235">
        <v>0.25</v>
      </c>
      <c r="AB1616" s="236">
        <v>-15.9</v>
      </c>
      <c r="AC1616" s="127">
        <f t="shared" si="40"/>
        <v>-16</v>
      </c>
    </row>
    <row r="1617" ht="14.5" customHeight="1" spans="11:29" x14ac:dyDescent="0.25">
      <c r="K1617" s="128"/>
      <c r="X1617" s="234">
        <v>2022</v>
      </c>
      <c r="Y1617" s="234">
        <v>3</v>
      </c>
      <c r="Z1617" s="234">
        <v>9</v>
      </c>
      <c r="AA1617" s="235">
        <v>0.2916666666678793</v>
      </c>
      <c r="AB1617" s="236">
        <v>-16.8</v>
      </c>
      <c r="AC1617" s="127">
        <f t="shared" si="40"/>
        <v>-17</v>
      </c>
    </row>
    <row r="1618" ht="14.5" customHeight="1" spans="11:29" x14ac:dyDescent="0.25">
      <c r="K1618" s="128"/>
      <c r="X1618" s="234">
        <v>2022</v>
      </c>
      <c r="Y1618" s="234">
        <v>3</v>
      </c>
      <c r="Z1618" s="234">
        <v>9</v>
      </c>
      <c r="AA1618" s="235">
        <v>0.3333333333321207</v>
      </c>
      <c r="AB1618" s="236">
        <v>-15.6</v>
      </c>
      <c r="AC1618" s="127">
        <f t="shared" si="40"/>
        <v>-16</v>
      </c>
    </row>
    <row r="1619" ht="14.5" customHeight="1" spans="11:29" x14ac:dyDescent="0.25">
      <c r="K1619" s="128"/>
      <c r="X1619" s="234">
        <v>2022</v>
      </c>
      <c r="Y1619" s="234">
        <v>3</v>
      </c>
      <c r="Z1619" s="234">
        <v>9</v>
      </c>
      <c r="AA1619" s="235">
        <v>0.375</v>
      </c>
      <c r="AB1619" s="236">
        <v>-13.8</v>
      </c>
      <c r="AC1619" s="127">
        <f t="shared" si="40"/>
        <v>-14</v>
      </c>
    </row>
    <row r="1620" ht="14.5" customHeight="1" spans="11:29" x14ac:dyDescent="0.25">
      <c r="K1620" s="128"/>
      <c r="X1620" s="234">
        <v>2022</v>
      </c>
      <c r="Y1620" s="234">
        <v>3</v>
      </c>
      <c r="Z1620" s="234">
        <v>9</v>
      </c>
      <c r="AA1620" s="235">
        <v>0.4166666666678793</v>
      </c>
      <c r="AB1620" s="236">
        <v>-13.6</v>
      </c>
      <c r="AC1620" s="127">
        <f t="shared" si="40"/>
        <v>-14</v>
      </c>
    </row>
    <row r="1621" ht="14.5" customHeight="1" spans="11:29" x14ac:dyDescent="0.25">
      <c r="K1621" s="128"/>
      <c r="X1621" s="234">
        <v>2022</v>
      </c>
      <c r="Y1621" s="234">
        <v>3</v>
      </c>
      <c r="Z1621" s="234">
        <v>9</v>
      </c>
      <c r="AA1621" s="235">
        <v>0.4583333333321207</v>
      </c>
      <c r="AB1621" s="236">
        <v>-13</v>
      </c>
      <c r="AC1621" s="127">
        <f t="shared" si="40"/>
        <v>-13</v>
      </c>
    </row>
    <row r="1622" ht="14.5" customHeight="1" spans="11:29" x14ac:dyDescent="0.25">
      <c r="K1622" s="128"/>
      <c r="X1622" s="234">
        <v>2022</v>
      </c>
      <c r="Y1622" s="234">
        <v>3</v>
      </c>
      <c r="Z1622" s="234">
        <v>9</v>
      </c>
      <c r="AA1622" s="235">
        <v>0.5</v>
      </c>
      <c r="AB1622" s="236">
        <v>-12.4</v>
      </c>
      <c r="AC1622" s="127">
        <f t="shared" si="40"/>
        <v>-12</v>
      </c>
    </row>
    <row r="1623" ht="14.5" customHeight="1" spans="11:29" x14ac:dyDescent="0.25">
      <c r="K1623" s="128"/>
      <c r="X1623" s="234">
        <v>2022</v>
      </c>
      <c r="Y1623" s="234">
        <v>3</v>
      </c>
      <c r="Z1623" s="234">
        <v>9</v>
      </c>
      <c r="AA1623" s="235">
        <v>0.5416666666678793</v>
      </c>
      <c r="AB1623" s="236">
        <v>-12.1</v>
      </c>
      <c r="AC1623" s="127">
        <f t="shared" si="40"/>
        <v>-12</v>
      </c>
    </row>
    <row r="1624" ht="14.5" customHeight="1" spans="11:29" x14ac:dyDescent="0.25">
      <c r="K1624" s="128"/>
      <c r="X1624" s="234">
        <v>2022</v>
      </c>
      <c r="Y1624" s="234">
        <v>3</v>
      </c>
      <c r="Z1624" s="234">
        <v>9</v>
      </c>
      <c r="AA1624" s="235">
        <v>0.5833333333321207</v>
      </c>
      <c r="AB1624" s="236">
        <v>-10.9</v>
      </c>
      <c r="AC1624" s="127">
        <f t="shared" si="40"/>
        <v>-11</v>
      </c>
    </row>
    <row r="1625" ht="14.5" customHeight="1" spans="11:29" x14ac:dyDescent="0.25">
      <c r="K1625" s="128"/>
      <c r="X1625" s="234">
        <v>2022</v>
      </c>
      <c r="Y1625" s="234">
        <v>3</v>
      </c>
      <c r="Z1625" s="234">
        <v>9</v>
      </c>
      <c r="AA1625" s="235">
        <v>0.625</v>
      </c>
      <c r="AB1625" s="236">
        <v>-11.4</v>
      </c>
      <c r="AC1625" s="127">
        <f t="shared" si="40"/>
        <v>-11</v>
      </c>
    </row>
    <row r="1626" ht="14.5" customHeight="1" spans="11:29" x14ac:dyDescent="0.25">
      <c r="K1626" s="128"/>
      <c r="X1626" s="234">
        <v>2022</v>
      </c>
      <c r="Y1626" s="234">
        <v>3</v>
      </c>
      <c r="Z1626" s="234">
        <v>9</v>
      </c>
      <c r="AA1626" s="235">
        <v>0.6666666666678793</v>
      </c>
      <c r="AB1626" s="236">
        <v>-10.4</v>
      </c>
      <c r="AC1626" s="127">
        <f t="shared" si="40"/>
        <v>-10</v>
      </c>
    </row>
    <row r="1627" ht="14.5" customHeight="1" spans="11:29" x14ac:dyDescent="0.25">
      <c r="K1627" s="128"/>
      <c r="X1627" s="234">
        <v>2022</v>
      </c>
      <c r="Y1627" s="234">
        <v>3</v>
      </c>
      <c r="Z1627" s="234">
        <v>9</v>
      </c>
      <c r="AA1627" s="235">
        <v>0.7083333333321207</v>
      </c>
      <c r="AB1627" s="236">
        <v>-10.7</v>
      </c>
      <c r="AC1627" s="127">
        <f t="shared" si="40"/>
        <v>-11</v>
      </c>
    </row>
    <row r="1628" ht="14.5" customHeight="1" spans="11:29" x14ac:dyDescent="0.25">
      <c r="K1628" s="128"/>
      <c r="X1628" s="234">
        <v>2022</v>
      </c>
      <c r="Y1628" s="234">
        <v>3</v>
      </c>
      <c r="Z1628" s="234">
        <v>9</v>
      </c>
      <c r="AA1628" s="235">
        <v>0.75</v>
      </c>
      <c r="AB1628" s="236">
        <v>-11.5</v>
      </c>
      <c r="AC1628" s="127">
        <f t="shared" si="40"/>
        <v>-12</v>
      </c>
    </row>
    <row r="1629" ht="14.5" customHeight="1" spans="11:29" x14ac:dyDescent="0.25">
      <c r="K1629" s="128"/>
      <c r="X1629" s="234">
        <v>2022</v>
      </c>
      <c r="Y1629" s="234">
        <v>3</v>
      </c>
      <c r="Z1629" s="234">
        <v>9</v>
      </c>
      <c r="AA1629" s="235">
        <v>0.7916666666678793</v>
      </c>
      <c r="AB1629" s="236">
        <v>-11.7</v>
      </c>
      <c r="AC1629" s="127">
        <f t="shared" si="40"/>
        <v>-12</v>
      </c>
    </row>
    <row r="1630" ht="14.5" customHeight="1" spans="11:29" x14ac:dyDescent="0.25">
      <c r="K1630" s="128"/>
      <c r="X1630" s="234">
        <v>2022</v>
      </c>
      <c r="Y1630" s="234">
        <v>3</v>
      </c>
      <c r="Z1630" s="234">
        <v>9</v>
      </c>
      <c r="AA1630" s="235">
        <v>0.8333333333321207</v>
      </c>
      <c r="AB1630" s="236">
        <v>-12.6</v>
      </c>
      <c r="AC1630" s="127">
        <f t="shared" si="40"/>
        <v>-13</v>
      </c>
    </row>
    <row r="1631" ht="14.5" customHeight="1" spans="11:29" x14ac:dyDescent="0.25">
      <c r="K1631" s="128"/>
      <c r="X1631" s="234">
        <v>2022</v>
      </c>
      <c r="Y1631" s="234">
        <v>3</v>
      </c>
      <c r="Z1631" s="234">
        <v>9</v>
      </c>
      <c r="AA1631" s="235">
        <v>0.875</v>
      </c>
      <c r="AB1631" s="236">
        <v>-13.5</v>
      </c>
      <c r="AC1631" s="127">
        <f t="shared" si="40"/>
        <v>-14</v>
      </c>
    </row>
    <row r="1632" ht="14.5" customHeight="1" spans="11:29" x14ac:dyDescent="0.25">
      <c r="K1632" s="128"/>
      <c r="X1632" s="234">
        <v>2022</v>
      </c>
      <c r="Y1632" s="234">
        <v>3</v>
      </c>
      <c r="Z1632" s="234">
        <v>9</v>
      </c>
      <c r="AA1632" s="235">
        <v>0.9166666666678793</v>
      </c>
      <c r="AB1632" s="236">
        <v>-12.2</v>
      </c>
      <c r="AC1632" s="127">
        <f t="shared" si="40"/>
        <v>-12</v>
      </c>
    </row>
    <row r="1633" ht="14.5" customHeight="1" spans="11:29" x14ac:dyDescent="0.25">
      <c r="K1633" s="128"/>
      <c r="X1633" s="234">
        <v>2022</v>
      </c>
      <c r="Y1633" s="234">
        <v>3</v>
      </c>
      <c r="Z1633" s="234">
        <v>9</v>
      </c>
      <c r="AA1633" s="235">
        <v>0.9583333333321207</v>
      </c>
      <c r="AB1633" s="236">
        <v>-9.1</v>
      </c>
      <c r="AC1633" s="127">
        <f t="shared" si="40"/>
        <v>-9</v>
      </c>
    </row>
    <row r="1634" ht="14.5" customHeight="1" spans="11:29" x14ac:dyDescent="0.25">
      <c r="K1634" s="128"/>
      <c r="X1634" s="234">
        <v>2022</v>
      </c>
      <c r="Y1634" s="234">
        <v>3</v>
      </c>
      <c r="Z1634" s="234">
        <v>10</v>
      </c>
      <c r="AA1634" s="235">
        <v>0</v>
      </c>
      <c r="AB1634" s="236">
        <v>-6.4</v>
      </c>
      <c r="AC1634" s="127">
        <f t="shared" si="40"/>
        <v>-6</v>
      </c>
    </row>
    <row r="1635" ht="14.5" customHeight="1" spans="11:29" x14ac:dyDescent="0.25">
      <c r="K1635" s="128"/>
      <c r="X1635" s="234">
        <v>2022</v>
      </c>
      <c r="Y1635" s="234">
        <v>3</v>
      </c>
      <c r="Z1635" s="234">
        <v>10</v>
      </c>
      <c r="AA1635" s="235">
        <v>0.041666666667879326</v>
      </c>
      <c r="AB1635" s="236">
        <v>-5.6</v>
      </c>
      <c r="AC1635" s="127">
        <f t="shared" si="40"/>
        <v>-6</v>
      </c>
    </row>
    <row r="1636" ht="14.5" customHeight="1" spans="11:29" x14ac:dyDescent="0.25">
      <c r="K1636" s="128"/>
      <c r="X1636" s="234">
        <v>2022</v>
      </c>
      <c r="Y1636" s="234">
        <v>3</v>
      </c>
      <c r="Z1636" s="234">
        <v>10</v>
      </c>
      <c r="AA1636" s="235">
        <v>0.08333333333212067</v>
      </c>
      <c r="AB1636" s="236">
        <v>-6.4</v>
      </c>
      <c r="AC1636" s="127">
        <f t="shared" si="40"/>
        <v>-6</v>
      </c>
    </row>
    <row r="1637" ht="14.5" customHeight="1" spans="11:29" x14ac:dyDescent="0.25">
      <c r="K1637" s="128"/>
      <c r="X1637" s="234">
        <v>2022</v>
      </c>
      <c r="Y1637" s="234">
        <v>3</v>
      </c>
      <c r="Z1637" s="234">
        <v>10</v>
      </c>
      <c r="AA1637" s="235">
        <v>0.125</v>
      </c>
      <c r="AB1637" s="236">
        <v>-7.6</v>
      </c>
      <c r="AC1637" s="127">
        <f t="shared" si="40"/>
        <v>-8</v>
      </c>
    </row>
    <row r="1638" ht="14.5" customHeight="1" spans="11:29" x14ac:dyDescent="0.25">
      <c r="K1638" s="128"/>
      <c r="X1638" s="234">
        <v>2022</v>
      </c>
      <c r="Y1638" s="234">
        <v>3</v>
      </c>
      <c r="Z1638" s="234">
        <v>10</v>
      </c>
      <c r="AA1638" s="235">
        <v>0.16666666666787933</v>
      </c>
      <c r="AB1638" s="236">
        <v>-7.6</v>
      </c>
      <c r="AC1638" s="127">
        <f t="shared" si="40"/>
        <v>-8</v>
      </c>
    </row>
    <row r="1639" ht="14.5" customHeight="1" spans="11:29" x14ac:dyDescent="0.25">
      <c r="K1639" s="128"/>
      <c r="X1639" s="234">
        <v>2022</v>
      </c>
      <c r="Y1639" s="234">
        <v>3</v>
      </c>
      <c r="Z1639" s="234">
        <v>10</v>
      </c>
      <c r="AA1639" s="235">
        <v>0.20833333333212067</v>
      </c>
      <c r="AB1639" s="236">
        <v>-6.2</v>
      </c>
      <c r="AC1639" s="127">
        <f t="shared" si="40"/>
        <v>-6</v>
      </c>
    </row>
    <row r="1640" ht="14.5" customHeight="1" spans="11:29" x14ac:dyDescent="0.25">
      <c r="K1640" s="128"/>
      <c r="X1640" s="234">
        <v>2022</v>
      </c>
      <c r="Y1640" s="234">
        <v>3</v>
      </c>
      <c r="Z1640" s="234">
        <v>10</v>
      </c>
      <c r="AA1640" s="235">
        <v>0.25</v>
      </c>
      <c r="AB1640" s="236">
        <v>-7.3</v>
      </c>
      <c r="AC1640" s="127">
        <f t="shared" si="40"/>
        <v>-7</v>
      </c>
    </row>
    <row r="1641" ht="14.5" customHeight="1" spans="11:29" x14ac:dyDescent="0.25">
      <c r="K1641" s="128"/>
      <c r="X1641" s="234">
        <v>2022</v>
      </c>
      <c r="Y1641" s="234">
        <v>3</v>
      </c>
      <c r="Z1641" s="234">
        <v>10</v>
      </c>
      <c r="AA1641" s="235">
        <v>0.2916666666678793</v>
      </c>
      <c r="AB1641" s="236">
        <v>-9.1</v>
      </c>
      <c r="AC1641" s="127">
        <f t="shared" si="40"/>
        <v>-9</v>
      </c>
    </row>
    <row r="1642" ht="14.5" customHeight="1" spans="11:29" x14ac:dyDescent="0.25">
      <c r="K1642" s="128"/>
      <c r="X1642" s="234">
        <v>2022</v>
      </c>
      <c r="Y1642" s="234">
        <v>3</v>
      </c>
      <c r="Z1642" s="234">
        <v>10</v>
      </c>
      <c r="AA1642" s="235">
        <v>0.3333333333321207</v>
      </c>
      <c r="AB1642" s="236">
        <v>-7.9</v>
      </c>
      <c r="AC1642" s="127">
        <f t="shared" si="40"/>
        <v>-8</v>
      </c>
    </row>
    <row r="1643" ht="14.5" customHeight="1" spans="11:29" x14ac:dyDescent="0.25">
      <c r="K1643" s="128"/>
      <c r="X1643" s="234">
        <v>2022</v>
      </c>
      <c r="Y1643" s="234">
        <v>3</v>
      </c>
      <c r="Z1643" s="234">
        <v>10</v>
      </c>
      <c r="AA1643" s="235">
        <v>0.375</v>
      </c>
      <c r="AB1643" s="236">
        <v>-5.7</v>
      </c>
      <c r="AC1643" s="127">
        <f t="shared" si="40"/>
        <v>-6</v>
      </c>
    </row>
    <row r="1644" ht="14.5" customHeight="1" spans="11:29" x14ac:dyDescent="0.25">
      <c r="K1644" s="128"/>
      <c r="X1644" s="234">
        <v>2022</v>
      </c>
      <c r="Y1644" s="234">
        <v>3</v>
      </c>
      <c r="Z1644" s="234">
        <v>10</v>
      </c>
      <c r="AA1644" s="235">
        <v>0.4166666666678793</v>
      </c>
      <c r="AB1644" s="236">
        <v>-5</v>
      </c>
      <c r="AC1644" s="127">
        <f t="shared" si="40"/>
        <v>-5</v>
      </c>
    </row>
    <row r="1645" ht="14.5" customHeight="1" spans="11:29" x14ac:dyDescent="0.25">
      <c r="K1645" s="128"/>
      <c r="X1645" s="234">
        <v>2022</v>
      </c>
      <c r="Y1645" s="234">
        <v>3</v>
      </c>
      <c r="Z1645" s="234">
        <v>10</v>
      </c>
      <c r="AA1645" s="235">
        <v>0.4583333333321207</v>
      </c>
      <c r="AB1645" s="236">
        <v>-6.3</v>
      </c>
      <c r="AC1645" s="127">
        <f t="shared" si="40"/>
        <v>-6</v>
      </c>
    </row>
    <row r="1646" ht="14.5" customHeight="1" spans="11:29" x14ac:dyDescent="0.25">
      <c r="K1646" s="128"/>
      <c r="X1646" s="234">
        <v>2022</v>
      </c>
      <c r="Y1646" s="234">
        <v>3</v>
      </c>
      <c r="Z1646" s="234">
        <v>10</v>
      </c>
      <c r="AA1646" s="235">
        <v>0.5</v>
      </c>
      <c r="AB1646" s="236">
        <v>-7.3</v>
      </c>
      <c r="AC1646" s="127">
        <f t="shared" si="40"/>
        <v>-7</v>
      </c>
    </row>
    <row r="1647" ht="14.5" customHeight="1" spans="11:29" x14ac:dyDescent="0.25">
      <c r="K1647" s="128"/>
      <c r="X1647" s="234">
        <v>2022</v>
      </c>
      <c r="Y1647" s="234">
        <v>3</v>
      </c>
      <c r="Z1647" s="234">
        <v>10</v>
      </c>
      <c r="AA1647" s="235">
        <v>0.5416666666678793</v>
      </c>
      <c r="AB1647" s="236">
        <v>-8.3</v>
      </c>
      <c r="AC1647" s="127">
        <f t="shared" si="40"/>
        <v>-8</v>
      </c>
    </row>
    <row r="1648" ht="14.5" customHeight="1" spans="11:29" x14ac:dyDescent="0.25">
      <c r="K1648" s="128"/>
      <c r="X1648" s="234">
        <v>2022</v>
      </c>
      <c r="Y1648" s="234">
        <v>3</v>
      </c>
      <c r="Z1648" s="234">
        <v>10</v>
      </c>
      <c r="AA1648" s="235">
        <v>0.5833333333321207</v>
      </c>
      <c r="AB1648" s="236">
        <v>-8.5</v>
      </c>
      <c r="AC1648" s="127">
        <f t="shared" si="40"/>
        <v>-9</v>
      </c>
    </row>
    <row r="1649" ht="14.5" customHeight="1" spans="11:29" x14ac:dyDescent="0.25">
      <c r="K1649" s="128"/>
      <c r="X1649" s="234">
        <v>2022</v>
      </c>
      <c r="Y1649" s="234">
        <v>3</v>
      </c>
      <c r="Z1649" s="234">
        <v>10</v>
      </c>
      <c r="AA1649" s="235">
        <v>0.625</v>
      </c>
      <c r="AB1649" s="236">
        <v>-9.1</v>
      </c>
      <c r="AC1649" s="127">
        <f t="shared" si="40"/>
        <v>-9</v>
      </c>
    </row>
    <row r="1650" ht="14.5" customHeight="1" spans="11:29" x14ac:dyDescent="0.25">
      <c r="K1650" s="128"/>
      <c r="X1650" s="234">
        <v>2022</v>
      </c>
      <c r="Y1650" s="234">
        <v>3</v>
      </c>
      <c r="Z1650" s="234">
        <v>10</v>
      </c>
      <c r="AA1650" s="235">
        <v>0.6666666666678793</v>
      </c>
      <c r="AB1650" s="236">
        <v>-8.2</v>
      </c>
      <c r="AC1650" s="127">
        <f t="shared" si="40"/>
        <v>-8</v>
      </c>
    </row>
    <row r="1651" ht="14.5" customHeight="1" spans="11:29" x14ac:dyDescent="0.25">
      <c r="K1651" s="128"/>
      <c r="X1651" s="234">
        <v>2022</v>
      </c>
      <c r="Y1651" s="234">
        <v>3</v>
      </c>
      <c r="Z1651" s="234">
        <v>10</v>
      </c>
      <c r="AA1651" s="235">
        <v>0.7083333333321207</v>
      </c>
      <c r="AB1651" s="236">
        <v>-9</v>
      </c>
      <c r="AC1651" s="127">
        <f t="shared" si="40"/>
        <v>-9</v>
      </c>
    </row>
    <row r="1652" ht="14.5" customHeight="1" spans="11:29" x14ac:dyDescent="0.25">
      <c r="K1652" s="128"/>
      <c r="X1652" s="234">
        <v>2022</v>
      </c>
      <c r="Y1652" s="234">
        <v>3</v>
      </c>
      <c r="Z1652" s="234">
        <v>10</v>
      </c>
      <c r="AA1652" s="235">
        <v>0.75</v>
      </c>
      <c r="AB1652" s="236">
        <v>-9.8</v>
      </c>
      <c r="AC1652" s="127">
        <f t="shared" si="40"/>
        <v>-10</v>
      </c>
    </row>
    <row r="1653" ht="14.5" customHeight="1" spans="11:29" x14ac:dyDescent="0.25">
      <c r="K1653" s="128"/>
      <c r="X1653" s="234">
        <v>2022</v>
      </c>
      <c r="Y1653" s="234">
        <v>3</v>
      </c>
      <c r="Z1653" s="234">
        <v>10</v>
      </c>
      <c r="AA1653" s="235">
        <v>0.7916666666678793</v>
      </c>
      <c r="AB1653" s="236">
        <v>-10.8</v>
      </c>
      <c r="AC1653" s="127">
        <f t="shared" si="40"/>
        <v>-11</v>
      </c>
    </row>
    <row r="1654" ht="14.5" customHeight="1" spans="11:29" x14ac:dyDescent="0.25">
      <c r="K1654" s="128"/>
      <c r="X1654" s="234">
        <v>2022</v>
      </c>
      <c r="Y1654" s="234">
        <v>3</v>
      </c>
      <c r="Z1654" s="234">
        <v>10</v>
      </c>
      <c r="AA1654" s="235">
        <v>0.8333333333321207</v>
      </c>
      <c r="AB1654" s="236">
        <v>-11</v>
      </c>
      <c r="AC1654" s="127">
        <f t="shared" si="40"/>
        <v>-11</v>
      </c>
    </row>
    <row r="1655" ht="14.5" customHeight="1" spans="11:29" x14ac:dyDescent="0.25">
      <c r="K1655" s="128"/>
      <c r="X1655" s="234">
        <v>2022</v>
      </c>
      <c r="Y1655" s="234">
        <v>3</v>
      </c>
      <c r="Z1655" s="234">
        <v>10</v>
      </c>
      <c r="AA1655" s="235">
        <v>0.875</v>
      </c>
      <c r="AB1655" s="236">
        <v>-12.5</v>
      </c>
      <c r="AC1655" s="127">
        <f t="shared" si="40"/>
        <v>-13</v>
      </c>
    </row>
    <row r="1656" ht="14.5" customHeight="1" spans="11:29" x14ac:dyDescent="0.25">
      <c r="K1656" s="128"/>
      <c r="X1656" s="234">
        <v>2022</v>
      </c>
      <c r="Y1656" s="234">
        <v>3</v>
      </c>
      <c r="Z1656" s="234">
        <v>10</v>
      </c>
      <c r="AA1656" s="235">
        <v>0.9166666666678793</v>
      </c>
      <c r="AB1656" s="236">
        <v>-12.3</v>
      </c>
      <c r="AC1656" s="127">
        <f t="shared" si="40"/>
        <v>-12</v>
      </c>
    </row>
    <row r="1657" ht="14.5" customHeight="1" spans="11:29" x14ac:dyDescent="0.25">
      <c r="K1657" s="128"/>
      <c r="X1657" s="234">
        <v>2022</v>
      </c>
      <c r="Y1657" s="234">
        <v>3</v>
      </c>
      <c r="Z1657" s="234">
        <v>10</v>
      </c>
      <c r="AA1657" s="235">
        <v>0.9583333333321207</v>
      </c>
      <c r="AB1657" s="236">
        <v>-13.3</v>
      </c>
      <c r="AC1657" s="127">
        <f t="shared" si="40"/>
        <v>-13</v>
      </c>
    </row>
    <row r="1658" ht="14.5" customHeight="1" spans="11:29" x14ac:dyDescent="0.25">
      <c r="K1658" s="128"/>
      <c r="X1658" s="234">
        <v>2022</v>
      </c>
      <c r="Y1658" s="234">
        <v>3</v>
      </c>
      <c r="Z1658" s="234">
        <v>11</v>
      </c>
      <c r="AA1658" s="235">
        <v>0</v>
      </c>
      <c r="AB1658" s="236">
        <v>-13.9</v>
      </c>
      <c r="AC1658" s="127">
        <f t="shared" si="40"/>
        <v>-14</v>
      </c>
    </row>
    <row r="1659" ht="14.5" customHeight="1" spans="11:29" x14ac:dyDescent="0.25">
      <c r="K1659" s="128"/>
      <c r="X1659" s="234">
        <v>2022</v>
      </c>
      <c r="Y1659" s="234">
        <v>3</v>
      </c>
      <c r="Z1659" s="234">
        <v>11</v>
      </c>
      <c r="AA1659" s="235">
        <v>0.041666666667879326</v>
      </c>
      <c r="AB1659" s="236">
        <v>-14</v>
      </c>
      <c r="AC1659" s="127">
        <f t="shared" si="40"/>
        <v>-14</v>
      </c>
    </row>
    <row r="1660" ht="14.5" customHeight="1" spans="11:29" x14ac:dyDescent="0.25">
      <c r="K1660" s="128"/>
      <c r="X1660" s="234">
        <v>2022</v>
      </c>
      <c r="Y1660" s="234">
        <v>3</v>
      </c>
      <c r="Z1660" s="234">
        <v>11</v>
      </c>
      <c r="AA1660" s="235">
        <v>0.08333333333212067</v>
      </c>
      <c r="AB1660" s="236">
        <v>-14.9</v>
      </c>
      <c r="AC1660" s="127">
        <f t="shared" si="40"/>
        <v>-15</v>
      </c>
    </row>
    <row r="1661" ht="14.5" customHeight="1" spans="11:29" x14ac:dyDescent="0.25">
      <c r="K1661" s="128"/>
      <c r="X1661" s="234">
        <v>2022</v>
      </c>
      <c r="Y1661" s="234">
        <v>3</v>
      </c>
      <c r="Z1661" s="234">
        <v>11</v>
      </c>
      <c r="AA1661" s="235">
        <v>0.125</v>
      </c>
      <c r="AB1661" s="236">
        <v>-15.4</v>
      </c>
      <c r="AC1661" s="127">
        <f t="shared" si="40"/>
        <v>-15</v>
      </c>
    </row>
    <row r="1662" ht="14.5" customHeight="1" spans="11:29" x14ac:dyDescent="0.25">
      <c r="K1662" s="128"/>
      <c r="X1662" s="234">
        <v>2022</v>
      </c>
      <c r="Y1662" s="234">
        <v>3</v>
      </c>
      <c r="Z1662" s="234">
        <v>11</v>
      </c>
      <c r="AA1662" s="235">
        <v>0.16666666666787933</v>
      </c>
      <c r="AB1662" s="236">
        <v>-15.4</v>
      </c>
      <c r="AC1662" s="127">
        <f t="shared" si="40"/>
        <v>-15</v>
      </c>
    </row>
    <row r="1663" ht="14.5" customHeight="1" spans="11:29" x14ac:dyDescent="0.25">
      <c r="K1663" s="128"/>
      <c r="X1663" s="234">
        <v>2022</v>
      </c>
      <c r="Y1663" s="234">
        <v>3</v>
      </c>
      <c r="Z1663" s="234">
        <v>11</v>
      </c>
      <c r="AA1663" s="235">
        <v>0.20833333333212067</v>
      </c>
      <c r="AB1663" s="236">
        <v>-15.6</v>
      </c>
      <c r="AC1663" s="127">
        <f t="shared" si="40"/>
        <v>-16</v>
      </c>
    </row>
    <row r="1664" ht="14.5" customHeight="1" spans="11:29" x14ac:dyDescent="0.25">
      <c r="K1664" s="128"/>
      <c r="X1664" s="234">
        <v>2022</v>
      </c>
      <c r="Y1664" s="234">
        <v>3</v>
      </c>
      <c r="Z1664" s="234">
        <v>11</v>
      </c>
      <c r="AA1664" s="235">
        <v>0.25</v>
      </c>
      <c r="AB1664" s="236">
        <v>-15.7</v>
      </c>
      <c r="AC1664" s="127">
        <f t="shared" si="40"/>
        <v>-16</v>
      </c>
    </row>
    <row r="1665" ht="14.5" customHeight="1" spans="11:29" x14ac:dyDescent="0.25">
      <c r="K1665" s="128"/>
      <c r="X1665" s="234">
        <v>2022</v>
      </c>
      <c r="Y1665" s="234">
        <v>3</v>
      </c>
      <c r="Z1665" s="234">
        <v>11</v>
      </c>
      <c r="AA1665" s="235">
        <v>0.2916666666678793</v>
      </c>
      <c r="AB1665" s="236">
        <v>-15.6</v>
      </c>
      <c r="AC1665" s="127">
        <f t="shared" si="40"/>
        <v>-16</v>
      </c>
    </row>
    <row r="1666" ht="14.5" customHeight="1" spans="11:29" x14ac:dyDescent="0.25">
      <c r="K1666" s="128"/>
      <c r="X1666" s="234">
        <v>2022</v>
      </c>
      <c r="Y1666" s="234">
        <v>3</v>
      </c>
      <c r="Z1666" s="234">
        <v>11</v>
      </c>
      <c r="AA1666" s="235">
        <v>0.3333333333321207</v>
      </c>
      <c r="AB1666" s="236">
        <v>-14</v>
      </c>
      <c r="AC1666" s="127">
        <f t="shared" si="40"/>
        <v>-14</v>
      </c>
    </row>
    <row r="1667" ht="14.5" customHeight="1" spans="11:29" x14ac:dyDescent="0.25">
      <c r="K1667" s="128"/>
      <c r="X1667" s="234">
        <v>2022</v>
      </c>
      <c r="Y1667" s="234">
        <v>3</v>
      </c>
      <c r="Z1667" s="234">
        <v>11</v>
      </c>
      <c r="AA1667" s="235">
        <v>0.375</v>
      </c>
      <c r="AB1667" s="236">
        <v>-11.7</v>
      </c>
      <c r="AC1667" s="127">
        <f t="shared" si="40"/>
        <v>-12</v>
      </c>
    </row>
    <row r="1668" ht="14.5" customHeight="1" spans="11:29" x14ac:dyDescent="0.25">
      <c r="K1668" s="128"/>
      <c r="X1668" s="234">
        <v>2022</v>
      </c>
      <c r="Y1668" s="234">
        <v>3</v>
      </c>
      <c r="Z1668" s="234">
        <v>11</v>
      </c>
      <c r="AA1668" s="235">
        <v>0.4166666666678793</v>
      </c>
      <c r="AB1668" s="236">
        <v>-10.1</v>
      </c>
      <c r="AC1668" s="127">
        <f t="shared" si="40"/>
        <v>-10</v>
      </c>
    </row>
    <row r="1669" ht="14.5" customHeight="1" spans="11:29" x14ac:dyDescent="0.25">
      <c r="K1669" s="128"/>
      <c r="X1669" s="234">
        <v>2022</v>
      </c>
      <c r="Y1669" s="234">
        <v>3</v>
      </c>
      <c r="Z1669" s="234">
        <v>11</v>
      </c>
      <c r="AA1669" s="235">
        <v>0.4583333333321207</v>
      </c>
      <c r="AB1669" s="236">
        <v>-8.1</v>
      </c>
      <c r="AC1669" s="127">
        <f t="shared" si="40"/>
        <v>-8</v>
      </c>
    </row>
    <row r="1670" ht="14.5" customHeight="1" spans="11:29" x14ac:dyDescent="0.25">
      <c r="K1670" s="128"/>
      <c r="X1670" s="234">
        <v>2022</v>
      </c>
      <c r="Y1670" s="234">
        <v>3</v>
      </c>
      <c r="Z1670" s="234">
        <v>11</v>
      </c>
      <c r="AA1670" s="235">
        <v>0.5</v>
      </c>
      <c r="AB1670" s="236">
        <v>-6.1</v>
      </c>
      <c r="AC1670" s="127">
        <f t="shared" si="40"/>
        <v>-6</v>
      </c>
    </row>
    <row r="1671" ht="14.5" customHeight="1" spans="11:29" x14ac:dyDescent="0.25">
      <c r="K1671" s="128"/>
      <c r="X1671" s="234">
        <v>2022</v>
      </c>
      <c r="Y1671" s="234">
        <v>3</v>
      </c>
      <c r="Z1671" s="234">
        <v>11</v>
      </c>
      <c r="AA1671" s="235">
        <v>0.5416666666678793</v>
      </c>
      <c r="AB1671" s="236">
        <v>-4.9</v>
      </c>
      <c r="AC1671" s="127">
        <f t="shared" si="40"/>
        <v>-5</v>
      </c>
    </row>
    <row r="1672" ht="14.5" customHeight="1" spans="11:29" x14ac:dyDescent="0.25">
      <c r="K1672" s="128"/>
      <c r="X1672" s="234">
        <v>2022</v>
      </c>
      <c r="Y1672" s="234">
        <v>3</v>
      </c>
      <c r="Z1672" s="234">
        <v>11</v>
      </c>
      <c r="AA1672" s="235">
        <v>0.5833333333321207</v>
      </c>
      <c r="AB1672" s="236">
        <v>-5.3</v>
      </c>
      <c r="AC1672" s="127">
        <f t="shared" si="40"/>
        <v>-5</v>
      </c>
    </row>
    <row r="1673" ht="14.5" customHeight="1" spans="11:29" x14ac:dyDescent="0.25">
      <c r="K1673" s="128"/>
      <c r="X1673" s="234">
        <v>2022</v>
      </c>
      <c r="Y1673" s="234">
        <v>3</v>
      </c>
      <c r="Z1673" s="234">
        <v>11</v>
      </c>
      <c r="AA1673" s="235">
        <v>0.625</v>
      </c>
      <c r="AB1673" s="236">
        <v>-4.8</v>
      </c>
      <c r="AC1673" s="127">
        <f t="shared" si="40"/>
        <v>-5</v>
      </c>
    </row>
    <row r="1674" ht="14.5" customHeight="1" spans="11:29" x14ac:dyDescent="0.25">
      <c r="K1674" s="128"/>
      <c r="X1674" s="234">
        <v>2022</v>
      </c>
      <c r="Y1674" s="234">
        <v>3</v>
      </c>
      <c r="Z1674" s="234">
        <v>11</v>
      </c>
      <c r="AA1674" s="235">
        <v>0.6666666666678793</v>
      </c>
      <c r="AB1674" s="236">
        <v>-2.8</v>
      </c>
      <c r="AC1674" s="127">
        <f t="shared" si="40"/>
        <v>-3</v>
      </c>
    </row>
    <row r="1675" ht="14.5" customHeight="1" spans="11:29" x14ac:dyDescent="0.25">
      <c r="K1675" s="128"/>
      <c r="X1675" s="234">
        <v>2022</v>
      </c>
      <c r="Y1675" s="234">
        <v>3</v>
      </c>
      <c r="Z1675" s="234">
        <v>11</v>
      </c>
      <c r="AA1675" s="235">
        <v>0.7083333333321207</v>
      </c>
      <c r="AB1675" s="236">
        <v>-1.3</v>
      </c>
      <c r="AC1675" s="127">
        <f t="shared" ref="AC1675:AC1738" si="41">ROUND(AB1675,0)</f>
        <v>-1</v>
      </c>
    </row>
    <row r="1676" ht="14.5" customHeight="1" spans="11:29" x14ac:dyDescent="0.25">
      <c r="K1676" s="128"/>
      <c r="X1676" s="234">
        <v>2022</v>
      </c>
      <c r="Y1676" s="234">
        <v>3</v>
      </c>
      <c r="Z1676" s="234">
        <v>11</v>
      </c>
      <c r="AA1676" s="235">
        <v>0.75</v>
      </c>
      <c r="AB1676" s="236">
        <v>0</v>
      </c>
      <c r="AC1676" s="127">
        <f t="shared" si="41"/>
        <v>0</v>
      </c>
    </row>
    <row r="1677" ht="14.5" customHeight="1" spans="11:29" x14ac:dyDescent="0.25">
      <c r="K1677" s="128"/>
      <c r="X1677" s="234">
        <v>2022</v>
      </c>
      <c r="Y1677" s="234">
        <v>3</v>
      </c>
      <c r="Z1677" s="234">
        <v>11</v>
      </c>
      <c r="AA1677" s="235">
        <v>0.7916666666678793</v>
      </c>
      <c r="AB1677" s="236">
        <v>3.5</v>
      </c>
      <c r="AC1677" s="127">
        <f t="shared" si="41"/>
        <v>4</v>
      </c>
    </row>
    <row r="1678" ht="14.5" customHeight="1" spans="11:29" x14ac:dyDescent="0.25">
      <c r="K1678" s="128"/>
      <c r="X1678" s="234">
        <v>2022</v>
      </c>
      <c r="Y1678" s="234">
        <v>3</v>
      </c>
      <c r="Z1678" s="234">
        <v>11</v>
      </c>
      <c r="AA1678" s="235">
        <v>0.8333333333321207</v>
      </c>
      <c r="AB1678" s="236">
        <v>3.9</v>
      </c>
      <c r="AC1678" s="127">
        <f t="shared" si="41"/>
        <v>4</v>
      </c>
    </row>
    <row r="1679" ht="14.5" customHeight="1" spans="11:29" x14ac:dyDescent="0.25">
      <c r="K1679" s="128"/>
      <c r="X1679" s="234">
        <v>2022</v>
      </c>
      <c r="Y1679" s="234">
        <v>3</v>
      </c>
      <c r="Z1679" s="234">
        <v>11</v>
      </c>
      <c r="AA1679" s="235">
        <v>0.875</v>
      </c>
      <c r="AB1679" s="236">
        <v>3.4</v>
      </c>
      <c r="AC1679" s="127">
        <f t="shared" si="41"/>
        <v>3</v>
      </c>
    </row>
    <row r="1680" ht="14.5" customHeight="1" spans="11:29" x14ac:dyDescent="0.25">
      <c r="K1680" s="128"/>
      <c r="X1680" s="234">
        <v>2022</v>
      </c>
      <c r="Y1680" s="234">
        <v>3</v>
      </c>
      <c r="Z1680" s="234">
        <v>11</v>
      </c>
      <c r="AA1680" s="235">
        <v>0.9166666666678793</v>
      </c>
      <c r="AB1680" s="236">
        <v>3.7</v>
      </c>
      <c r="AC1680" s="127">
        <f t="shared" si="41"/>
        <v>4</v>
      </c>
    </row>
    <row r="1681" ht="14.5" customHeight="1" spans="11:29" x14ac:dyDescent="0.25">
      <c r="K1681" s="128"/>
      <c r="X1681" s="234">
        <v>2022</v>
      </c>
      <c r="Y1681" s="234">
        <v>3</v>
      </c>
      <c r="Z1681" s="234">
        <v>11</v>
      </c>
      <c r="AA1681" s="235">
        <v>0.9583333333321207</v>
      </c>
      <c r="AB1681" s="236">
        <v>2.3</v>
      </c>
      <c r="AC1681" s="127">
        <f t="shared" si="41"/>
        <v>2</v>
      </c>
    </row>
    <row r="1682" ht="14.5" customHeight="1" spans="11:29" x14ac:dyDescent="0.25">
      <c r="K1682" s="128"/>
      <c r="X1682" s="234">
        <v>2022</v>
      </c>
      <c r="Y1682" s="234">
        <v>3</v>
      </c>
      <c r="Z1682" s="234">
        <v>12</v>
      </c>
      <c r="AA1682" s="235">
        <v>0</v>
      </c>
      <c r="AB1682" s="236">
        <v>2.6</v>
      </c>
      <c r="AC1682" s="127">
        <f t="shared" si="41"/>
        <v>3</v>
      </c>
    </row>
    <row r="1683" ht="14.5" customHeight="1" spans="11:29" x14ac:dyDescent="0.25">
      <c r="K1683" s="128"/>
      <c r="X1683" s="234">
        <v>2022</v>
      </c>
      <c r="Y1683" s="234">
        <v>3</v>
      </c>
      <c r="Z1683" s="234">
        <v>12</v>
      </c>
      <c r="AA1683" s="235">
        <v>0.041666666667879326</v>
      </c>
      <c r="AB1683" s="236">
        <v>4.4</v>
      </c>
      <c r="AC1683" s="127">
        <f t="shared" si="41"/>
        <v>4</v>
      </c>
    </row>
    <row r="1684" ht="14.5" customHeight="1" spans="11:29" x14ac:dyDescent="0.25">
      <c r="K1684" s="128"/>
      <c r="X1684" s="234">
        <v>2022</v>
      </c>
      <c r="Y1684" s="234">
        <v>3</v>
      </c>
      <c r="Z1684" s="234">
        <v>12</v>
      </c>
      <c r="AA1684" s="235">
        <v>0.08333333333212067</v>
      </c>
      <c r="AB1684" s="236">
        <v>4.7</v>
      </c>
      <c r="AC1684" s="127">
        <f t="shared" si="41"/>
        <v>5</v>
      </c>
    </row>
    <row r="1685" ht="14.5" customHeight="1" spans="11:29" x14ac:dyDescent="0.25">
      <c r="K1685" s="128"/>
      <c r="X1685" s="234">
        <v>2022</v>
      </c>
      <c r="Y1685" s="234">
        <v>3</v>
      </c>
      <c r="Z1685" s="234">
        <v>12</v>
      </c>
      <c r="AA1685" s="235">
        <v>0.125</v>
      </c>
      <c r="AB1685" s="236">
        <v>3.9</v>
      </c>
      <c r="AC1685" s="127">
        <f t="shared" si="41"/>
        <v>4</v>
      </c>
    </row>
    <row r="1686" ht="14.5" customHeight="1" spans="11:29" x14ac:dyDescent="0.25">
      <c r="K1686" s="128"/>
      <c r="X1686" s="234">
        <v>2022</v>
      </c>
      <c r="Y1686" s="234">
        <v>3</v>
      </c>
      <c r="Z1686" s="234">
        <v>12</v>
      </c>
      <c r="AA1686" s="235">
        <v>0.16666666666787933</v>
      </c>
      <c r="AB1686" s="236">
        <v>2.5</v>
      </c>
      <c r="AC1686" s="127">
        <f t="shared" si="41"/>
        <v>3</v>
      </c>
    </row>
    <row r="1687" ht="14.5" customHeight="1" spans="11:29" x14ac:dyDescent="0.25">
      <c r="K1687" s="128"/>
      <c r="X1687" s="234">
        <v>2022</v>
      </c>
      <c r="Y1687" s="234">
        <v>3</v>
      </c>
      <c r="Z1687" s="234">
        <v>12</v>
      </c>
      <c r="AA1687" s="235">
        <v>0.20833333333212067</v>
      </c>
      <c r="AB1687" s="236">
        <v>4</v>
      </c>
      <c r="AC1687" s="127">
        <f t="shared" si="41"/>
        <v>4</v>
      </c>
    </row>
    <row r="1688" ht="14.5" customHeight="1" spans="11:29" x14ac:dyDescent="0.25">
      <c r="K1688" s="128"/>
      <c r="X1688" s="234">
        <v>2022</v>
      </c>
      <c r="Y1688" s="234">
        <v>3</v>
      </c>
      <c r="Z1688" s="234">
        <v>12</v>
      </c>
      <c r="AA1688" s="235">
        <v>0.25</v>
      </c>
      <c r="AB1688" s="236">
        <v>3.2</v>
      </c>
      <c r="AC1688" s="127">
        <f t="shared" si="41"/>
        <v>3</v>
      </c>
    </row>
    <row r="1689" ht="14.5" customHeight="1" spans="11:29" x14ac:dyDescent="0.25">
      <c r="K1689" s="128"/>
      <c r="X1689" s="234">
        <v>2022</v>
      </c>
      <c r="Y1689" s="234">
        <v>3</v>
      </c>
      <c r="Z1689" s="234">
        <v>12</v>
      </c>
      <c r="AA1689" s="235">
        <v>0.2916666666678793</v>
      </c>
      <c r="AB1689" s="236">
        <v>3.2</v>
      </c>
      <c r="AC1689" s="127">
        <f t="shared" si="41"/>
        <v>3</v>
      </c>
    </row>
    <row r="1690" ht="14.5" customHeight="1" spans="11:29" x14ac:dyDescent="0.25">
      <c r="K1690" s="128"/>
      <c r="X1690" s="234">
        <v>2022</v>
      </c>
      <c r="Y1690" s="234">
        <v>3</v>
      </c>
      <c r="Z1690" s="234">
        <v>12</v>
      </c>
      <c r="AA1690" s="235">
        <v>0.3333333333321207</v>
      </c>
      <c r="AB1690" s="236">
        <v>2.9</v>
      </c>
      <c r="AC1690" s="127">
        <f t="shared" si="41"/>
        <v>3</v>
      </c>
    </row>
    <row r="1691" ht="14.5" customHeight="1" spans="11:29" x14ac:dyDescent="0.25">
      <c r="K1691" s="128"/>
      <c r="X1691" s="234">
        <v>2022</v>
      </c>
      <c r="Y1691" s="234">
        <v>3</v>
      </c>
      <c r="Z1691" s="234">
        <v>12</v>
      </c>
      <c r="AA1691" s="235">
        <v>0.375</v>
      </c>
      <c r="AB1691" s="236">
        <v>3.8</v>
      </c>
      <c r="AC1691" s="127">
        <f t="shared" si="41"/>
        <v>4</v>
      </c>
    </row>
    <row r="1692" ht="14.5" customHeight="1" spans="11:29" x14ac:dyDescent="0.25">
      <c r="K1692" s="128"/>
      <c r="X1692" s="234">
        <v>2022</v>
      </c>
      <c r="Y1692" s="234">
        <v>3</v>
      </c>
      <c r="Z1692" s="234">
        <v>12</v>
      </c>
      <c r="AA1692" s="235">
        <v>0.4166666666678793</v>
      </c>
      <c r="AB1692" s="236">
        <v>5.7</v>
      </c>
      <c r="AC1692" s="127">
        <f t="shared" si="41"/>
        <v>6</v>
      </c>
    </row>
    <row r="1693" ht="14.5" customHeight="1" spans="11:29" x14ac:dyDescent="0.25">
      <c r="K1693" s="128"/>
      <c r="X1693" s="234">
        <v>2022</v>
      </c>
      <c r="Y1693" s="234">
        <v>3</v>
      </c>
      <c r="Z1693" s="234">
        <v>12</v>
      </c>
      <c r="AA1693" s="235">
        <v>0.4583333333321207</v>
      </c>
      <c r="AB1693" s="236">
        <v>7.2</v>
      </c>
      <c r="AC1693" s="127">
        <f t="shared" si="41"/>
        <v>7</v>
      </c>
    </row>
    <row r="1694" ht="14.5" customHeight="1" spans="11:29" x14ac:dyDescent="0.25">
      <c r="K1694" s="128"/>
      <c r="X1694" s="234">
        <v>2022</v>
      </c>
      <c r="Y1694" s="234">
        <v>3</v>
      </c>
      <c r="Z1694" s="234">
        <v>12</v>
      </c>
      <c r="AA1694" s="235">
        <v>0.5</v>
      </c>
      <c r="AB1694" s="236">
        <v>7.8</v>
      </c>
      <c r="AC1694" s="127">
        <f t="shared" si="41"/>
        <v>8</v>
      </c>
    </row>
    <row r="1695" ht="14.5" customHeight="1" spans="11:29" x14ac:dyDescent="0.25">
      <c r="K1695" s="128"/>
      <c r="X1695" s="234">
        <v>2022</v>
      </c>
      <c r="Y1695" s="234">
        <v>3</v>
      </c>
      <c r="Z1695" s="234">
        <v>12</v>
      </c>
      <c r="AA1695" s="235">
        <v>0.5416666666678793</v>
      </c>
      <c r="AB1695" s="236">
        <v>7.8</v>
      </c>
      <c r="AC1695" s="127">
        <f t="shared" si="41"/>
        <v>8</v>
      </c>
    </row>
    <row r="1696" ht="14.5" customHeight="1" spans="11:29" x14ac:dyDescent="0.25">
      <c r="K1696" s="128"/>
      <c r="X1696" s="234">
        <v>2022</v>
      </c>
      <c r="Y1696" s="234">
        <v>3</v>
      </c>
      <c r="Z1696" s="234">
        <v>12</v>
      </c>
      <c r="AA1696" s="235">
        <v>0.5833333333321207</v>
      </c>
      <c r="AB1696" s="236">
        <v>8.9</v>
      </c>
      <c r="AC1696" s="127">
        <f t="shared" si="41"/>
        <v>9</v>
      </c>
    </row>
    <row r="1697" ht="14.5" customHeight="1" spans="11:29" x14ac:dyDescent="0.25">
      <c r="K1697" s="128"/>
      <c r="X1697" s="234">
        <v>2022</v>
      </c>
      <c r="Y1697" s="234">
        <v>3</v>
      </c>
      <c r="Z1697" s="234">
        <v>12</v>
      </c>
      <c r="AA1697" s="235">
        <v>0.625</v>
      </c>
      <c r="AB1697" s="236">
        <v>6.7</v>
      </c>
      <c r="AC1697" s="127">
        <f t="shared" si="41"/>
        <v>7</v>
      </c>
    </row>
    <row r="1698" ht="14.5" customHeight="1" spans="11:29" x14ac:dyDescent="0.25">
      <c r="K1698" s="128"/>
      <c r="X1698" s="234">
        <v>2022</v>
      </c>
      <c r="Y1698" s="234">
        <v>3</v>
      </c>
      <c r="Z1698" s="234">
        <v>12</v>
      </c>
      <c r="AA1698" s="235">
        <v>0.6666666666678793</v>
      </c>
      <c r="AB1698" s="236">
        <v>6.5</v>
      </c>
      <c r="AC1698" s="127">
        <f t="shared" si="41"/>
        <v>7</v>
      </c>
    </row>
    <row r="1699" ht="14.5" customHeight="1" spans="11:29" x14ac:dyDescent="0.25">
      <c r="K1699" s="128"/>
      <c r="X1699" s="234">
        <v>2022</v>
      </c>
      <c r="Y1699" s="234">
        <v>3</v>
      </c>
      <c r="Z1699" s="234">
        <v>12</v>
      </c>
      <c r="AA1699" s="235">
        <v>0.7083333333321207</v>
      </c>
      <c r="AB1699" s="236">
        <v>5.2</v>
      </c>
      <c r="AC1699" s="127">
        <f t="shared" si="41"/>
        <v>5</v>
      </c>
    </row>
    <row r="1700" ht="14.5" customHeight="1" spans="11:29" x14ac:dyDescent="0.25">
      <c r="K1700" s="128"/>
      <c r="X1700" s="234">
        <v>2022</v>
      </c>
      <c r="Y1700" s="234">
        <v>3</v>
      </c>
      <c r="Z1700" s="234">
        <v>12</v>
      </c>
      <c r="AA1700" s="235">
        <v>0.75</v>
      </c>
      <c r="AB1700" s="236">
        <v>3.3</v>
      </c>
      <c r="AC1700" s="127">
        <f t="shared" si="41"/>
        <v>3</v>
      </c>
    </row>
    <row r="1701" ht="14.5" customHeight="1" spans="11:29" x14ac:dyDescent="0.25">
      <c r="K1701" s="128"/>
      <c r="X1701" s="234">
        <v>2022</v>
      </c>
      <c r="Y1701" s="234">
        <v>3</v>
      </c>
      <c r="Z1701" s="234">
        <v>12</v>
      </c>
      <c r="AA1701" s="235">
        <v>0.7916666666678793</v>
      </c>
      <c r="AB1701" s="236">
        <v>2.2</v>
      </c>
      <c r="AC1701" s="127">
        <f t="shared" si="41"/>
        <v>2</v>
      </c>
    </row>
    <row r="1702" ht="14.5" customHeight="1" spans="11:29" x14ac:dyDescent="0.25">
      <c r="K1702" s="128"/>
      <c r="X1702" s="234">
        <v>2022</v>
      </c>
      <c r="Y1702" s="234">
        <v>3</v>
      </c>
      <c r="Z1702" s="234">
        <v>12</v>
      </c>
      <c r="AA1702" s="235">
        <v>0.8333333333321207</v>
      </c>
      <c r="AB1702" s="236">
        <v>1.7</v>
      </c>
      <c r="AC1702" s="127">
        <f t="shared" si="41"/>
        <v>2</v>
      </c>
    </row>
    <row r="1703" ht="14.5" customHeight="1" spans="11:29" x14ac:dyDescent="0.25">
      <c r="K1703" s="128"/>
      <c r="X1703" s="234">
        <v>2022</v>
      </c>
      <c r="Y1703" s="234">
        <v>3</v>
      </c>
      <c r="Z1703" s="234">
        <v>12</v>
      </c>
      <c r="AA1703" s="235">
        <v>0.875</v>
      </c>
      <c r="AB1703" s="236">
        <v>1.2</v>
      </c>
      <c r="AC1703" s="127">
        <f t="shared" si="41"/>
        <v>1</v>
      </c>
    </row>
    <row r="1704" ht="14.5" customHeight="1" spans="11:29" x14ac:dyDescent="0.25">
      <c r="K1704" s="128"/>
      <c r="X1704" s="234">
        <v>2022</v>
      </c>
      <c r="Y1704" s="234">
        <v>3</v>
      </c>
      <c r="Z1704" s="234">
        <v>12</v>
      </c>
      <c r="AA1704" s="235">
        <v>0.9166666666678793</v>
      </c>
      <c r="AB1704" s="236">
        <v>1.2</v>
      </c>
      <c r="AC1704" s="127">
        <f t="shared" si="41"/>
        <v>1</v>
      </c>
    </row>
    <row r="1705" ht="14.5" customHeight="1" spans="11:29" x14ac:dyDescent="0.25">
      <c r="K1705" s="128"/>
      <c r="X1705" s="234">
        <v>2022</v>
      </c>
      <c r="Y1705" s="234">
        <v>3</v>
      </c>
      <c r="Z1705" s="234">
        <v>12</v>
      </c>
      <c r="AA1705" s="235">
        <v>0.9583333333321207</v>
      </c>
      <c r="AB1705" s="236">
        <v>1</v>
      </c>
      <c r="AC1705" s="127">
        <f t="shared" si="41"/>
        <v>1</v>
      </c>
    </row>
    <row r="1706" ht="14.5" customHeight="1" spans="11:29" x14ac:dyDescent="0.25">
      <c r="K1706" s="128"/>
      <c r="X1706" s="234">
        <v>2022</v>
      </c>
      <c r="Y1706" s="234">
        <v>3</v>
      </c>
      <c r="Z1706" s="234">
        <v>13</v>
      </c>
      <c r="AA1706" s="235">
        <v>0</v>
      </c>
      <c r="AB1706" s="236">
        <v>0.1</v>
      </c>
      <c r="AC1706" s="127">
        <f t="shared" si="41"/>
        <v>0</v>
      </c>
    </row>
    <row r="1707" ht="14.5" customHeight="1" spans="11:29" x14ac:dyDescent="0.25">
      <c r="K1707" s="128"/>
      <c r="X1707" s="234">
        <v>2022</v>
      </c>
      <c r="Y1707" s="234">
        <v>3</v>
      </c>
      <c r="Z1707" s="234">
        <v>13</v>
      </c>
      <c r="AA1707" s="235">
        <v>0.041666666667879326</v>
      </c>
      <c r="AB1707" s="236">
        <v>-0.5</v>
      </c>
      <c r="AC1707" s="127">
        <f t="shared" si="41"/>
        <v>-1</v>
      </c>
    </row>
    <row r="1708" ht="14.5" customHeight="1" spans="11:29" x14ac:dyDescent="0.25">
      <c r="K1708" s="128"/>
      <c r="X1708" s="234">
        <v>2022</v>
      </c>
      <c r="Y1708" s="234">
        <v>3</v>
      </c>
      <c r="Z1708" s="234">
        <v>13</v>
      </c>
      <c r="AA1708" s="235">
        <v>0.08333333333212067</v>
      </c>
      <c r="AB1708" s="236">
        <v>0.3</v>
      </c>
      <c r="AC1708" s="127">
        <f t="shared" si="41"/>
        <v>0</v>
      </c>
    </row>
    <row r="1709" ht="14.5" customHeight="1" spans="11:29" x14ac:dyDescent="0.25">
      <c r="K1709" s="128"/>
      <c r="X1709" s="234">
        <v>2022</v>
      </c>
      <c r="Y1709" s="234">
        <v>3</v>
      </c>
      <c r="Z1709" s="234">
        <v>13</v>
      </c>
      <c r="AA1709" s="235">
        <v>0.125</v>
      </c>
      <c r="AB1709" s="236">
        <v>-0.1</v>
      </c>
      <c r="AC1709" s="127">
        <f t="shared" si="41"/>
        <v>0</v>
      </c>
    </row>
    <row r="1710" ht="14.5" customHeight="1" spans="11:29" x14ac:dyDescent="0.25">
      <c r="K1710" s="128"/>
      <c r="X1710" s="234">
        <v>2022</v>
      </c>
      <c r="Y1710" s="234">
        <v>3</v>
      </c>
      <c r="Z1710" s="234">
        <v>13</v>
      </c>
      <c r="AA1710" s="235">
        <v>0.16666666666787933</v>
      </c>
      <c r="AB1710" s="236">
        <v>-0.5</v>
      </c>
      <c r="AC1710" s="127">
        <f t="shared" si="41"/>
        <v>-1</v>
      </c>
    </row>
    <row r="1711" ht="14.5" customHeight="1" spans="11:29" x14ac:dyDescent="0.25">
      <c r="K1711" s="128"/>
      <c r="X1711" s="234">
        <v>2022</v>
      </c>
      <c r="Y1711" s="234">
        <v>3</v>
      </c>
      <c r="Z1711" s="234">
        <v>13</v>
      </c>
      <c r="AA1711" s="235">
        <v>0.20833333333212067</v>
      </c>
      <c r="AB1711" s="236">
        <v>-1.1</v>
      </c>
      <c r="AC1711" s="127">
        <f t="shared" si="41"/>
        <v>-1</v>
      </c>
    </row>
    <row r="1712" ht="14.5" customHeight="1" spans="11:29" x14ac:dyDescent="0.25">
      <c r="K1712" s="128"/>
      <c r="X1712" s="234">
        <v>2022</v>
      </c>
      <c r="Y1712" s="234">
        <v>3</v>
      </c>
      <c r="Z1712" s="234">
        <v>13</v>
      </c>
      <c r="AA1712" s="235">
        <v>0.25</v>
      </c>
      <c r="AB1712" s="236">
        <v>-1.4</v>
      </c>
      <c r="AC1712" s="127">
        <f t="shared" si="41"/>
        <v>-1</v>
      </c>
    </row>
    <row r="1713" ht="14.5" customHeight="1" spans="11:29" x14ac:dyDescent="0.25">
      <c r="K1713" s="128"/>
      <c r="X1713" s="234">
        <v>2022</v>
      </c>
      <c r="Y1713" s="234">
        <v>3</v>
      </c>
      <c r="Z1713" s="234">
        <v>13</v>
      </c>
      <c r="AA1713" s="235">
        <v>0.2916666666678793</v>
      </c>
      <c r="AB1713" s="236">
        <v>-1.5</v>
      </c>
      <c r="AC1713" s="127">
        <f t="shared" si="41"/>
        <v>-2</v>
      </c>
    </row>
    <row r="1714" ht="14.5" customHeight="1" spans="11:29" x14ac:dyDescent="0.25">
      <c r="K1714" s="128"/>
      <c r="X1714" s="234">
        <v>2022</v>
      </c>
      <c r="Y1714" s="234">
        <v>3</v>
      </c>
      <c r="Z1714" s="234">
        <v>13</v>
      </c>
      <c r="AA1714" s="235">
        <v>0.3333333333321207</v>
      </c>
      <c r="AB1714" s="236">
        <v>-1.2</v>
      </c>
      <c r="AC1714" s="127">
        <f t="shared" si="41"/>
        <v>-1</v>
      </c>
    </row>
    <row r="1715" ht="14.5" customHeight="1" spans="11:29" x14ac:dyDescent="0.25">
      <c r="K1715" s="128"/>
      <c r="X1715" s="234">
        <v>2022</v>
      </c>
      <c r="Y1715" s="234">
        <v>3</v>
      </c>
      <c r="Z1715" s="234">
        <v>13</v>
      </c>
      <c r="AA1715" s="235">
        <v>0.375</v>
      </c>
      <c r="AB1715" s="236">
        <v>-0.4</v>
      </c>
      <c r="AC1715" s="127">
        <f t="shared" si="41"/>
        <v>0</v>
      </c>
    </row>
    <row r="1716" ht="14.5" customHeight="1" spans="11:29" x14ac:dyDescent="0.25">
      <c r="K1716" s="128"/>
      <c r="X1716" s="234">
        <v>2022</v>
      </c>
      <c r="Y1716" s="234">
        <v>3</v>
      </c>
      <c r="Z1716" s="234">
        <v>13</v>
      </c>
      <c r="AA1716" s="235">
        <v>0.4166666666678793</v>
      </c>
      <c r="AB1716" s="236">
        <v>-0.1</v>
      </c>
      <c r="AC1716" s="127">
        <f t="shared" si="41"/>
        <v>0</v>
      </c>
    </row>
    <row r="1717" ht="14.5" customHeight="1" spans="11:29" x14ac:dyDescent="0.25">
      <c r="K1717" s="128"/>
      <c r="X1717" s="234">
        <v>2022</v>
      </c>
      <c r="Y1717" s="234">
        <v>3</v>
      </c>
      <c r="Z1717" s="234">
        <v>13</v>
      </c>
      <c r="AA1717" s="235">
        <v>0.4583333333321207</v>
      </c>
      <c r="AB1717" s="236">
        <v>0.2</v>
      </c>
      <c r="AC1717" s="127">
        <f t="shared" si="41"/>
        <v>0</v>
      </c>
    </row>
    <row r="1718" ht="14.5" customHeight="1" spans="11:29" x14ac:dyDescent="0.25">
      <c r="K1718" s="128"/>
      <c r="X1718" s="234">
        <v>2022</v>
      </c>
      <c r="Y1718" s="234">
        <v>3</v>
      </c>
      <c r="Z1718" s="234">
        <v>13</v>
      </c>
      <c r="AA1718" s="235">
        <v>0.5</v>
      </c>
      <c r="AB1718" s="236">
        <v>1.3</v>
      </c>
      <c r="AC1718" s="127">
        <f t="shared" si="41"/>
        <v>1</v>
      </c>
    </row>
    <row r="1719" ht="14.5" customHeight="1" spans="11:29" x14ac:dyDescent="0.25">
      <c r="K1719" s="128"/>
      <c r="X1719" s="234">
        <v>2022</v>
      </c>
      <c r="Y1719" s="234">
        <v>3</v>
      </c>
      <c r="Z1719" s="234">
        <v>13</v>
      </c>
      <c r="AA1719" s="235">
        <v>0.5416666666678793</v>
      </c>
      <c r="AB1719" s="236">
        <v>2.6</v>
      </c>
      <c r="AC1719" s="127">
        <f t="shared" si="41"/>
        <v>3</v>
      </c>
    </row>
    <row r="1720" ht="14.5" customHeight="1" spans="11:29" x14ac:dyDescent="0.25">
      <c r="K1720" s="128"/>
      <c r="X1720" s="234">
        <v>2022</v>
      </c>
      <c r="Y1720" s="234">
        <v>3</v>
      </c>
      <c r="Z1720" s="234">
        <v>13</v>
      </c>
      <c r="AA1720" s="235">
        <v>0.5833333333321207</v>
      </c>
      <c r="AB1720" s="236">
        <v>2.7</v>
      </c>
      <c r="AC1720" s="127">
        <f t="shared" si="41"/>
        <v>3</v>
      </c>
    </row>
    <row r="1721" ht="14.5" customHeight="1" spans="11:29" x14ac:dyDescent="0.25">
      <c r="K1721" s="128"/>
      <c r="X1721" s="234">
        <v>2022</v>
      </c>
      <c r="Y1721" s="234">
        <v>3</v>
      </c>
      <c r="Z1721" s="234">
        <v>13</v>
      </c>
      <c r="AA1721" s="235">
        <v>0.625</v>
      </c>
      <c r="AB1721" s="236">
        <v>2.3</v>
      </c>
      <c r="AC1721" s="127">
        <f t="shared" si="41"/>
        <v>2</v>
      </c>
    </row>
    <row r="1722" ht="14.5" customHeight="1" spans="11:29" x14ac:dyDescent="0.25">
      <c r="K1722" s="128"/>
      <c r="X1722" s="234">
        <v>2022</v>
      </c>
      <c r="Y1722" s="234">
        <v>3</v>
      </c>
      <c r="Z1722" s="234">
        <v>13</v>
      </c>
      <c r="AA1722" s="235">
        <v>0.6666666666678793</v>
      </c>
      <c r="AB1722" s="236">
        <v>2.3</v>
      </c>
      <c r="AC1722" s="127">
        <f t="shared" si="41"/>
        <v>2</v>
      </c>
    </row>
    <row r="1723" ht="14.5" customHeight="1" spans="11:29" x14ac:dyDescent="0.25">
      <c r="K1723" s="128"/>
      <c r="X1723" s="234">
        <v>2022</v>
      </c>
      <c r="Y1723" s="234">
        <v>3</v>
      </c>
      <c r="Z1723" s="234">
        <v>13</v>
      </c>
      <c r="AA1723" s="235">
        <v>0.7083333333321207</v>
      </c>
      <c r="AB1723" s="236">
        <v>2.6</v>
      </c>
      <c r="AC1723" s="127">
        <f t="shared" si="41"/>
        <v>3</v>
      </c>
    </row>
    <row r="1724" ht="14.5" customHeight="1" spans="11:29" x14ac:dyDescent="0.25">
      <c r="K1724" s="128"/>
      <c r="X1724" s="234">
        <v>2022</v>
      </c>
      <c r="Y1724" s="234">
        <v>3</v>
      </c>
      <c r="Z1724" s="234">
        <v>13</v>
      </c>
      <c r="AA1724" s="235">
        <v>0.75</v>
      </c>
      <c r="AB1724" s="236">
        <v>1.2</v>
      </c>
      <c r="AC1724" s="127">
        <f t="shared" si="41"/>
        <v>1</v>
      </c>
    </row>
    <row r="1725" ht="14.5" customHeight="1" spans="11:29" x14ac:dyDescent="0.25">
      <c r="K1725" s="128"/>
      <c r="X1725" s="234">
        <v>2022</v>
      </c>
      <c r="Y1725" s="234">
        <v>3</v>
      </c>
      <c r="Z1725" s="234">
        <v>13</v>
      </c>
      <c r="AA1725" s="235">
        <v>0.7916666666678793</v>
      </c>
      <c r="AB1725" s="236">
        <v>0.1</v>
      </c>
      <c r="AC1725" s="127">
        <f t="shared" si="41"/>
        <v>0</v>
      </c>
    </row>
    <row r="1726" ht="14.5" customHeight="1" spans="11:29" x14ac:dyDescent="0.25">
      <c r="K1726" s="128"/>
      <c r="X1726" s="234">
        <v>2022</v>
      </c>
      <c r="Y1726" s="234">
        <v>3</v>
      </c>
      <c r="Z1726" s="234">
        <v>13</v>
      </c>
      <c r="AA1726" s="235">
        <v>0.8333333333321207</v>
      </c>
      <c r="AB1726" s="236">
        <v>-0.2</v>
      </c>
      <c r="AC1726" s="127">
        <f t="shared" si="41"/>
        <v>0</v>
      </c>
    </row>
    <row r="1727" ht="14.5" customHeight="1" spans="11:29" x14ac:dyDescent="0.25">
      <c r="K1727" s="128"/>
      <c r="X1727" s="234">
        <v>2022</v>
      </c>
      <c r="Y1727" s="234">
        <v>3</v>
      </c>
      <c r="Z1727" s="234">
        <v>13</v>
      </c>
      <c r="AA1727" s="235">
        <v>0.875</v>
      </c>
      <c r="AB1727" s="236">
        <v>-0.5</v>
      </c>
      <c r="AC1727" s="127">
        <f t="shared" si="41"/>
        <v>-1</v>
      </c>
    </row>
    <row r="1728" ht="14.5" customHeight="1" spans="11:29" x14ac:dyDescent="0.25">
      <c r="K1728" s="128"/>
      <c r="X1728" s="234">
        <v>2022</v>
      </c>
      <c r="Y1728" s="234">
        <v>3</v>
      </c>
      <c r="Z1728" s="234">
        <v>13</v>
      </c>
      <c r="AA1728" s="235">
        <v>0.9166666666678793</v>
      </c>
      <c r="AB1728" s="236">
        <v>-0.5</v>
      </c>
      <c r="AC1728" s="127">
        <f t="shared" si="41"/>
        <v>-1</v>
      </c>
    </row>
    <row r="1729" ht="14.5" customHeight="1" spans="11:29" x14ac:dyDescent="0.25">
      <c r="K1729" s="128"/>
      <c r="X1729" s="234">
        <v>2022</v>
      </c>
      <c r="Y1729" s="234">
        <v>3</v>
      </c>
      <c r="Z1729" s="234">
        <v>13</v>
      </c>
      <c r="AA1729" s="235">
        <v>0.9583333333321207</v>
      </c>
      <c r="AB1729" s="236">
        <v>-0.7</v>
      </c>
      <c r="AC1729" s="127">
        <f t="shared" si="41"/>
        <v>-1</v>
      </c>
    </row>
    <row r="1730" ht="14.5" customHeight="1" spans="11:29" x14ac:dyDescent="0.25">
      <c r="K1730" s="128"/>
      <c r="X1730" s="234">
        <v>2022</v>
      </c>
      <c r="Y1730" s="234">
        <v>3</v>
      </c>
      <c r="Z1730" s="234">
        <v>14</v>
      </c>
      <c r="AA1730" s="235">
        <v>0</v>
      </c>
      <c r="AB1730" s="236">
        <v>-0.9</v>
      </c>
      <c r="AC1730" s="127">
        <f t="shared" si="41"/>
        <v>-1</v>
      </c>
    </row>
    <row r="1731" ht="14.5" customHeight="1" spans="11:29" x14ac:dyDescent="0.25">
      <c r="K1731" s="128"/>
      <c r="X1731" s="234">
        <v>2022</v>
      </c>
      <c r="Y1731" s="234">
        <v>3</v>
      </c>
      <c r="Z1731" s="234">
        <v>14</v>
      </c>
      <c r="AA1731" s="235">
        <v>0.041666666667879326</v>
      </c>
      <c r="AB1731" s="236">
        <v>-1.8</v>
      </c>
      <c r="AC1731" s="127">
        <f t="shared" si="41"/>
        <v>-2</v>
      </c>
    </row>
    <row r="1732" ht="14.5" customHeight="1" spans="11:29" x14ac:dyDescent="0.25">
      <c r="K1732" s="128"/>
      <c r="X1732" s="234">
        <v>2022</v>
      </c>
      <c r="Y1732" s="234">
        <v>3</v>
      </c>
      <c r="Z1732" s="234">
        <v>14</v>
      </c>
      <c r="AA1732" s="235">
        <v>0.08333333333212067</v>
      </c>
      <c r="AB1732" s="236">
        <v>-2.1</v>
      </c>
      <c r="AC1732" s="127">
        <f t="shared" si="41"/>
        <v>-2</v>
      </c>
    </row>
    <row r="1733" ht="14.5" customHeight="1" spans="11:29" x14ac:dyDescent="0.25">
      <c r="K1733" s="128"/>
      <c r="X1733" s="234">
        <v>2022</v>
      </c>
      <c r="Y1733" s="234">
        <v>3</v>
      </c>
      <c r="Z1733" s="234">
        <v>14</v>
      </c>
      <c r="AA1733" s="235">
        <v>0.125</v>
      </c>
      <c r="AB1733" s="236">
        <v>-2</v>
      </c>
      <c r="AC1733" s="127">
        <f t="shared" si="41"/>
        <v>-2</v>
      </c>
    </row>
    <row r="1734" ht="14.5" customHeight="1" spans="11:29" x14ac:dyDescent="0.25">
      <c r="K1734" s="128"/>
      <c r="X1734" s="234">
        <v>2022</v>
      </c>
      <c r="Y1734" s="234">
        <v>3</v>
      </c>
      <c r="Z1734" s="234">
        <v>14</v>
      </c>
      <c r="AA1734" s="235">
        <v>0.16666666666787933</v>
      </c>
      <c r="AB1734" s="236">
        <v>-1.9</v>
      </c>
      <c r="AC1734" s="127">
        <f t="shared" si="41"/>
        <v>-2</v>
      </c>
    </row>
    <row r="1735" ht="14.5" customHeight="1" spans="11:29" x14ac:dyDescent="0.25">
      <c r="K1735" s="128"/>
      <c r="X1735" s="234">
        <v>2022</v>
      </c>
      <c r="Y1735" s="234">
        <v>3</v>
      </c>
      <c r="Z1735" s="234">
        <v>14</v>
      </c>
      <c r="AA1735" s="235">
        <v>0.20833333333212067</v>
      </c>
      <c r="AB1735" s="236">
        <v>-2.1</v>
      </c>
      <c r="AC1735" s="127">
        <f t="shared" si="41"/>
        <v>-2</v>
      </c>
    </row>
    <row r="1736" ht="14.5" customHeight="1" spans="11:29" x14ac:dyDescent="0.25">
      <c r="K1736" s="128"/>
      <c r="X1736" s="234">
        <v>2022</v>
      </c>
      <c r="Y1736" s="234">
        <v>3</v>
      </c>
      <c r="Z1736" s="234">
        <v>14</v>
      </c>
      <c r="AA1736" s="235">
        <v>0.25</v>
      </c>
      <c r="AB1736" s="236">
        <v>-2.4</v>
      </c>
      <c r="AC1736" s="127">
        <f t="shared" si="41"/>
        <v>-2</v>
      </c>
    </row>
    <row r="1737" ht="14.5" customHeight="1" spans="11:29" x14ac:dyDescent="0.25">
      <c r="K1737" s="128"/>
      <c r="X1737" s="234">
        <v>2022</v>
      </c>
      <c r="Y1737" s="234">
        <v>3</v>
      </c>
      <c r="Z1737" s="234">
        <v>14</v>
      </c>
      <c r="AA1737" s="235">
        <v>0.2916666666678793</v>
      </c>
      <c r="AB1737" s="236">
        <v>-2.3</v>
      </c>
      <c r="AC1737" s="127">
        <f t="shared" si="41"/>
        <v>-2</v>
      </c>
    </row>
    <row r="1738" ht="14.5" customHeight="1" spans="11:29" x14ac:dyDescent="0.25">
      <c r="K1738" s="128"/>
      <c r="X1738" s="234">
        <v>2022</v>
      </c>
      <c r="Y1738" s="234">
        <v>3</v>
      </c>
      <c r="Z1738" s="234">
        <v>14</v>
      </c>
      <c r="AA1738" s="235">
        <v>0.3333333333321207</v>
      </c>
      <c r="AB1738" s="236">
        <v>-2</v>
      </c>
      <c r="AC1738" s="127">
        <f t="shared" si="41"/>
        <v>-2</v>
      </c>
    </row>
    <row r="1739" ht="14.5" customHeight="1" spans="11:29" x14ac:dyDescent="0.25">
      <c r="K1739" s="128"/>
      <c r="X1739" s="234">
        <v>2022</v>
      </c>
      <c r="Y1739" s="234">
        <v>3</v>
      </c>
      <c r="Z1739" s="234">
        <v>14</v>
      </c>
      <c r="AA1739" s="235">
        <v>0.375</v>
      </c>
      <c r="AB1739" s="236">
        <v>-0.9</v>
      </c>
      <c r="AC1739" s="127">
        <f t="shared" ref="AC1739:AC1802" si="42">ROUND(AB1739,0)</f>
        <v>-1</v>
      </c>
    </row>
    <row r="1740" ht="14.5" customHeight="1" spans="11:29" x14ac:dyDescent="0.25">
      <c r="K1740" s="128"/>
      <c r="X1740" s="234">
        <v>2022</v>
      </c>
      <c r="Y1740" s="234">
        <v>3</v>
      </c>
      <c r="Z1740" s="234">
        <v>14</v>
      </c>
      <c r="AA1740" s="235">
        <v>0.4166666666678793</v>
      </c>
      <c r="AB1740" s="236">
        <v>4</v>
      </c>
      <c r="AC1740" s="127">
        <f t="shared" si="42"/>
        <v>4</v>
      </c>
    </row>
    <row r="1741" ht="14.5" customHeight="1" spans="11:29" x14ac:dyDescent="0.25">
      <c r="K1741" s="128"/>
      <c r="X1741" s="234">
        <v>2022</v>
      </c>
      <c r="Y1741" s="234">
        <v>3</v>
      </c>
      <c r="Z1741" s="234">
        <v>14</v>
      </c>
      <c r="AA1741" s="235">
        <v>0.4583333333321207</v>
      </c>
      <c r="AB1741" s="236">
        <v>9.1</v>
      </c>
      <c r="AC1741" s="127">
        <f t="shared" si="42"/>
        <v>9</v>
      </c>
    </row>
    <row r="1742" ht="14.5" customHeight="1" spans="11:29" x14ac:dyDescent="0.25">
      <c r="K1742" s="128"/>
      <c r="X1742" s="234">
        <v>2022</v>
      </c>
      <c r="Y1742" s="234">
        <v>3</v>
      </c>
      <c r="Z1742" s="234">
        <v>14</v>
      </c>
      <c r="AA1742" s="235">
        <v>0.5</v>
      </c>
      <c r="AB1742" s="236">
        <v>10.9</v>
      </c>
      <c r="AC1742" s="127">
        <f t="shared" si="42"/>
        <v>11</v>
      </c>
    </row>
    <row r="1743" ht="14.5" customHeight="1" spans="11:29" x14ac:dyDescent="0.25">
      <c r="K1743" s="128"/>
      <c r="X1743" s="234">
        <v>2022</v>
      </c>
      <c r="Y1743" s="234">
        <v>3</v>
      </c>
      <c r="Z1743" s="234">
        <v>14</v>
      </c>
      <c r="AA1743" s="235">
        <v>0.5416666666678793</v>
      </c>
      <c r="AB1743" s="236">
        <v>10.9</v>
      </c>
      <c r="AC1743" s="127">
        <f t="shared" si="42"/>
        <v>11</v>
      </c>
    </row>
    <row r="1744" ht="14.5" customHeight="1" spans="11:29" x14ac:dyDescent="0.25">
      <c r="K1744" s="128"/>
      <c r="X1744" s="234">
        <v>2022</v>
      </c>
      <c r="Y1744" s="234">
        <v>3</v>
      </c>
      <c r="Z1744" s="234">
        <v>14</v>
      </c>
      <c r="AA1744" s="235">
        <v>0.5833333333321207</v>
      </c>
      <c r="AB1744" s="236">
        <v>12</v>
      </c>
      <c r="AC1744" s="127">
        <f t="shared" si="42"/>
        <v>12</v>
      </c>
    </row>
    <row r="1745" ht="14.5" customHeight="1" spans="11:29" x14ac:dyDescent="0.25">
      <c r="K1745" s="128"/>
      <c r="X1745" s="234">
        <v>2022</v>
      </c>
      <c r="Y1745" s="234">
        <v>3</v>
      </c>
      <c r="Z1745" s="234">
        <v>14</v>
      </c>
      <c r="AA1745" s="235">
        <v>0.625</v>
      </c>
      <c r="AB1745" s="236">
        <v>11.5</v>
      </c>
      <c r="AC1745" s="127">
        <f t="shared" si="42"/>
        <v>12</v>
      </c>
    </row>
    <row r="1746" ht="14.5" customHeight="1" spans="11:29" x14ac:dyDescent="0.25">
      <c r="K1746" s="128"/>
      <c r="X1746" s="234">
        <v>2022</v>
      </c>
      <c r="Y1746" s="234">
        <v>3</v>
      </c>
      <c r="Z1746" s="234">
        <v>14</v>
      </c>
      <c r="AA1746" s="235">
        <v>0.6666666666678793</v>
      </c>
      <c r="AB1746" s="236">
        <v>11.3</v>
      </c>
      <c r="AC1746" s="127">
        <f t="shared" si="42"/>
        <v>11</v>
      </c>
    </row>
    <row r="1747" ht="14.5" customHeight="1" spans="11:29" x14ac:dyDescent="0.25">
      <c r="K1747" s="128"/>
      <c r="X1747" s="234">
        <v>2022</v>
      </c>
      <c r="Y1747" s="234">
        <v>3</v>
      </c>
      <c r="Z1747" s="234">
        <v>14</v>
      </c>
      <c r="AA1747" s="235">
        <v>0.7083333333321207</v>
      </c>
      <c r="AB1747" s="236">
        <v>10.3</v>
      </c>
      <c r="AC1747" s="127">
        <f t="shared" si="42"/>
        <v>10</v>
      </c>
    </row>
    <row r="1748" ht="14.5" customHeight="1" spans="11:29" x14ac:dyDescent="0.25">
      <c r="K1748" s="128"/>
      <c r="X1748" s="234">
        <v>2022</v>
      </c>
      <c r="Y1748" s="234">
        <v>3</v>
      </c>
      <c r="Z1748" s="234">
        <v>14</v>
      </c>
      <c r="AA1748" s="235">
        <v>0.75</v>
      </c>
      <c r="AB1748" s="236">
        <v>8.6</v>
      </c>
      <c r="AC1748" s="127">
        <f t="shared" si="42"/>
        <v>9</v>
      </c>
    </row>
    <row r="1749" ht="14.5" customHeight="1" spans="11:29" x14ac:dyDescent="0.25">
      <c r="K1749" s="128"/>
      <c r="X1749" s="234">
        <v>2022</v>
      </c>
      <c r="Y1749" s="234">
        <v>3</v>
      </c>
      <c r="Z1749" s="234">
        <v>14</v>
      </c>
      <c r="AA1749" s="235">
        <v>0.7916666666678793</v>
      </c>
      <c r="AB1749" s="236">
        <v>6.5</v>
      </c>
      <c r="AC1749" s="127">
        <f t="shared" si="42"/>
        <v>7</v>
      </c>
    </row>
    <row r="1750" ht="14.5" customHeight="1" spans="11:29" x14ac:dyDescent="0.25">
      <c r="K1750" s="128"/>
      <c r="X1750" s="234">
        <v>2022</v>
      </c>
      <c r="Y1750" s="234">
        <v>3</v>
      </c>
      <c r="Z1750" s="234">
        <v>14</v>
      </c>
      <c r="AA1750" s="235">
        <v>0.8333333333321207</v>
      </c>
      <c r="AB1750" s="236">
        <v>6.8</v>
      </c>
      <c r="AC1750" s="127">
        <f t="shared" si="42"/>
        <v>7</v>
      </c>
    </row>
    <row r="1751" ht="14.5" customHeight="1" spans="11:29" x14ac:dyDescent="0.25">
      <c r="K1751" s="128"/>
      <c r="X1751" s="234">
        <v>2022</v>
      </c>
      <c r="Y1751" s="234">
        <v>3</v>
      </c>
      <c r="Z1751" s="234">
        <v>14</v>
      </c>
      <c r="AA1751" s="235">
        <v>0.875</v>
      </c>
      <c r="AB1751" s="236">
        <v>4.6</v>
      </c>
      <c r="AC1751" s="127">
        <f t="shared" si="42"/>
        <v>5</v>
      </c>
    </row>
    <row r="1752" ht="14.5" customHeight="1" spans="11:29" x14ac:dyDescent="0.25">
      <c r="K1752" s="128"/>
      <c r="X1752" s="234">
        <v>2022</v>
      </c>
      <c r="Y1752" s="234">
        <v>3</v>
      </c>
      <c r="Z1752" s="234">
        <v>14</v>
      </c>
      <c r="AA1752" s="235">
        <v>0.9166666666678793</v>
      </c>
      <c r="AB1752" s="236">
        <v>5.1</v>
      </c>
      <c r="AC1752" s="127">
        <f t="shared" si="42"/>
        <v>5</v>
      </c>
    </row>
    <row r="1753" ht="14.5" customHeight="1" spans="11:29" x14ac:dyDescent="0.25">
      <c r="K1753" s="128"/>
      <c r="X1753" s="234">
        <v>2022</v>
      </c>
      <c r="Y1753" s="234">
        <v>3</v>
      </c>
      <c r="Z1753" s="234">
        <v>14</v>
      </c>
      <c r="AA1753" s="235">
        <v>0.9583333333321207</v>
      </c>
      <c r="AB1753" s="236">
        <v>3.3</v>
      </c>
      <c r="AC1753" s="127">
        <f t="shared" si="42"/>
        <v>3</v>
      </c>
    </row>
    <row r="1754" ht="14.5" customHeight="1" spans="11:29" x14ac:dyDescent="0.25">
      <c r="K1754" s="128"/>
      <c r="X1754" s="234">
        <v>2022</v>
      </c>
      <c r="Y1754" s="234">
        <v>3</v>
      </c>
      <c r="Z1754" s="234">
        <v>15</v>
      </c>
      <c r="AA1754" s="235">
        <v>0</v>
      </c>
      <c r="AB1754" s="236">
        <v>2.3</v>
      </c>
      <c r="AC1754" s="127">
        <f t="shared" si="42"/>
        <v>2</v>
      </c>
    </row>
    <row r="1755" ht="14.5" customHeight="1" spans="11:29" x14ac:dyDescent="0.25">
      <c r="K1755" s="128"/>
      <c r="X1755" s="234">
        <v>2022</v>
      </c>
      <c r="Y1755" s="234">
        <v>3</v>
      </c>
      <c r="Z1755" s="234">
        <v>15</v>
      </c>
      <c r="AA1755" s="235">
        <v>0.041666666667879326</v>
      </c>
      <c r="AB1755" s="236">
        <v>1.8</v>
      </c>
      <c r="AC1755" s="127">
        <f t="shared" si="42"/>
        <v>2</v>
      </c>
    </row>
    <row r="1756" ht="14.5" customHeight="1" spans="11:29" x14ac:dyDescent="0.25">
      <c r="K1756" s="128"/>
      <c r="X1756" s="234">
        <v>2022</v>
      </c>
      <c r="Y1756" s="234">
        <v>3</v>
      </c>
      <c r="Z1756" s="234">
        <v>15</v>
      </c>
      <c r="AA1756" s="235">
        <v>0.08333333333212067</v>
      </c>
      <c r="AB1756" s="236">
        <v>1.9</v>
      </c>
      <c r="AC1756" s="127">
        <f t="shared" si="42"/>
        <v>2</v>
      </c>
    </row>
    <row r="1757" ht="14.5" customHeight="1" spans="11:29" x14ac:dyDescent="0.25">
      <c r="K1757" s="128"/>
      <c r="X1757" s="234">
        <v>2022</v>
      </c>
      <c r="Y1757" s="234">
        <v>3</v>
      </c>
      <c r="Z1757" s="234">
        <v>15</v>
      </c>
      <c r="AA1757" s="235">
        <v>0.125</v>
      </c>
      <c r="AB1757" s="236">
        <v>2.7</v>
      </c>
      <c r="AC1757" s="127">
        <f t="shared" si="42"/>
        <v>3</v>
      </c>
    </row>
    <row r="1758" ht="14.5" customHeight="1" spans="11:29" x14ac:dyDescent="0.25">
      <c r="K1758" s="128"/>
      <c r="X1758" s="234">
        <v>2022</v>
      </c>
      <c r="Y1758" s="234">
        <v>3</v>
      </c>
      <c r="Z1758" s="234">
        <v>15</v>
      </c>
      <c r="AA1758" s="235">
        <v>0.16666666666787933</v>
      </c>
      <c r="AB1758" s="236">
        <v>2</v>
      </c>
      <c r="AC1758" s="127">
        <f t="shared" si="42"/>
        <v>2</v>
      </c>
    </row>
    <row r="1759" ht="14.5" customHeight="1" spans="11:29" x14ac:dyDescent="0.25">
      <c r="K1759" s="128"/>
      <c r="X1759" s="234">
        <v>2022</v>
      </c>
      <c r="Y1759" s="234">
        <v>3</v>
      </c>
      <c r="Z1759" s="234">
        <v>15</v>
      </c>
      <c r="AA1759" s="235">
        <v>0.20833333333212067</v>
      </c>
      <c r="AB1759" s="236">
        <v>0.5</v>
      </c>
      <c r="AC1759" s="127">
        <f t="shared" si="42"/>
        <v>1</v>
      </c>
    </row>
    <row r="1760" ht="14.5" customHeight="1" spans="11:29" x14ac:dyDescent="0.25">
      <c r="K1760" s="128"/>
      <c r="X1760" s="234">
        <v>2022</v>
      </c>
      <c r="Y1760" s="234">
        <v>3</v>
      </c>
      <c r="Z1760" s="234">
        <v>15</v>
      </c>
      <c r="AA1760" s="235">
        <v>0.25</v>
      </c>
      <c r="AB1760" s="236">
        <v>-0.2</v>
      </c>
      <c r="AC1760" s="127">
        <f t="shared" si="42"/>
        <v>0</v>
      </c>
    </row>
    <row r="1761" ht="14.5" customHeight="1" spans="11:29" x14ac:dyDescent="0.25">
      <c r="K1761" s="128"/>
      <c r="X1761" s="234">
        <v>2022</v>
      </c>
      <c r="Y1761" s="234">
        <v>3</v>
      </c>
      <c r="Z1761" s="234">
        <v>15</v>
      </c>
      <c r="AA1761" s="235">
        <v>0.2916666666678793</v>
      </c>
      <c r="AB1761" s="236">
        <v>-0.4</v>
      </c>
      <c r="AC1761" s="127">
        <f t="shared" si="42"/>
        <v>0</v>
      </c>
    </row>
    <row r="1762" ht="14.5" customHeight="1" spans="11:29" x14ac:dyDescent="0.25">
      <c r="K1762" s="128"/>
      <c r="X1762" s="234">
        <v>2022</v>
      </c>
      <c r="Y1762" s="234">
        <v>3</v>
      </c>
      <c r="Z1762" s="234">
        <v>15</v>
      </c>
      <c r="AA1762" s="235">
        <v>0.3333333333321207</v>
      </c>
      <c r="AB1762" s="236">
        <v>2.1</v>
      </c>
      <c r="AC1762" s="127">
        <f t="shared" si="42"/>
        <v>2</v>
      </c>
    </row>
    <row r="1763" ht="14.5" customHeight="1" spans="11:29" x14ac:dyDescent="0.25">
      <c r="K1763" s="128"/>
      <c r="X1763" s="234">
        <v>2022</v>
      </c>
      <c r="Y1763" s="234">
        <v>3</v>
      </c>
      <c r="Z1763" s="234">
        <v>15</v>
      </c>
      <c r="AA1763" s="235">
        <v>0.375</v>
      </c>
      <c r="AB1763" s="236">
        <v>4.2</v>
      </c>
      <c r="AC1763" s="127">
        <f t="shared" si="42"/>
        <v>4</v>
      </c>
    </row>
    <row r="1764" ht="14.5" customHeight="1" spans="11:29" x14ac:dyDescent="0.25">
      <c r="K1764" s="128"/>
      <c r="X1764" s="234">
        <v>2022</v>
      </c>
      <c r="Y1764" s="234">
        <v>3</v>
      </c>
      <c r="Z1764" s="234">
        <v>15</v>
      </c>
      <c r="AA1764" s="235">
        <v>0.4166666666678793</v>
      </c>
      <c r="AB1764" s="236">
        <v>6.3</v>
      </c>
      <c r="AC1764" s="127">
        <f t="shared" si="42"/>
        <v>6</v>
      </c>
    </row>
    <row r="1765" ht="14.5" customHeight="1" spans="11:29" x14ac:dyDescent="0.25">
      <c r="K1765" s="128"/>
      <c r="X1765" s="234">
        <v>2022</v>
      </c>
      <c r="Y1765" s="234">
        <v>3</v>
      </c>
      <c r="Z1765" s="234">
        <v>15</v>
      </c>
      <c r="AA1765" s="235">
        <v>0.4583333333321207</v>
      </c>
      <c r="AB1765" s="236">
        <v>9.9</v>
      </c>
      <c r="AC1765" s="127">
        <f t="shared" si="42"/>
        <v>10</v>
      </c>
    </row>
    <row r="1766" ht="14.5" customHeight="1" spans="11:29" x14ac:dyDescent="0.25">
      <c r="K1766" s="128"/>
      <c r="X1766" s="234">
        <v>2022</v>
      </c>
      <c r="Y1766" s="234">
        <v>3</v>
      </c>
      <c r="Z1766" s="234">
        <v>15</v>
      </c>
      <c r="AA1766" s="235">
        <v>0.5</v>
      </c>
      <c r="AB1766" s="236">
        <v>11.3</v>
      </c>
      <c r="AC1766" s="127">
        <f t="shared" si="42"/>
        <v>11</v>
      </c>
    </row>
    <row r="1767" ht="14.5" customHeight="1" spans="11:29" x14ac:dyDescent="0.25">
      <c r="K1767" s="128"/>
      <c r="X1767" s="234">
        <v>2022</v>
      </c>
      <c r="Y1767" s="234">
        <v>3</v>
      </c>
      <c r="Z1767" s="234">
        <v>15</v>
      </c>
      <c r="AA1767" s="235">
        <v>0.5416666666678793</v>
      </c>
      <c r="AB1767" s="236">
        <v>11.8</v>
      </c>
      <c r="AC1767" s="127">
        <f t="shared" si="42"/>
        <v>12</v>
      </c>
    </row>
    <row r="1768" ht="14.5" customHeight="1" spans="11:29" x14ac:dyDescent="0.25">
      <c r="K1768" s="128"/>
      <c r="X1768" s="234">
        <v>2022</v>
      </c>
      <c r="Y1768" s="234">
        <v>3</v>
      </c>
      <c r="Z1768" s="234">
        <v>15</v>
      </c>
      <c r="AA1768" s="235">
        <v>0.5833333333321207</v>
      </c>
      <c r="AB1768" s="236">
        <v>10.8</v>
      </c>
      <c r="AC1768" s="127">
        <f t="shared" si="42"/>
        <v>11</v>
      </c>
    </row>
    <row r="1769" ht="14.5" customHeight="1" spans="11:29" x14ac:dyDescent="0.25">
      <c r="K1769" s="128"/>
      <c r="X1769" s="234">
        <v>2022</v>
      </c>
      <c r="Y1769" s="234">
        <v>3</v>
      </c>
      <c r="Z1769" s="234">
        <v>15</v>
      </c>
      <c r="AA1769" s="235">
        <v>0.625</v>
      </c>
      <c r="AB1769" s="236">
        <v>11.2</v>
      </c>
      <c r="AC1769" s="127">
        <f t="shared" si="42"/>
        <v>11</v>
      </c>
    </row>
    <row r="1770" ht="14.5" customHeight="1" spans="11:29" x14ac:dyDescent="0.25">
      <c r="K1770" s="128"/>
      <c r="X1770" s="234">
        <v>2022</v>
      </c>
      <c r="Y1770" s="234">
        <v>3</v>
      </c>
      <c r="Z1770" s="234">
        <v>15</v>
      </c>
      <c r="AA1770" s="235">
        <v>0.6666666666678793</v>
      </c>
      <c r="AB1770" s="236">
        <v>9.2</v>
      </c>
      <c r="AC1770" s="127">
        <f t="shared" si="42"/>
        <v>9</v>
      </c>
    </row>
    <row r="1771" ht="14.5" customHeight="1" spans="11:29" x14ac:dyDescent="0.25">
      <c r="K1771" s="128"/>
      <c r="X1771" s="234">
        <v>2022</v>
      </c>
      <c r="Y1771" s="234">
        <v>3</v>
      </c>
      <c r="Z1771" s="234">
        <v>15</v>
      </c>
      <c r="AA1771" s="235">
        <v>0.7083333333321207</v>
      </c>
      <c r="AB1771" s="236">
        <v>8.6</v>
      </c>
      <c r="AC1771" s="127">
        <f t="shared" si="42"/>
        <v>9</v>
      </c>
    </row>
    <row r="1772" ht="14.5" customHeight="1" spans="11:29" x14ac:dyDescent="0.25">
      <c r="K1772" s="128"/>
      <c r="X1772" s="234">
        <v>2022</v>
      </c>
      <c r="Y1772" s="234">
        <v>3</v>
      </c>
      <c r="Z1772" s="234">
        <v>15</v>
      </c>
      <c r="AA1772" s="235">
        <v>0.75</v>
      </c>
      <c r="AB1772" s="236">
        <v>7.3</v>
      </c>
      <c r="AC1772" s="127">
        <f t="shared" si="42"/>
        <v>7</v>
      </c>
    </row>
    <row r="1773" ht="14.5" customHeight="1" spans="11:29" x14ac:dyDescent="0.25">
      <c r="K1773" s="128"/>
      <c r="X1773" s="234">
        <v>2022</v>
      </c>
      <c r="Y1773" s="234">
        <v>3</v>
      </c>
      <c r="Z1773" s="234">
        <v>15</v>
      </c>
      <c r="AA1773" s="235">
        <v>0.7916666666678793</v>
      </c>
      <c r="AB1773" s="236">
        <v>6.2</v>
      </c>
      <c r="AC1773" s="127">
        <f t="shared" si="42"/>
        <v>6</v>
      </c>
    </row>
    <row r="1774" ht="14.5" customHeight="1" spans="11:29" x14ac:dyDescent="0.25">
      <c r="K1774" s="128"/>
      <c r="X1774" s="234">
        <v>2022</v>
      </c>
      <c r="Y1774" s="234">
        <v>3</v>
      </c>
      <c r="Z1774" s="234">
        <v>15</v>
      </c>
      <c r="AA1774" s="235">
        <v>0.8333333333321207</v>
      </c>
      <c r="AB1774" s="236">
        <v>3.6</v>
      </c>
      <c r="AC1774" s="127">
        <f t="shared" si="42"/>
        <v>4</v>
      </c>
    </row>
    <row r="1775" ht="14.5" customHeight="1" spans="11:29" x14ac:dyDescent="0.25">
      <c r="K1775" s="128"/>
      <c r="X1775" s="234">
        <v>2022</v>
      </c>
      <c r="Y1775" s="234">
        <v>3</v>
      </c>
      <c r="Z1775" s="234">
        <v>15</v>
      </c>
      <c r="AA1775" s="235">
        <v>0.875</v>
      </c>
      <c r="AB1775" s="236">
        <v>1.7</v>
      </c>
      <c r="AC1775" s="127">
        <f t="shared" si="42"/>
        <v>2</v>
      </c>
    </row>
    <row r="1776" ht="14.5" customHeight="1" spans="11:29" x14ac:dyDescent="0.25">
      <c r="K1776" s="128"/>
      <c r="X1776" s="234">
        <v>2022</v>
      </c>
      <c r="Y1776" s="234">
        <v>3</v>
      </c>
      <c r="Z1776" s="234">
        <v>15</v>
      </c>
      <c r="AA1776" s="235">
        <v>0.9166666666678793</v>
      </c>
      <c r="AB1776" s="236">
        <v>1.4</v>
      </c>
      <c r="AC1776" s="127">
        <f t="shared" si="42"/>
        <v>1</v>
      </c>
    </row>
    <row r="1777" ht="14.5" customHeight="1" spans="11:29" x14ac:dyDescent="0.25">
      <c r="K1777" s="128"/>
      <c r="X1777" s="234">
        <v>2022</v>
      </c>
      <c r="Y1777" s="234">
        <v>3</v>
      </c>
      <c r="Z1777" s="234">
        <v>15</v>
      </c>
      <c r="AA1777" s="235">
        <v>0.9583333333321207</v>
      </c>
      <c r="AB1777" s="236">
        <v>2.6</v>
      </c>
      <c r="AC1777" s="127">
        <f t="shared" si="42"/>
        <v>3</v>
      </c>
    </row>
    <row r="1778" ht="14.5" customHeight="1" spans="11:29" x14ac:dyDescent="0.25">
      <c r="K1778" s="128"/>
      <c r="X1778" s="234">
        <v>2022</v>
      </c>
      <c r="Y1778" s="234">
        <v>3</v>
      </c>
      <c r="Z1778" s="234">
        <v>16</v>
      </c>
      <c r="AA1778" s="235">
        <v>0</v>
      </c>
      <c r="AB1778" s="236">
        <v>1.6</v>
      </c>
      <c r="AC1778" s="127">
        <f t="shared" si="42"/>
        <v>2</v>
      </c>
    </row>
    <row r="1779" ht="14.5" customHeight="1" spans="11:29" x14ac:dyDescent="0.25">
      <c r="K1779" s="128"/>
      <c r="X1779" s="234">
        <v>2022</v>
      </c>
      <c r="Y1779" s="234">
        <v>3</v>
      </c>
      <c r="Z1779" s="234">
        <v>16</v>
      </c>
      <c r="AA1779" s="235">
        <v>0.041666666667879326</v>
      </c>
      <c r="AB1779" s="236">
        <v>2.3</v>
      </c>
      <c r="AC1779" s="127">
        <f t="shared" si="42"/>
        <v>2</v>
      </c>
    </row>
    <row r="1780" ht="14.5" customHeight="1" spans="11:29" x14ac:dyDescent="0.25">
      <c r="K1780" s="128"/>
      <c r="X1780" s="234">
        <v>2022</v>
      </c>
      <c r="Y1780" s="234">
        <v>3</v>
      </c>
      <c r="Z1780" s="234">
        <v>16</v>
      </c>
      <c r="AA1780" s="235">
        <v>0.08333333333212067</v>
      </c>
      <c r="AB1780" s="236">
        <v>2.1</v>
      </c>
      <c r="AC1780" s="127">
        <f t="shared" si="42"/>
        <v>2</v>
      </c>
    </row>
    <row r="1781" ht="14.5" customHeight="1" spans="11:29" x14ac:dyDescent="0.25">
      <c r="K1781" s="128"/>
      <c r="X1781" s="234">
        <v>2022</v>
      </c>
      <c r="Y1781" s="234">
        <v>3</v>
      </c>
      <c r="Z1781" s="234">
        <v>16</v>
      </c>
      <c r="AA1781" s="235">
        <v>0.125</v>
      </c>
      <c r="AB1781" s="236">
        <v>1.6</v>
      </c>
      <c r="AC1781" s="127">
        <f t="shared" si="42"/>
        <v>2</v>
      </c>
    </row>
    <row r="1782" ht="14.5" customHeight="1" spans="11:29" x14ac:dyDescent="0.25">
      <c r="K1782" s="128"/>
      <c r="X1782" s="234">
        <v>2022</v>
      </c>
      <c r="Y1782" s="234">
        <v>3</v>
      </c>
      <c r="Z1782" s="234">
        <v>16</v>
      </c>
      <c r="AA1782" s="235">
        <v>0.16666666666787933</v>
      </c>
      <c r="AB1782" s="236">
        <v>1.1</v>
      </c>
      <c r="AC1782" s="127">
        <f t="shared" si="42"/>
        <v>1</v>
      </c>
    </row>
    <row r="1783" ht="14.5" customHeight="1" spans="11:29" x14ac:dyDescent="0.25">
      <c r="K1783" s="128"/>
      <c r="X1783" s="234">
        <v>2022</v>
      </c>
      <c r="Y1783" s="234">
        <v>3</v>
      </c>
      <c r="Z1783" s="234">
        <v>16</v>
      </c>
      <c r="AA1783" s="235">
        <v>0.20833333333212067</v>
      </c>
      <c r="AB1783" s="236">
        <v>1.7</v>
      </c>
      <c r="AC1783" s="127">
        <f t="shared" si="42"/>
        <v>2</v>
      </c>
    </row>
    <row r="1784" ht="14.5" customHeight="1" spans="11:29" x14ac:dyDescent="0.25">
      <c r="K1784" s="128"/>
      <c r="X1784" s="234">
        <v>2022</v>
      </c>
      <c r="Y1784" s="234">
        <v>3</v>
      </c>
      <c r="Z1784" s="234">
        <v>16</v>
      </c>
      <c r="AA1784" s="235">
        <v>0.25</v>
      </c>
      <c r="AB1784" s="236">
        <v>1.6</v>
      </c>
      <c r="AC1784" s="127">
        <f t="shared" si="42"/>
        <v>2</v>
      </c>
    </row>
    <row r="1785" ht="14.5" customHeight="1" spans="11:29" x14ac:dyDescent="0.25">
      <c r="K1785" s="128"/>
      <c r="X1785" s="234">
        <v>2022</v>
      </c>
      <c r="Y1785" s="234">
        <v>3</v>
      </c>
      <c r="Z1785" s="234">
        <v>16</v>
      </c>
      <c r="AA1785" s="235">
        <v>0.2916666666678793</v>
      </c>
      <c r="AB1785" s="236">
        <v>1.3</v>
      </c>
      <c r="AC1785" s="127">
        <f t="shared" si="42"/>
        <v>1</v>
      </c>
    </row>
    <row r="1786" ht="14.5" customHeight="1" spans="11:29" x14ac:dyDescent="0.25">
      <c r="K1786" s="128"/>
      <c r="X1786" s="234">
        <v>2022</v>
      </c>
      <c r="Y1786" s="234">
        <v>3</v>
      </c>
      <c r="Z1786" s="234">
        <v>16</v>
      </c>
      <c r="AA1786" s="235">
        <v>0.3333333333321207</v>
      </c>
      <c r="AB1786" s="236">
        <v>3.5</v>
      </c>
      <c r="AC1786" s="127">
        <f t="shared" si="42"/>
        <v>4</v>
      </c>
    </row>
    <row r="1787" ht="14.5" customHeight="1" spans="11:29" x14ac:dyDescent="0.25">
      <c r="K1787" s="128"/>
      <c r="X1787" s="234">
        <v>2022</v>
      </c>
      <c r="Y1787" s="234">
        <v>3</v>
      </c>
      <c r="Z1787" s="234">
        <v>16</v>
      </c>
      <c r="AA1787" s="235">
        <v>0.375</v>
      </c>
      <c r="AB1787" s="236">
        <v>5.1</v>
      </c>
      <c r="AC1787" s="127">
        <f t="shared" si="42"/>
        <v>5</v>
      </c>
    </row>
    <row r="1788" ht="14.5" customHeight="1" spans="11:29" x14ac:dyDescent="0.25">
      <c r="K1788" s="128"/>
      <c r="X1788" s="234">
        <v>2022</v>
      </c>
      <c r="Y1788" s="234">
        <v>3</v>
      </c>
      <c r="Z1788" s="234">
        <v>16</v>
      </c>
      <c r="AA1788" s="235">
        <v>0.4166666666678793</v>
      </c>
      <c r="AB1788" s="236">
        <v>6.6</v>
      </c>
      <c r="AC1788" s="127">
        <f t="shared" si="42"/>
        <v>7</v>
      </c>
    </row>
    <row r="1789" ht="14.5" customHeight="1" spans="11:29" x14ac:dyDescent="0.25">
      <c r="K1789" s="128"/>
      <c r="X1789" s="234">
        <v>2022</v>
      </c>
      <c r="Y1789" s="234">
        <v>3</v>
      </c>
      <c r="Z1789" s="234">
        <v>16</v>
      </c>
      <c r="AA1789" s="235">
        <v>0.4583333333321207</v>
      </c>
      <c r="AB1789" s="236">
        <v>7.6</v>
      </c>
      <c r="AC1789" s="127">
        <f t="shared" si="42"/>
        <v>8</v>
      </c>
    </row>
    <row r="1790" ht="14.5" customHeight="1" spans="11:29" x14ac:dyDescent="0.25">
      <c r="K1790" s="128"/>
      <c r="X1790" s="234">
        <v>2022</v>
      </c>
      <c r="Y1790" s="234">
        <v>3</v>
      </c>
      <c r="Z1790" s="234">
        <v>16</v>
      </c>
      <c r="AA1790" s="235">
        <v>0.5</v>
      </c>
      <c r="AB1790" s="236">
        <v>8</v>
      </c>
      <c r="AC1790" s="127">
        <f t="shared" si="42"/>
        <v>8</v>
      </c>
    </row>
    <row r="1791" ht="14.5" customHeight="1" spans="11:29" x14ac:dyDescent="0.25">
      <c r="K1791" s="128"/>
      <c r="X1791" s="234">
        <v>2022</v>
      </c>
      <c r="Y1791" s="234">
        <v>3</v>
      </c>
      <c r="Z1791" s="234">
        <v>16</v>
      </c>
      <c r="AA1791" s="235">
        <v>0.5416666666678793</v>
      </c>
      <c r="AB1791" s="236">
        <v>8.5</v>
      </c>
      <c r="AC1791" s="127">
        <f t="shared" si="42"/>
        <v>9</v>
      </c>
    </row>
    <row r="1792" ht="14.5" customHeight="1" spans="11:29" x14ac:dyDescent="0.25">
      <c r="K1792" s="128"/>
      <c r="X1792" s="234">
        <v>2022</v>
      </c>
      <c r="Y1792" s="234">
        <v>3</v>
      </c>
      <c r="Z1792" s="234">
        <v>16</v>
      </c>
      <c r="AA1792" s="235">
        <v>0.5833333333321207</v>
      </c>
      <c r="AB1792" s="236">
        <v>9.2</v>
      </c>
      <c r="AC1792" s="127">
        <f t="shared" si="42"/>
        <v>9</v>
      </c>
    </row>
    <row r="1793" ht="14.5" customHeight="1" spans="11:29" x14ac:dyDescent="0.25">
      <c r="K1793" s="128"/>
      <c r="X1793" s="234">
        <v>2022</v>
      </c>
      <c r="Y1793" s="234">
        <v>3</v>
      </c>
      <c r="Z1793" s="234">
        <v>16</v>
      </c>
      <c r="AA1793" s="235">
        <v>0.625</v>
      </c>
      <c r="AB1793" s="236">
        <v>7.7</v>
      </c>
      <c r="AC1793" s="127">
        <f t="shared" si="42"/>
        <v>8</v>
      </c>
    </row>
    <row r="1794" ht="14.5" customHeight="1" spans="11:29" x14ac:dyDescent="0.25">
      <c r="K1794" s="128"/>
      <c r="X1794" s="234">
        <v>2022</v>
      </c>
      <c r="Y1794" s="234">
        <v>3</v>
      </c>
      <c r="Z1794" s="234">
        <v>16</v>
      </c>
      <c r="AA1794" s="235">
        <v>0.6666666666678793</v>
      </c>
      <c r="AB1794" s="236">
        <v>7.5</v>
      </c>
      <c r="AC1794" s="127">
        <f t="shared" si="42"/>
        <v>8</v>
      </c>
    </row>
    <row r="1795" ht="14.5" customHeight="1" spans="11:29" x14ac:dyDescent="0.25">
      <c r="K1795" s="128"/>
      <c r="X1795" s="234">
        <v>2022</v>
      </c>
      <c r="Y1795" s="234">
        <v>3</v>
      </c>
      <c r="Z1795" s="234">
        <v>16</v>
      </c>
      <c r="AA1795" s="235">
        <v>0.7083333333321207</v>
      </c>
      <c r="AB1795" s="236">
        <v>7</v>
      </c>
      <c r="AC1795" s="127">
        <f t="shared" si="42"/>
        <v>7</v>
      </c>
    </row>
    <row r="1796" ht="14.5" customHeight="1" spans="11:29" x14ac:dyDescent="0.25">
      <c r="K1796" s="128"/>
      <c r="X1796" s="234">
        <v>2022</v>
      </c>
      <c r="Y1796" s="234">
        <v>3</v>
      </c>
      <c r="Z1796" s="234">
        <v>16</v>
      </c>
      <c r="AA1796" s="235">
        <v>0.75</v>
      </c>
      <c r="AB1796" s="236">
        <v>7.7</v>
      </c>
      <c r="AC1796" s="127">
        <f t="shared" si="42"/>
        <v>8</v>
      </c>
    </row>
    <row r="1797" ht="14.5" customHeight="1" spans="11:29" x14ac:dyDescent="0.25">
      <c r="K1797" s="128"/>
      <c r="X1797" s="234">
        <v>2022</v>
      </c>
      <c r="Y1797" s="234">
        <v>3</v>
      </c>
      <c r="Z1797" s="234">
        <v>16</v>
      </c>
      <c r="AA1797" s="235">
        <v>0.7916666666678793</v>
      </c>
      <c r="AB1797" s="236">
        <v>4.8</v>
      </c>
      <c r="AC1797" s="127">
        <f t="shared" si="42"/>
        <v>5</v>
      </c>
    </row>
    <row r="1798" ht="14.5" customHeight="1" spans="11:29" x14ac:dyDescent="0.25">
      <c r="K1798" s="128"/>
      <c r="X1798" s="234">
        <v>2022</v>
      </c>
      <c r="Y1798" s="234">
        <v>3</v>
      </c>
      <c r="Z1798" s="234">
        <v>16</v>
      </c>
      <c r="AA1798" s="235">
        <v>0.8333333333321207</v>
      </c>
      <c r="AB1798" s="236">
        <v>2.9</v>
      </c>
      <c r="AC1798" s="127">
        <f t="shared" si="42"/>
        <v>3</v>
      </c>
    </row>
    <row r="1799" ht="14.5" customHeight="1" spans="11:29" x14ac:dyDescent="0.25">
      <c r="K1799" s="128"/>
      <c r="X1799" s="234">
        <v>2022</v>
      </c>
      <c r="Y1799" s="234">
        <v>3</v>
      </c>
      <c r="Z1799" s="234">
        <v>16</v>
      </c>
      <c r="AA1799" s="235">
        <v>0.875</v>
      </c>
      <c r="AB1799" s="236">
        <v>2.7</v>
      </c>
      <c r="AC1799" s="127">
        <f t="shared" si="42"/>
        <v>3</v>
      </c>
    </row>
    <row r="1800" ht="14.5" customHeight="1" spans="11:29" x14ac:dyDescent="0.25">
      <c r="K1800" s="128"/>
      <c r="X1800" s="234">
        <v>2022</v>
      </c>
      <c r="Y1800" s="234">
        <v>3</v>
      </c>
      <c r="Z1800" s="234">
        <v>16</v>
      </c>
      <c r="AA1800" s="235">
        <v>0.9166666666678793</v>
      </c>
      <c r="AB1800" s="236">
        <v>2.4</v>
      </c>
      <c r="AC1800" s="127">
        <f t="shared" si="42"/>
        <v>2</v>
      </c>
    </row>
    <row r="1801" ht="14.5" customHeight="1" spans="11:29" x14ac:dyDescent="0.25">
      <c r="K1801" s="128"/>
      <c r="X1801" s="234">
        <v>2022</v>
      </c>
      <c r="Y1801" s="234">
        <v>3</v>
      </c>
      <c r="Z1801" s="234">
        <v>16</v>
      </c>
      <c r="AA1801" s="235">
        <v>0.9583333333321207</v>
      </c>
      <c r="AB1801" s="236">
        <v>2.7</v>
      </c>
      <c r="AC1801" s="127">
        <f t="shared" si="42"/>
        <v>3</v>
      </c>
    </row>
    <row r="1802" ht="14.5" customHeight="1" spans="11:29" x14ac:dyDescent="0.25">
      <c r="K1802" s="128"/>
      <c r="X1802" s="234">
        <v>2022</v>
      </c>
      <c r="Y1802" s="234">
        <v>3</v>
      </c>
      <c r="Z1802" s="234">
        <v>17</v>
      </c>
      <c r="AA1802" s="235">
        <v>0</v>
      </c>
      <c r="AB1802" s="236">
        <v>2.6</v>
      </c>
      <c r="AC1802" s="127">
        <f t="shared" si="42"/>
        <v>3</v>
      </c>
    </row>
    <row r="1803" ht="14.5" customHeight="1" spans="11:29" x14ac:dyDescent="0.25">
      <c r="K1803" s="128"/>
      <c r="X1803" s="234">
        <v>2022</v>
      </c>
      <c r="Y1803" s="234">
        <v>3</v>
      </c>
      <c r="Z1803" s="234">
        <v>17</v>
      </c>
      <c r="AA1803" s="235">
        <v>0.041666666667879326</v>
      </c>
      <c r="AB1803" s="236">
        <v>2.3</v>
      </c>
      <c r="AC1803" s="127">
        <f t="shared" ref="AC1803:AC1866" si="43">ROUND(AB1803,0)</f>
        <v>2</v>
      </c>
    </row>
    <row r="1804" ht="14.5" customHeight="1" spans="11:29" x14ac:dyDescent="0.25">
      <c r="K1804" s="128"/>
      <c r="X1804" s="234">
        <v>2022</v>
      </c>
      <c r="Y1804" s="234">
        <v>3</v>
      </c>
      <c r="Z1804" s="234">
        <v>17</v>
      </c>
      <c r="AA1804" s="235">
        <v>0.08333333333212067</v>
      </c>
      <c r="AB1804" s="236">
        <v>-0.6</v>
      </c>
      <c r="AC1804" s="127">
        <f t="shared" si="43"/>
        <v>-1</v>
      </c>
    </row>
    <row r="1805" ht="14.5" customHeight="1" spans="11:29" x14ac:dyDescent="0.25">
      <c r="K1805" s="128"/>
      <c r="X1805" s="234">
        <v>2022</v>
      </c>
      <c r="Y1805" s="234">
        <v>3</v>
      </c>
      <c r="Z1805" s="234">
        <v>17</v>
      </c>
      <c r="AA1805" s="235">
        <v>0.125</v>
      </c>
      <c r="AB1805" s="236">
        <v>-1.9</v>
      </c>
      <c r="AC1805" s="127">
        <f t="shared" si="43"/>
        <v>-2</v>
      </c>
    </row>
    <row r="1806" ht="14.5" customHeight="1" spans="11:29" x14ac:dyDescent="0.25">
      <c r="K1806" s="128"/>
      <c r="X1806" s="234">
        <v>2022</v>
      </c>
      <c r="Y1806" s="234">
        <v>3</v>
      </c>
      <c r="Z1806" s="234">
        <v>17</v>
      </c>
      <c r="AA1806" s="235">
        <v>0.16666666666787933</v>
      </c>
      <c r="AB1806" s="236">
        <v>-0.4</v>
      </c>
      <c r="AC1806" s="127">
        <f t="shared" si="43"/>
        <v>0</v>
      </c>
    </row>
    <row r="1807" ht="14.5" customHeight="1" spans="11:29" x14ac:dyDescent="0.25">
      <c r="K1807" s="128"/>
      <c r="X1807" s="234">
        <v>2022</v>
      </c>
      <c r="Y1807" s="234">
        <v>3</v>
      </c>
      <c r="Z1807" s="234">
        <v>17</v>
      </c>
      <c r="AA1807" s="235">
        <v>0.20833333333212067</v>
      </c>
      <c r="AB1807" s="236">
        <v>-2.3</v>
      </c>
      <c r="AC1807" s="127">
        <f t="shared" si="43"/>
        <v>-2</v>
      </c>
    </row>
    <row r="1808" ht="14.5" customHeight="1" spans="11:29" x14ac:dyDescent="0.25">
      <c r="K1808" s="128"/>
      <c r="X1808" s="234">
        <v>2022</v>
      </c>
      <c r="Y1808" s="234">
        <v>3</v>
      </c>
      <c r="Z1808" s="234">
        <v>17</v>
      </c>
      <c r="AA1808" s="235">
        <v>0.25</v>
      </c>
      <c r="AB1808" s="236">
        <v>-1.3</v>
      </c>
      <c r="AC1808" s="127">
        <f t="shared" si="43"/>
        <v>-1</v>
      </c>
    </row>
    <row r="1809" ht="14.5" customHeight="1" spans="11:29" x14ac:dyDescent="0.25">
      <c r="K1809" s="128"/>
      <c r="X1809" s="234">
        <v>2022</v>
      </c>
      <c r="Y1809" s="234">
        <v>3</v>
      </c>
      <c r="Z1809" s="234">
        <v>17</v>
      </c>
      <c r="AA1809" s="235">
        <v>0.2916666666678793</v>
      </c>
      <c r="AB1809" s="236">
        <v>-1.5</v>
      </c>
      <c r="AC1809" s="127">
        <f t="shared" si="43"/>
        <v>-2</v>
      </c>
    </row>
    <row r="1810" ht="14.5" customHeight="1" spans="11:29" x14ac:dyDescent="0.25">
      <c r="K1810" s="128"/>
      <c r="X1810" s="234">
        <v>2022</v>
      </c>
      <c r="Y1810" s="234">
        <v>3</v>
      </c>
      <c r="Z1810" s="234">
        <v>17</v>
      </c>
      <c r="AA1810" s="235">
        <v>0.3333333333321207</v>
      </c>
      <c r="AB1810" s="236">
        <v>0.7</v>
      </c>
      <c r="AC1810" s="127">
        <f t="shared" si="43"/>
        <v>1</v>
      </c>
    </row>
    <row r="1811" ht="14.5" customHeight="1" spans="11:29" x14ac:dyDescent="0.25">
      <c r="K1811" s="128"/>
      <c r="X1811" s="234">
        <v>2022</v>
      </c>
      <c r="Y1811" s="234">
        <v>3</v>
      </c>
      <c r="Z1811" s="234">
        <v>17</v>
      </c>
      <c r="AA1811" s="235">
        <v>0.375</v>
      </c>
      <c r="AB1811" s="236">
        <v>3.8</v>
      </c>
      <c r="AC1811" s="127">
        <f t="shared" si="43"/>
        <v>4</v>
      </c>
    </row>
    <row r="1812" ht="14.5" customHeight="1" spans="11:29" x14ac:dyDescent="0.25">
      <c r="K1812" s="128"/>
      <c r="X1812" s="234">
        <v>2022</v>
      </c>
      <c r="Y1812" s="234">
        <v>3</v>
      </c>
      <c r="Z1812" s="234">
        <v>17</v>
      </c>
      <c r="AA1812" s="235">
        <v>0.4166666666678793</v>
      </c>
      <c r="AB1812" s="236">
        <v>5.3</v>
      </c>
      <c r="AC1812" s="127">
        <f t="shared" si="43"/>
        <v>5</v>
      </c>
    </row>
    <row r="1813" ht="14.5" customHeight="1" spans="11:29" x14ac:dyDescent="0.25">
      <c r="K1813" s="128"/>
      <c r="X1813" s="234">
        <v>2022</v>
      </c>
      <c r="Y1813" s="234">
        <v>3</v>
      </c>
      <c r="Z1813" s="234">
        <v>17</v>
      </c>
      <c r="AA1813" s="235">
        <v>0.4583333333321207</v>
      </c>
      <c r="AB1813" s="236">
        <v>7.1</v>
      </c>
      <c r="AC1813" s="127">
        <f t="shared" si="43"/>
        <v>7</v>
      </c>
    </row>
    <row r="1814" ht="14.5" customHeight="1" spans="11:29" x14ac:dyDescent="0.25">
      <c r="K1814" s="128"/>
      <c r="X1814" s="234">
        <v>2022</v>
      </c>
      <c r="Y1814" s="234">
        <v>3</v>
      </c>
      <c r="Z1814" s="234">
        <v>17</v>
      </c>
      <c r="AA1814" s="235">
        <v>0.5</v>
      </c>
      <c r="AB1814" s="236">
        <v>8.3</v>
      </c>
      <c r="AC1814" s="127">
        <f t="shared" si="43"/>
        <v>8</v>
      </c>
    </row>
    <row r="1815" ht="14.5" customHeight="1" spans="11:29" x14ac:dyDescent="0.25">
      <c r="K1815" s="128"/>
      <c r="X1815" s="234">
        <v>2022</v>
      </c>
      <c r="Y1815" s="234">
        <v>3</v>
      </c>
      <c r="Z1815" s="234">
        <v>17</v>
      </c>
      <c r="AA1815" s="235">
        <v>0.5416666666678793</v>
      </c>
      <c r="AB1815" s="236">
        <v>9.6</v>
      </c>
      <c r="AC1815" s="127">
        <f t="shared" si="43"/>
        <v>10</v>
      </c>
    </row>
    <row r="1816" ht="14.5" customHeight="1" spans="11:29" x14ac:dyDescent="0.25">
      <c r="K1816" s="128"/>
      <c r="X1816" s="234">
        <v>2022</v>
      </c>
      <c r="Y1816" s="234">
        <v>3</v>
      </c>
      <c r="Z1816" s="234">
        <v>17</v>
      </c>
      <c r="AA1816" s="235">
        <v>0.5833333333321207</v>
      </c>
      <c r="AB1816" s="236">
        <v>10.1</v>
      </c>
      <c r="AC1816" s="127">
        <f t="shared" si="43"/>
        <v>10</v>
      </c>
    </row>
    <row r="1817" ht="14.5" customHeight="1" spans="11:29" x14ac:dyDescent="0.25">
      <c r="K1817" s="128"/>
      <c r="X1817" s="234">
        <v>2022</v>
      </c>
      <c r="Y1817" s="234">
        <v>3</v>
      </c>
      <c r="Z1817" s="234">
        <v>17</v>
      </c>
      <c r="AA1817" s="235">
        <v>0.625</v>
      </c>
      <c r="AB1817" s="236">
        <v>11</v>
      </c>
      <c r="AC1817" s="127">
        <f t="shared" si="43"/>
        <v>11</v>
      </c>
    </row>
    <row r="1818" ht="14.5" customHeight="1" spans="11:29" x14ac:dyDescent="0.25">
      <c r="K1818" s="128"/>
      <c r="X1818" s="234">
        <v>2022</v>
      </c>
      <c r="Y1818" s="234">
        <v>3</v>
      </c>
      <c r="Z1818" s="234">
        <v>17</v>
      </c>
      <c r="AA1818" s="235">
        <v>0.6666666666678793</v>
      </c>
      <c r="AB1818" s="236">
        <v>11.4</v>
      </c>
      <c r="AC1818" s="127">
        <f t="shared" si="43"/>
        <v>11</v>
      </c>
    </row>
    <row r="1819" ht="14.5" customHeight="1" spans="11:29" x14ac:dyDescent="0.25">
      <c r="K1819" s="128"/>
      <c r="X1819" s="234">
        <v>2022</v>
      </c>
      <c r="Y1819" s="234">
        <v>3</v>
      </c>
      <c r="Z1819" s="234">
        <v>17</v>
      </c>
      <c r="AA1819" s="235">
        <v>0.7083333333321207</v>
      </c>
      <c r="AB1819" s="236">
        <v>10.9</v>
      </c>
      <c r="AC1819" s="127">
        <f t="shared" si="43"/>
        <v>11</v>
      </c>
    </row>
    <row r="1820" ht="14.5" customHeight="1" spans="11:29" x14ac:dyDescent="0.25">
      <c r="K1820" s="128"/>
      <c r="X1820" s="234">
        <v>2022</v>
      </c>
      <c r="Y1820" s="234">
        <v>3</v>
      </c>
      <c r="Z1820" s="234">
        <v>17</v>
      </c>
      <c r="AA1820" s="235">
        <v>0.75</v>
      </c>
      <c r="AB1820" s="236">
        <v>9</v>
      </c>
      <c r="AC1820" s="127">
        <f t="shared" si="43"/>
        <v>9</v>
      </c>
    </row>
    <row r="1821" ht="14.5" customHeight="1" spans="11:29" x14ac:dyDescent="0.25">
      <c r="K1821" s="128"/>
      <c r="X1821" s="234">
        <v>2022</v>
      </c>
      <c r="Y1821" s="234">
        <v>3</v>
      </c>
      <c r="Z1821" s="234">
        <v>17</v>
      </c>
      <c r="AA1821" s="235">
        <v>0.7916666666678793</v>
      </c>
      <c r="AB1821" s="236">
        <v>7.1</v>
      </c>
      <c r="AC1821" s="127">
        <f t="shared" si="43"/>
        <v>7</v>
      </c>
    </row>
    <row r="1822" ht="14.5" customHeight="1" spans="11:29" x14ac:dyDescent="0.25">
      <c r="K1822" s="128"/>
      <c r="X1822" s="234">
        <v>2022</v>
      </c>
      <c r="Y1822" s="234">
        <v>3</v>
      </c>
      <c r="Z1822" s="234">
        <v>17</v>
      </c>
      <c r="AA1822" s="235">
        <v>0.8333333333321207</v>
      </c>
      <c r="AB1822" s="236">
        <v>6.4</v>
      </c>
      <c r="AC1822" s="127">
        <f t="shared" si="43"/>
        <v>6</v>
      </c>
    </row>
    <row r="1823" ht="14.5" customHeight="1" spans="11:29" x14ac:dyDescent="0.25">
      <c r="K1823" s="128"/>
      <c r="X1823" s="234">
        <v>2022</v>
      </c>
      <c r="Y1823" s="234">
        <v>3</v>
      </c>
      <c r="Z1823" s="234">
        <v>17</v>
      </c>
      <c r="AA1823" s="235">
        <v>0.875</v>
      </c>
      <c r="AB1823" s="236">
        <v>5.6</v>
      </c>
      <c r="AC1823" s="127">
        <f t="shared" si="43"/>
        <v>6</v>
      </c>
    </row>
    <row r="1824" ht="14.5" customHeight="1" spans="11:29" x14ac:dyDescent="0.25">
      <c r="K1824" s="128"/>
      <c r="X1824" s="234">
        <v>2022</v>
      </c>
      <c r="Y1824" s="234">
        <v>3</v>
      </c>
      <c r="Z1824" s="234">
        <v>17</v>
      </c>
      <c r="AA1824" s="235">
        <v>0.9166666666678793</v>
      </c>
      <c r="AB1824" s="236">
        <v>6.1</v>
      </c>
      <c r="AC1824" s="127">
        <f t="shared" si="43"/>
        <v>6</v>
      </c>
    </row>
    <row r="1825" ht="14.5" customHeight="1" spans="11:29" x14ac:dyDescent="0.25">
      <c r="K1825" s="128"/>
      <c r="X1825" s="234">
        <v>2022</v>
      </c>
      <c r="Y1825" s="234">
        <v>3</v>
      </c>
      <c r="Z1825" s="234">
        <v>17</v>
      </c>
      <c r="AA1825" s="235">
        <v>0.9583333333321207</v>
      </c>
      <c r="AB1825" s="236">
        <v>5.1</v>
      </c>
      <c r="AC1825" s="127">
        <f t="shared" si="43"/>
        <v>5</v>
      </c>
    </row>
    <row r="1826" ht="14.5" customHeight="1" spans="11:29" x14ac:dyDescent="0.25">
      <c r="K1826" s="128"/>
      <c r="X1826" s="234">
        <v>2022</v>
      </c>
      <c r="Y1826" s="234">
        <v>3</v>
      </c>
      <c r="Z1826" s="234">
        <v>18</v>
      </c>
      <c r="AA1826" s="235">
        <v>0</v>
      </c>
      <c r="AB1826" s="236">
        <v>4.7</v>
      </c>
      <c r="AC1826" s="127">
        <f t="shared" si="43"/>
        <v>5</v>
      </c>
    </row>
    <row r="1827" ht="14.5" customHeight="1" spans="11:29" x14ac:dyDescent="0.25">
      <c r="K1827" s="128"/>
      <c r="X1827" s="234">
        <v>2022</v>
      </c>
      <c r="Y1827" s="234">
        <v>3</v>
      </c>
      <c r="Z1827" s="234">
        <v>18</v>
      </c>
      <c r="AA1827" s="235">
        <v>0.041666666667879326</v>
      </c>
      <c r="AB1827" s="236">
        <v>4.3</v>
      </c>
      <c r="AC1827" s="127">
        <f t="shared" si="43"/>
        <v>4</v>
      </c>
    </row>
    <row r="1828" ht="14.5" customHeight="1" spans="11:29" x14ac:dyDescent="0.25">
      <c r="K1828" s="128"/>
      <c r="X1828" s="234">
        <v>2022</v>
      </c>
      <c r="Y1828" s="234">
        <v>3</v>
      </c>
      <c r="Z1828" s="234">
        <v>18</v>
      </c>
      <c r="AA1828" s="235">
        <v>0.08333333333212067</v>
      </c>
      <c r="AB1828" s="236">
        <v>2.7</v>
      </c>
      <c r="AC1828" s="127">
        <f t="shared" si="43"/>
        <v>3</v>
      </c>
    </row>
    <row r="1829" ht="14.5" customHeight="1" spans="11:29" x14ac:dyDescent="0.25">
      <c r="K1829" s="128"/>
      <c r="X1829" s="234">
        <v>2022</v>
      </c>
      <c r="Y1829" s="234">
        <v>3</v>
      </c>
      <c r="Z1829" s="234">
        <v>18</v>
      </c>
      <c r="AA1829" s="235">
        <v>0.125</v>
      </c>
      <c r="AB1829" s="236">
        <v>1.2</v>
      </c>
      <c r="AC1829" s="127">
        <f t="shared" si="43"/>
        <v>1</v>
      </c>
    </row>
    <row r="1830" ht="14.5" customHeight="1" spans="11:29" x14ac:dyDescent="0.25">
      <c r="K1830" s="128"/>
      <c r="X1830" s="234">
        <v>2022</v>
      </c>
      <c r="Y1830" s="234">
        <v>3</v>
      </c>
      <c r="Z1830" s="234">
        <v>18</v>
      </c>
      <c r="AA1830" s="235">
        <v>0.16666666666787933</v>
      </c>
      <c r="AB1830" s="236">
        <v>-1.6</v>
      </c>
      <c r="AC1830" s="127">
        <f t="shared" si="43"/>
        <v>-2</v>
      </c>
    </row>
    <row r="1831" ht="14.5" customHeight="1" spans="11:29" x14ac:dyDescent="0.25">
      <c r="K1831" s="128"/>
      <c r="X1831" s="234">
        <v>2022</v>
      </c>
      <c r="Y1831" s="234">
        <v>3</v>
      </c>
      <c r="Z1831" s="234">
        <v>18</v>
      </c>
      <c r="AA1831" s="235">
        <v>0.20833333333212067</v>
      </c>
      <c r="AB1831" s="236">
        <v>-1.4</v>
      </c>
      <c r="AC1831" s="127">
        <f t="shared" si="43"/>
        <v>-1</v>
      </c>
    </row>
    <row r="1832" ht="14.5" customHeight="1" spans="11:29" x14ac:dyDescent="0.25">
      <c r="K1832" s="128"/>
      <c r="X1832" s="234">
        <v>2022</v>
      </c>
      <c r="Y1832" s="234">
        <v>3</v>
      </c>
      <c r="Z1832" s="234">
        <v>18</v>
      </c>
      <c r="AA1832" s="235">
        <v>0.25</v>
      </c>
      <c r="AB1832" s="236">
        <v>-1.5</v>
      </c>
      <c r="AC1832" s="127">
        <f t="shared" si="43"/>
        <v>-2</v>
      </c>
    </row>
    <row r="1833" ht="14.5" customHeight="1" spans="11:29" x14ac:dyDescent="0.25">
      <c r="K1833" s="128"/>
      <c r="X1833" s="234">
        <v>2022</v>
      </c>
      <c r="Y1833" s="234">
        <v>3</v>
      </c>
      <c r="Z1833" s="234">
        <v>18</v>
      </c>
      <c r="AA1833" s="235">
        <v>0.2916666666678793</v>
      </c>
      <c r="AB1833" s="236">
        <v>-3</v>
      </c>
      <c r="AC1833" s="127">
        <f t="shared" si="43"/>
        <v>-3</v>
      </c>
    </row>
    <row r="1834" ht="14.5" customHeight="1" spans="11:29" x14ac:dyDescent="0.25">
      <c r="K1834" s="128"/>
      <c r="X1834" s="234">
        <v>2022</v>
      </c>
      <c r="Y1834" s="234">
        <v>3</v>
      </c>
      <c r="Z1834" s="234">
        <v>18</v>
      </c>
      <c r="AA1834" s="235">
        <v>0.3333333333321207</v>
      </c>
      <c r="AB1834" s="236">
        <v>-0.6</v>
      </c>
      <c r="AC1834" s="127">
        <f t="shared" si="43"/>
        <v>-1</v>
      </c>
    </row>
    <row r="1835" ht="14.5" customHeight="1" spans="11:29" x14ac:dyDescent="0.25">
      <c r="K1835" s="128"/>
      <c r="X1835" s="234">
        <v>2022</v>
      </c>
      <c r="Y1835" s="234">
        <v>3</v>
      </c>
      <c r="Z1835" s="234">
        <v>18</v>
      </c>
      <c r="AA1835" s="235">
        <v>0.375</v>
      </c>
      <c r="AB1835" s="236">
        <v>3.5</v>
      </c>
      <c r="AC1835" s="127">
        <f t="shared" si="43"/>
        <v>4</v>
      </c>
    </row>
    <row r="1836" ht="14.5" customHeight="1" spans="11:29" x14ac:dyDescent="0.25">
      <c r="K1836" s="128"/>
      <c r="X1836" s="234">
        <v>2022</v>
      </c>
      <c r="Y1836" s="234">
        <v>3</v>
      </c>
      <c r="Z1836" s="234">
        <v>18</v>
      </c>
      <c r="AA1836" s="235">
        <v>0.4166666666678793</v>
      </c>
      <c r="AB1836" s="236">
        <v>4.6</v>
      </c>
      <c r="AC1836" s="127">
        <f t="shared" si="43"/>
        <v>5</v>
      </c>
    </row>
    <row r="1837" ht="14.5" customHeight="1" spans="11:29" x14ac:dyDescent="0.25">
      <c r="K1837" s="128"/>
      <c r="X1837" s="234">
        <v>2022</v>
      </c>
      <c r="Y1837" s="234">
        <v>3</v>
      </c>
      <c r="Z1837" s="234">
        <v>18</v>
      </c>
      <c r="AA1837" s="235">
        <v>0.4583333333321207</v>
      </c>
      <c r="AB1837" s="236">
        <v>4.8</v>
      </c>
      <c r="AC1837" s="127">
        <f t="shared" si="43"/>
        <v>5</v>
      </c>
    </row>
    <row r="1838" ht="14.5" customHeight="1" spans="11:29" x14ac:dyDescent="0.25">
      <c r="K1838" s="128"/>
      <c r="X1838" s="234">
        <v>2022</v>
      </c>
      <c r="Y1838" s="234">
        <v>3</v>
      </c>
      <c r="Z1838" s="234">
        <v>18</v>
      </c>
      <c r="AA1838" s="235">
        <v>0.5</v>
      </c>
      <c r="AB1838" s="236">
        <v>6</v>
      </c>
      <c r="AC1838" s="127">
        <f t="shared" si="43"/>
        <v>6</v>
      </c>
    </row>
    <row r="1839" ht="14.5" customHeight="1" spans="11:29" x14ac:dyDescent="0.25">
      <c r="K1839" s="128"/>
      <c r="X1839" s="234">
        <v>2022</v>
      </c>
      <c r="Y1839" s="234">
        <v>3</v>
      </c>
      <c r="Z1839" s="234">
        <v>18</v>
      </c>
      <c r="AA1839" s="235">
        <v>0.5416666666678793</v>
      </c>
      <c r="AB1839" s="236">
        <v>6.8</v>
      </c>
      <c r="AC1839" s="127">
        <f t="shared" si="43"/>
        <v>7</v>
      </c>
    </row>
    <row r="1840" ht="14.5" customHeight="1" spans="11:29" x14ac:dyDescent="0.25">
      <c r="K1840" s="128"/>
      <c r="X1840" s="234">
        <v>2022</v>
      </c>
      <c r="Y1840" s="234">
        <v>3</v>
      </c>
      <c r="Z1840" s="234">
        <v>18</v>
      </c>
      <c r="AA1840" s="235">
        <v>0.5833333333321207</v>
      </c>
      <c r="AB1840" s="236">
        <v>7.1</v>
      </c>
      <c r="AC1840" s="127">
        <f t="shared" si="43"/>
        <v>7</v>
      </c>
    </row>
    <row r="1841" ht="14.5" customHeight="1" spans="11:29" x14ac:dyDescent="0.25">
      <c r="K1841" s="128"/>
      <c r="X1841" s="234">
        <v>2022</v>
      </c>
      <c r="Y1841" s="234">
        <v>3</v>
      </c>
      <c r="Z1841" s="234">
        <v>18</v>
      </c>
      <c r="AA1841" s="235">
        <v>0.625</v>
      </c>
      <c r="AB1841" s="236">
        <v>8.9</v>
      </c>
      <c r="AC1841" s="127">
        <f t="shared" si="43"/>
        <v>9</v>
      </c>
    </row>
    <row r="1842" ht="14.5" customHeight="1" spans="11:29" x14ac:dyDescent="0.25">
      <c r="K1842" s="128"/>
      <c r="X1842" s="234">
        <v>2022</v>
      </c>
      <c r="Y1842" s="234">
        <v>3</v>
      </c>
      <c r="Z1842" s="234">
        <v>18</v>
      </c>
      <c r="AA1842" s="235">
        <v>0.6666666666678793</v>
      </c>
      <c r="AB1842" s="236">
        <v>9.4</v>
      </c>
      <c r="AC1842" s="127">
        <f t="shared" si="43"/>
        <v>9</v>
      </c>
    </row>
    <row r="1843" ht="14.5" customHeight="1" spans="11:29" x14ac:dyDescent="0.25">
      <c r="K1843" s="128"/>
      <c r="X1843" s="234">
        <v>2022</v>
      </c>
      <c r="Y1843" s="234">
        <v>3</v>
      </c>
      <c r="Z1843" s="234">
        <v>18</v>
      </c>
      <c r="AA1843" s="235">
        <v>0.7083333333321207</v>
      </c>
      <c r="AB1843" s="236">
        <v>9.1</v>
      </c>
      <c r="AC1843" s="127">
        <f t="shared" si="43"/>
        <v>9</v>
      </c>
    </row>
    <row r="1844" ht="14.5" customHeight="1" spans="11:29" x14ac:dyDescent="0.25">
      <c r="K1844" s="128"/>
      <c r="X1844" s="234">
        <v>2022</v>
      </c>
      <c r="Y1844" s="234">
        <v>3</v>
      </c>
      <c r="Z1844" s="234">
        <v>18</v>
      </c>
      <c r="AA1844" s="235">
        <v>0.75</v>
      </c>
      <c r="AB1844" s="236">
        <v>7.3</v>
      </c>
      <c r="AC1844" s="127">
        <f t="shared" si="43"/>
        <v>7</v>
      </c>
    </row>
    <row r="1845" ht="14.5" customHeight="1" spans="11:29" x14ac:dyDescent="0.25">
      <c r="K1845" s="128"/>
      <c r="X1845" s="234">
        <v>2022</v>
      </c>
      <c r="Y1845" s="234">
        <v>3</v>
      </c>
      <c r="Z1845" s="234">
        <v>18</v>
      </c>
      <c r="AA1845" s="235">
        <v>0.7916666666678793</v>
      </c>
      <c r="AB1845" s="236">
        <v>5.5</v>
      </c>
      <c r="AC1845" s="127">
        <f t="shared" si="43"/>
        <v>6</v>
      </c>
    </row>
    <row r="1846" ht="14.5" customHeight="1" spans="11:29" x14ac:dyDescent="0.25">
      <c r="K1846" s="128"/>
      <c r="X1846" s="234">
        <v>2022</v>
      </c>
      <c r="Y1846" s="234">
        <v>3</v>
      </c>
      <c r="Z1846" s="234">
        <v>18</v>
      </c>
      <c r="AA1846" s="235">
        <v>0.8333333333321207</v>
      </c>
      <c r="AB1846" s="236">
        <v>4.6</v>
      </c>
      <c r="AC1846" s="127">
        <f t="shared" si="43"/>
        <v>5</v>
      </c>
    </row>
    <row r="1847" ht="14.5" customHeight="1" spans="11:29" x14ac:dyDescent="0.25">
      <c r="K1847" s="128"/>
      <c r="X1847" s="234">
        <v>2022</v>
      </c>
      <c r="Y1847" s="234">
        <v>3</v>
      </c>
      <c r="Z1847" s="234">
        <v>18</v>
      </c>
      <c r="AA1847" s="235">
        <v>0.875</v>
      </c>
      <c r="AB1847" s="236">
        <v>4.2</v>
      </c>
      <c r="AC1847" s="127">
        <f t="shared" si="43"/>
        <v>4</v>
      </c>
    </row>
    <row r="1848" ht="14.5" customHeight="1" spans="11:29" x14ac:dyDescent="0.25">
      <c r="K1848" s="128"/>
      <c r="X1848" s="234">
        <v>2022</v>
      </c>
      <c r="Y1848" s="234">
        <v>3</v>
      </c>
      <c r="Z1848" s="234">
        <v>18</v>
      </c>
      <c r="AA1848" s="235">
        <v>0.9166666666678793</v>
      </c>
      <c r="AB1848" s="236">
        <v>3.4</v>
      </c>
      <c r="AC1848" s="127">
        <f t="shared" si="43"/>
        <v>3</v>
      </c>
    </row>
    <row r="1849" ht="14.5" customHeight="1" spans="11:29" x14ac:dyDescent="0.25">
      <c r="K1849" s="128"/>
      <c r="X1849" s="234">
        <v>2022</v>
      </c>
      <c r="Y1849" s="234">
        <v>3</v>
      </c>
      <c r="Z1849" s="234">
        <v>18</v>
      </c>
      <c r="AA1849" s="235">
        <v>0.9583333333321207</v>
      </c>
      <c r="AB1849" s="236">
        <v>2.5</v>
      </c>
      <c r="AC1849" s="127">
        <f t="shared" si="43"/>
        <v>3</v>
      </c>
    </row>
    <row r="1850" ht="14.5" customHeight="1" spans="11:29" x14ac:dyDescent="0.25">
      <c r="K1850" s="128"/>
      <c r="X1850" s="234">
        <v>2022</v>
      </c>
      <c r="Y1850" s="234">
        <v>3</v>
      </c>
      <c r="Z1850" s="234">
        <v>19</v>
      </c>
      <c r="AA1850" s="235">
        <v>0</v>
      </c>
      <c r="AB1850" s="236">
        <v>1.2</v>
      </c>
      <c r="AC1850" s="127">
        <f t="shared" si="43"/>
        <v>1</v>
      </c>
    </row>
    <row r="1851" ht="14.5" customHeight="1" spans="11:29" x14ac:dyDescent="0.25">
      <c r="K1851" s="128"/>
      <c r="X1851" s="234">
        <v>2022</v>
      </c>
      <c r="Y1851" s="234">
        <v>3</v>
      </c>
      <c r="Z1851" s="234">
        <v>19</v>
      </c>
      <c r="AA1851" s="235">
        <v>0.041666666667879326</v>
      </c>
      <c r="AB1851" s="236">
        <v>-0.3</v>
      </c>
      <c r="AC1851" s="127">
        <f t="shared" si="43"/>
        <v>0</v>
      </c>
    </row>
    <row r="1852" ht="14.5" customHeight="1" spans="11:29" x14ac:dyDescent="0.25">
      <c r="K1852" s="128"/>
      <c r="X1852" s="234">
        <v>2022</v>
      </c>
      <c r="Y1852" s="234">
        <v>3</v>
      </c>
      <c r="Z1852" s="234">
        <v>19</v>
      </c>
      <c r="AA1852" s="235">
        <v>0.08333333333212067</v>
      </c>
      <c r="AB1852" s="236">
        <v>-0.1</v>
      </c>
      <c r="AC1852" s="127">
        <f t="shared" si="43"/>
        <v>0</v>
      </c>
    </row>
    <row r="1853" ht="14.5" customHeight="1" spans="11:29" x14ac:dyDescent="0.25">
      <c r="K1853" s="128"/>
      <c r="X1853" s="234">
        <v>2022</v>
      </c>
      <c r="Y1853" s="234">
        <v>3</v>
      </c>
      <c r="Z1853" s="234">
        <v>19</v>
      </c>
      <c r="AA1853" s="235">
        <v>0.125</v>
      </c>
      <c r="AB1853" s="236">
        <v>-2</v>
      </c>
      <c r="AC1853" s="127">
        <f t="shared" si="43"/>
        <v>-2</v>
      </c>
    </row>
    <row r="1854" ht="14.5" customHeight="1" spans="11:29" x14ac:dyDescent="0.25">
      <c r="K1854" s="128"/>
      <c r="X1854" s="234">
        <v>2022</v>
      </c>
      <c r="Y1854" s="234">
        <v>3</v>
      </c>
      <c r="Z1854" s="234">
        <v>19</v>
      </c>
      <c r="AA1854" s="235">
        <v>0.16666666666787933</v>
      </c>
      <c r="AB1854" s="236">
        <v>-3.3</v>
      </c>
      <c r="AC1854" s="127">
        <f t="shared" si="43"/>
        <v>-3</v>
      </c>
    </row>
    <row r="1855" ht="14.5" customHeight="1" spans="11:29" x14ac:dyDescent="0.25">
      <c r="K1855" s="128"/>
      <c r="X1855" s="234">
        <v>2022</v>
      </c>
      <c r="Y1855" s="234">
        <v>3</v>
      </c>
      <c r="Z1855" s="234">
        <v>19</v>
      </c>
      <c r="AA1855" s="235">
        <v>0.20833333333212067</v>
      </c>
      <c r="AB1855" s="236">
        <v>-4</v>
      </c>
      <c r="AC1855" s="127">
        <f t="shared" si="43"/>
        <v>-4</v>
      </c>
    </row>
    <row r="1856" ht="14.5" customHeight="1" spans="11:29" x14ac:dyDescent="0.25">
      <c r="K1856" s="128"/>
      <c r="X1856" s="234">
        <v>2022</v>
      </c>
      <c r="Y1856" s="234">
        <v>3</v>
      </c>
      <c r="Z1856" s="234">
        <v>19</v>
      </c>
      <c r="AA1856" s="235">
        <v>0.25</v>
      </c>
      <c r="AB1856" s="236">
        <v>-4.3</v>
      </c>
      <c r="AC1856" s="127">
        <f t="shared" si="43"/>
        <v>-4</v>
      </c>
    </row>
    <row r="1857" ht="14.5" customHeight="1" spans="11:29" x14ac:dyDescent="0.25">
      <c r="K1857" s="128"/>
      <c r="X1857" s="234">
        <v>2022</v>
      </c>
      <c r="Y1857" s="234">
        <v>3</v>
      </c>
      <c r="Z1857" s="234">
        <v>19</v>
      </c>
      <c r="AA1857" s="235">
        <v>0.2916666666678793</v>
      </c>
      <c r="AB1857" s="236">
        <v>-3.5</v>
      </c>
      <c r="AC1857" s="127">
        <f t="shared" si="43"/>
        <v>-4</v>
      </c>
    </row>
    <row r="1858" ht="14.5" customHeight="1" spans="11:29" x14ac:dyDescent="0.25">
      <c r="K1858" s="128"/>
      <c r="X1858" s="234">
        <v>2022</v>
      </c>
      <c r="Y1858" s="234">
        <v>3</v>
      </c>
      <c r="Z1858" s="234">
        <v>19</v>
      </c>
      <c r="AA1858" s="235">
        <v>0.3333333333321207</v>
      </c>
      <c r="AB1858" s="236">
        <v>-2</v>
      </c>
      <c r="AC1858" s="127">
        <f t="shared" si="43"/>
        <v>-2</v>
      </c>
    </row>
    <row r="1859" ht="14.5" customHeight="1" spans="11:29" x14ac:dyDescent="0.25">
      <c r="K1859" s="128"/>
      <c r="X1859" s="234">
        <v>2022</v>
      </c>
      <c r="Y1859" s="234">
        <v>3</v>
      </c>
      <c r="Z1859" s="234">
        <v>19</v>
      </c>
      <c r="AA1859" s="235">
        <v>0.375</v>
      </c>
      <c r="AB1859" s="236">
        <v>3.3</v>
      </c>
      <c r="AC1859" s="127">
        <f t="shared" si="43"/>
        <v>3</v>
      </c>
    </row>
    <row r="1860" ht="14.5" customHeight="1" spans="11:29" x14ac:dyDescent="0.25">
      <c r="K1860" s="128"/>
      <c r="X1860" s="234">
        <v>2022</v>
      </c>
      <c r="Y1860" s="234">
        <v>3</v>
      </c>
      <c r="Z1860" s="234">
        <v>19</v>
      </c>
      <c r="AA1860" s="235">
        <v>0.4166666666678793</v>
      </c>
      <c r="AB1860" s="236">
        <v>6.1</v>
      </c>
      <c r="AC1860" s="127">
        <f t="shared" si="43"/>
        <v>6</v>
      </c>
    </row>
    <row r="1861" ht="14.5" customHeight="1" spans="11:29" x14ac:dyDescent="0.25">
      <c r="K1861" s="128"/>
      <c r="X1861" s="234">
        <v>2022</v>
      </c>
      <c r="Y1861" s="234">
        <v>3</v>
      </c>
      <c r="Z1861" s="234">
        <v>19</v>
      </c>
      <c r="AA1861" s="235">
        <v>0.4583333333321207</v>
      </c>
      <c r="AB1861" s="236">
        <v>7.4</v>
      </c>
      <c r="AC1861" s="127">
        <f t="shared" si="43"/>
        <v>7</v>
      </c>
    </row>
    <row r="1862" ht="14.5" customHeight="1" spans="11:29" x14ac:dyDescent="0.25">
      <c r="K1862" s="128"/>
      <c r="X1862" s="234">
        <v>2022</v>
      </c>
      <c r="Y1862" s="234">
        <v>3</v>
      </c>
      <c r="Z1862" s="234">
        <v>19</v>
      </c>
      <c r="AA1862" s="235">
        <v>0.5</v>
      </c>
      <c r="AB1862" s="236">
        <v>8.8</v>
      </c>
      <c r="AC1862" s="127">
        <f t="shared" si="43"/>
        <v>9</v>
      </c>
    </row>
    <row r="1863" ht="14.5" customHeight="1" spans="11:29" x14ac:dyDescent="0.25">
      <c r="K1863" s="128"/>
      <c r="X1863" s="234">
        <v>2022</v>
      </c>
      <c r="Y1863" s="234">
        <v>3</v>
      </c>
      <c r="Z1863" s="234">
        <v>19</v>
      </c>
      <c r="AA1863" s="235">
        <v>0.5416666666678793</v>
      </c>
      <c r="AB1863" s="236">
        <v>8.4</v>
      </c>
      <c r="AC1863" s="127">
        <f t="shared" si="43"/>
        <v>8</v>
      </c>
    </row>
    <row r="1864" ht="14.5" customHeight="1" spans="11:29" x14ac:dyDescent="0.25">
      <c r="K1864" s="128"/>
      <c r="X1864" s="234">
        <v>2022</v>
      </c>
      <c r="Y1864" s="234">
        <v>3</v>
      </c>
      <c r="Z1864" s="234">
        <v>19</v>
      </c>
      <c r="AA1864" s="235">
        <v>0.5833333333321207</v>
      </c>
      <c r="AB1864" s="236">
        <v>10</v>
      </c>
      <c r="AC1864" s="127">
        <f t="shared" si="43"/>
        <v>10</v>
      </c>
    </row>
    <row r="1865" ht="14.5" customHeight="1" spans="11:29" x14ac:dyDescent="0.25">
      <c r="K1865" s="128"/>
      <c r="X1865" s="234">
        <v>2022</v>
      </c>
      <c r="Y1865" s="234">
        <v>3</v>
      </c>
      <c r="Z1865" s="234">
        <v>19</v>
      </c>
      <c r="AA1865" s="235">
        <v>0.625</v>
      </c>
      <c r="AB1865" s="236">
        <v>9.8</v>
      </c>
      <c r="AC1865" s="127">
        <f t="shared" si="43"/>
        <v>10</v>
      </c>
    </row>
    <row r="1866" ht="14.5" customHeight="1" spans="11:29" x14ac:dyDescent="0.25">
      <c r="K1866" s="128"/>
      <c r="X1866" s="234">
        <v>2022</v>
      </c>
      <c r="Y1866" s="234">
        <v>3</v>
      </c>
      <c r="Z1866" s="234">
        <v>19</v>
      </c>
      <c r="AA1866" s="235">
        <v>0.6666666666678793</v>
      </c>
      <c r="AB1866" s="236">
        <v>10.6</v>
      </c>
      <c r="AC1866" s="127">
        <f t="shared" si="43"/>
        <v>11</v>
      </c>
    </row>
    <row r="1867" ht="14.5" customHeight="1" spans="11:29" x14ac:dyDescent="0.25">
      <c r="K1867" s="128"/>
      <c r="X1867" s="234">
        <v>2022</v>
      </c>
      <c r="Y1867" s="234">
        <v>3</v>
      </c>
      <c r="Z1867" s="234">
        <v>19</v>
      </c>
      <c r="AA1867" s="235">
        <v>0.7083333333321207</v>
      </c>
      <c r="AB1867" s="236">
        <v>11.1</v>
      </c>
      <c r="AC1867" s="127">
        <f t="shared" ref="AC1867:AC1930" si="44">ROUND(AB1867,0)</f>
        <v>11</v>
      </c>
    </row>
    <row r="1868" ht="14.5" customHeight="1" spans="11:29" x14ac:dyDescent="0.25">
      <c r="K1868" s="128"/>
      <c r="X1868" s="234">
        <v>2022</v>
      </c>
      <c r="Y1868" s="234">
        <v>3</v>
      </c>
      <c r="Z1868" s="234">
        <v>19</v>
      </c>
      <c r="AA1868" s="235">
        <v>0.75</v>
      </c>
      <c r="AB1868" s="236">
        <v>10.4</v>
      </c>
      <c r="AC1868" s="127">
        <f t="shared" si="44"/>
        <v>10</v>
      </c>
    </row>
    <row r="1869" ht="14.5" customHeight="1" spans="11:29" x14ac:dyDescent="0.25">
      <c r="K1869" s="128"/>
      <c r="X1869" s="234">
        <v>2022</v>
      </c>
      <c r="Y1869" s="234">
        <v>3</v>
      </c>
      <c r="Z1869" s="234">
        <v>19</v>
      </c>
      <c r="AA1869" s="235">
        <v>0.7916666666678793</v>
      </c>
      <c r="AB1869" s="236">
        <v>6</v>
      </c>
      <c r="AC1869" s="127">
        <f t="shared" si="44"/>
        <v>6</v>
      </c>
    </row>
    <row r="1870" ht="14.5" customHeight="1" spans="11:29" x14ac:dyDescent="0.25">
      <c r="K1870" s="128"/>
      <c r="X1870" s="234">
        <v>2022</v>
      </c>
      <c r="Y1870" s="234">
        <v>3</v>
      </c>
      <c r="Z1870" s="234">
        <v>19</v>
      </c>
      <c r="AA1870" s="235">
        <v>0.8333333333321207</v>
      </c>
      <c r="AB1870" s="236">
        <v>4.1</v>
      </c>
      <c r="AC1870" s="127">
        <f t="shared" si="44"/>
        <v>4</v>
      </c>
    </row>
    <row r="1871" ht="14.5" customHeight="1" spans="11:29" x14ac:dyDescent="0.25">
      <c r="K1871" s="128"/>
      <c r="X1871" s="234">
        <v>2022</v>
      </c>
      <c r="Y1871" s="234">
        <v>3</v>
      </c>
      <c r="Z1871" s="234">
        <v>19</v>
      </c>
      <c r="AA1871" s="235">
        <v>0.875</v>
      </c>
      <c r="AB1871" s="236">
        <v>4.2</v>
      </c>
      <c r="AC1871" s="127">
        <f t="shared" si="44"/>
        <v>4</v>
      </c>
    </row>
    <row r="1872" ht="14.5" customHeight="1" spans="11:29" x14ac:dyDescent="0.25">
      <c r="K1872" s="128"/>
      <c r="X1872" s="234">
        <v>2022</v>
      </c>
      <c r="Y1872" s="234">
        <v>3</v>
      </c>
      <c r="Z1872" s="234">
        <v>19</v>
      </c>
      <c r="AA1872" s="235">
        <v>0.9166666666678793</v>
      </c>
      <c r="AB1872" s="236">
        <v>3.1</v>
      </c>
      <c r="AC1872" s="127">
        <f t="shared" si="44"/>
        <v>3</v>
      </c>
    </row>
    <row r="1873" ht="14.5" customHeight="1" spans="11:29" x14ac:dyDescent="0.25">
      <c r="K1873" s="128"/>
      <c r="X1873" s="234">
        <v>2022</v>
      </c>
      <c r="Y1873" s="234">
        <v>3</v>
      </c>
      <c r="Z1873" s="234">
        <v>19</v>
      </c>
      <c r="AA1873" s="235">
        <v>0.9583333333321207</v>
      </c>
      <c r="AB1873" s="236">
        <v>2.5</v>
      </c>
      <c r="AC1873" s="127">
        <f t="shared" si="44"/>
        <v>3</v>
      </c>
    </row>
    <row r="1874" ht="14.5" customHeight="1" spans="11:29" x14ac:dyDescent="0.25">
      <c r="K1874" s="128"/>
      <c r="X1874" s="234">
        <v>2022</v>
      </c>
      <c r="Y1874" s="234">
        <v>3</v>
      </c>
      <c r="Z1874" s="234">
        <v>20</v>
      </c>
      <c r="AA1874" s="235">
        <v>0</v>
      </c>
      <c r="AB1874" s="236">
        <v>4.8</v>
      </c>
      <c r="AC1874" s="127">
        <f t="shared" si="44"/>
        <v>5</v>
      </c>
    </row>
    <row r="1875" ht="14.5" customHeight="1" spans="11:29" x14ac:dyDescent="0.25">
      <c r="K1875" s="128"/>
      <c r="X1875" s="234">
        <v>2022</v>
      </c>
      <c r="Y1875" s="234">
        <v>3</v>
      </c>
      <c r="Z1875" s="234">
        <v>20</v>
      </c>
      <c r="AA1875" s="235">
        <v>0.041666666667879326</v>
      </c>
      <c r="AB1875" s="236">
        <v>1.6</v>
      </c>
      <c r="AC1875" s="127">
        <f t="shared" si="44"/>
        <v>2</v>
      </c>
    </row>
    <row r="1876" ht="14.5" customHeight="1" spans="11:29" x14ac:dyDescent="0.25">
      <c r="K1876" s="128"/>
      <c r="X1876" s="234">
        <v>2022</v>
      </c>
      <c r="Y1876" s="234">
        <v>3</v>
      </c>
      <c r="Z1876" s="234">
        <v>20</v>
      </c>
      <c r="AA1876" s="235">
        <v>0.08333333333212067</v>
      </c>
      <c r="AB1876" s="236">
        <v>3.6</v>
      </c>
      <c r="AC1876" s="127">
        <f t="shared" si="44"/>
        <v>4</v>
      </c>
    </row>
    <row r="1877" ht="14.5" customHeight="1" spans="11:29" x14ac:dyDescent="0.25">
      <c r="K1877" s="128"/>
      <c r="X1877" s="234">
        <v>2022</v>
      </c>
      <c r="Y1877" s="234">
        <v>3</v>
      </c>
      <c r="Z1877" s="234">
        <v>20</v>
      </c>
      <c r="AA1877" s="235">
        <v>0.125</v>
      </c>
      <c r="AB1877" s="236">
        <v>2.8</v>
      </c>
      <c r="AC1877" s="127">
        <f t="shared" si="44"/>
        <v>3</v>
      </c>
    </row>
    <row r="1878" ht="14.5" customHeight="1" spans="11:29" x14ac:dyDescent="0.25">
      <c r="K1878" s="128"/>
      <c r="X1878" s="234">
        <v>2022</v>
      </c>
      <c r="Y1878" s="234">
        <v>3</v>
      </c>
      <c r="Z1878" s="234">
        <v>20</v>
      </c>
      <c r="AA1878" s="235">
        <v>0.16666666666787933</v>
      </c>
      <c r="AB1878" s="236">
        <v>1.6</v>
      </c>
      <c r="AC1878" s="127">
        <f t="shared" si="44"/>
        <v>2</v>
      </c>
    </row>
    <row r="1879" ht="14.5" customHeight="1" spans="11:29" x14ac:dyDescent="0.25">
      <c r="K1879" s="128"/>
      <c r="X1879" s="234">
        <v>2022</v>
      </c>
      <c r="Y1879" s="234">
        <v>3</v>
      </c>
      <c r="Z1879" s="234">
        <v>20</v>
      </c>
      <c r="AA1879" s="235">
        <v>0.20833333333212067</v>
      </c>
      <c r="AB1879" s="236">
        <v>0.4</v>
      </c>
      <c r="AC1879" s="127">
        <f t="shared" si="44"/>
        <v>0</v>
      </c>
    </row>
    <row r="1880" ht="14.5" customHeight="1" spans="11:29" x14ac:dyDescent="0.25">
      <c r="K1880" s="128"/>
      <c r="X1880" s="234">
        <v>2022</v>
      </c>
      <c r="Y1880" s="234">
        <v>3</v>
      </c>
      <c r="Z1880" s="234">
        <v>20</v>
      </c>
      <c r="AA1880" s="235">
        <v>0.25</v>
      </c>
      <c r="AB1880" s="236">
        <v>0.2</v>
      </c>
      <c r="AC1880" s="127">
        <f t="shared" si="44"/>
        <v>0</v>
      </c>
    </row>
    <row r="1881" ht="14.5" customHeight="1" spans="11:29" x14ac:dyDescent="0.25">
      <c r="K1881" s="128"/>
      <c r="X1881" s="234">
        <v>2022</v>
      </c>
      <c r="Y1881" s="234">
        <v>3</v>
      </c>
      <c r="Z1881" s="234">
        <v>20</v>
      </c>
      <c r="AA1881" s="235">
        <v>0.2916666666678793</v>
      </c>
      <c r="AB1881" s="236">
        <v>-1</v>
      </c>
      <c r="AC1881" s="127">
        <f t="shared" si="44"/>
        <v>-1</v>
      </c>
    </row>
    <row r="1882" ht="14.5" customHeight="1" spans="11:29" x14ac:dyDescent="0.25">
      <c r="K1882" s="128"/>
      <c r="X1882" s="234">
        <v>2022</v>
      </c>
      <c r="Y1882" s="234">
        <v>3</v>
      </c>
      <c r="Z1882" s="234">
        <v>20</v>
      </c>
      <c r="AA1882" s="235">
        <v>0.3333333333321207</v>
      </c>
      <c r="AB1882" s="236">
        <v>-1.6</v>
      </c>
      <c r="AC1882" s="127">
        <f t="shared" si="44"/>
        <v>-2</v>
      </c>
    </row>
    <row r="1883" ht="14.5" customHeight="1" spans="11:29" x14ac:dyDescent="0.25">
      <c r="K1883" s="128"/>
      <c r="X1883" s="234">
        <v>2022</v>
      </c>
      <c r="Y1883" s="234">
        <v>3</v>
      </c>
      <c r="Z1883" s="234">
        <v>20</v>
      </c>
      <c r="AA1883" s="235">
        <v>0.375</v>
      </c>
      <c r="AB1883" s="236">
        <v>-1.2</v>
      </c>
      <c r="AC1883" s="127">
        <f t="shared" si="44"/>
        <v>-1</v>
      </c>
    </row>
    <row r="1884" ht="14.5" customHeight="1" spans="11:29" x14ac:dyDescent="0.25">
      <c r="K1884" s="128"/>
      <c r="X1884" s="234">
        <v>2022</v>
      </c>
      <c r="Y1884" s="234">
        <v>3</v>
      </c>
      <c r="Z1884" s="234">
        <v>20</v>
      </c>
      <c r="AA1884" s="235">
        <v>0.4166666666678793</v>
      </c>
      <c r="AB1884" s="236">
        <v>-0.4</v>
      </c>
      <c r="AC1884" s="127">
        <f t="shared" si="44"/>
        <v>0</v>
      </c>
    </row>
    <row r="1885" ht="14.5" customHeight="1" spans="11:29" x14ac:dyDescent="0.25">
      <c r="K1885" s="128"/>
      <c r="X1885" s="234">
        <v>2022</v>
      </c>
      <c r="Y1885" s="234">
        <v>3</v>
      </c>
      <c r="Z1885" s="234">
        <v>20</v>
      </c>
      <c r="AA1885" s="235">
        <v>0.4583333333321207</v>
      </c>
      <c r="AB1885" s="236">
        <v>0.3</v>
      </c>
      <c r="AC1885" s="127">
        <f t="shared" si="44"/>
        <v>0</v>
      </c>
    </row>
    <row r="1886" ht="14.5" customHeight="1" spans="11:29" x14ac:dyDescent="0.25">
      <c r="K1886" s="128"/>
      <c r="X1886" s="234">
        <v>2022</v>
      </c>
      <c r="Y1886" s="234">
        <v>3</v>
      </c>
      <c r="Z1886" s="234">
        <v>20</v>
      </c>
      <c r="AA1886" s="235">
        <v>0.5</v>
      </c>
      <c r="AB1886" s="236">
        <v>1.8</v>
      </c>
      <c r="AC1886" s="127">
        <f t="shared" si="44"/>
        <v>2</v>
      </c>
    </row>
    <row r="1887" ht="14.5" customHeight="1" spans="11:29" x14ac:dyDescent="0.25">
      <c r="K1887" s="128"/>
      <c r="X1887" s="234">
        <v>2022</v>
      </c>
      <c r="Y1887" s="234">
        <v>3</v>
      </c>
      <c r="Z1887" s="234">
        <v>20</v>
      </c>
      <c r="AA1887" s="235">
        <v>0.5416666666678793</v>
      </c>
      <c r="AB1887" s="236">
        <v>3.3</v>
      </c>
      <c r="AC1887" s="127">
        <f t="shared" si="44"/>
        <v>3</v>
      </c>
    </row>
    <row r="1888" ht="14.5" customHeight="1" spans="11:29" x14ac:dyDescent="0.25">
      <c r="K1888" s="128"/>
      <c r="X1888" s="234">
        <v>2022</v>
      </c>
      <c r="Y1888" s="234">
        <v>3</v>
      </c>
      <c r="Z1888" s="234">
        <v>20</v>
      </c>
      <c r="AA1888" s="235">
        <v>0.5833333333321207</v>
      </c>
      <c r="AB1888" s="236">
        <v>4</v>
      </c>
      <c r="AC1888" s="127">
        <f t="shared" si="44"/>
        <v>4</v>
      </c>
    </row>
    <row r="1889" ht="14.5" customHeight="1" spans="11:29" x14ac:dyDescent="0.25">
      <c r="K1889" s="128"/>
      <c r="X1889" s="234">
        <v>2022</v>
      </c>
      <c r="Y1889" s="234">
        <v>3</v>
      </c>
      <c r="Z1889" s="234">
        <v>20</v>
      </c>
      <c r="AA1889" s="235">
        <v>0.625</v>
      </c>
      <c r="AB1889" s="236">
        <v>4.1</v>
      </c>
      <c r="AC1889" s="127">
        <f t="shared" si="44"/>
        <v>4</v>
      </c>
    </row>
    <row r="1890" ht="14.5" customHeight="1" spans="11:29" x14ac:dyDescent="0.25">
      <c r="K1890" s="128"/>
      <c r="X1890" s="234">
        <v>2022</v>
      </c>
      <c r="Y1890" s="234">
        <v>3</v>
      </c>
      <c r="Z1890" s="234">
        <v>20</v>
      </c>
      <c r="AA1890" s="235">
        <v>0.6666666666678793</v>
      </c>
      <c r="AB1890" s="236">
        <v>3.4</v>
      </c>
      <c r="AC1890" s="127">
        <f t="shared" si="44"/>
        <v>3</v>
      </c>
    </row>
    <row r="1891" ht="14.5" customHeight="1" spans="11:29" x14ac:dyDescent="0.25">
      <c r="K1891" s="128"/>
      <c r="X1891" s="234">
        <v>2022</v>
      </c>
      <c r="Y1891" s="234">
        <v>3</v>
      </c>
      <c r="Z1891" s="234">
        <v>20</v>
      </c>
      <c r="AA1891" s="235">
        <v>0.7083333333321207</v>
      </c>
      <c r="AB1891" s="236">
        <v>3.9</v>
      </c>
      <c r="AC1891" s="127">
        <f t="shared" si="44"/>
        <v>4</v>
      </c>
    </row>
    <row r="1892" ht="14.5" customHeight="1" spans="11:29" x14ac:dyDescent="0.25">
      <c r="K1892" s="128"/>
      <c r="X1892" s="234">
        <v>2022</v>
      </c>
      <c r="Y1892" s="234">
        <v>3</v>
      </c>
      <c r="Z1892" s="234">
        <v>20</v>
      </c>
      <c r="AA1892" s="235">
        <v>0.75</v>
      </c>
      <c r="AB1892" s="236">
        <v>2.9</v>
      </c>
      <c r="AC1892" s="127">
        <f t="shared" si="44"/>
        <v>3</v>
      </c>
    </row>
    <row r="1893" ht="14.5" customHeight="1" spans="11:29" x14ac:dyDescent="0.25">
      <c r="K1893" s="128"/>
      <c r="X1893" s="234">
        <v>2022</v>
      </c>
      <c r="Y1893" s="234">
        <v>3</v>
      </c>
      <c r="Z1893" s="234">
        <v>20</v>
      </c>
      <c r="AA1893" s="235">
        <v>0.7916666666678793</v>
      </c>
      <c r="AB1893" s="236">
        <v>2.1</v>
      </c>
      <c r="AC1893" s="127">
        <f t="shared" si="44"/>
        <v>2</v>
      </c>
    </row>
    <row r="1894" ht="14.5" customHeight="1" spans="11:29" x14ac:dyDescent="0.25">
      <c r="K1894" s="128"/>
      <c r="X1894" s="234">
        <v>2022</v>
      </c>
      <c r="Y1894" s="234">
        <v>3</v>
      </c>
      <c r="Z1894" s="234">
        <v>20</v>
      </c>
      <c r="AA1894" s="235">
        <v>0.8333333333321207</v>
      </c>
      <c r="AB1894" s="236">
        <v>1.4</v>
      </c>
      <c r="AC1894" s="127">
        <f t="shared" si="44"/>
        <v>1</v>
      </c>
    </row>
    <row r="1895" ht="14.5" customHeight="1" spans="11:29" x14ac:dyDescent="0.25">
      <c r="K1895" s="128"/>
      <c r="X1895" s="234">
        <v>2022</v>
      </c>
      <c r="Y1895" s="234">
        <v>3</v>
      </c>
      <c r="Z1895" s="234">
        <v>20</v>
      </c>
      <c r="AA1895" s="235">
        <v>0.875</v>
      </c>
      <c r="AB1895" s="236">
        <v>0.2</v>
      </c>
      <c r="AC1895" s="127">
        <f t="shared" si="44"/>
        <v>0</v>
      </c>
    </row>
    <row r="1896" ht="14.5" customHeight="1" spans="11:29" x14ac:dyDescent="0.25">
      <c r="K1896" s="128"/>
      <c r="X1896" s="234">
        <v>2022</v>
      </c>
      <c r="Y1896" s="234">
        <v>3</v>
      </c>
      <c r="Z1896" s="234">
        <v>20</v>
      </c>
      <c r="AA1896" s="235">
        <v>0.9166666666678793</v>
      </c>
      <c r="AB1896" s="236">
        <v>-0.2</v>
      </c>
      <c r="AC1896" s="127">
        <f t="shared" si="44"/>
        <v>0</v>
      </c>
    </row>
    <row r="1897" ht="14.5" customHeight="1" spans="11:29" x14ac:dyDescent="0.25">
      <c r="K1897" s="128"/>
      <c r="X1897" s="234">
        <v>2022</v>
      </c>
      <c r="Y1897" s="234">
        <v>3</v>
      </c>
      <c r="Z1897" s="234">
        <v>20</v>
      </c>
      <c r="AA1897" s="235">
        <v>0.9583333333321207</v>
      </c>
      <c r="AB1897" s="236">
        <v>0.1</v>
      </c>
      <c r="AC1897" s="127">
        <f t="shared" si="44"/>
        <v>0</v>
      </c>
    </row>
    <row r="1898" ht="14.5" customHeight="1" spans="11:29" x14ac:dyDescent="0.25">
      <c r="K1898" s="128"/>
      <c r="X1898" s="234">
        <v>2022</v>
      </c>
      <c r="Y1898" s="234">
        <v>3</v>
      </c>
      <c r="Z1898" s="234">
        <v>21</v>
      </c>
      <c r="AA1898" s="235">
        <v>0</v>
      </c>
      <c r="AB1898" s="236">
        <v>-0.3</v>
      </c>
      <c r="AC1898" s="127">
        <f t="shared" si="44"/>
        <v>0</v>
      </c>
    </row>
    <row r="1899" ht="14.5" customHeight="1" spans="11:29" x14ac:dyDescent="0.25">
      <c r="K1899" s="128"/>
      <c r="X1899" s="234">
        <v>2022</v>
      </c>
      <c r="Y1899" s="234">
        <v>3</v>
      </c>
      <c r="Z1899" s="234">
        <v>21</v>
      </c>
      <c r="AA1899" s="235">
        <v>0.041666666667879326</v>
      </c>
      <c r="AB1899" s="236">
        <v>-0.4</v>
      </c>
      <c r="AC1899" s="127">
        <f t="shared" si="44"/>
        <v>0</v>
      </c>
    </row>
    <row r="1900" ht="14.5" customHeight="1" spans="11:29" x14ac:dyDescent="0.25">
      <c r="K1900" s="128"/>
      <c r="X1900" s="234">
        <v>2022</v>
      </c>
      <c r="Y1900" s="234">
        <v>3</v>
      </c>
      <c r="Z1900" s="234">
        <v>21</v>
      </c>
      <c r="AA1900" s="235">
        <v>0.08333333333212067</v>
      </c>
      <c r="AB1900" s="236">
        <v>-0.1</v>
      </c>
      <c r="AC1900" s="127">
        <f t="shared" si="44"/>
        <v>0</v>
      </c>
    </row>
    <row r="1901" ht="14.5" customHeight="1" spans="11:29" x14ac:dyDescent="0.25">
      <c r="K1901" s="128"/>
      <c r="X1901" s="234">
        <v>2022</v>
      </c>
      <c r="Y1901" s="234">
        <v>3</v>
      </c>
      <c r="Z1901" s="234">
        <v>21</v>
      </c>
      <c r="AA1901" s="235">
        <v>0.125</v>
      </c>
      <c r="AB1901" s="236">
        <v>-0.6</v>
      </c>
      <c r="AC1901" s="127">
        <f t="shared" si="44"/>
        <v>-1</v>
      </c>
    </row>
    <row r="1902" ht="14.5" customHeight="1" spans="11:29" x14ac:dyDescent="0.25">
      <c r="K1902" s="128"/>
      <c r="X1902" s="234">
        <v>2022</v>
      </c>
      <c r="Y1902" s="234">
        <v>3</v>
      </c>
      <c r="Z1902" s="234">
        <v>21</v>
      </c>
      <c r="AA1902" s="235">
        <v>0.16666666666787933</v>
      </c>
      <c r="AB1902" s="236">
        <v>-0.2</v>
      </c>
      <c r="AC1902" s="127">
        <f t="shared" si="44"/>
        <v>0</v>
      </c>
    </row>
    <row r="1903" ht="14.5" customHeight="1" spans="11:29" x14ac:dyDescent="0.25">
      <c r="K1903" s="128"/>
      <c r="X1903" s="234">
        <v>2022</v>
      </c>
      <c r="Y1903" s="234">
        <v>3</v>
      </c>
      <c r="Z1903" s="234">
        <v>21</v>
      </c>
      <c r="AA1903" s="235">
        <v>0.20833333333212067</v>
      </c>
      <c r="AB1903" s="236">
        <v>-0.5</v>
      </c>
      <c r="AC1903" s="127">
        <f t="shared" si="44"/>
        <v>-1</v>
      </c>
    </row>
    <row r="1904" ht="14.5" customHeight="1" spans="11:29" x14ac:dyDescent="0.25">
      <c r="K1904" s="128"/>
      <c r="X1904" s="234">
        <v>2022</v>
      </c>
      <c r="Y1904" s="234">
        <v>3</v>
      </c>
      <c r="Z1904" s="234">
        <v>21</v>
      </c>
      <c r="AA1904" s="235">
        <v>0.25</v>
      </c>
      <c r="AB1904" s="236">
        <v>0.3</v>
      </c>
      <c r="AC1904" s="127">
        <f t="shared" si="44"/>
        <v>0</v>
      </c>
    </row>
    <row r="1905" ht="14.5" customHeight="1" spans="11:29" x14ac:dyDescent="0.25">
      <c r="K1905" s="128"/>
      <c r="X1905" s="234">
        <v>2022</v>
      </c>
      <c r="Y1905" s="234">
        <v>3</v>
      </c>
      <c r="Z1905" s="234">
        <v>21</v>
      </c>
      <c r="AA1905" s="235">
        <v>0.2916666666678793</v>
      </c>
      <c r="AB1905" s="236">
        <v>0.8</v>
      </c>
      <c r="AC1905" s="127">
        <f t="shared" si="44"/>
        <v>1</v>
      </c>
    </row>
    <row r="1906" ht="14.5" customHeight="1" spans="11:29" x14ac:dyDescent="0.25">
      <c r="K1906" s="128"/>
      <c r="X1906" s="234">
        <v>2022</v>
      </c>
      <c r="Y1906" s="234">
        <v>3</v>
      </c>
      <c r="Z1906" s="234">
        <v>21</v>
      </c>
      <c r="AA1906" s="235">
        <v>0.3333333333321207</v>
      </c>
      <c r="AB1906" s="236">
        <v>3</v>
      </c>
      <c r="AC1906" s="127">
        <f t="shared" si="44"/>
        <v>3</v>
      </c>
    </row>
    <row r="1907" ht="14.5" customHeight="1" spans="11:29" x14ac:dyDescent="0.25">
      <c r="K1907" s="128"/>
      <c r="X1907" s="234">
        <v>2022</v>
      </c>
      <c r="Y1907" s="234">
        <v>3</v>
      </c>
      <c r="Z1907" s="234">
        <v>21</v>
      </c>
      <c r="AA1907" s="235">
        <v>0.375</v>
      </c>
      <c r="AB1907" s="236">
        <v>4.6</v>
      </c>
      <c r="AC1907" s="127">
        <f t="shared" si="44"/>
        <v>5</v>
      </c>
    </row>
    <row r="1908" ht="14.5" customHeight="1" spans="11:29" x14ac:dyDescent="0.25">
      <c r="K1908" s="128"/>
      <c r="X1908" s="234">
        <v>2022</v>
      </c>
      <c r="Y1908" s="234">
        <v>3</v>
      </c>
      <c r="Z1908" s="234">
        <v>21</v>
      </c>
      <c r="AA1908" s="235">
        <v>0.4166666666678793</v>
      </c>
      <c r="AB1908" s="236">
        <v>5.8</v>
      </c>
      <c r="AC1908" s="127">
        <f t="shared" si="44"/>
        <v>6</v>
      </c>
    </row>
    <row r="1909" ht="14.5" customHeight="1" spans="11:29" x14ac:dyDescent="0.25">
      <c r="K1909" s="128"/>
      <c r="X1909" s="234">
        <v>2022</v>
      </c>
      <c r="Y1909" s="234">
        <v>3</v>
      </c>
      <c r="Z1909" s="234">
        <v>21</v>
      </c>
      <c r="AA1909" s="235">
        <v>0.4583333333321207</v>
      </c>
      <c r="AB1909" s="236">
        <v>7.2</v>
      </c>
      <c r="AC1909" s="127">
        <f t="shared" si="44"/>
        <v>7</v>
      </c>
    </row>
    <row r="1910" ht="14.5" customHeight="1" spans="11:29" x14ac:dyDescent="0.25">
      <c r="K1910" s="128"/>
      <c r="X1910" s="234">
        <v>2022</v>
      </c>
      <c r="Y1910" s="234">
        <v>3</v>
      </c>
      <c r="Z1910" s="234">
        <v>21</v>
      </c>
      <c r="AA1910" s="235">
        <v>0.5</v>
      </c>
      <c r="AB1910" s="236">
        <v>8.5</v>
      </c>
      <c r="AC1910" s="127">
        <f t="shared" si="44"/>
        <v>9</v>
      </c>
    </row>
    <row r="1911" ht="14.5" customHeight="1" spans="11:29" x14ac:dyDescent="0.25">
      <c r="K1911" s="128"/>
      <c r="X1911" s="234">
        <v>2022</v>
      </c>
      <c r="Y1911" s="234">
        <v>3</v>
      </c>
      <c r="Z1911" s="234">
        <v>21</v>
      </c>
      <c r="AA1911" s="235">
        <v>0.5416666666678793</v>
      </c>
      <c r="AB1911" s="236">
        <v>9.2</v>
      </c>
      <c r="AC1911" s="127">
        <f t="shared" si="44"/>
        <v>9</v>
      </c>
    </row>
    <row r="1912" ht="14.5" customHeight="1" spans="11:29" x14ac:dyDescent="0.25">
      <c r="K1912" s="128"/>
      <c r="X1912" s="234">
        <v>2022</v>
      </c>
      <c r="Y1912" s="234">
        <v>3</v>
      </c>
      <c r="Z1912" s="234">
        <v>21</v>
      </c>
      <c r="AA1912" s="235">
        <v>0.5833333333321207</v>
      </c>
      <c r="AB1912" s="236">
        <v>9.9</v>
      </c>
      <c r="AC1912" s="127">
        <f t="shared" si="44"/>
        <v>10</v>
      </c>
    </row>
    <row r="1913" ht="14.5" customHeight="1" spans="11:29" x14ac:dyDescent="0.25">
      <c r="K1913" s="128"/>
      <c r="X1913" s="234">
        <v>2022</v>
      </c>
      <c r="Y1913" s="234">
        <v>3</v>
      </c>
      <c r="Z1913" s="234">
        <v>21</v>
      </c>
      <c r="AA1913" s="235">
        <v>0.625</v>
      </c>
      <c r="AB1913" s="236">
        <v>9.7</v>
      </c>
      <c r="AC1913" s="127">
        <f t="shared" si="44"/>
        <v>10</v>
      </c>
    </row>
    <row r="1914" ht="14.5" customHeight="1" spans="11:29" x14ac:dyDescent="0.25">
      <c r="K1914" s="128"/>
      <c r="X1914" s="234">
        <v>2022</v>
      </c>
      <c r="Y1914" s="234">
        <v>3</v>
      </c>
      <c r="Z1914" s="234">
        <v>21</v>
      </c>
      <c r="AA1914" s="235">
        <v>0.6666666666678793</v>
      </c>
      <c r="AB1914" s="236">
        <v>10.3</v>
      </c>
      <c r="AC1914" s="127">
        <f t="shared" si="44"/>
        <v>10</v>
      </c>
    </row>
    <row r="1915" ht="14.5" customHeight="1" spans="11:29" x14ac:dyDescent="0.25">
      <c r="K1915" s="128"/>
      <c r="X1915" s="234">
        <v>2022</v>
      </c>
      <c r="Y1915" s="234">
        <v>3</v>
      </c>
      <c r="Z1915" s="234">
        <v>21</v>
      </c>
      <c r="AA1915" s="235">
        <v>0.7083333333321207</v>
      </c>
      <c r="AB1915" s="236">
        <v>10</v>
      </c>
      <c r="AC1915" s="127">
        <f t="shared" si="44"/>
        <v>10</v>
      </c>
    </row>
    <row r="1916" ht="14.5" customHeight="1" spans="11:29" x14ac:dyDescent="0.25">
      <c r="K1916" s="128"/>
      <c r="X1916" s="234">
        <v>2022</v>
      </c>
      <c r="Y1916" s="234">
        <v>3</v>
      </c>
      <c r="Z1916" s="234">
        <v>21</v>
      </c>
      <c r="AA1916" s="235">
        <v>0.75</v>
      </c>
      <c r="AB1916" s="236">
        <v>8.6</v>
      </c>
      <c r="AC1916" s="127">
        <f t="shared" si="44"/>
        <v>9</v>
      </c>
    </row>
    <row r="1917" ht="14.5" customHeight="1" spans="11:29" x14ac:dyDescent="0.25">
      <c r="K1917" s="128"/>
      <c r="X1917" s="234">
        <v>2022</v>
      </c>
      <c r="Y1917" s="234">
        <v>3</v>
      </c>
      <c r="Z1917" s="234">
        <v>21</v>
      </c>
      <c r="AA1917" s="235">
        <v>0.7916666666678793</v>
      </c>
      <c r="AB1917" s="236">
        <v>6.3</v>
      </c>
      <c r="AC1917" s="127">
        <f t="shared" si="44"/>
        <v>6</v>
      </c>
    </row>
    <row r="1918" ht="14.5" customHeight="1" spans="11:29" x14ac:dyDescent="0.25">
      <c r="K1918" s="128"/>
      <c r="X1918" s="234">
        <v>2022</v>
      </c>
      <c r="Y1918" s="234">
        <v>3</v>
      </c>
      <c r="Z1918" s="234">
        <v>21</v>
      </c>
      <c r="AA1918" s="235">
        <v>0.8333333333321207</v>
      </c>
      <c r="AB1918" s="236">
        <v>2.4</v>
      </c>
      <c r="AC1918" s="127">
        <f t="shared" si="44"/>
        <v>2</v>
      </c>
    </row>
    <row r="1919" ht="14.5" customHeight="1" spans="11:29" x14ac:dyDescent="0.25">
      <c r="K1919" s="128"/>
      <c r="X1919" s="234">
        <v>2022</v>
      </c>
      <c r="Y1919" s="234">
        <v>3</v>
      </c>
      <c r="Z1919" s="234">
        <v>21</v>
      </c>
      <c r="AA1919" s="235">
        <v>0.875</v>
      </c>
      <c r="AB1919" s="236">
        <v>1.6</v>
      </c>
      <c r="AC1919" s="127">
        <f t="shared" si="44"/>
        <v>2</v>
      </c>
    </row>
    <row r="1920" ht="14.5" customHeight="1" spans="11:29" x14ac:dyDescent="0.25">
      <c r="K1920" s="128"/>
      <c r="X1920" s="234">
        <v>2022</v>
      </c>
      <c r="Y1920" s="234">
        <v>3</v>
      </c>
      <c r="Z1920" s="234">
        <v>21</v>
      </c>
      <c r="AA1920" s="235">
        <v>0.9166666666678793</v>
      </c>
      <c r="AB1920" s="236">
        <v>0.9</v>
      </c>
      <c r="AC1920" s="127">
        <f t="shared" si="44"/>
        <v>1</v>
      </c>
    </row>
    <row r="1921" ht="14.5" customHeight="1" spans="11:29" x14ac:dyDescent="0.25">
      <c r="K1921" s="128"/>
      <c r="X1921" s="234">
        <v>2022</v>
      </c>
      <c r="Y1921" s="234">
        <v>3</v>
      </c>
      <c r="Z1921" s="234">
        <v>21</v>
      </c>
      <c r="AA1921" s="235">
        <v>0.9583333333321207</v>
      </c>
      <c r="AB1921" s="236">
        <v>0.6</v>
      </c>
      <c r="AC1921" s="127">
        <f t="shared" si="44"/>
        <v>1</v>
      </c>
    </row>
    <row r="1922" ht="14.5" customHeight="1" spans="11:29" x14ac:dyDescent="0.25">
      <c r="K1922" s="128"/>
      <c r="X1922" s="234">
        <v>2022</v>
      </c>
      <c r="Y1922" s="234">
        <v>3</v>
      </c>
      <c r="Z1922" s="234">
        <v>22</v>
      </c>
      <c r="AA1922" s="235">
        <v>0</v>
      </c>
      <c r="AB1922" s="236">
        <v>1.2</v>
      </c>
      <c r="AC1922" s="127">
        <f t="shared" si="44"/>
        <v>1</v>
      </c>
    </row>
    <row r="1923" ht="14.5" customHeight="1" spans="11:29" x14ac:dyDescent="0.25">
      <c r="K1923" s="128"/>
      <c r="X1923" s="234">
        <v>2022</v>
      </c>
      <c r="Y1923" s="234">
        <v>3</v>
      </c>
      <c r="Z1923" s="234">
        <v>22</v>
      </c>
      <c r="AA1923" s="235">
        <v>0.041666666667879326</v>
      </c>
      <c r="AB1923" s="236">
        <v>2.1</v>
      </c>
      <c r="AC1923" s="127">
        <f t="shared" si="44"/>
        <v>2</v>
      </c>
    </row>
    <row r="1924" ht="14.5" customHeight="1" spans="11:29" x14ac:dyDescent="0.25">
      <c r="K1924" s="128"/>
      <c r="X1924" s="234">
        <v>2022</v>
      </c>
      <c r="Y1924" s="234">
        <v>3</v>
      </c>
      <c r="Z1924" s="234">
        <v>22</v>
      </c>
      <c r="AA1924" s="235">
        <v>0.08333333333212067</v>
      </c>
      <c r="AB1924" s="236">
        <v>2.7</v>
      </c>
      <c r="AC1924" s="127">
        <f t="shared" si="44"/>
        <v>3</v>
      </c>
    </row>
    <row r="1925" ht="14.5" customHeight="1" spans="11:29" x14ac:dyDescent="0.25">
      <c r="K1925" s="128"/>
      <c r="X1925" s="234">
        <v>2022</v>
      </c>
      <c r="Y1925" s="234">
        <v>3</v>
      </c>
      <c r="Z1925" s="234">
        <v>22</v>
      </c>
      <c r="AA1925" s="235">
        <v>0.125</v>
      </c>
      <c r="AB1925" s="236">
        <v>3.4</v>
      </c>
      <c r="AC1925" s="127">
        <f t="shared" si="44"/>
        <v>3</v>
      </c>
    </row>
    <row r="1926" ht="14.5" customHeight="1" spans="11:29" x14ac:dyDescent="0.25">
      <c r="K1926" s="128"/>
      <c r="X1926" s="234">
        <v>2022</v>
      </c>
      <c r="Y1926" s="234">
        <v>3</v>
      </c>
      <c r="Z1926" s="234">
        <v>22</v>
      </c>
      <c r="AA1926" s="235">
        <v>0.16666666666787933</v>
      </c>
      <c r="AB1926" s="236">
        <v>0.7</v>
      </c>
      <c r="AC1926" s="127">
        <f t="shared" si="44"/>
        <v>1</v>
      </c>
    </row>
    <row r="1927" ht="14.5" customHeight="1" spans="11:29" x14ac:dyDescent="0.25">
      <c r="K1927" s="128"/>
      <c r="X1927" s="234">
        <v>2022</v>
      </c>
      <c r="Y1927" s="234">
        <v>3</v>
      </c>
      <c r="Z1927" s="234">
        <v>22</v>
      </c>
      <c r="AA1927" s="235">
        <v>0.20833333333212067</v>
      </c>
      <c r="AB1927" s="236">
        <v>2.7</v>
      </c>
      <c r="AC1927" s="127">
        <f t="shared" si="44"/>
        <v>3</v>
      </c>
    </row>
    <row r="1928" ht="14.5" customHeight="1" spans="11:29" x14ac:dyDescent="0.25">
      <c r="K1928" s="128"/>
      <c r="X1928" s="234">
        <v>2022</v>
      </c>
      <c r="Y1928" s="234">
        <v>3</v>
      </c>
      <c r="Z1928" s="234">
        <v>22</v>
      </c>
      <c r="AA1928" s="235">
        <v>0.25</v>
      </c>
      <c r="AB1928" s="236">
        <v>-0.1</v>
      </c>
      <c r="AC1928" s="127">
        <f t="shared" si="44"/>
        <v>0</v>
      </c>
    </row>
    <row r="1929" ht="14.5" customHeight="1" spans="11:29" x14ac:dyDescent="0.25">
      <c r="K1929" s="128"/>
      <c r="X1929" s="234">
        <v>2022</v>
      </c>
      <c r="Y1929" s="234">
        <v>3</v>
      </c>
      <c r="Z1929" s="234">
        <v>22</v>
      </c>
      <c r="AA1929" s="235">
        <v>0.2916666666678793</v>
      </c>
      <c r="AB1929" s="236">
        <v>0.6</v>
      </c>
      <c r="AC1929" s="127">
        <f t="shared" si="44"/>
        <v>1</v>
      </c>
    </row>
    <row r="1930" ht="14.5" customHeight="1" spans="11:29" x14ac:dyDescent="0.25">
      <c r="K1930" s="128"/>
      <c r="X1930" s="234">
        <v>2022</v>
      </c>
      <c r="Y1930" s="234">
        <v>3</v>
      </c>
      <c r="Z1930" s="234">
        <v>22</v>
      </c>
      <c r="AA1930" s="235">
        <v>0.3333333333321207</v>
      </c>
      <c r="AB1930" s="236">
        <v>1.5</v>
      </c>
      <c r="AC1930" s="127">
        <f t="shared" si="44"/>
        <v>2</v>
      </c>
    </row>
    <row r="1931" ht="14.5" customHeight="1" spans="11:29" x14ac:dyDescent="0.25">
      <c r="K1931" s="128"/>
      <c r="X1931" s="234">
        <v>2022</v>
      </c>
      <c r="Y1931" s="234">
        <v>3</v>
      </c>
      <c r="Z1931" s="234">
        <v>22</v>
      </c>
      <c r="AA1931" s="235">
        <v>0.375</v>
      </c>
      <c r="AB1931" s="236">
        <v>4.6</v>
      </c>
      <c r="AC1931" s="127">
        <f t="shared" ref="AC1931:AC1994" si="45">ROUND(AB1931,0)</f>
        <v>5</v>
      </c>
    </row>
    <row r="1932" ht="14.5" customHeight="1" spans="11:29" x14ac:dyDescent="0.25">
      <c r="K1932" s="128"/>
      <c r="X1932" s="234">
        <v>2022</v>
      </c>
      <c r="Y1932" s="234">
        <v>3</v>
      </c>
      <c r="Z1932" s="234">
        <v>22</v>
      </c>
      <c r="AA1932" s="235">
        <v>0.4166666666678793</v>
      </c>
      <c r="AB1932" s="236">
        <v>7.4</v>
      </c>
      <c r="AC1932" s="127">
        <f t="shared" si="45"/>
        <v>7</v>
      </c>
    </row>
    <row r="1933" ht="14.5" customHeight="1" spans="11:29" x14ac:dyDescent="0.25">
      <c r="K1933" s="128"/>
      <c r="X1933" s="234">
        <v>2022</v>
      </c>
      <c r="Y1933" s="234">
        <v>3</v>
      </c>
      <c r="Z1933" s="234">
        <v>22</v>
      </c>
      <c r="AA1933" s="235">
        <v>0.4583333333321207</v>
      </c>
      <c r="AB1933" s="236">
        <v>9.4</v>
      </c>
      <c r="AC1933" s="127">
        <f t="shared" si="45"/>
        <v>9</v>
      </c>
    </row>
    <row r="1934" ht="14.5" customHeight="1" spans="11:29" x14ac:dyDescent="0.25">
      <c r="K1934" s="128"/>
      <c r="X1934" s="234">
        <v>2022</v>
      </c>
      <c r="Y1934" s="234">
        <v>3</v>
      </c>
      <c r="Z1934" s="234">
        <v>22</v>
      </c>
      <c r="AA1934" s="235">
        <v>0.5</v>
      </c>
      <c r="AB1934" s="236">
        <v>10.4</v>
      </c>
      <c r="AC1934" s="127">
        <f t="shared" si="45"/>
        <v>10</v>
      </c>
    </row>
    <row r="1935" ht="14.5" customHeight="1" spans="11:29" x14ac:dyDescent="0.25">
      <c r="K1935" s="128"/>
      <c r="X1935" s="234">
        <v>2022</v>
      </c>
      <c r="Y1935" s="234">
        <v>3</v>
      </c>
      <c r="Z1935" s="234">
        <v>22</v>
      </c>
      <c r="AA1935" s="235">
        <v>0.5416666666678793</v>
      </c>
      <c r="AB1935" s="236">
        <v>11.9</v>
      </c>
      <c r="AC1935" s="127">
        <f t="shared" si="45"/>
        <v>12</v>
      </c>
    </row>
    <row r="1936" ht="14.5" customHeight="1" spans="11:29" x14ac:dyDescent="0.25">
      <c r="K1936" s="128"/>
      <c r="X1936" s="234">
        <v>2022</v>
      </c>
      <c r="Y1936" s="234">
        <v>3</v>
      </c>
      <c r="Z1936" s="234">
        <v>22</v>
      </c>
      <c r="AA1936" s="235">
        <v>0.5833333333321207</v>
      </c>
      <c r="AB1936" s="236">
        <v>13.9</v>
      </c>
      <c r="AC1936" s="127">
        <f t="shared" si="45"/>
        <v>14</v>
      </c>
    </row>
    <row r="1937" ht="14.5" customHeight="1" spans="11:29" x14ac:dyDescent="0.25">
      <c r="K1937" s="128"/>
      <c r="X1937" s="234">
        <v>2022</v>
      </c>
      <c r="Y1937" s="234">
        <v>3</v>
      </c>
      <c r="Z1937" s="234">
        <v>22</v>
      </c>
      <c r="AA1937" s="235">
        <v>0.625</v>
      </c>
      <c r="AB1937" s="236">
        <v>14.5</v>
      </c>
      <c r="AC1937" s="127">
        <f t="shared" si="45"/>
        <v>15</v>
      </c>
    </row>
    <row r="1938" ht="14.5" customHeight="1" spans="11:29" x14ac:dyDescent="0.25">
      <c r="K1938" s="128"/>
      <c r="X1938" s="234">
        <v>2022</v>
      </c>
      <c r="Y1938" s="234">
        <v>3</v>
      </c>
      <c r="Z1938" s="234">
        <v>22</v>
      </c>
      <c r="AA1938" s="235">
        <v>0.6666666666678793</v>
      </c>
      <c r="AB1938" s="236">
        <v>13.9</v>
      </c>
      <c r="AC1938" s="127">
        <f t="shared" si="45"/>
        <v>14</v>
      </c>
    </row>
    <row r="1939" ht="14.5" customHeight="1" spans="11:29" x14ac:dyDescent="0.25">
      <c r="K1939" s="128"/>
      <c r="X1939" s="234">
        <v>2022</v>
      </c>
      <c r="Y1939" s="234">
        <v>3</v>
      </c>
      <c r="Z1939" s="234">
        <v>22</v>
      </c>
      <c r="AA1939" s="235">
        <v>0.7083333333321207</v>
      </c>
      <c r="AB1939" s="236">
        <v>13.6</v>
      </c>
      <c r="AC1939" s="127">
        <f t="shared" si="45"/>
        <v>14</v>
      </c>
    </row>
    <row r="1940" ht="14.5" customHeight="1" spans="11:29" x14ac:dyDescent="0.25">
      <c r="K1940" s="128"/>
      <c r="X1940" s="234">
        <v>2022</v>
      </c>
      <c r="Y1940" s="234">
        <v>3</v>
      </c>
      <c r="Z1940" s="234">
        <v>22</v>
      </c>
      <c r="AA1940" s="235">
        <v>0.75</v>
      </c>
      <c r="AB1940" s="236">
        <v>12.6</v>
      </c>
      <c r="AC1940" s="127">
        <f t="shared" si="45"/>
        <v>13</v>
      </c>
    </row>
    <row r="1941" ht="14.5" customHeight="1" spans="11:29" x14ac:dyDescent="0.25">
      <c r="K1941" s="128"/>
      <c r="X1941" s="234">
        <v>2022</v>
      </c>
      <c r="Y1941" s="234">
        <v>3</v>
      </c>
      <c r="Z1941" s="234">
        <v>22</v>
      </c>
      <c r="AA1941" s="235">
        <v>0.7916666666678793</v>
      </c>
      <c r="AB1941" s="236">
        <v>11.6</v>
      </c>
      <c r="AC1941" s="127">
        <f t="shared" si="45"/>
        <v>12</v>
      </c>
    </row>
    <row r="1942" ht="14.5" customHeight="1" spans="11:29" x14ac:dyDescent="0.25">
      <c r="K1942" s="128"/>
      <c r="X1942" s="234">
        <v>2022</v>
      </c>
      <c r="Y1942" s="234">
        <v>3</v>
      </c>
      <c r="Z1942" s="234">
        <v>22</v>
      </c>
      <c r="AA1942" s="235">
        <v>0.8333333333321207</v>
      </c>
      <c r="AB1942" s="236">
        <v>11.1</v>
      </c>
      <c r="AC1942" s="127">
        <f t="shared" si="45"/>
        <v>11</v>
      </c>
    </row>
    <row r="1943" ht="14.5" customHeight="1" spans="11:29" x14ac:dyDescent="0.25">
      <c r="K1943" s="128"/>
      <c r="X1943" s="234">
        <v>2022</v>
      </c>
      <c r="Y1943" s="234">
        <v>3</v>
      </c>
      <c r="Z1943" s="234">
        <v>22</v>
      </c>
      <c r="AA1943" s="235">
        <v>0.875</v>
      </c>
      <c r="AB1943" s="236">
        <v>10.1</v>
      </c>
      <c r="AC1943" s="127">
        <f t="shared" si="45"/>
        <v>10</v>
      </c>
    </row>
    <row r="1944" ht="14.5" customHeight="1" spans="11:29" x14ac:dyDescent="0.25">
      <c r="K1944" s="128"/>
      <c r="X1944" s="234">
        <v>2022</v>
      </c>
      <c r="Y1944" s="234">
        <v>3</v>
      </c>
      <c r="Z1944" s="234">
        <v>22</v>
      </c>
      <c r="AA1944" s="235">
        <v>0.9166666666678793</v>
      </c>
      <c r="AB1944" s="236">
        <v>10.4</v>
      </c>
      <c r="AC1944" s="127">
        <f t="shared" si="45"/>
        <v>10</v>
      </c>
    </row>
    <row r="1945" ht="14.5" customHeight="1" spans="11:29" x14ac:dyDescent="0.25">
      <c r="K1945" s="128"/>
      <c r="X1945" s="234">
        <v>2022</v>
      </c>
      <c r="Y1945" s="234">
        <v>3</v>
      </c>
      <c r="Z1945" s="234">
        <v>22</v>
      </c>
      <c r="AA1945" s="235">
        <v>0.9583333333321207</v>
      </c>
      <c r="AB1945" s="236">
        <v>8.6</v>
      </c>
      <c r="AC1945" s="127">
        <f t="shared" si="45"/>
        <v>9</v>
      </c>
    </row>
    <row r="1946" ht="14.5" customHeight="1" spans="11:29" x14ac:dyDescent="0.25">
      <c r="K1946" s="128"/>
      <c r="X1946" s="234">
        <v>2022</v>
      </c>
      <c r="Y1946" s="234">
        <v>3</v>
      </c>
      <c r="Z1946" s="234">
        <v>23</v>
      </c>
      <c r="AA1946" s="235">
        <v>0</v>
      </c>
      <c r="AB1946" s="236">
        <v>7</v>
      </c>
      <c r="AC1946" s="127">
        <f t="shared" si="45"/>
        <v>7</v>
      </c>
    </row>
    <row r="1947" ht="14.5" customHeight="1" spans="11:29" x14ac:dyDescent="0.25">
      <c r="K1947" s="128"/>
      <c r="X1947" s="234">
        <v>2022</v>
      </c>
      <c r="Y1947" s="234">
        <v>3</v>
      </c>
      <c r="Z1947" s="234">
        <v>23</v>
      </c>
      <c r="AA1947" s="235">
        <v>0.041666666667879326</v>
      </c>
      <c r="AB1947" s="236">
        <v>8.6</v>
      </c>
      <c r="AC1947" s="127">
        <f t="shared" si="45"/>
        <v>9</v>
      </c>
    </row>
    <row r="1948" ht="14.5" customHeight="1" spans="11:29" x14ac:dyDescent="0.25">
      <c r="K1948" s="128"/>
      <c r="X1948" s="234">
        <v>2022</v>
      </c>
      <c r="Y1948" s="234">
        <v>3</v>
      </c>
      <c r="Z1948" s="234">
        <v>23</v>
      </c>
      <c r="AA1948" s="235">
        <v>0.08333333333212067</v>
      </c>
      <c r="AB1948" s="236">
        <v>6.5</v>
      </c>
      <c r="AC1948" s="127">
        <f t="shared" si="45"/>
        <v>7</v>
      </c>
    </row>
    <row r="1949" ht="14.5" customHeight="1" spans="11:29" x14ac:dyDescent="0.25">
      <c r="K1949" s="128"/>
      <c r="X1949" s="234">
        <v>2022</v>
      </c>
      <c r="Y1949" s="234">
        <v>3</v>
      </c>
      <c r="Z1949" s="234">
        <v>23</v>
      </c>
      <c r="AA1949" s="235">
        <v>0.125</v>
      </c>
      <c r="AB1949" s="236">
        <v>8.5</v>
      </c>
      <c r="AC1949" s="127">
        <f t="shared" si="45"/>
        <v>9</v>
      </c>
    </row>
    <row r="1950" ht="14.5" customHeight="1" spans="11:29" x14ac:dyDescent="0.25">
      <c r="K1950" s="128"/>
      <c r="X1950" s="234">
        <v>2022</v>
      </c>
      <c r="Y1950" s="234">
        <v>3</v>
      </c>
      <c r="Z1950" s="234">
        <v>23</v>
      </c>
      <c r="AA1950" s="235">
        <v>0.16666666666787933</v>
      </c>
      <c r="AB1950" s="236">
        <v>2.4</v>
      </c>
      <c r="AC1950" s="127">
        <f t="shared" si="45"/>
        <v>2</v>
      </c>
    </row>
    <row r="1951" ht="14.5" customHeight="1" spans="11:29" x14ac:dyDescent="0.25">
      <c r="K1951" s="128"/>
      <c r="X1951" s="234">
        <v>2022</v>
      </c>
      <c r="Y1951" s="234">
        <v>3</v>
      </c>
      <c r="Z1951" s="234">
        <v>23</v>
      </c>
      <c r="AA1951" s="235">
        <v>0.20833333333212067</v>
      </c>
      <c r="AB1951" s="236">
        <v>1.3</v>
      </c>
      <c r="AC1951" s="127">
        <f t="shared" si="45"/>
        <v>1</v>
      </c>
    </row>
    <row r="1952" ht="14.5" customHeight="1" spans="11:29" x14ac:dyDescent="0.25">
      <c r="K1952" s="128"/>
      <c r="X1952" s="234">
        <v>2022</v>
      </c>
      <c r="Y1952" s="234">
        <v>3</v>
      </c>
      <c r="Z1952" s="234">
        <v>23</v>
      </c>
      <c r="AA1952" s="235">
        <v>0.25</v>
      </c>
      <c r="AB1952" s="236">
        <v>3.6</v>
      </c>
      <c r="AC1952" s="127">
        <f t="shared" si="45"/>
        <v>4</v>
      </c>
    </row>
    <row r="1953" ht="14.5" customHeight="1" spans="11:29" x14ac:dyDescent="0.25">
      <c r="K1953" s="128"/>
      <c r="X1953" s="234">
        <v>2022</v>
      </c>
      <c r="Y1953" s="234">
        <v>3</v>
      </c>
      <c r="Z1953" s="234">
        <v>23</v>
      </c>
      <c r="AA1953" s="235">
        <v>0.2916666666678793</v>
      </c>
      <c r="AB1953" s="236">
        <v>5.1</v>
      </c>
      <c r="AC1953" s="127">
        <f t="shared" si="45"/>
        <v>5</v>
      </c>
    </row>
    <row r="1954" ht="14.5" customHeight="1" spans="11:29" x14ac:dyDescent="0.25">
      <c r="K1954" s="128"/>
      <c r="X1954" s="234">
        <v>2022</v>
      </c>
      <c r="Y1954" s="234">
        <v>3</v>
      </c>
      <c r="Z1954" s="234">
        <v>23</v>
      </c>
      <c r="AA1954" s="235">
        <v>0.3333333333321207</v>
      </c>
      <c r="AB1954" s="236">
        <v>7.7</v>
      </c>
      <c r="AC1954" s="127">
        <f t="shared" si="45"/>
        <v>8</v>
      </c>
    </row>
    <row r="1955" ht="14.5" customHeight="1" spans="11:29" x14ac:dyDescent="0.25">
      <c r="K1955" s="128"/>
      <c r="X1955" s="234">
        <v>2022</v>
      </c>
      <c r="Y1955" s="234">
        <v>3</v>
      </c>
      <c r="Z1955" s="234">
        <v>23</v>
      </c>
      <c r="AA1955" s="235">
        <v>0.375</v>
      </c>
      <c r="AB1955" s="236">
        <v>6.6</v>
      </c>
      <c r="AC1955" s="127">
        <f t="shared" si="45"/>
        <v>7</v>
      </c>
    </row>
    <row r="1956" ht="14.5" customHeight="1" spans="11:29" x14ac:dyDescent="0.25">
      <c r="K1956" s="128"/>
      <c r="X1956" s="234">
        <v>2022</v>
      </c>
      <c r="Y1956" s="234">
        <v>3</v>
      </c>
      <c r="Z1956" s="234">
        <v>23</v>
      </c>
      <c r="AA1956" s="235">
        <v>0.4166666666678793</v>
      </c>
      <c r="AB1956" s="236">
        <v>6.4</v>
      </c>
      <c r="AC1956" s="127">
        <f t="shared" si="45"/>
        <v>6</v>
      </c>
    </row>
    <row r="1957" ht="14.5" customHeight="1" spans="11:29" x14ac:dyDescent="0.25">
      <c r="K1957" s="128"/>
      <c r="X1957" s="234">
        <v>2022</v>
      </c>
      <c r="Y1957" s="234">
        <v>3</v>
      </c>
      <c r="Z1957" s="234">
        <v>23</v>
      </c>
      <c r="AA1957" s="235">
        <v>0.4583333333321207</v>
      </c>
      <c r="AB1957" s="236">
        <v>8.8</v>
      </c>
      <c r="AC1957" s="127">
        <f t="shared" si="45"/>
        <v>9</v>
      </c>
    </row>
    <row r="1958" ht="14.5" customHeight="1" spans="11:29" x14ac:dyDescent="0.25">
      <c r="K1958" s="128"/>
      <c r="X1958" s="234">
        <v>2022</v>
      </c>
      <c r="Y1958" s="234">
        <v>3</v>
      </c>
      <c r="Z1958" s="234">
        <v>23</v>
      </c>
      <c r="AA1958" s="235">
        <v>0.5</v>
      </c>
      <c r="AB1958" s="236">
        <v>10.6</v>
      </c>
      <c r="AC1958" s="127">
        <f t="shared" si="45"/>
        <v>11</v>
      </c>
    </row>
    <row r="1959" ht="14.5" customHeight="1" spans="11:29" x14ac:dyDescent="0.25">
      <c r="K1959" s="128"/>
      <c r="X1959" s="234">
        <v>2022</v>
      </c>
      <c r="Y1959" s="234">
        <v>3</v>
      </c>
      <c r="Z1959" s="234">
        <v>23</v>
      </c>
      <c r="AA1959" s="235">
        <v>0.5416666666678793</v>
      </c>
      <c r="AB1959" s="236">
        <v>12.1</v>
      </c>
      <c r="AC1959" s="127">
        <f t="shared" si="45"/>
        <v>12</v>
      </c>
    </row>
    <row r="1960" ht="14.5" customHeight="1" spans="11:29" x14ac:dyDescent="0.25">
      <c r="K1960" s="128"/>
      <c r="X1960" s="234">
        <v>2022</v>
      </c>
      <c r="Y1960" s="234">
        <v>3</v>
      </c>
      <c r="Z1960" s="234">
        <v>23</v>
      </c>
      <c r="AA1960" s="235">
        <v>0.5833333333321207</v>
      </c>
      <c r="AB1960" s="236">
        <v>13.2</v>
      </c>
      <c r="AC1960" s="127">
        <f t="shared" si="45"/>
        <v>13</v>
      </c>
    </row>
    <row r="1961" ht="14.5" customHeight="1" spans="11:29" x14ac:dyDescent="0.25">
      <c r="K1961" s="128"/>
      <c r="X1961" s="234">
        <v>2022</v>
      </c>
      <c r="Y1961" s="234">
        <v>3</v>
      </c>
      <c r="Z1961" s="234">
        <v>23</v>
      </c>
      <c r="AA1961" s="235">
        <v>0.625</v>
      </c>
      <c r="AB1961" s="236">
        <v>17</v>
      </c>
      <c r="AC1961" s="127">
        <f t="shared" si="45"/>
        <v>17</v>
      </c>
    </row>
    <row r="1962" ht="14.5" customHeight="1" spans="11:29" x14ac:dyDescent="0.25">
      <c r="K1962" s="128"/>
      <c r="X1962" s="234">
        <v>2022</v>
      </c>
      <c r="Y1962" s="234">
        <v>3</v>
      </c>
      <c r="Z1962" s="234">
        <v>23</v>
      </c>
      <c r="AA1962" s="235">
        <v>0.6666666666678793</v>
      </c>
      <c r="AB1962" s="236">
        <v>17.3</v>
      </c>
      <c r="AC1962" s="127">
        <f t="shared" si="45"/>
        <v>17</v>
      </c>
    </row>
    <row r="1963" ht="14.5" customHeight="1" spans="11:29" x14ac:dyDescent="0.25">
      <c r="K1963" s="128"/>
      <c r="X1963" s="234">
        <v>2022</v>
      </c>
      <c r="Y1963" s="234">
        <v>3</v>
      </c>
      <c r="Z1963" s="234">
        <v>23</v>
      </c>
      <c r="AA1963" s="235">
        <v>0.7083333333321207</v>
      </c>
      <c r="AB1963" s="236">
        <v>17.3</v>
      </c>
      <c r="AC1963" s="127">
        <f t="shared" si="45"/>
        <v>17</v>
      </c>
    </row>
    <row r="1964" ht="14.5" customHeight="1" spans="11:29" x14ac:dyDescent="0.25">
      <c r="K1964" s="128"/>
      <c r="X1964" s="234">
        <v>2022</v>
      </c>
      <c r="Y1964" s="234">
        <v>3</v>
      </c>
      <c r="Z1964" s="234">
        <v>23</v>
      </c>
      <c r="AA1964" s="235">
        <v>0.75</v>
      </c>
      <c r="AB1964" s="236">
        <v>16.4</v>
      </c>
      <c r="AC1964" s="127">
        <f t="shared" si="45"/>
        <v>16</v>
      </c>
    </row>
    <row r="1965" ht="14.5" customHeight="1" spans="11:29" x14ac:dyDescent="0.25">
      <c r="K1965" s="128"/>
      <c r="X1965" s="234">
        <v>2022</v>
      </c>
      <c r="Y1965" s="234">
        <v>3</v>
      </c>
      <c r="Z1965" s="234">
        <v>23</v>
      </c>
      <c r="AA1965" s="235">
        <v>0.7916666666678793</v>
      </c>
      <c r="AB1965" s="236">
        <v>12.3</v>
      </c>
      <c r="AC1965" s="127">
        <f t="shared" si="45"/>
        <v>12</v>
      </c>
    </row>
    <row r="1966" ht="14.5" customHeight="1" spans="11:29" x14ac:dyDescent="0.25">
      <c r="K1966" s="128"/>
      <c r="X1966" s="234">
        <v>2022</v>
      </c>
      <c r="Y1966" s="234">
        <v>3</v>
      </c>
      <c r="Z1966" s="234">
        <v>23</v>
      </c>
      <c r="AA1966" s="235">
        <v>0.8333333333321207</v>
      </c>
      <c r="AB1966" s="236">
        <v>8.8</v>
      </c>
      <c r="AC1966" s="127">
        <f t="shared" si="45"/>
        <v>9</v>
      </c>
    </row>
    <row r="1967" ht="14.5" customHeight="1" spans="11:29" x14ac:dyDescent="0.25">
      <c r="K1967" s="128"/>
      <c r="X1967" s="234">
        <v>2022</v>
      </c>
      <c r="Y1967" s="234">
        <v>3</v>
      </c>
      <c r="Z1967" s="234">
        <v>23</v>
      </c>
      <c r="AA1967" s="235">
        <v>0.875</v>
      </c>
      <c r="AB1967" s="236">
        <v>9.4</v>
      </c>
      <c r="AC1967" s="127">
        <f t="shared" si="45"/>
        <v>9</v>
      </c>
    </row>
    <row r="1968" ht="14.5" customHeight="1" spans="11:29" x14ac:dyDescent="0.25">
      <c r="K1968" s="128"/>
      <c r="X1968" s="234">
        <v>2022</v>
      </c>
      <c r="Y1968" s="234">
        <v>3</v>
      </c>
      <c r="Z1968" s="234">
        <v>23</v>
      </c>
      <c r="AA1968" s="235">
        <v>0.9166666666678793</v>
      </c>
      <c r="AB1968" s="236">
        <v>5.7</v>
      </c>
      <c r="AC1968" s="127">
        <f t="shared" si="45"/>
        <v>6</v>
      </c>
    </row>
    <row r="1969" ht="14.5" customHeight="1" spans="11:29" x14ac:dyDescent="0.25">
      <c r="K1969" s="128"/>
      <c r="X1969" s="234">
        <v>2022</v>
      </c>
      <c r="Y1969" s="234">
        <v>3</v>
      </c>
      <c r="Z1969" s="234">
        <v>23</v>
      </c>
      <c r="AA1969" s="235">
        <v>0.9583333333321207</v>
      </c>
      <c r="AB1969" s="236">
        <v>4.1</v>
      </c>
      <c r="AC1969" s="127">
        <f t="shared" si="45"/>
        <v>4</v>
      </c>
    </row>
    <row r="1970" ht="14.5" customHeight="1" spans="11:29" x14ac:dyDescent="0.25">
      <c r="K1970" s="128"/>
      <c r="X1970" s="234">
        <v>2022</v>
      </c>
      <c r="Y1970" s="234">
        <v>3</v>
      </c>
      <c r="Z1970" s="234">
        <v>24</v>
      </c>
      <c r="AA1970" s="235">
        <v>0</v>
      </c>
      <c r="AB1970" s="236">
        <v>1.4</v>
      </c>
      <c r="AC1970" s="127">
        <f t="shared" si="45"/>
        <v>1</v>
      </c>
    </row>
    <row r="1971" ht="14.5" customHeight="1" spans="11:29" x14ac:dyDescent="0.25">
      <c r="K1971" s="128"/>
      <c r="X1971" s="234">
        <v>2022</v>
      </c>
      <c r="Y1971" s="234">
        <v>3</v>
      </c>
      <c r="Z1971" s="234">
        <v>24</v>
      </c>
      <c r="AA1971" s="235">
        <v>0.041666666667879326</v>
      </c>
      <c r="AB1971" s="236">
        <v>-0.6</v>
      </c>
      <c r="AC1971" s="127">
        <f t="shared" si="45"/>
        <v>-1</v>
      </c>
    </row>
    <row r="1972" ht="14.5" customHeight="1" spans="11:29" x14ac:dyDescent="0.25">
      <c r="K1972" s="128"/>
      <c r="X1972" s="234">
        <v>2022</v>
      </c>
      <c r="Y1972" s="234">
        <v>3</v>
      </c>
      <c r="Z1972" s="234">
        <v>24</v>
      </c>
      <c r="AA1972" s="235">
        <v>0.08333333333212067</v>
      </c>
      <c r="AB1972" s="236">
        <v>-0.3</v>
      </c>
      <c r="AC1972" s="127">
        <f t="shared" si="45"/>
        <v>0</v>
      </c>
    </row>
    <row r="1973" ht="14.5" customHeight="1" spans="11:29" x14ac:dyDescent="0.25">
      <c r="K1973" s="128"/>
      <c r="X1973" s="234">
        <v>2022</v>
      </c>
      <c r="Y1973" s="234">
        <v>3</v>
      </c>
      <c r="Z1973" s="234">
        <v>24</v>
      </c>
      <c r="AA1973" s="235">
        <v>0.125</v>
      </c>
      <c r="AB1973" s="236">
        <v>-0.3</v>
      </c>
      <c r="AC1973" s="127">
        <f t="shared" si="45"/>
        <v>0</v>
      </c>
    </row>
    <row r="1974" ht="14.5" customHeight="1" spans="11:29" x14ac:dyDescent="0.25">
      <c r="K1974" s="128"/>
      <c r="X1974" s="234">
        <v>2022</v>
      </c>
      <c r="Y1974" s="234">
        <v>3</v>
      </c>
      <c r="Z1974" s="234">
        <v>24</v>
      </c>
      <c r="AA1974" s="235">
        <v>0.16666666666787933</v>
      </c>
      <c r="AB1974" s="236">
        <v>0.3</v>
      </c>
      <c r="AC1974" s="127">
        <f t="shared" si="45"/>
        <v>0</v>
      </c>
    </row>
    <row r="1975" ht="14.5" customHeight="1" spans="11:29" x14ac:dyDescent="0.25">
      <c r="K1975" s="128"/>
      <c r="X1975" s="234">
        <v>2022</v>
      </c>
      <c r="Y1975" s="234">
        <v>3</v>
      </c>
      <c r="Z1975" s="234">
        <v>24</v>
      </c>
      <c r="AA1975" s="235">
        <v>0.20833333333212067</v>
      </c>
      <c r="AB1975" s="236">
        <v>0.2</v>
      </c>
      <c r="AC1975" s="127">
        <f t="shared" si="45"/>
        <v>0</v>
      </c>
    </row>
    <row r="1976" ht="14.5" customHeight="1" spans="11:29" x14ac:dyDescent="0.25">
      <c r="K1976" s="128"/>
      <c r="X1976" s="234">
        <v>2022</v>
      </c>
      <c r="Y1976" s="234">
        <v>3</v>
      </c>
      <c r="Z1976" s="234">
        <v>24</v>
      </c>
      <c r="AA1976" s="235">
        <v>0.25</v>
      </c>
      <c r="AB1976" s="236">
        <v>0.2</v>
      </c>
      <c r="AC1976" s="127">
        <f t="shared" si="45"/>
        <v>0</v>
      </c>
    </row>
    <row r="1977" ht="14.5" customHeight="1" spans="11:29" x14ac:dyDescent="0.25">
      <c r="K1977" s="128"/>
      <c r="X1977" s="234">
        <v>2022</v>
      </c>
      <c r="Y1977" s="234">
        <v>3</v>
      </c>
      <c r="Z1977" s="234">
        <v>24</v>
      </c>
      <c r="AA1977" s="235">
        <v>0.2916666666678793</v>
      </c>
      <c r="AB1977" s="236">
        <v>0</v>
      </c>
      <c r="AC1977" s="127">
        <f t="shared" si="45"/>
        <v>0</v>
      </c>
    </row>
    <row r="1978" ht="14.5" customHeight="1" spans="11:29" x14ac:dyDescent="0.25">
      <c r="K1978" s="128"/>
      <c r="X1978" s="234">
        <v>2022</v>
      </c>
      <c r="Y1978" s="234">
        <v>3</v>
      </c>
      <c r="Z1978" s="234">
        <v>24</v>
      </c>
      <c r="AA1978" s="235">
        <v>0.3333333333321207</v>
      </c>
      <c r="AB1978" s="236">
        <v>0.2</v>
      </c>
      <c r="AC1978" s="127">
        <f t="shared" si="45"/>
        <v>0</v>
      </c>
    </row>
    <row r="1979" ht="14.5" customHeight="1" spans="11:29" x14ac:dyDescent="0.25">
      <c r="K1979" s="128"/>
      <c r="X1979" s="234">
        <v>2022</v>
      </c>
      <c r="Y1979" s="234">
        <v>3</v>
      </c>
      <c r="Z1979" s="234">
        <v>24</v>
      </c>
      <c r="AA1979" s="235">
        <v>0.375</v>
      </c>
      <c r="AB1979" s="236">
        <v>1</v>
      </c>
      <c r="AC1979" s="127">
        <f t="shared" si="45"/>
        <v>1</v>
      </c>
    </row>
    <row r="1980" ht="14.5" customHeight="1" spans="11:29" x14ac:dyDescent="0.25">
      <c r="K1980" s="128"/>
      <c r="X1980" s="234">
        <v>2022</v>
      </c>
      <c r="Y1980" s="234">
        <v>3</v>
      </c>
      <c r="Z1980" s="234">
        <v>24</v>
      </c>
      <c r="AA1980" s="235">
        <v>0.4166666666678793</v>
      </c>
      <c r="AB1980" s="236">
        <v>2.7</v>
      </c>
      <c r="AC1980" s="127">
        <f t="shared" si="45"/>
        <v>3</v>
      </c>
    </row>
    <row r="1981" ht="14.5" customHeight="1" spans="11:29" x14ac:dyDescent="0.25">
      <c r="K1981" s="128"/>
      <c r="X1981" s="234">
        <v>2022</v>
      </c>
      <c r="Y1981" s="234">
        <v>3</v>
      </c>
      <c r="Z1981" s="234">
        <v>24</v>
      </c>
      <c r="AA1981" s="235">
        <v>0.4583333333321207</v>
      </c>
      <c r="AB1981" s="236">
        <v>4</v>
      </c>
      <c r="AC1981" s="127">
        <f t="shared" si="45"/>
        <v>4</v>
      </c>
    </row>
    <row r="1982" ht="14.5" customHeight="1" spans="11:29" x14ac:dyDescent="0.25">
      <c r="K1982" s="128"/>
      <c r="X1982" s="234">
        <v>2022</v>
      </c>
      <c r="Y1982" s="234">
        <v>3</v>
      </c>
      <c r="Z1982" s="234">
        <v>24</v>
      </c>
      <c r="AA1982" s="235">
        <v>0.5</v>
      </c>
      <c r="AB1982" s="236">
        <v>5.1</v>
      </c>
      <c r="AC1982" s="127">
        <f t="shared" si="45"/>
        <v>5</v>
      </c>
    </row>
    <row r="1983" ht="14.5" customHeight="1" spans="11:29" x14ac:dyDescent="0.25">
      <c r="K1983" s="128"/>
      <c r="X1983" s="234">
        <v>2022</v>
      </c>
      <c r="Y1983" s="234">
        <v>3</v>
      </c>
      <c r="Z1983" s="234">
        <v>24</v>
      </c>
      <c r="AA1983" s="235">
        <v>0.5416666666678793</v>
      </c>
      <c r="AB1983" s="236">
        <v>2.9</v>
      </c>
      <c r="AC1983" s="127">
        <f t="shared" si="45"/>
        <v>3</v>
      </c>
    </row>
    <row r="1984" ht="14.5" customHeight="1" spans="11:29" x14ac:dyDescent="0.25">
      <c r="K1984" s="128"/>
      <c r="X1984" s="234">
        <v>2022</v>
      </c>
      <c r="Y1984" s="234">
        <v>3</v>
      </c>
      <c r="Z1984" s="234">
        <v>24</v>
      </c>
      <c r="AA1984" s="235">
        <v>0.5833333333321207</v>
      </c>
      <c r="AB1984" s="236">
        <v>3.3</v>
      </c>
      <c r="AC1984" s="127">
        <f t="shared" si="45"/>
        <v>3</v>
      </c>
    </row>
    <row r="1985" ht="14.5" customHeight="1" spans="11:29" x14ac:dyDescent="0.25">
      <c r="K1985" s="128"/>
      <c r="X1985" s="234">
        <v>2022</v>
      </c>
      <c r="Y1985" s="234">
        <v>3</v>
      </c>
      <c r="Z1985" s="234">
        <v>24</v>
      </c>
      <c r="AA1985" s="235">
        <v>0.625</v>
      </c>
      <c r="AB1985" s="236">
        <v>3.7</v>
      </c>
      <c r="AC1985" s="127">
        <f t="shared" si="45"/>
        <v>4</v>
      </c>
    </row>
    <row r="1986" ht="14.5" customHeight="1" spans="11:29" x14ac:dyDescent="0.25">
      <c r="K1986" s="128"/>
      <c r="X1986" s="234">
        <v>2022</v>
      </c>
      <c r="Y1986" s="234">
        <v>3</v>
      </c>
      <c r="Z1986" s="234">
        <v>24</v>
      </c>
      <c r="AA1986" s="235">
        <v>0.6666666666678793</v>
      </c>
      <c r="AB1986" s="236">
        <v>4</v>
      </c>
      <c r="AC1986" s="127">
        <f t="shared" si="45"/>
        <v>4</v>
      </c>
    </row>
    <row r="1987" ht="14.5" customHeight="1" spans="11:29" x14ac:dyDescent="0.25">
      <c r="K1987" s="128"/>
      <c r="X1987" s="234">
        <v>2022</v>
      </c>
      <c r="Y1987" s="234">
        <v>3</v>
      </c>
      <c r="Z1987" s="234">
        <v>24</v>
      </c>
      <c r="AA1987" s="235">
        <v>0.7083333333321207</v>
      </c>
      <c r="AB1987" s="236">
        <v>3.3</v>
      </c>
      <c r="AC1987" s="127">
        <f t="shared" si="45"/>
        <v>3</v>
      </c>
    </row>
    <row r="1988" ht="14.5" customHeight="1" spans="11:29" x14ac:dyDescent="0.25">
      <c r="K1988" s="128"/>
      <c r="X1988" s="234">
        <v>2022</v>
      </c>
      <c r="Y1988" s="234">
        <v>3</v>
      </c>
      <c r="Z1988" s="234">
        <v>24</v>
      </c>
      <c r="AA1988" s="235">
        <v>0.75</v>
      </c>
      <c r="AB1988" s="236">
        <v>3.6</v>
      </c>
      <c r="AC1988" s="127">
        <f t="shared" si="45"/>
        <v>4</v>
      </c>
    </row>
    <row r="1989" ht="14.5" customHeight="1" spans="11:29" x14ac:dyDescent="0.25">
      <c r="K1989" s="128"/>
      <c r="X1989" s="234">
        <v>2022</v>
      </c>
      <c r="Y1989" s="234">
        <v>3</v>
      </c>
      <c r="Z1989" s="234">
        <v>24</v>
      </c>
      <c r="AA1989" s="235">
        <v>0.7916666666678793</v>
      </c>
      <c r="AB1989" s="236">
        <v>2.1</v>
      </c>
      <c r="AC1989" s="127">
        <f t="shared" si="45"/>
        <v>2</v>
      </c>
    </row>
    <row r="1990" ht="14.5" customHeight="1" spans="11:29" x14ac:dyDescent="0.25">
      <c r="K1990" s="128"/>
      <c r="X1990" s="234">
        <v>2022</v>
      </c>
      <c r="Y1990" s="234">
        <v>3</v>
      </c>
      <c r="Z1990" s="234">
        <v>24</v>
      </c>
      <c r="AA1990" s="235">
        <v>0.8333333333321207</v>
      </c>
      <c r="AB1990" s="236">
        <v>-0.6</v>
      </c>
      <c r="AC1990" s="127">
        <f t="shared" si="45"/>
        <v>-1</v>
      </c>
    </row>
    <row r="1991" ht="14.5" customHeight="1" spans="11:29" x14ac:dyDescent="0.25">
      <c r="K1991" s="128"/>
      <c r="X1991" s="234">
        <v>2022</v>
      </c>
      <c r="Y1991" s="234">
        <v>3</v>
      </c>
      <c r="Z1991" s="234">
        <v>24</v>
      </c>
      <c r="AA1991" s="235">
        <v>0.875</v>
      </c>
      <c r="AB1991" s="236">
        <v>-2.3</v>
      </c>
      <c r="AC1991" s="127">
        <f t="shared" si="45"/>
        <v>-2</v>
      </c>
    </row>
    <row r="1992" ht="14.5" customHeight="1" spans="11:29" x14ac:dyDescent="0.25">
      <c r="K1992" s="128"/>
      <c r="X1992" s="234">
        <v>2022</v>
      </c>
      <c r="Y1992" s="234">
        <v>3</v>
      </c>
      <c r="Z1992" s="234">
        <v>24</v>
      </c>
      <c r="AA1992" s="235">
        <v>0.9166666666678793</v>
      </c>
      <c r="AB1992" s="236">
        <v>-2.8</v>
      </c>
      <c r="AC1992" s="127">
        <f t="shared" si="45"/>
        <v>-3</v>
      </c>
    </row>
    <row r="1993" ht="14.5" customHeight="1" spans="11:29" x14ac:dyDescent="0.25">
      <c r="K1993" s="128"/>
      <c r="X1993" s="234">
        <v>2022</v>
      </c>
      <c r="Y1993" s="234">
        <v>3</v>
      </c>
      <c r="Z1993" s="234">
        <v>24</v>
      </c>
      <c r="AA1993" s="235">
        <v>0.9583333333321207</v>
      </c>
      <c r="AB1993" s="236">
        <v>-4.8</v>
      </c>
      <c r="AC1993" s="127">
        <f t="shared" si="45"/>
        <v>-5</v>
      </c>
    </row>
    <row r="1994" ht="14.5" customHeight="1" spans="11:29" x14ac:dyDescent="0.25">
      <c r="K1994" s="128"/>
      <c r="X1994" s="234">
        <v>2022</v>
      </c>
      <c r="Y1994" s="234">
        <v>3</v>
      </c>
      <c r="Z1994" s="234">
        <v>25</v>
      </c>
      <c r="AA1994" s="235">
        <v>0</v>
      </c>
      <c r="AB1994" s="236">
        <v>-4.5</v>
      </c>
      <c r="AC1994" s="127">
        <f t="shared" si="45"/>
        <v>-5</v>
      </c>
    </row>
    <row r="1995" ht="14.5" customHeight="1" spans="11:29" x14ac:dyDescent="0.25">
      <c r="K1995" s="128"/>
      <c r="X1995" s="234">
        <v>2022</v>
      </c>
      <c r="Y1995" s="234">
        <v>3</v>
      </c>
      <c r="Z1995" s="234">
        <v>25</v>
      </c>
      <c r="AA1995" s="235">
        <v>0.041666666667879326</v>
      </c>
      <c r="AB1995" s="236">
        <v>-4.5</v>
      </c>
      <c r="AC1995" s="127">
        <f t="shared" ref="AC1995:AC2058" si="46">ROUND(AB1995,0)</f>
        <v>-5</v>
      </c>
    </row>
    <row r="1996" ht="14.5" customHeight="1" spans="11:29" x14ac:dyDescent="0.25">
      <c r="K1996" s="128"/>
      <c r="X1996" s="234">
        <v>2022</v>
      </c>
      <c r="Y1996" s="234">
        <v>3</v>
      </c>
      <c r="Z1996" s="234">
        <v>25</v>
      </c>
      <c r="AA1996" s="235">
        <v>0.08333333333212067</v>
      </c>
      <c r="AB1996" s="236">
        <v>-3.9</v>
      </c>
      <c r="AC1996" s="127">
        <f t="shared" si="46"/>
        <v>-4</v>
      </c>
    </row>
    <row r="1997" ht="14.5" customHeight="1" spans="11:29" x14ac:dyDescent="0.25">
      <c r="K1997" s="128"/>
      <c r="X1997" s="234">
        <v>2022</v>
      </c>
      <c r="Y1997" s="234">
        <v>3</v>
      </c>
      <c r="Z1997" s="234">
        <v>25</v>
      </c>
      <c r="AA1997" s="235">
        <v>0.125</v>
      </c>
      <c r="AB1997" s="236">
        <v>-6.3</v>
      </c>
      <c r="AC1997" s="127">
        <f t="shared" si="46"/>
        <v>-6</v>
      </c>
    </row>
    <row r="1998" ht="14.5" customHeight="1" spans="11:29" x14ac:dyDescent="0.25">
      <c r="K1998" s="128"/>
      <c r="X1998" s="234">
        <v>2022</v>
      </c>
      <c r="Y1998" s="234">
        <v>3</v>
      </c>
      <c r="Z1998" s="234">
        <v>25</v>
      </c>
      <c r="AA1998" s="235">
        <v>0.16666666666787933</v>
      </c>
      <c r="AB1998" s="236">
        <v>-4</v>
      </c>
      <c r="AC1998" s="127">
        <f t="shared" si="46"/>
        <v>-4</v>
      </c>
    </row>
    <row r="1999" ht="14.5" customHeight="1" spans="11:29" x14ac:dyDescent="0.25">
      <c r="K1999" s="128"/>
      <c r="X1999" s="234">
        <v>2022</v>
      </c>
      <c r="Y1999" s="234">
        <v>3</v>
      </c>
      <c r="Z1999" s="234">
        <v>25</v>
      </c>
      <c r="AA1999" s="235">
        <v>0.20833333333212067</v>
      </c>
      <c r="AB1999" s="236">
        <v>-4.4</v>
      </c>
      <c r="AC1999" s="127">
        <f t="shared" si="46"/>
        <v>-4</v>
      </c>
    </row>
    <row r="2000" ht="14.5" customHeight="1" spans="11:29" x14ac:dyDescent="0.25">
      <c r="K2000" s="128"/>
      <c r="X2000" s="234">
        <v>2022</v>
      </c>
      <c r="Y2000" s="234">
        <v>3</v>
      </c>
      <c r="Z2000" s="234">
        <v>25</v>
      </c>
      <c r="AA2000" s="235">
        <v>0.25</v>
      </c>
      <c r="AB2000" s="236">
        <v>-4.2</v>
      </c>
      <c r="AC2000" s="127">
        <f t="shared" si="46"/>
        <v>-4</v>
      </c>
    </row>
    <row r="2001" ht="14.5" customHeight="1" spans="11:29" x14ac:dyDescent="0.25">
      <c r="K2001" s="128"/>
      <c r="X2001" s="234">
        <v>2022</v>
      </c>
      <c r="Y2001" s="234">
        <v>3</v>
      </c>
      <c r="Z2001" s="234">
        <v>25</v>
      </c>
      <c r="AA2001" s="235">
        <v>0.2916666666678793</v>
      </c>
      <c r="AB2001" s="236">
        <v>-3.9</v>
      </c>
      <c r="AC2001" s="127">
        <f t="shared" si="46"/>
        <v>-4</v>
      </c>
    </row>
    <row r="2002" ht="14.5" customHeight="1" spans="11:29" x14ac:dyDescent="0.25">
      <c r="K2002" s="128"/>
      <c r="X2002" s="234">
        <v>2022</v>
      </c>
      <c r="Y2002" s="234">
        <v>3</v>
      </c>
      <c r="Z2002" s="234">
        <v>25</v>
      </c>
      <c r="AA2002" s="235">
        <v>0.3333333333321207</v>
      </c>
      <c r="AB2002" s="236">
        <v>-3</v>
      </c>
      <c r="AC2002" s="127">
        <f t="shared" si="46"/>
        <v>-3</v>
      </c>
    </row>
    <row r="2003" ht="14.5" customHeight="1" spans="11:29" x14ac:dyDescent="0.25">
      <c r="K2003" s="128"/>
      <c r="X2003" s="234">
        <v>2022</v>
      </c>
      <c r="Y2003" s="234">
        <v>3</v>
      </c>
      <c r="Z2003" s="234">
        <v>25</v>
      </c>
      <c r="AA2003" s="235">
        <v>0.375</v>
      </c>
      <c r="AB2003" s="236">
        <v>-0.8</v>
      </c>
      <c r="AC2003" s="127">
        <f t="shared" si="46"/>
        <v>-1</v>
      </c>
    </row>
    <row r="2004" ht="14.5" customHeight="1" spans="11:29" x14ac:dyDescent="0.25">
      <c r="K2004" s="128"/>
      <c r="X2004" s="234">
        <v>2022</v>
      </c>
      <c r="Y2004" s="234">
        <v>3</v>
      </c>
      <c r="Z2004" s="234">
        <v>25</v>
      </c>
      <c r="AA2004" s="235">
        <v>0.4166666666678793</v>
      </c>
      <c r="AB2004" s="236">
        <v>0.8</v>
      </c>
      <c r="AC2004" s="127">
        <f t="shared" si="46"/>
        <v>1</v>
      </c>
    </row>
    <row r="2005" ht="14.5" customHeight="1" spans="11:29" x14ac:dyDescent="0.25">
      <c r="K2005" s="128"/>
      <c r="X2005" s="234">
        <v>2022</v>
      </c>
      <c r="Y2005" s="234">
        <v>3</v>
      </c>
      <c r="Z2005" s="234">
        <v>25</v>
      </c>
      <c r="AA2005" s="235">
        <v>0.4583333333321207</v>
      </c>
      <c r="AB2005" s="236">
        <v>1.6</v>
      </c>
      <c r="AC2005" s="127">
        <f t="shared" si="46"/>
        <v>2</v>
      </c>
    </row>
    <row r="2006" ht="14.5" customHeight="1" spans="11:29" x14ac:dyDescent="0.25">
      <c r="K2006" s="128"/>
      <c r="X2006" s="234">
        <v>2022</v>
      </c>
      <c r="Y2006" s="234">
        <v>3</v>
      </c>
      <c r="Z2006" s="234">
        <v>25</v>
      </c>
      <c r="AA2006" s="235">
        <v>0.5</v>
      </c>
      <c r="AB2006" s="236">
        <v>3.4</v>
      </c>
      <c r="AC2006" s="127">
        <f t="shared" si="46"/>
        <v>3</v>
      </c>
    </row>
    <row r="2007" ht="14.5" customHeight="1" spans="11:29" x14ac:dyDescent="0.25">
      <c r="K2007" s="128"/>
      <c r="X2007" s="234">
        <v>2022</v>
      </c>
      <c r="Y2007" s="234">
        <v>3</v>
      </c>
      <c r="Z2007" s="234">
        <v>25</v>
      </c>
      <c r="AA2007" s="235">
        <v>0.5416666666678793</v>
      </c>
      <c r="AB2007" s="236">
        <v>3.8</v>
      </c>
      <c r="AC2007" s="127">
        <f t="shared" si="46"/>
        <v>4</v>
      </c>
    </row>
    <row r="2008" ht="14.5" customHeight="1" spans="11:29" x14ac:dyDescent="0.25">
      <c r="K2008" s="128"/>
      <c r="X2008" s="234">
        <v>2022</v>
      </c>
      <c r="Y2008" s="234">
        <v>3</v>
      </c>
      <c r="Z2008" s="234">
        <v>25</v>
      </c>
      <c r="AA2008" s="235">
        <v>0.5833333333321207</v>
      </c>
      <c r="AB2008" s="236">
        <v>6</v>
      </c>
      <c r="AC2008" s="127">
        <f t="shared" si="46"/>
        <v>6</v>
      </c>
    </row>
    <row r="2009" ht="14.5" customHeight="1" spans="11:29" x14ac:dyDescent="0.25">
      <c r="K2009" s="128"/>
      <c r="X2009" s="234">
        <v>2022</v>
      </c>
      <c r="Y2009" s="234">
        <v>3</v>
      </c>
      <c r="Z2009" s="234">
        <v>25</v>
      </c>
      <c r="AA2009" s="235">
        <v>0.625</v>
      </c>
      <c r="AB2009" s="236">
        <v>6.7</v>
      </c>
      <c r="AC2009" s="127">
        <f t="shared" si="46"/>
        <v>7</v>
      </c>
    </row>
    <row r="2010" ht="14.5" customHeight="1" spans="11:29" x14ac:dyDescent="0.25">
      <c r="K2010" s="128"/>
      <c r="X2010" s="234">
        <v>2022</v>
      </c>
      <c r="Y2010" s="234">
        <v>3</v>
      </c>
      <c r="Z2010" s="234">
        <v>25</v>
      </c>
      <c r="AA2010" s="235">
        <v>0.6666666666678793</v>
      </c>
      <c r="AB2010" s="236">
        <v>7.5</v>
      </c>
      <c r="AC2010" s="127">
        <f t="shared" si="46"/>
        <v>8</v>
      </c>
    </row>
    <row r="2011" ht="14.5" customHeight="1" spans="11:29" x14ac:dyDescent="0.25">
      <c r="K2011" s="128"/>
      <c r="X2011" s="234">
        <v>2022</v>
      </c>
      <c r="Y2011" s="234">
        <v>3</v>
      </c>
      <c r="Z2011" s="234">
        <v>25</v>
      </c>
      <c r="AA2011" s="235">
        <v>0.7083333333321207</v>
      </c>
      <c r="AB2011" s="236">
        <v>8.1</v>
      </c>
      <c r="AC2011" s="127">
        <f t="shared" si="46"/>
        <v>8</v>
      </c>
    </row>
    <row r="2012" ht="14.5" customHeight="1" spans="11:29" x14ac:dyDescent="0.25">
      <c r="K2012" s="128"/>
      <c r="X2012" s="234">
        <v>2022</v>
      </c>
      <c r="Y2012" s="234">
        <v>3</v>
      </c>
      <c r="Z2012" s="234">
        <v>25</v>
      </c>
      <c r="AA2012" s="235">
        <v>0.75</v>
      </c>
      <c r="AB2012" s="236">
        <v>6.8</v>
      </c>
      <c r="AC2012" s="127">
        <f t="shared" si="46"/>
        <v>7</v>
      </c>
    </row>
    <row r="2013" ht="14.5" customHeight="1" spans="11:29" x14ac:dyDescent="0.25">
      <c r="K2013" s="128"/>
      <c r="X2013" s="234">
        <v>2022</v>
      </c>
      <c r="Y2013" s="234">
        <v>3</v>
      </c>
      <c r="Z2013" s="234">
        <v>25</v>
      </c>
      <c r="AA2013" s="235">
        <v>0.7916666666678793</v>
      </c>
      <c r="AB2013" s="236">
        <v>5.8</v>
      </c>
      <c r="AC2013" s="127">
        <f t="shared" si="46"/>
        <v>6</v>
      </c>
    </row>
    <row r="2014" ht="14.5" customHeight="1" spans="11:29" x14ac:dyDescent="0.25">
      <c r="K2014" s="128"/>
      <c r="X2014" s="234">
        <v>2022</v>
      </c>
      <c r="Y2014" s="234">
        <v>3</v>
      </c>
      <c r="Z2014" s="234">
        <v>25</v>
      </c>
      <c r="AA2014" s="235">
        <v>0.8333333333321207</v>
      </c>
      <c r="AB2014" s="236">
        <v>4.4</v>
      </c>
      <c r="AC2014" s="127">
        <f t="shared" si="46"/>
        <v>4</v>
      </c>
    </row>
    <row r="2015" ht="14.5" customHeight="1" spans="11:29" x14ac:dyDescent="0.25">
      <c r="K2015" s="128"/>
      <c r="X2015" s="234">
        <v>2022</v>
      </c>
      <c r="Y2015" s="234">
        <v>3</v>
      </c>
      <c r="Z2015" s="234">
        <v>25</v>
      </c>
      <c r="AA2015" s="235">
        <v>0.875</v>
      </c>
      <c r="AB2015" s="236">
        <v>2.7</v>
      </c>
      <c r="AC2015" s="127">
        <f t="shared" si="46"/>
        <v>3</v>
      </c>
    </row>
    <row r="2016" ht="14.5" customHeight="1" spans="11:29" x14ac:dyDescent="0.25">
      <c r="K2016" s="128"/>
      <c r="X2016" s="234">
        <v>2022</v>
      </c>
      <c r="Y2016" s="234">
        <v>3</v>
      </c>
      <c r="Z2016" s="234">
        <v>25</v>
      </c>
      <c r="AA2016" s="235">
        <v>0.9166666666678793</v>
      </c>
      <c r="AB2016" s="236">
        <v>1.1</v>
      </c>
      <c r="AC2016" s="127">
        <f t="shared" si="46"/>
        <v>1</v>
      </c>
    </row>
    <row r="2017" ht="14.5" customHeight="1" spans="11:29" x14ac:dyDescent="0.25">
      <c r="K2017" s="128"/>
      <c r="X2017" s="234">
        <v>2022</v>
      </c>
      <c r="Y2017" s="234">
        <v>3</v>
      </c>
      <c r="Z2017" s="234">
        <v>25</v>
      </c>
      <c r="AA2017" s="235">
        <v>0.9583333333321207</v>
      </c>
      <c r="AB2017" s="236">
        <v>-0.5</v>
      </c>
      <c r="AC2017" s="127">
        <f t="shared" si="46"/>
        <v>-1</v>
      </c>
    </row>
    <row r="2018" ht="14.5" customHeight="1" spans="11:29" x14ac:dyDescent="0.25">
      <c r="K2018" s="128"/>
      <c r="X2018" s="234">
        <v>2022</v>
      </c>
      <c r="Y2018" s="234">
        <v>3</v>
      </c>
      <c r="Z2018" s="234">
        <v>26</v>
      </c>
      <c r="AA2018" s="235">
        <v>0</v>
      </c>
      <c r="AB2018" s="236">
        <v>-2.1</v>
      </c>
      <c r="AC2018" s="127">
        <f t="shared" si="46"/>
        <v>-2</v>
      </c>
    </row>
    <row r="2019" ht="14.5" customHeight="1" spans="11:29" x14ac:dyDescent="0.25">
      <c r="K2019" s="128"/>
      <c r="X2019" s="234">
        <v>2022</v>
      </c>
      <c r="Y2019" s="234">
        <v>3</v>
      </c>
      <c r="Z2019" s="234">
        <v>26</v>
      </c>
      <c r="AA2019" s="235">
        <v>0.041666666667879326</v>
      </c>
      <c r="AB2019" s="236">
        <v>-2.6</v>
      </c>
      <c r="AC2019" s="127">
        <f t="shared" si="46"/>
        <v>-3</v>
      </c>
    </row>
    <row r="2020" ht="14.5" customHeight="1" spans="11:29" x14ac:dyDescent="0.25">
      <c r="K2020" s="128"/>
      <c r="X2020" s="234">
        <v>2022</v>
      </c>
      <c r="Y2020" s="234">
        <v>3</v>
      </c>
      <c r="Z2020" s="234">
        <v>26</v>
      </c>
      <c r="AA2020" s="235">
        <v>0.08333333333212067</v>
      </c>
      <c r="AB2020" s="236">
        <v>-3.8</v>
      </c>
      <c r="AC2020" s="127">
        <f t="shared" si="46"/>
        <v>-4</v>
      </c>
    </row>
    <row r="2021" ht="14.5" customHeight="1" spans="11:29" x14ac:dyDescent="0.25">
      <c r="K2021" s="128"/>
      <c r="X2021" s="234">
        <v>2022</v>
      </c>
      <c r="Y2021" s="234">
        <v>3</v>
      </c>
      <c r="Z2021" s="234">
        <v>26</v>
      </c>
      <c r="AA2021" s="235">
        <v>0.125</v>
      </c>
      <c r="AB2021" s="236">
        <v>-4.7</v>
      </c>
      <c r="AC2021" s="127">
        <f t="shared" si="46"/>
        <v>-5</v>
      </c>
    </row>
    <row r="2022" ht="14.5" customHeight="1" spans="11:29" x14ac:dyDescent="0.25">
      <c r="K2022" s="128"/>
      <c r="X2022" s="234">
        <v>2022</v>
      </c>
      <c r="Y2022" s="234">
        <v>3</v>
      </c>
      <c r="Z2022" s="234">
        <v>26</v>
      </c>
      <c r="AA2022" s="235">
        <v>0.16666666666787933</v>
      </c>
      <c r="AB2022" s="236">
        <v>-5.2</v>
      </c>
      <c r="AC2022" s="127">
        <f t="shared" si="46"/>
        <v>-5</v>
      </c>
    </row>
    <row r="2023" ht="14.5" customHeight="1" spans="11:29" x14ac:dyDescent="0.25">
      <c r="K2023" s="128"/>
      <c r="X2023" s="234">
        <v>2022</v>
      </c>
      <c r="Y2023" s="234">
        <v>3</v>
      </c>
      <c r="Z2023" s="234">
        <v>26</v>
      </c>
      <c r="AA2023" s="235">
        <v>0.20833333333212067</v>
      </c>
      <c r="AB2023" s="236">
        <v>-5.4</v>
      </c>
      <c r="AC2023" s="127">
        <f t="shared" si="46"/>
        <v>-5</v>
      </c>
    </row>
    <row r="2024" ht="14.5" customHeight="1" spans="11:29" x14ac:dyDescent="0.25">
      <c r="K2024" s="128"/>
      <c r="X2024" s="234">
        <v>2022</v>
      </c>
      <c r="Y2024" s="234">
        <v>3</v>
      </c>
      <c r="Z2024" s="234">
        <v>26</v>
      </c>
      <c r="AA2024" s="235">
        <v>0.25</v>
      </c>
      <c r="AB2024" s="236">
        <v>-5.6</v>
      </c>
      <c r="AC2024" s="127">
        <f t="shared" si="46"/>
        <v>-6</v>
      </c>
    </row>
    <row r="2025" ht="14.5" customHeight="1" spans="11:29" x14ac:dyDescent="0.25">
      <c r="K2025" s="128"/>
      <c r="X2025" s="234">
        <v>2022</v>
      </c>
      <c r="Y2025" s="234">
        <v>3</v>
      </c>
      <c r="Z2025" s="234">
        <v>26</v>
      </c>
      <c r="AA2025" s="235">
        <v>0.2916666666678793</v>
      </c>
      <c r="AB2025" s="236">
        <v>-5.2</v>
      </c>
      <c r="AC2025" s="127">
        <f t="shared" si="46"/>
        <v>-5</v>
      </c>
    </row>
    <row r="2026" ht="14.5" customHeight="1" spans="11:29" x14ac:dyDescent="0.25">
      <c r="K2026" s="128"/>
      <c r="X2026" s="234">
        <v>2022</v>
      </c>
      <c r="Y2026" s="234">
        <v>3</v>
      </c>
      <c r="Z2026" s="234">
        <v>26</v>
      </c>
      <c r="AA2026" s="235">
        <v>0.3333333333321207</v>
      </c>
      <c r="AB2026" s="236">
        <v>-3.9</v>
      </c>
      <c r="AC2026" s="127">
        <f t="shared" si="46"/>
        <v>-4</v>
      </c>
    </row>
    <row r="2027" ht="14.5" customHeight="1" spans="11:29" x14ac:dyDescent="0.25">
      <c r="K2027" s="128"/>
      <c r="X2027" s="234">
        <v>2022</v>
      </c>
      <c r="Y2027" s="234">
        <v>3</v>
      </c>
      <c r="Z2027" s="234">
        <v>26</v>
      </c>
      <c r="AA2027" s="235">
        <v>0.375</v>
      </c>
      <c r="AB2027" s="236">
        <v>-3.1</v>
      </c>
      <c r="AC2027" s="127">
        <f t="shared" si="46"/>
        <v>-3</v>
      </c>
    </row>
    <row r="2028" ht="14.5" customHeight="1" spans="11:29" x14ac:dyDescent="0.25">
      <c r="K2028" s="128"/>
      <c r="X2028" s="234">
        <v>2022</v>
      </c>
      <c r="Y2028" s="234">
        <v>3</v>
      </c>
      <c r="Z2028" s="234">
        <v>26</v>
      </c>
      <c r="AA2028" s="235">
        <v>0.4166666666678793</v>
      </c>
      <c r="AB2028" s="236">
        <v>-0.9</v>
      </c>
      <c r="AC2028" s="127">
        <f t="shared" si="46"/>
        <v>-1</v>
      </c>
    </row>
    <row r="2029" ht="14.5" customHeight="1" spans="11:29" x14ac:dyDescent="0.25">
      <c r="K2029" s="128"/>
      <c r="X2029" s="234">
        <v>2022</v>
      </c>
      <c r="Y2029" s="234">
        <v>3</v>
      </c>
      <c r="Z2029" s="234">
        <v>26</v>
      </c>
      <c r="AA2029" s="235">
        <v>0.4583333333321207</v>
      </c>
      <c r="AB2029" s="236">
        <v>0.7</v>
      </c>
      <c r="AC2029" s="127">
        <f t="shared" si="46"/>
        <v>1</v>
      </c>
    </row>
    <row r="2030" ht="14.5" customHeight="1" spans="11:29" x14ac:dyDescent="0.25">
      <c r="K2030" s="128"/>
      <c r="X2030" s="234">
        <v>2022</v>
      </c>
      <c r="Y2030" s="234">
        <v>3</v>
      </c>
      <c r="Z2030" s="234">
        <v>26</v>
      </c>
      <c r="AA2030" s="235">
        <v>0.5</v>
      </c>
      <c r="AB2030" s="236">
        <v>1.8</v>
      </c>
      <c r="AC2030" s="127">
        <f t="shared" si="46"/>
        <v>2</v>
      </c>
    </row>
    <row r="2031" ht="14.5" customHeight="1" spans="11:29" x14ac:dyDescent="0.25">
      <c r="K2031" s="128"/>
      <c r="X2031" s="234">
        <v>2022</v>
      </c>
      <c r="Y2031" s="234">
        <v>3</v>
      </c>
      <c r="Z2031" s="234">
        <v>26</v>
      </c>
      <c r="AA2031" s="235">
        <v>0.5416666666678793</v>
      </c>
      <c r="AB2031" s="236">
        <v>2.5</v>
      </c>
      <c r="AC2031" s="127">
        <f t="shared" si="46"/>
        <v>3</v>
      </c>
    </row>
    <row r="2032" ht="14.5" customHeight="1" spans="11:29" x14ac:dyDescent="0.25">
      <c r="K2032" s="128"/>
      <c r="X2032" s="234">
        <v>2022</v>
      </c>
      <c r="Y2032" s="234">
        <v>3</v>
      </c>
      <c r="Z2032" s="234">
        <v>26</v>
      </c>
      <c r="AA2032" s="235">
        <v>0.5833333333321207</v>
      </c>
      <c r="AB2032" s="236">
        <v>3.5</v>
      </c>
      <c r="AC2032" s="127">
        <f t="shared" si="46"/>
        <v>4</v>
      </c>
    </row>
    <row r="2033" ht="14.5" customHeight="1" spans="11:29" x14ac:dyDescent="0.25">
      <c r="K2033" s="128"/>
      <c r="X2033" s="234">
        <v>2022</v>
      </c>
      <c r="Y2033" s="234">
        <v>3</v>
      </c>
      <c r="Z2033" s="234">
        <v>26</v>
      </c>
      <c r="AA2033" s="235">
        <v>0.625</v>
      </c>
      <c r="AB2033" s="236">
        <v>5.1</v>
      </c>
      <c r="AC2033" s="127">
        <f t="shared" si="46"/>
        <v>5</v>
      </c>
    </row>
    <row r="2034" ht="14.5" customHeight="1" spans="11:29" x14ac:dyDescent="0.25">
      <c r="K2034" s="128"/>
      <c r="X2034" s="234">
        <v>2022</v>
      </c>
      <c r="Y2034" s="234">
        <v>3</v>
      </c>
      <c r="Z2034" s="234">
        <v>26</v>
      </c>
      <c r="AA2034" s="235">
        <v>0.6666666666678793</v>
      </c>
      <c r="AB2034" s="236">
        <v>5.6</v>
      </c>
      <c r="AC2034" s="127">
        <f t="shared" si="46"/>
        <v>6</v>
      </c>
    </row>
    <row r="2035" ht="14.5" customHeight="1" spans="11:29" x14ac:dyDescent="0.25">
      <c r="K2035" s="128"/>
      <c r="X2035" s="234">
        <v>2022</v>
      </c>
      <c r="Y2035" s="234">
        <v>3</v>
      </c>
      <c r="Z2035" s="234">
        <v>26</v>
      </c>
      <c r="AA2035" s="235">
        <v>0.7083333333321207</v>
      </c>
      <c r="AB2035" s="236">
        <v>5.3</v>
      </c>
      <c r="AC2035" s="127">
        <f t="shared" si="46"/>
        <v>5</v>
      </c>
    </row>
    <row r="2036" ht="14.5" customHeight="1" spans="11:29" x14ac:dyDescent="0.25">
      <c r="K2036" s="128"/>
      <c r="X2036" s="234">
        <v>2022</v>
      </c>
      <c r="Y2036" s="234">
        <v>3</v>
      </c>
      <c r="Z2036" s="234">
        <v>26</v>
      </c>
      <c r="AA2036" s="235">
        <v>0.75</v>
      </c>
      <c r="AB2036" s="236">
        <v>4.7</v>
      </c>
      <c r="AC2036" s="127">
        <f t="shared" si="46"/>
        <v>5</v>
      </c>
    </row>
    <row r="2037" ht="14.5" customHeight="1" spans="11:29" x14ac:dyDescent="0.25">
      <c r="K2037" s="128"/>
      <c r="X2037" s="234">
        <v>2022</v>
      </c>
      <c r="Y2037" s="234">
        <v>3</v>
      </c>
      <c r="Z2037" s="234">
        <v>26</v>
      </c>
      <c r="AA2037" s="235">
        <v>0.7916666666678793</v>
      </c>
      <c r="AB2037" s="236">
        <v>4.1</v>
      </c>
      <c r="AC2037" s="127">
        <f t="shared" si="46"/>
        <v>4</v>
      </c>
    </row>
    <row r="2038" ht="14.5" customHeight="1" spans="11:29" x14ac:dyDescent="0.25">
      <c r="K2038" s="128"/>
      <c r="X2038" s="234">
        <v>2022</v>
      </c>
      <c r="Y2038" s="234">
        <v>3</v>
      </c>
      <c r="Z2038" s="234">
        <v>26</v>
      </c>
      <c r="AA2038" s="235">
        <v>0.8333333333321207</v>
      </c>
      <c r="AB2038" s="236">
        <v>2.9</v>
      </c>
      <c r="AC2038" s="127">
        <f t="shared" si="46"/>
        <v>3</v>
      </c>
    </row>
    <row r="2039" ht="14.5" customHeight="1" spans="11:29" x14ac:dyDescent="0.25">
      <c r="K2039" s="128"/>
      <c r="X2039" s="234">
        <v>2022</v>
      </c>
      <c r="Y2039" s="234">
        <v>3</v>
      </c>
      <c r="Z2039" s="234">
        <v>26</v>
      </c>
      <c r="AA2039" s="235">
        <v>0.875</v>
      </c>
      <c r="AB2039" s="236">
        <v>0.8</v>
      </c>
      <c r="AC2039" s="127">
        <f t="shared" si="46"/>
        <v>1</v>
      </c>
    </row>
    <row r="2040" ht="14.5" customHeight="1" spans="11:29" x14ac:dyDescent="0.25">
      <c r="K2040" s="128"/>
      <c r="X2040" s="234">
        <v>2022</v>
      </c>
      <c r="Y2040" s="234">
        <v>3</v>
      </c>
      <c r="Z2040" s="234">
        <v>26</v>
      </c>
      <c r="AA2040" s="235">
        <v>0.9166666666678793</v>
      </c>
      <c r="AB2040" s="236">
        <v>0</v>
      </c>
      <c r="AC2040" s="127">
        <f t="shared" si="46"/>
        <v>0</v>
      </c>
    </row>
    <row r="2041" ht="14.5" customHeight="1" spans="11:29" x14ac:dyDescent="0.25">
      <c r="K2041" s="128"/>
      <c r="X2041" s="234">
        <v>2022</v>
      </c>
      <c r="Y2041" s="234">
        <v>3</v>
      </c>
      <c r="Z2041" s="234">
        <v>26</v>
      </c>
      <c r="AA2041" s="235">
        <v>0.9583333333321207</v>
      </c>
      <c r="AB2041" s="236">
        <v>-1</v>
      </c>
      <c r="AC2041" s="127">
        <f t="shared" si="46"/>
        <v>-1</v>
      </c>
    </row>
    <row r="2042" ht="14.5" customHeight="1" spans="11:29" x14ac:dyDescent="0.25">
      <c r="K2042" s="128"/>
      <c r="X2042" s="234">
        <v>2022</v>
      </c>
      <c r="Y2042" s="234">
        <v>3</v>
      </c>
      <c r="Z2042" s="234">
        <v>27</v>
      </c>
      <c r="AA2042" s="235">
        <v>0</v>
      </c>
      <c r="AB2042" s="236">
        <v>-2.2</v>
      </c>
      <c r="AC2042" s="127">
        <f t="shared" si="46"/>
        <v>-2</v>
      </c>
    </row>
    <row r="2043" ht="14.5" customHeight="1" spans="11:29" x14ac:dyDescent="0.25">
      <c r="K2043" s="128"/>
      <c r="X2043" s="234">
        <v>2022</v>
      </c>
      <c r="Y2043" s="234">
        <v>3</v>
      </c>
      <c r="Z2043" s="234">
        <v>27</v>
      </c>
      <c r="AA2043" s="235">
        <v>0.041666666667879326</v>
      </c>
      <c r="AB2043" s="236">
        <v>-3.7</v>
      </c>
      <c r="AC2043" s="127">
        <f t="shared" si="46"/>
        <v>-4</v>
      </c>
    </row>
    <row r="2044" ht="14.5" customHeight="1" spans="11:29" x14ac:dyDescent="0.25">
      <c r="K2044" s="128"/>
      <c r="X2044" s="234">
        <v>2022</v>
      </c>
      <c r="Y2044" s="234">
        <v>3</v>
      </c>
      <c r="Z2044" s="234">
        <v>27</v>
      </c>
      <c r="AA2044" s="235">
        <v>0.08333333333212067</v>
      </c>
      <c r="AB2044" s="236">
        <v>-4.8</v>
      </c>
      <c r="AC2044" s="127">
        <f t="shared" si="46"/>
        <v>-5</v>
      </c>
    </row>
    <row r="2045" ht="14.5" customHeight="1" spans="11:29" x14ac:dyDescent="0.25">
      <c r="K2045" s="128"/>
      <c r="X2045" s="234">
        <v>2022</v>
      </c>
      <c r="Y2045" s="234">
        <v>3</v>
      </c>
      <c r="Z2045" s="234">
        <v>27</v>
      </c>
      <c r="AA2045" s="235">
        <v>0.125</v>
      </c>
      <c r="AB2045" s="236">
        <v>-2.6</v>
      </c>
      <c r="AC2045" s="127">
        <f t="shared" si="46"/>
        <v>-3</v>
      </c>
    </row>
    <row r="2046" ht="14.5" customHeight="1" spans="11:29" x14ac:dyDescent="0.25">
      <c r="K2046" s="128"/>
      <c r="X2046" s="234">
        <v>2022</v>
      </c>
      <c r="Y2046" s="234">
        <v>3</v>
      </c>
      <c r="Z2046" s="234">
        <v>27</v>
      </c>
      <c r="AA2046" s="235">
        <v>0.16666666666787933</v>
      </c>
      <c r="AB2046" s="236">
        <v>-4.4</v>
      </c>
      <c r="AC2046" s="127">
        <f t="shared" si="46"/>
        <v>-4</v>
      </c>
    </row>
    <row r="2047" ht="14.5" customHeight="1" spans="11:29" x14ac:dyDescent="0.25">
      <c r="K2047" s="128"/>
      <c r="X2047" s="234">
        <v>2022</v>
      </c>
      <c r="Y2047" s="234">
        <v>3</v>
      </c>
      <c r="Z2047" s="234">
        <v>27</v>
      </c>
      <c r="AA2047" s="235">
        <v>0.20833333333212067</v>
      </c>
      <c r="AB2047" s="236">
        <v>-3.2</v>
      </c>
      <c r="AC2047" s="127">
        <f t="shared" si="46"/>
        <v>-3</v>
      </c>
    </row>
    <row r="2048" ht="14.5" customHeight="1" spans="11:29" x14ac:dyDescent="0.25">
      <c r="K2048" s="128"/>
      <c r="X2048" s="234">
        <v>2022</v>
      </c>
      <c r="Y2048" s="234">
        <v>3</v>
      </c>
      <c r="Z2048" s="234">
        <v>27</v>
      </c>
      <c r="AA2048" s="235">
        <v>0.25</v>
      </c>
      <c r="AB2048" s="236">
        <v>-3.3</v>
      </c>
      <c r="AC2048" s="127">
        <f t="shared" si="46"/>
        <v>-3</v>
      </c>
    </row>
    <row r="2049" ht="14.5" customHeight="1" spans="11:29" x14ac:dyDescent="0.25">
      <c r="K2049" s="128"/>
      <c r="X2049" s="234">
        <v>2022</v>
      </c>
      <c r="Y2049" s="234">
        <v>3</v>
      </c>
      <c r="Z2049" s="234">
        <v>27</v>
      </c>
      <c r="AA2049" s="235">
        <v>0.2916666666678793</v>
      </c>
      <c r="AB2049" s="236">
        <v>-3.2</v>
      </c>
      <c r="AC2049" s="127">
        <f t="shared" si="46"/>
        <v>-3</v>
      </c>
    </row>
    <row r="2050" ht="14.5" customHeight="1" spans="11:29" x14ac:dyDescent="0.25">
      <c r="K2050" s="128"/>
      <c r="X2050" s="234">
        <v>2022</v>
      </c>
      <c r="Y2050" s="234">
        <v>3</v>
      </c>
      <c r="Z2050" s="234">
        <v>27</v>
      </c>
      <c r="AA2050" s="235">
        <v>0.3333333333321207</v>
      </c>
      <c r="AB2050" s="236">
        <v>0.1</v>
      </c>
      <c r="AC2050" s="127">
        <f t="shared" si="46"/>
        <v>0</v>
      </c>
    </row>
    <row r="2051" ht="14.5" customHeight="1" spans="11:29" x14ac:dyDescent="0.25">
      <c r="K2051" s="128"/>
      <c r="X2051" s="234">
        <v>2022</v>
      </c>
      <c r="Y2051" s="234">
        <v>3</v>
      </c>
      <c r="Z2051" s="234">
        <v>27</v>
      </c>
      <c r="AA2051" s="235">
        <v>0.375</v>
      </c>
      <c r="AB2051" s="236">
        <v>3.5</v>
      </c>
      <c r="AC2051" s="127">
        <f t="shared" si="46"/>
        <v>4</v>
      </c>
    </row>
    <row r="2052" ht="14.5" customHeight="1" spans="11:29" x14ac:dyDescent="0.25">
      <c r="K2052" s="128"/>
      <c r="X2052" s="234">
        <v>2022</v>
      </c>
      <c r="Y2052" s="234">
        <v>3</v>
      </c>
      <c r="Z2052" s="234">
        <v>27</v>
      </c>
      <c r="AA2052" s="235">
        <v>0.4166666666678793</v>
      </c>
      <c r="AB2052" s="236">
        <v>6.1</v>
      </c>
      <c r="AC2052" s="127">
        <f t="shared" si="46"/>
        <v>6</v>
      </c>
    </row>
    <row r="2053" ht="14.5" customHeight="1" spans="11:29" x14ac:dyDescent="0.25">
      <c r="K2053" s="128"/>
      <c r="X2053" s="234">
        <v>2022</v>
      </c>
      <c r="Y2053" s="234">
        <v>3</v>
      </c>
      <c r="Z2053" s="234">
        <v>27</v>
      </c>
      <c r="AA2053" s="235">
        <v>0.4583333333321207</v>
      </c>
      <c r="AB2053" s="236">
        <v>8</v>
      </c>
      <c r="AC2053" s="127">
        <f t="shared" si="46"/>
        <v>8</v>
      </c>
    </row>
    <row r="2054" ht="14.5" customHeight="1" spans="11:29" x14ac:dyDescent="0.25">
      <c r="K2054" s="128"/>
      <c r="X2054" s="234">
        <v>2022</v>
      </c>
      <c r="Y2054" s="234">
        <v>3</v>
      </c>
      <c r="Z2054" s="234">
        <v>27</v>
      </c>
      <c r="AA2054" s="235">
        <v>0.5</v>
      </c>
      <c r="AB2054" s="236">
        <v>9.1</v>
      </c>
      <c r="AC2054" s="127">
        <f t="shared" si="46"/>
        <v>9</v>
      </c>
    </row>
    <row r="2055" ht="14.5" customHeight="1" spans="11:29" x14ac:dyDescent="0.25">
      <c r="K2055" s="128"/>
      <c r="X2055" s="234">
        <v>2022</v>
      </c>
      <c r="Y2055" s="234">
        <v>3</v>
      </c>
      <c r="Z2055" s="234">
        <v>27</v>
      </c>
      <c r="AA2055" s="235">
        <v>0.5416666666678793</v>
      </c>
      <c r="AB2055" s="236">
        <v>10.5</v>
      </c>
      <c r="AC2055" s="127">
        <f t="shared" si="46"/>
        <v>11</v>
      </c>
    </row>
    <row r="2056" ht="14.5" customHeight="1" spans="11:29" x14ac:dyDescent="0.25">
      <c r="K2056" s="128"/>
      <c r="X2056" s="234">
        <v>2022</v>
      </c>
      <c r="Y2056" s="234">
        <v>3</v>
      </c>
      <c r="Z2056" s="234">
        <v>27</v>
      </c>
      <c r="AA2056" s="235">
        <v>0.5833333333321207</v>
      </c>
      <c r="AB2056" s="236">
        <v>11.3</v>
      </c>
      <c r="AC2056" s="127">
        <f t="shared" si="46"/>
        <v>11</v>
      </c>
    </row>
    <row r="2057" ht="14.5" customHeight="1" spans="11:29" x14ac:dyDescent="0.25">
      <c r="K2057" s="128"/>
      <c r="X2057" s="234">
        <v>2022</v>
      </c>
      <c r="Y2057" s="234">
        <v>3</v>
      </c>
      <c r="Z2057" s="234">
        <v>27</v>
      </c>
      <c r="AA2057" s="235">
        <v>0.625</v>
      </c>
      <c r="AB2057" s="236">
        <v>13.8</v>
      </c>
      <c r="AC2057" s="127">
        <f t="shared" si="46"/>
        <v>14</v>
      </c>
    </row>
    <row r="2058" ht="14.5" customHeight="1" spans="11:29" x14ac:dyDescent="0.25">
      <c r="K2058" s="128"/>
      <c r="X2058" s="234">
        <v>2022</v>
      </c>
      <c r="Y2058" s="234">
        <v>3</v>
      </c>
      <c r="Z2058" s="234">
        <v>27</v>
      </c>
      <c r="AA2058" s="235">
        <v>0.6666666666678793</v>
      </c>
      <c r="AB2058" s="236">
        <v>13.8</v>
      </c>
      <c r="AC2058" s="127">
        <f t="shared" si="46"/>
        <v>14</v>
      </c>
    </row>
    <row r="2059" ht="14.5" customHeight="1" spans="11:29" x14ac:dyDescent="0.25">
      <c r="K2059" s="128"/>
      <c r="X2059" s="234">
        <v>2022</v>
      </c>
      <c r="Y2059" s="234">
        <v>3</v>
      </c>
      <c r="Z2059" s="234">
        <v>27</v>
      </c>
      <c r="AA2059" s="235">
        <v>0.7083333333321207</v>
      </c>
      <c r="AB2059" s="236">
        <v>14.1</v>
      </c>
      <c r="AC2059" s="127">
        <f t="shared" ref="AC2059:AC2122" si="47">ROUND(AB2059,0)</f>
        <v>14</v>
      </c>
    </row>
    <row r="2060" ht="14.5" customHeight="1" spans="11:29" x14ac:dyDescent="0.25">
      <c r="K2060" s="128"/>
      <c r="X2060" s="234">
        <v>2022</v>
      </c>
      <c r="Y2060" s="234">
        <v>3</v>
      </c>
      <c r="Z2060" s="234">
        <v>27</v>
      </c>
      <c r="AA2060" s="235">
        <v>0.75</v>
      </c>
      <c r="AB2060" s="236">
        <v>13.1</v>
      </c>
      <c r="AC2060" s="127">
        <f t="shared" si="47"/>
        <v>13</v>
      </c>
    </row>
    <row r="2061" ht="14.5" customHeight="1" spans="11:29" x14ac:dyDescent="0.25">
      <c r="K2061" s="128"/>
      <c r="X2061" s="234">
        <v>2022</v>
      </c>
      <c r="Y2061" s="234">
        <v>3</v>
      </c>
      <c r="Z2061" s="234">
        <v>27</v>
      </c>
      <c r="AA2061" s="235">
        <v>0.7916666666678793</v>
      </c>
      <c r="AB2061" s="236">
        <v>9.5</v>
      </c>
      <c r="AC2061" s="127">
        <f t="shared" si="47"/>
        <v>10</v>
      </c>
    </row>
    <row r="2062" ht="14.5" customHeight="1" spans="11:29" x14ac:dyDescent="0.25">
      <c r="K2062" s="128"/>
      <c r="X2062" s="234">
        <v>2022</v>
      </c>
      <c r="Y2062" s="234">
        <v>3</v>
      </c>
      <c r="Z2062" s="234">
        <v>27</v>
      </c>
      <c r="AA2062" s="235">
        <v>0.8333333333321207</v>
      </c>
      <c r="AB2062" s="236">
        <v>7.5</v>
      </c>
      <c r="AC2062" s="127">
        <f t="shared" si="47"/>
        <v>8</v>
      </c>
    </row>
    <row r="2063" ht="14.5" customHeight="1" spans="11:29" x14ac:dyDescent="0.25">
      <c r="K2063" s="128"/>
      <c r="X2063" s="234">
        <v>2022</v>
      </c>
      <c r="Y2063" s="234">
        <v>3</v>
      </c>
      <c r="Z2063" s="234">
        <v>27</v>
      </c>
      <c r="AA2063" s="235">
        <v>0.875</v>
      </c>
      <c r="AB2063" s="236">
        <v>3.5</v>
      </c>
      <c r="AC2063" s="127">
        <f t="shared" si="47"/>
        <v>4</v>
      </c>
    </row>
    <row r="2064" ht="14.5" customHeight="1" spans="11:29" x14ac:dyDescent="0.25">
      <c r="K2064" s="128"/>
      <c r="X2064" s="234">
        <v>2022</v>
      </c>
      <c r="Y2064" s="234">
        <v>3</v>
      </c>
      <c r="Z2064" s="234">
        <v>27</v>
      </c>
      <c r="AA2064" s="235">
        <v>0.9166666666678793</v>
      </c>
      <c r="AB2064" s="236">
        <v>1.4</v>
      </c>
      <c r="AC2064" s="127">
        <f t="shared" si="47"/>
        <v>1</v>
      </c>
    </row>
    <row r="2065" ht="14.5" customHeight="1" spans="11:29" x14ac:dyDescent="0.25">
      <c r="K2065" s="128"/>
      <c r="X2065" s="234">
        <v>2022</v>
      </c>
      <c r="Y2065" s="234">
        <v>3</v>
      </c>
      <c r="Z2065" s="234">
        <v>27</v>
      </c>
      <c r="AA2065" s="235">
        <v>0.9583333333321207</v>
      </c>
      <c r="AB2065" s="236">
        <v>0.3</v>
      </c>
      <c r="AC2065" s="127">
        <f t="shared" si="47"/>
        <v>0</v>
      </c>
    </row>
    <row r="2066" ht="14.5" customHeight="1" spans="11:29" x14ac:dyDescent="0.25">
      <c r="K2066" s="128"/>
      <c r="X2066" s="234">
        <v>2022</v>
      </c>
      <c r="Y2066" s="234">
        <v>3</v>
      </c>
      <c r="Z2066" s="234">
        <v>28</v>
      </c>
      <c r="AA2066" s="235">
        <v>0</v>
      </c>
      <c r="AB2066" s="236">
        <v>-0.7</v>
      </c>
      <c r="AC2066" s="127">
        <f t="shared" si="47"/>
        <v>-1</v>
      </c>
    </row>
    <row r="2067" ht="14.5" customHeight="1" spans="11:29" x14ac:dyDescent="0.25">
      <c r="K2067" s="128"/>
      <c r="X2067" s="234">
        <v>2022</v>
      </c>
      <c r="Y2067" s="234">
        <v>3</v>
      </c>
      <c r="Z2067" s="234">
        <v>28</v>
      </c>
      <c r="AA2067" s="235">
        <v>0.041666666667879326</v>
      </c>
      <c r="AB2067" s="236">
        <v>-1.3</v>
      </c>
      <c r="AC2067" s="127">
        <f t="shared" si="47"/>
        <v>-1</v>
      </c>
    </row>
    <row r="2068" ht="14.5" customHeight="1" spans="11:29" x14ac:dyDescent="0.25">
      <c r="K2068" s="128"/>
      <c r="X2068" s="234">
        <v>2022</v>
      </c>
      <c r="Y2068" s="234">
        <v>3</v>
      </c>
      <c r="Z2068" s="234">
        <v>28</v>
      </c>
      <c r="AA2068" s="235">
        <v>0.08333333333212067</v>
      </c>
      <c r="AB2068" s="236">
        <v>-1.1</v>
      </c>
      <c r="AC2068" s="127">
        <f t="shared" si="47"/>
        <v>-1</v>
      </c>
    </row>
    <row r="2069" ht="14.5" customHeight="1" spans="11:29" x14ac:dyDescent="0.25">
      <c r="K2069" s="128"/>
      <c r="X2069" s="234">
        <v>2022</v>
      </c>
      <c r="Y2069" s="234">
        <v>3</v>
      </c>
      <c r="Z2069" s="234">
        <v>28</v>
      </c>
      <c r="AA2069" s="235">
        <v>0.125</v>
      </c>
      <c r="AB2069" s="236">
        <v>-1.2</v>
      </c>
      <c r="AC2069" s="127">
        <f t="shared" si="47"/>
        <v>-1</v>
      </c>
    </row>
    <row r="2070" ht="14.5" customHeight="1" spans="11:29" x14ac:dyDescent="0.25">
      <c r="K2070" s="128"/>
      <c r="X2070" s="234">
        <v>2022</v>
      </c>
      <c r="Y2070" s="234">
        <v>3</v>
      </c>
      <c r="Z2070" s="234">
        <v>28</v>
      </c>
      <c r="AA2070" s="235">
        <v>0.16666666666787933</v>
      </c>
      <c r="AB2070" s="236">
        <v>-1.6</v>
      </c>
      <c r="AC2070" s="127">
        <f t="shared" si="47"/>
        <v>-2</v>
      </c>
    </row>
    <row r="2071" ht="14.5" customHeight="1" spans="11:29" x14ac:dyDescent="0.25">
      <c r="K2071" s="128"/>
      <c r="X2071" s="234">
        <v>2022</v>
      </c>
      <c r="Y2071" s="234">
        <v>3</v>
      </c>
      <c r="Z2071" s="234">
        <v>28</v>
      </c>
      <c r="AA2071" s="235">
        <v>0.20833333333212067</v>
      </c>
      <c r="AB2071" s="236">
        <v>-2</v>
      </c>
      <c r="AC2071" s="127">
        <f t="shared" si="47"/>
        <v>-2</v>
      </c>
    </row>
    <row r="2072" ht="14.5" customHeight="1" spans="11:29" x14ac:dyDescent="0.25">
      <c r="K2072" s="128"/>
      <c r="X2072" s="234">
        <v>2022</v>
      </c>
      <c r="Y2072" s="234">
        <v>3</v>
      </c>
      <c r="Z2072" s="234">
        <v>28</v>
      </c>
      <c r="AA2072" s="235">
        <v>0.25</v>
      </c>
      <c r="AB2072" s="236">
        <v>-2.5</v>
      </c>
      <c r="AC2072" s="127">
        <f t="shared" si="47"/>
        <v>-3</v>
      </c>
    </row>
    <row r="2073" ht="14.5" customHeight="1" spans="11:29" x14ac:dyDescent="0.25">
      <c r="K2073" s="128"/>
      <c r="X2073" s="234">
        <v>2022</v>
      </c>
      <c r="Y2073" s="234">
        <v>3</v>
      </c>
      <c r="Z2073" s="234">
        <v>28</v>
      </c>
      <c r="AA2073" s="235">
        <v>0.2916666666678793</v>
      </c>
      <c r="AB2073" s="236">
        <v>-2.6</v>
      </c>
      <c r="AC2073" s="127">
        <f t="shared" si="47"/>
        <v>-3</v>
      </c>
    </row>
    <row r="2074" ht="14.5" customHeight="1" spans="11:29" x14ac:dyDescent="0.25">
      <c r="K2074" s="128"/>
      <c r="X2074" s="234">
        <v>2022</v>
      </c>
      <c r="Y2074" s="234">
        <v>3</v>
      </c>
      <c r="Z2074" s="234">
        <v>28</v>
      </c>
      <c r="AA2074" s="235">
        <v>0.3333333333321207</v>
      </c>
      <c r="AB2074" s="236">
        <v>-1.8</v>
      </c>
      <c r="AC2074" s="127">
        <f t="shared" si="47"/>
        <v>-2</v>
      </c>
    </row>
    <row r="2075" ht="14.5" customHeight="1" spans="11:29" x14ac:dyDescent="0.25">
      <c r="K2075" s="128"/>
      <c r="X2075" s="234">
        <v>2022</v>
      </c>
      <c r="Y2075" s="234">
        <v>3</v>
      </c>
      <c r="Z2075" s="234">
        <v>28</v>
      </c>
      <c r="AA2075" s="235">
        <v>0.375</v>
      </c>
      <c r="AB2075" s="236">
        <v>-1.1</v>
      </c>
      <c r="AC2075" s="127">
        <f t="shared" si="47"/>
        <v>-1</v>
      </c>
    </row>
    <row r="2076" ht="14.5" customHeight="1" spans="11:29" x14ac:dyDescent="0.25">
      <c r="K2076" s="128"/>
      <c r="X2076" s="234">
        <v>2022</v>
      </c>
      <c r="Y2076" s="234">
        <v>3</v>
      </c>
      <c r="Z2076" s="234">
        <v>28</v>
      </c>
      <c r="AA2076" s="235">
        <v>0.4166666666678793</v>
      </c>
      <c r="AB2076" s="236">
        <v>-0.4</v>
      </c>
      <c r="AC2076" s="127">
        <f t="shared" si="47"/>
        <v>0</v>
      </c>
    </row>
    <row r="2077" ht="14.5" customHeight="1" spans="11:29" x14ac:dyDescent="0.25">
      <c r="K2077" s="128"/>
      <c r="X2077" s="234">
        <v>2022</v>
      </c>
      <c r="Y2077" s="234">
        <v>3</v>
      </c>
      <c r="Z2077" s="234">
        <v>28</v>
      </c>
      <c r="AA2077" s="235">
        <v>0.4583333333321207</v>
      </c>
      <c r="AB2077" s="236">
        <v>0.1</v>
      </c>
      <c r="AC2077" s="127">
        <f t="shared" si="47"/>
        <v>0</v>
      </c>
    </row>
    <row r="2078" ht="14.5" customHeight="1" spans="11:29" x14ac:dyDescent="0.25">
      <c r="K2078" s="128"/>
      <c r="X2078" s="234">
        <v>2022</v>
      </c>
      <c r="Y2078" s="234">
        <v>3</v>
      </c>
      <c r="Z2078" s="234">
        <v>28</v>
      </c>
      <c r="AA2078" s="235">
        <v>0.5</v>
      </c>
      <c r="AB2078" s="236">
        <v>-0.2</v>
      </c>
      <c r="AC2078" s="127">
        <f t="shared" si="47"/>
        <v>0</v>
      </c>
    </row>
    <row r="2079" ht="14.5" customHeight="1" spans="11:29" x14ac:dyDescent="0.25">
      <c r="K2079" s="128"/>
      <c r="X2079" s="234">
        <v>2022</v>
      </c>
      <c r="Y2079" s="234">
        <v>3</v>
      </c>
      <c r="Z2079" s="234">
        <v>28</v>
      </c>
      <c r="AA2079" s="235">
        <v>0.5416666666678793</v>
      </c>
      <c r="AB2079" s="236">
        <v>0</v>
      </c>
      <c r="AC2079" s="127">
        <f t="shared" si="47"/>
        <v>0</v>
      </c>
    </row>
    <row r="2080" ht="14.5" customHeight="1" spans="11:29" x14ac:dyDescent="0.25">
      <c r="K2080" s="128"/>
      <c r="X2080" s="234">
        <v>2022</v>
      </c>
      <c r="Y2080" s="234">
        <v>3</v>
      </c>
      <c r="Z2080" s="234">
        <v>28</v>
      </c>
      <c r="AA2080" s="235">
        <v>0.5833333333321207</v>
      </c>
      <c r="AB2080" s="236">
        <v>0.8</v>
      </c>
      <c r="AC2080" s="127">
        <f t="shared" si="47"/>
        <v>1</v>
      </c>
    </row>
    <row r="2081" ht="14.5" customHeight="1" spans="11:29" x14ac:dyDescent="0.25">
      <c r="K2081" s="128"/>
      <c r="X2081" s="234">
        <v>2022</v>
      </c>
      <c r="Y2081" s="234">
        <v>3</v>
      </c>
      <c r="Z2081" s="234">
        <v>28</v>
      </c>
      <c r="AA2081" s="235">
        <v>0.625</v>
      </c>
      <c r="AB2081" s="236">
        <v>2</v>
      </c>
      <c r="AC2081" s="127">
        <f t="shared" si="47"/>
        <v>2</v>
      </c>
    </row>
    <row r="2082" ht="14.5" customHeight="1" spans="11:29" x14ac:dyDescent="0.25">
      <c r="K2082" s="128"/>
      <c r="X2082" s="234">
        <v>2022</v>
      </c>
      <c r="Y2082" s="234">
        <v>3</v>
      </c>
      <c r="Z2082" s="234">
        <v>28</v>
      </c>
      <c r="AA2082" s="235">
        <v>0.6666666666678793</v>
      </c>
      <c r="AB2082" s="236">
        <v>2.6</v>
      </c>
      <c r="AC2082" s="127">
        <f t="shared" si="47"/>
        <v>3</v>
      </c>
    </row>
    <row r="2083" ht="14.5" customHeight="1" spans="11:29" x14ac:dyDescent="0.25">
      <c r="K2083" s="128"/>
      <c r="X2083" s="234">
        <v>2022</v>
      </c>
      <c r="Y2083" s="234">
        <v>3</v>
      </c>
      <c r="Z2083" s="234">
        <v>28</v>
      </c>
      <c r="AA2083" s="235">
        <v>0.7083333333321207</v>
      </c>
      <c r="AB2083" s="236">
        <v>2.3</v>
      </c>
      <c r="AC2083" s="127">
        <f t="shared" si="47"/>
        <v>2</v>
      </c>
    </row>
    <row r="2084" ht="14.5" customHeight="1" spans="11:29" x14ac:dyDescent="0.25">
      <c r="K2084" s="128"/>
      <c r="X2084" s="234">
        <v>2022</v>
      </c>
      <c r="Y2084" s="234">
        <v>3</v>
      </c>
      <c r="Z2084" s="234">
        <v>28</v>
      </c>
      <c r="AA2084" s="235">
        <v>0.75</v>
      </c>
      <c r="AB2084" s="236">
        <v>0.9</v>
      </c>
      <c r="AC2084" s="127">
        <f t="shared" si="47"/>
        <v>1</v>
      </c>
    </row>
    <row r="2085" ht="14.5" customHeight="1" spans="11:29" x14ac:dyDescent="0.25">
      <c r="K2085" s="128"/>
      <c r="X2085" s="234">
        <v>2022</v>
      </c>
      <c r="Y2085" s="234">
        <v>3</v>
      </c>
      <c r="Z2085" s="234">
        <v>28</v>
      </c>
      <c r="AA2085" s="235">
        <v>0.7916666666678793</v>
      </c>
      <c r="AB2085" s="236">
        <v>0.2</v>
      </c>
      <c r="AC2085" s="127">
        <f t="shared" si="47"/>
        <v>0</v>
      </c>
    </row>
    <row r="2086" ht="14.5" customHeight="1" spans="11:29" x14ac:dyDescent="0.25">
      <c r="K2086" s="128"/>
      <c r="X2086" s="234">
        <v>2022</v>
      </c>
      <c r="Y2086" s="234">
        <v>3</v>
      </c>
      <c r="Z2086" s="234">
        <v>28</v>
      </c>
      <c r="AA2086" s="235">
        <v>0.8333333333321207</v>
      </c>
      <c r="AB2086" s="236">
        <v>-1.3</v>
      </c>
      <c r="AC2086" s="127">
        <f t="shared" si="47"/>
        <v>-1</v>
      </c>
    </row>
    <row r="2087" ht="14.5" customHeight="1" spans="11:29" x14ac:dyDescent="0.25">
      <c r="K2087" s="128"/>
      <c r="X2087" s="234">
        <v>2022</v>
      </c>
      <c r="Y2087" s="234">
        <v>3</v>
      </c>
      <c r="Z2087" s="234">
        <v>28</v>
      </c>
      <c r="AA2087" s="235">
        <v>0.875</v>
      </c>
      <c r="AB2087" s="236">
        <v>-1.4</v>
      </c>
      <c r="AC2087" s="127">
        <f t="shared" si="47"/>
        <v>-1</v>
      </c>
    </row>
    <row r="2088" ht="14.5" customHeight="1" spans="11:29" x14ac:dyDescent="0.25">
      <c r="K2088" s="128"/>
      <c r="X2088" s="234">
        <v>2022</v>
      </c>
      <c r="Y2088" s="234">
        <v>3</v>
      </c>
      <c r="Z2088" s="234">
        <v>28</v>
      </c>
      <c r="AA2088" s="235">
        <v>0.9166666666678793</v>
      </c>
      <c r="AB2088" s="236">
        <v>-1.5</v>
      </c>
      <c r="AC2088" s="127">
        <f t="shared" si="47"/>
        <v>-2</v>
      </c>
    </row>
    <row r="2089" ht="14.5" customHeight="1" spans="11:29" x14ac:dyDescent="0.25">
      <c r="K2089" s="128"/>
      <c r="X2089" s="234">
        <v>2022</v>
      </c>
      <c r="Y2089" s="234">
        <v>3</v>
      </c>
      <c r="Z2089" s="234">
        <v>28</v>
      </c>
      <c r="AA2089" s="235">
        <v>0.9583333333321207</v>
      </c>
      <c r="AB2089" s="236">
        <v>-1.8</v>
      </c>
      <c r="AC2089" s="127">
        <f t="shared" si="47"/>
        <v>-2</v>
      </c>
    </row>
    <row r="2090" ht="14.5" customHeight="1" spans="11:29" x14ac:dyDescent="0.25">
      <c r="K2090" s="128"/>
      <c r="X2090" s="234">
        <v>2022</v>
      </c>
      <c r="Y2090" s="234">
        <v>3</v>
      </c>
      <c r="Z2090" s="234">
        <v>29</v>
      </c>
      <c r="AA2090" s="235">
        <v>0</v>
      </c>
      <c r="AB2090" s="236">
        <v>-2.5</v>
      </c>
      <c r="AC2090" s="127">
        <f t="shared" si="47"/>
        <v>-3</v>
      </c>
    </row>
    <row r="2091" ht="14.5" customHeight="1" spans="11:29" x14ac:dyDescent="0.25">
      <c r="K2091" s="128"/>
      <c r="X2091" s="234">
        <v>2022</v>
      </c>
      <c r="Y2091" s="234">
        <v>3</v>
      </c>
      <c r="Z2091" s="234">
        <v>29</v>
      </c>
      <c r="AA2091" s="235">
        <v>0.041666666667879326</v>
      </c>
      <c r="AB2091" s="236">
        <v>-1.5</v>
      </c>
      <c r="AC2091" s="127">
        <f t="shared" si="47"/>
        <v>-2</v>
      </c>
    </row>
    <row r="2092" ht="14.5" customHeight="1" spans="11:29" x14ac:dyDescent="0.25">
      <c r="K2092" s="128"/>
      <c r="X2092" s="234">
        <v>2022</v>
      </c>
      <c r="Y2092" s="234">
        <v>3</v>
      </c>
      <c r="Z2092" s="234">
        <v>29</v>
      </c>
      <c r="AA2092" s="235">
        <v>0.08333333333212067</v>
      </c>
      <c r="AB2092" s="236">
        <v>-2.7</v>
      </c>
      <c r="AC2092" s="127">
        <f t="shared" si="47"/>
        <v>-3</v>
      </c>
    </row>
    <row r="2093" ht="14.5" customHeight="1" spans="11:29" x14ac:dyDescent="0.25">
      <c r="K2093" s="128"/>
      <c r="X2093" s="234">
        <v>2022</v>
      </c>
      <c r="Y2093" s="234">
        <v>3</v>
      </c>
      <c r="Z2093" s="234">
        <v>29</v>
      </c>
      <c r="AA2093" s="235">
        <v>0.125</v>
      </c>
      <c r="AB2093" s="236">
        <v>-5</v>
      </c>
      <c r="AC2093" s="127">
        <f t="shared" si="47"/>
        <v>-5</v>
      </c>
    </row>
    <row r="2094" ht="14.5" customHeight="1" spans="11:29" x14ac:dyDescent="0.25">
      <c r="K2094" s="128"/>
      <c r="X2094" s="234">
        <v>2022</v>
      </c>
      <c r="Y2094" s="234">
        <v>3</v>
      </c>
      <c r="Z2094" s="234">
        <v>29</v>
      </c>
      <c r="AA2094" s="235">
        <v>0.16666666666787933</v>
      </c>
      <c r="AB2094" s="236">
        <v>-4.8</v>
      </c>
      <c r="AC2094" s="127">
        <f t="shared" si="47"/>
        <v>-5</v>
      </c>
    </row>
    <row r="2095" ht="14.5" customHeight="1" spans="11:29" x14ac:dyDescent="0.25">
      <c r="K2095" s="128"/>
      <c r="X2095" s="234">
        <v>2022</v>
      </c>
      <c r="Y2095" s="234">
        <v>3</v>
      </c>
      <c r="Z2095" s="234">
        <v>29</v>
      </c>
      <c r="AA2095" s="235">
        <v>0.20833333333212067</v>
      </c>
      <c r="AB2095" s="236">
        <v>-5.9</v>
      </c>
      <c r="AC2095" s="127">
        <f t="shared" si="47"/>
        <v>-6</v>
      </c>
    </row>
    <row r="2096" ht="14.5" customHeight="1" spans="11:29" x14ac:dyDescent="0.25">
      <c r="K2096" s="128"/>
      <c r="X2096" s="234">
        <v>2022</v>
      </c>
      <c r="Y2096" s="234">
        <v>3</v>
      </c>
      <c r="Z2096" s="234">
        <v>29</v>
      </c>
      <c r="AA2096" s="235">
        <v>0.25</v>
      </c>
      <c r="AB2096" s="236">
        <v>-6.6</v>
      </c>
      <c r="AC2096" s="127">
        <f t="shared" si="47"/>
        <v>-7</v>
      </c>
    </row>
    <row r="2097" ht="14.5" customHeight="1" spans="11:29" x14ac:dyDescent="0.25">
      <c r="K2097" s="128"/>
      <c r="X2097" s="234">
        <v>2022</v>
      </c>
      <c r="Y2097" s="234">
        <v>3</v>
      </c>
      <c r="Z2097" s="234">
        <v>29</v>
      </c>
      <c r="AA2097" s="235">
        <v>0.2916666666678793</v>
      </c>
      <c r="AB2097" s="236">
        <v>-6.2</v>
      </c>
      <c r="AC2097" s="127">
        <f t="shared" si="47"/>
        <v>-6</v>
      </c>
    </row>
    <row r="2098" ht="14.5" customHeight="1" spans="11:29" x14ac:dyDescent="0.25">
      <c r="K2098" s="128"/>
      <c r="X2098" s="234">
        <v>2022</v>
      </c>
      <c r="Y2098" s="234">
        <v>3</v>
      </c>
      <c r="Z2098" s="234">
        <v>29</v>
      </c>
      <c r="AA2098" s="235">
        <v>0.3333333333321207</v>
      </c>
      <c r="AB2098" s="236">
        <v>-2.8</v>
      </c>
      <c r="AC2098" s="127">
        <f t="shared" si="47"/>
        <v>-3</v>
      </c>
    </row>
    <row r="2099" ht="14.5" customHeight="1" spans="11:29" x14ac:dyDescent="0.25">
      <c r="K2099" s="128"/>
      <c r="X2099" s="234">
        <v>2022</v>
      </c>
      <c r="Y2099" s="234">
        <v>3</v>
      </c>
      <c r="Z2099" s="234">
        <v>29</v>
      </c>
      <c r="AA2099" s="235">
        <v>0.375</v>
      </c>
      <c r="AB2099" s="236">
        <v>0.4</v>
      </c>
      <c r="AC2099" s="127">
        <f t="shared" si="47"/>
        <v>0</v>
      </c>
    </row>
    <row r="2100" ht="14.5" customHeight="1" spans="11:29" x14ac:dyDescent="0.25">
      <c r="K2100" s="128"/>
      <c r="X2100" s="234">
        <v>2022</v>
      </c>
      <c r="Y2100" s="234">
        <v>3</v>
      </c>
      <c r="Z2100" s="234">
        <v>29</v>
      </c>
      <c r="AA2100" s="235">
        <v>0.4166666666678793</v>
      </c>
      <c r="AB2100" s="236">
        <v>2</v>
      </c>
      <c r="AC2100" s="127">
        <f t="shared" si="47"/>
        <v>2</v>
      </c>
    </row>
    <row r="2101" ht="14.5" customHeight="1" spans="11:29" x14ac:dyDescent="0.25">
      <c r="K2101" s="128"/>
      <c r="X2101" s="234">
        <v>2022</v>
      </c>
      <c r="Y2101" s="234">
        <v>3</v>
      </c>
      <c r="Z2101" s="234">
        <v>29</v>
      </c>
      <c r="AA2101" s="235">
        <v>0.4583333333321207</v>
      </c>
      <c r="AB2101" s="236">
        <v>3.4</v>
      </c>
      <c r="AC2101" s="127">
        <f t="shared" si="47"/>
        <v>3</v>
      </c>
    </row>
    <row r="2102" ht="14.5" customHeight="1" spans="11:29" x14ac:dyDescent="0.25">
      <c r="K2102" s="128"/>
      <c r="X2102" s="234">
        <v>2022</v>
      </c>
      <c r="Y2102" s="234">
        <v>3</v>
      </c>
      <c r="Z2102" s="234">
        <v>29</v>
      </c>
      <c r="AA2102" s="235">
        <v>0.5</v>
      </c>
      <c r="AB2102" s="236">
        <v>5</v>
      </c>
      <c r="AC2102" s="127">
        <f t="shared" si="47"/>
        <v>5</v>
      </c>
    </row>
    <row r="2103" ht="14.5" customHeight="1" spans="11:29" x14ac:dyDescent="0.25">
      <c r="K2103" s="128"/>
      <c r="X2103" s="234">
        <v>2022</v>
      </c>
      <c r="Y2103" s="234">
        <v>3</v>
      </c>
      <c r="Z2103" s="234">
        <v>29</v>
      </c>
      <c r="AA2103" s="235">
        <v>0.5416666666678793</v>
      </c>
      <c r="AB2103" s="236">
        <v>6</v>
      </c>
      <c r="AC2103" s="127">
        <f t="shared" si="47"/>
        <v>6</v>
      </c>
    </row>
    <row r="2104" ht="14.5" customHeight="1" spans="11:29" x14ac:dyDescent="0.25">
      <c r="K2104" s="128"/>
      <c r="X2104" s="234">
        <v>2022</v>
      </c>
      <c r="Y2104" s="234">
        <v>3</v>
      </c>
      <c r="Z2104" s="234">
        <v>29</v>
      </c>
      <c r="AA2104" s="235">
        <v>0.5833333333321207</v>
      </c>
      <c r="AB2104" s="236">
        <v>7.8</v>
      </c>
      <c r="AC2104" s="127">
        <f t="shared" si="47"/>
        <v>8</v>
      </c>
    </row>
    <row r="2105" ht="14.5" customHeight="1" spans="11:29" x14ac:dyDescent="0.25">
      <c r="K2105" s="128"/>
      <c r="X2105" s="234">
        <v>2022</v>
      </c>
      <c r="Y2105" s="234">
        <v>3</v>
      </c>
      <c r="Z2105" s="234">
        <v>29</v>
      </c>
      <c r="AA2105" s="235">
        <v>0.625</v>
      </c>
      <c r="AB2105" s="236">
        <v>8.6</v>
      </c>
      <c r="AC2105" s="127">
        <f t="shared" si="47"/>
        <v>9</v>
      </c>
    </row>
    <row r="2106" ht="14.5" customHeight="1" spans="11:29" x14ac:dyDescent="0.25">
      <c r="K2106" s="128"/>
      <c r="X2106" s="234">
        <v>2022</v>
      </c>
      <c r="Y2106" s="234">
        <v>3</v>
      </c>
      <c r="Z2106" s="234">
        <v>29</v>
      </c>
      <c r="AA2106" s="235">
        <v>0.6666666666678793</v>
      </c>
      <c r="AB2106" s="236">
        <v>9.3</v>
      </c>
      <c r="AC2106" s="127">
        <f t="shared" si="47"/>
        <v>9</v>
      </c>
    </row>
    <row r="2107" ht="14.5" customHeight="1" spans="11:29" x14ac:dyDescent="0.25">
      <c r="K2107" s="128"/>
      <c r="X2107" s="234">
        <v>2022</v>
      </c>
      <c r="Y2107" s="234">
        <v>3</v>
      </c>
      <c r="Z2107" s="234">
        <v>29</v>
      </c>
      <c r="AA2107" s="235">
        <v>0.7083333333321207</v>
      </c>
      <c r="AB2107" s="236">
        <v>9.4</v>
      </c>
      <c r="AC2107" s="127">
        <f t="shared" si="47"/>
        <v>9</v>
      </c>
    </row>
    <row r="2108" ht="14.5" customHeight="1" spans="11:29" x14ac:dyDescent="0.25">
      <c r="K2108" s="128"/>
      <c r="X2108" s="234">
        <v>2022</v>
      </c>
      <c r="Y2108" s="234">
        <v>3</v>
      </c>
      <c r="Z2108" s="234">
        <v>29</v>
      </c>
      <c r="AA2108" s="235">
        <v>0.75</v>
      </c>
      <c r="AB2108" s="236">
        <v>8.6</v>
      </c>
      <c r="AC2108" s="127">
        <f t="shared" si="47"/>
        <v>9</v>
      </c>
    </row>
    <row r="2109" ht="14.5" customHeight="1" spans="11:29" x14ac:dyDescent="0.25">
      <c r="K2109" s="128"/>
      <c r="X2109" s="234">
        <v>2022</v>
      </c>
      <c r="Y2109" s="234">
        <v>3</v>
      </c>
      <c r="Z2109" s="234">
        <v>29</v>
      </c>
      <c r="AA2109" s="235">
        <v>0.7916666666678793</v>
      </c>
      <c r="AB2109" s="236">
        <v>5.9</v>
      </c>
      <c r="AC2109" s="127">
        <f t="shared" si="47"/>
        <v>6</v>
      </c>
    </row>
    <row r="2110" ht="14.5" customHeight="1" spans="11:29" x14ac:dyDescent="0.25">
      <c r="K2110" s="128"/>
      <c r="X2110" s="234">
        <v>2022</v>
      </c>
      <c r="Y2110" s="234">
        <v>3</v>
      </c>
      <c r="Z2110" s="234">
        <v>29</v>
      </c>
      <c r="AA2110" s="235">
        <v>0.8333333333321207</v>
      </c>
      <c r="AB2110" s="236">
        <v>3.9</v>
      </c>
      <c r="AC2110" s="127">
        <f t="shared" si="47"/>
        <v>4</v>
      </c>
    </row>
    <row r="2111" ht="14.5" customHeight="1" spans="11:29" x14ac:dyDescent="0.25">
      <c r="K2111" s="128"/>
      <c r="X2111" s="234">
        <v>2022</v>
      </c>
      <c r="Y2111" s="234">
        <v>3</v>
      </c>
      <c r="Z2111" s="234">
        <v>29</v>
      </c>
      <c r="AA2111" s="235">
        <v>0.875</v>
      </c>
      <c r="AB2111" s="236">
        <v>4.4</v>
      </c>
      <c r="AC2111" s="127">
        <f t="shared" si="47"/>
        <v>4</v>
      </c>
    </row>
    <row r="2112" ht="14.5" customHeight="1" spans="11:29" x14ac:dyDescent="0.25">
      <c r="K2112" s="128"/>
      <c r="X2112" s="234">
        <v>2022</v>
      </c>
      <c r="Y2112" s="234">
        <v>3</v>
      </c>
      <c r="Z2112" s="234">
        <v>29</v>
      </c>
      <c r="AA2112" s="235">
        <v>0.9166666666678793</v>
      </c>
      <c r="AB2112" s="236">
        <v>3.1</v>
      </c>
      <c r="AC2112" s="127">
        <f t="shared" si="47"/>
        <v>3</v>
      </c>
    </row>
    <row r="2113" ht="14.5" customHeight="1" spans="11:29" x14ac:dyDescent="0.25">
      <c r="K2113" s="128"/>
      <c r="X2113" s="234">
        <v>2022</v>
      </c>
      <c r="Y2113" s="234">
        <v>3</v>
      </c>
      <c r="Z2113" s="234">
        <v>29</v>
      </c>
      <c r="AA2113" s="235">
        <v>0.9583333333321207</v>
      </c>
      <c r="AB2113" s="236">
        <v>1.6</v>
      </c>
      <c r="AC2113" s="127">
        <f t="shared" si="47"/>
        <v>2</v>
      </c>
    </row>
    <row r="2114" ht="14.5" customHeight="1" spans="11:29" x14ac:dyDescent="0.25">
      <c r="K2114" s="128"/>
      <c r="X2114" s="234">
        <v>2022</v>
      </c>
      <c r="Y2114" s="234">
        <v>3</v>
      </c>
      <c r="Z2114" s="234">
        <v>30</v>
      </c>
      <c r="AA2114" s="235">
        <v>0</v>
      </c>
      <c r="AB2114" s="236">
        <v>0</v>
      </c>
      <c r="AC2114" s="127">
        <f t="shared" si="47"/>
        <v>0</v>
      </c>
    </row>
    <row r="2115" ht="14.5" customHeight="1" spans="11:29" x14ac:dyDescent="0.25">
      <c r="K2115" s="128"/>
      <c r="X2115" s="234">
        <v>2022</v>
      </c>
      <c r="Y2115" s="234">
        <v>3</v>
      </c>
      <c r="Z2115" s="234">
        <v>30</v>
      </c>
      <c r="AA2115" s="235">
        <v>0.041666666667879326</v>
      </c>
      <c r="AB2115" s="236">
        <v>-1</v>
      </c>
      <c r="AC2115" s="127">
        <f t="shared" si="47"/>
        <v>-1</v>
      </c>
    </row>
    <row r="2116" ht="14.5" customHeight="1" spans="11:29" x14ac:dyDescent="0.25">
      <c r="K2116" s="128"/>
      <c r="X2116" s="234">
        <v>2022</v>
      </c>
      <c r="Y2116" s="234">
        <v>3</v>
      </c>
      <c r="Z2116" s="234">
        <v>30</v>
      </c>
      <c r="AA2116" s="235">
        <v>0.08333333333212067</v>
      </c>
      <c r="AB2116" s="236">
        <v>-1.5</v>
      </c>
      <c r="AC2116" s="127">
        <f t="shared" si="47"/>
        <v>-2</v>
      </c>
    </row>
    <row r="2117" ht="14.5" customHeight="1" spans="11:29" x14ac:dyDescent="0.25">
      <c r="K2117" s="128"/>
      <c r="X2117" s="234">
        <v>2022</v>
      </c>
      <c r="Y2117" s="234">
        <v>3</v>
      </c>
      <c r="Z2117" s="234">
        <v>30</v>
      </c>
      <c r="AA2117" s="235">
        <v>0.125</v>
      </c>
      <c r="AB2117" s="236">
        <v>-2.3</v>
      </c>
      <c r="AC2117" s="127">
        <f t="shared" si="47"/>
        <v>-2</v>
      </c>
    </row>
    <row r="2118" ht="14.5" customHeight="1" spans="11:29" x14ac:dyDescent="0.25">
      <c r="K2118" s="128"/>
      <c r="X2118" s="234">
        <v>2022</v>
      </c>
      <c r="Y2118" s="234">
        <v>3</v>
      </c>
      <c r="Z2118" s="234">
        <v>30</v>
      </c>
      <c r="AA2118" s="235">
        <v>0.16666666666787933</v>
      </c>
      <c r="AB2118" s="236">
        <v>-1.7</v>
      </c>
      <c r="AC2118" s="127">
        <f t="shared" si="47"/>
        <v>-2</v>
      </c>
    </row>
    <row r="2119" ht="14.5" customHeight="1" spans="11:29" x14ac:dyDescent="0.25">
      <c r="K2119" s="128"/>
      <c r="X2119" s="234">
        <v>2022</v>
      </c>
      <c r="Y2119" s="234">
        <v>3</v>
      </c>
      <c r="Z2119" s="234">
        <v>30</v>
      </c>
      <c r="AA2119" s="235">
        <v>0.20833333333212067</v>
      </c>
      <c r="AB2119" s="236">
        <v>-1.3</v>
      </c>
      <c r="AC2119" s="127">
        <f t="shared" si="47"/>
        <v>-1</v>
      </c>
    </row>
    <row r="2120" ht="14.5" customHeight="1" spans="11:29" x14ac:dyDescent="0.25">
      <c r="K2120" s="128"/>
      <c r="X2120" s="234">
        <v>2022</v>
      </c>
      <c r="Y2120" s="234">
        <v>3</v>
      </c>
      <c r="Z2120" s="234">
        <v>30</v>
      </c>
      <c r="AA2120" s="235">
        <v>0.25</v>
      </c>
      <c r="AB2120" s="236">
        <v>-3.3</v>
      </c>
      <c r="AC2120" s="127">
        <f t="shared" si="47"/>
        <v>-3</v>
      </c>
    </row>
    <row r="2121" ht="14.5" customHeight="1" spans="11:29" x14ac:dyDescent="0.25">
      <c r="K2121" s="128"/>
      <c r="X2121" s="234">
        <v>2022</v>
      </c>
      <c r="Y2121" s="234">
        <v>3</v>
      </c>
      <c r="Z2121" s="234">
        <v>30</v>
      </c>
      <c r="AA2121" s="235">
        <v>0.2916666666678793</v>
      </c>
      <c r="AB2121" s="236">
        <v>-2.8</v>
      </c>
      <c r="AC2121" s="127">
        <f t="shared" si="47"/>
        <v>-3</v>
      </c>
    </row>
    <row r="2122" ht="14.5" customHeight="1" spans="11:29" x14ac:dyDescent="0.25">
      <c r="K2122" s="128"/>
      <c r="X2122" s="234">
        <v>2022</v>
      </c>
      <c r="Y2122" s="234">
        <v>3</v>
      </c>
      <c r="Z2122" s="234">
        <v>30</v>
      </c>
      <c r="AA2122" s="235">
        <v>0.3333333333321207</v>
      </c>
      <c r="AB2122" s="236">
        <v>2.2</v>
      </c>
      <c r="AC2122" s="127">
        <f t="shared" si="47"/>
        <v>2</v>
      </c>
    </row>
    <row r="2123" ht="14.5" customHeight="1" spans="11:29" x14ac:dyDescent="0.25">
      <c r="K2123" s="128"/>
      <c r="X2123" s="234">
        <v>2022</v>
      </c>
      <c r="Y2123" s="234">
        <v>3</v>
      </c>
      <c r="Z2123" s="234">
        <v>30</v>
      </c>
      <c r="AA2123" s="235">
        <v>0.375</v>
      </c>
      <c r="AB2123" s="236">
        <v>6</v>
      </c>
      <c r="AC2123" s="127">
        <f t="shared" ref="AC2123:AC2186" si="48">ROUND(AB2123,0)</f>
        <v>6</v>
      </c>
    </row>
    <row r="2124" ht="14.5" customHeight="1" spans="11:29" x14ac:dyDescent="0.25">
      <c r="K2124" s="128"/>
      <c r="X2124" s="234">
        <v>2022</v>
      </c>
      <c r="Y2124" s="234">
        <v>3</v>
      </c>
      <c r="Z2124" s="234">
        <v>30</v>
      </c>
      <c r="AA2124" s="235">
        <v>0.4166666666678793</v>
      </c>
      <c r="AB2124" s="236">
        <v>10.8</v>
      </c>
      <c r="AC2124" s="127">
        <f t="shared" si="48"/>
        <v>11</v>
      </c>
    </row>
    <row r="2125" ht="14.5" customHeight="1" spans="11:29" x14ac:dyDescent="0.25">
      <c r="K2125" s="128"/>
      <c r="X2125" s="234">
        <v>2022</v>
      </c>
      <c r="Y2125" s="234">
        <v>3</v>
      </c>
      <c r="Z2125" s="234">
        <v>30</v>
      </c>
      <c r="AA2125" s="235">
        <v>0.4583333333321207</v>
      </c>
      <c r="AB2125" s="236">
        <v>15.1</v>
      </c>
      <c r="AC2125" s="127">
        <f t="shared" si="48"/>
        <v>15</v>
      </c>
    </row>
    <row r="2126" ht="14.5" customHeight="1" spans="11:29" x14ac:dyDescent="0.25">
      <c r="K2126" s="128"/>
      <c r="X2126" s="234">
        <v>2022</v>
      </c>
      <c r="Y2126" s="234">
        <v>3</v>
      </c>
      <c r="Z2126" s="234">
        <v>30</v>
      </c>
      <c r="AA2126" s="235">
        <v>0.5</v>
      </c>
      <c r="AB2126" s="236">
        <v>15.7</v>
      </c>
      <c r="AC2126" s="127">
        <f t="shared" si="48"/>
        <v>16</v>
      </c>
    </row>
    <row r="2127" ht="14.5" customHeight="1" spans="11:29" x14ac:dyDescent="0.25">
      <c r="K2127" s="128"/>
      <c r="X2127" s="234">
        <v>2022</v>
      </c>
      <c r="Y2127" s="234">
        <v>3</v>
      </c>
      <c r="Z2127" s="234">
        <v>30</v>
      </c>
      <c r="AA2127" s="235">
        <v>0.5416666666678793</v>
      </c>
      <c r="AB2127" s="236">
        <v>15.2</v>
      </c>
      <c r="AC2127" s="127">
        <f t="shared" si="48"/>
        <v>15</v>
      </c>
    </row>
    <row r="2128" ht="14.5" customHeight="1" spans="11:29" x14ac:dyDescent="0.25">
      <c r="K2128" s="128"/>
      <c r="X2128" s="234">
        <v>2022</v>
      </c>
      <c r="Y2128" s="234">
        <v>3</v>
      </c>
      <c r="Z2128" s="234">
        <v>30</v>
      </c>
      <c r="AA2128" s="235">
        <v>0.5833333333321207</v>
      </c>
      <c r="AB2128" s="236">
        <v>15.9</v>
      </c>
      <c r="AC2128" s="127">
        <f t="shared" si="48"/>
        <v>16</v>
      </c>
    </row>
    <row r="2129" ht="14.5" customHeight="1" spans="11:29" x14ac:dyDescent="0.25">
      <c r="K2129" s="128"/>
      <c r="X2129" s="234">
        <v>2022</v>
      </c>
      <c r="Y2129" s="234">
        <v>3</v>
      </c>
      <c r="Z2129" s="234">
        <v>30</v>
      </c>
      <c r="AA2129" s="235">
        <v>0.625</v>
      </c>
      <c r="AB2129" s="236">
        <v>16.3</v>
      </c>
      <c r="AC2129" s="127">
        <f t="shared" si="48"/>
        <v>16</v>
      </c>
    </row>
    <row r="2130" ht="14.5" customHeight="1" spans="11:29" x14ac:dyDescent="0.25">
      <c r="K2130" s="128"/>
      <c r="X2130" s="234">
        <v>2022</v>
      </c>
      <c r="Y2130" s="234">
        <v>3</v>
      </c>
      <c r="Z2130" s="234">
        <v>30</v>
      </c>
      <c r="AA2130" s="235">
        <v>0.6666666666678793</v>
      </c>
      <c r="AB2130" s="236">
        <v>14.3</v>
      </c>
      <c r="AC2130" s="127">
        <f t="shared" si="48"/>
        <v>14</v>
      </c>
    </row>
    <row r="2131" ht="14.5" customHeight="1" spans="11:29" x14ac:dyDescent="0.25">
      <c r="K2131" s="128"/>
      <c r="X2131" s="234">
        <v>2022</v>
      </c>
      <c r="Y2131" s="234">
        <v>3</v>
      </c>
      <c r="Z2131" s="234">
        <v>30</v>
      </c>
      <c r="AA2131" s="235">
        <v>0.7083333333321207</v>
      </c>
      <c r="AB2131" s="236">
        <v>13.4</v>
      </c>
      <c r="AC2131" s="127">
        <f t="shared" si="48"/>
        <v>13</v>
      </c>
    </row>
    <row r="2132" ht="14.5" customHeight="1" spans="11:29" x14ac:dyDescent="0.25">
      <c r="K2132" s="128"/>
      <c r="X2132" s="234">
        <v>2022</v>
      </c>
      <c r="Y2132" s="234">
        <v>3</v>
      </c>
      <c r="Z2132" s="234">
        <v>30</v>
      </c>
      <c r="AA2132" s="235">
        <v>0.75</v>
      </c>
      <c r="AB2132" s="236">
        <v>12.4</v>
      </c>
      <c r="AC2132" s="127">
        <f t="shared" si="48"/>
        <v>12</v>
      </c>
    </row>
    <row r="2133" ht="14.5" customHeight="1" spans="11:29" x14ac:dyDescent="0.25">
      <c r="K2133" s="128"/>
      <c r="X2133" s="234">
        <v>2022</v>
      </c>
      <c r="Y2133" s="234">
        <v>3</v>
      </c>
      <c r="Z2133" s="234">
        <v>30</v>
      </c>
      <c r="AA2133" s="235">
        <v>0.7916666666678793</v>
      </c>
      <c r="AB2133" s="236">
        <v>8.3</v>
      </c>
      <c r="AC2133" s="127">
        <f t="shared" si="48"/>
        <v>8</v>
      </c>
    </row>
    <row r="2134" ht="14.5" customHeight="1" spans="11:29" x14ac:dyDescent="0.25">
      <c r="K2134" s="128"/>
      <c r="X2134" s="234">
        <v>2022</v>
      </c>
      <c r="Y2134" s="234">
        <v>3</v>
      </c>
      <c r="Z2134" s="234">
        <v>30</v>
      </c>
      <c r="AA2134" s="235">
        <v>0.8333333333321207</v>
      </c>
      <c r="AB2134" s="236">
        <v>7.7</v>
      </c>
      <c r="AC2134" s="127">
        <f t="shared" si="48"/>
        <v>8</v>
      </c>
    </row>
    <row r="2135" ht="14.5" customHeight="1" spans="11:29" x14ac:dyDescent="0.25">
      <c r="K2135" s="128"/>
      <c r="X2135" s="234">
        <v>2022</v>
      </c>
      <c r="Y2135" s="234">
        <v>3</v>
      </c>
      <c r="Z2135" s="234">
        <v>30</v>
      </c>
      <c r="AA2135" s="235">
        <v>0.875</v>
      </c>
      <c r="AB2135" s="236">
        <v>7.1</v>
      </c>
      <c r="AC2135" s="127">
        <f t="shared" si="48"/>
        <v>7</v>
      </c>
    </row>
    <row r="2136" ht="14.5" customHeight="1" spans="11:29" x14ac:dyDescent="0.25">
      <c r="K2136" s="128"/>
      <c r="X2136" s="234">
        <v>2022</v>
      </c>
      <c r="Y2136" s="234">
        <v>3</v>
      </c>
      <c r="Z2136" s="234">
        <v>30</v>
      </c>
      <c r="AA2136" s="235">
        <v>0.9166666666678793</v>
      </c>
      <c r="AB2136" s="236">
        <v>1.8</v>
      </c>
      <c r="AC2136" s="127">
        <f t="shared" si="48"/>
        <v>2</v>
      </c>
    </row>
    <row r="2137" ht="14.5" customHeight="1" spans="11:29" x14ac:dyDescent="0.25">
      <c r="K2137" s="128"/>
      <c r="X2137" s="234">
        <v>2022</v>
      </c>
      <c r="Y2137" s="234">
        <v>3</v>
      </c>
      <c r="Z2137" s="234">
        <v>30</v>
      </c>
      <c r="AA2137" s="235">
        <v>0.9583333333321207</v>
      </c>
      <c r="AB2137" s="236">
        <v>0.6</v>
      </c>
      <c r="AC2137" s="127">
        <f t="shared" si="48"/>
        <v>1</v>
      </c>
    </row>
    <row r="2138" ht="14.5" customHeight="1" spans="11:29" x14ac:dyDescent="0.25">
      <c r="K2138" s="128"/>
      <c r="X2138" s="234">
        <v>2022</v>
      </c>
      <c r="Y2138" s="234">
        <v>3</v>
      </c>
      <c r="Z2138" s="234">
        <v>31</v>
      </c>
      <c r="AA2138" s="235">
        <v>0</v>
      </c>
      <c r="AB2138" s="236">
        <v>0.5</v>
      </c>
      <c r="AC2138" s="127">
        <f t="shared" si="48"/>
        <v>1</v>
      </c>
    </row>
    <row r="2139" ht="14.5" customHeight="1" spans="11:29" x14ac:dyDescent="0.25">
      <c r="K2139" s="128"/>
      <c r="X2139" s="234">
        <v>2022</v>
      </c>
      <c r="Y2139" s="234">
        <v>3</v>
      </c>
      <c r="Z2139" s="234">
        <v>31</v>
      </c>
      <c r="AA2139" s="235">
        <v>0.041666666667879326</v>
      </c>
      <c r="AB2139" s="236">
        <v>0.7</v>
      </c>
      <c r="AC2139" s="127">
        <f t="shared" si="48"/>
        <v>1</v>
      </c>
    </row>
    <row r="2140" ht="14.5" customHeight="1" spans="11:29" x14ac:dyDescent="0.25">
      <c r="K2140" s="128"/>
      <c r="X2140" s="234">
        <v>2022</v>
      </c>
      <c r="Y2140" s="234">
        <v>3</v>
      </c>
      <c r="Z2140" s="234">
        <v>31</v>
      </c>
      <c r="AA2140" s="235">
        <v>0.08333333333212067</v>
      </c>
      <c r="AB2140" s="236">
        <v>1</v>
      </c>
      <c r="AC2140" s="127">
        <f t="shared" si="48"/>
        <v>1</v>
      </c>
    </row>
    <row r="2141" ht="14.5" customHeight="1" spans="11:29" x14ac:dyDescent="0.25">
      <c r="K2141" s="128"/>
      <c r="X2141" s="234">
        <v>2022</v>
      </c>
      <c r="Y2141" s="234">
        <v>3</v>
      </c>
      <c r="Z2141" s="234">
        <v>31</v>
      </c>
      <c r="AA2141" s="235">
        <v>0.125</v>
      </c>
      <c r="AB2141" s="236">
        <v>0.7</v>
      </c>
      <c r="AC2141" s="127">
        <f t="shared" si="48"/>
        <v>1</v>
      </c>
    </row>
    <row r="2142" ht="14.5" customHeight="1" spans="11:29" x14ac:dyDescent="0.25">
      <c r="K2142" s="128"/>
      <c r="X2142" s="234">
        <v>2022</v>
      </c>
      <c r="Y2142" s="234">
        <v>3</v>
      </c>
      <c r="Z2142" s="234">
        <v>31</v>
      </c>
      <c r="AA2142" s="235">
        <v>0.16666666666787933</v>
      </c>
      <c r="AB2142" s="236">
        <v>0.7</v>
      </c>
      <c r="AC2142" s="127">
        <f t="shared" si="48"/>
        <v>1</v>
      </c>
    </row>
    <row r="2143" ht="14.5" customHeight="1" spans="11:29" x14ac:dyDescent="0.25">
      <c r="K2143" s="128"/>
      <c r="X2143" s="234">
        <v>2022</v>
      </c>
      <c r="Y2143" s="234">
        <v>3</v>
      </c>
      <c r="Z2143" s="234">
        <v>31</v>
      </c>
      <c r="AA2143" s="235">
        <v>0.20833333333212067</v>
      </c>
      <c r="AB2143" s="236">
        <v>0.7</v>
      </c>
      <c r="AC2143" s="127">
        <f t="shared" si="48"/>
        <v>1</v>
      </c>
    </row>
    <row r="2144" ht="14.5" customHeight="1" spans="11:29" x14ac:dyDescent="0.25">
      <c r="K2144" s="128"/>
      <c r="X2144" s="234">
        <v>2022</v>
      </c>
      <c r="Y2144" s="234">
        <v>3</v>
      </c>
      <c r="Z2144" s="234">
        <v>31</v>
      </c>
      <c r="AA2144" s="235">
        <v>0.25</v>
      </c>
      <c r="AB2144" s="236">
        <v>-0.2</v>
      </c>
      <c r="AC2144" s="127">
        <f t="shared" si="48"/>
        <v>0</v>
      </c>
    </row>
    <row r="2145" ht="14.5" customHeight="1" spans="11:29" x14ac:dyDescent="0.25">
      <c r="K2145" s="128"/>
      <c r="X2145" s="234">
        <v>2022</v>
      </c>
      <c r="Y2145" s="234">
        <v>3</v>
      </c>
      <c r="Z2145" s="234">
        <v>31</v>
      </c>
      <c r="AA2145" s="235">
        <v>0.2916666666678793</v>
      </c>
      <c r="AB2145" s="236">
        <v>0.1</v>
      </c>
      <c r="AC2145" s="127">
        <f t="shared" si="48"/>
        <v>0</v>
      </c>
    </row>
    <row r="2146" ht="14.5" customHeight="1" spans="11:29" x14ac:dyDescent="0.25">
      <c r="K2146" s="128"/>
      <c r="X2146" s="234">
        <v>2022</v>
      </c>
      <c r="Y2146" s="234">
        <v>3</v>
      </c>
      <c r="Z2146" s="234">
        <v>31</v>
      </c>
      <c r="AA2146" s="235">
        <v>0.3333333333321207</v>
      </c>
      <c r="AB2146" s="236">
        <v>1.9</v>
      </c>
      <c r="AC2146" s="127">
        <f t="shared" si="48"/>
        <v>2</v>
      </c>
    </row>
    <row r="2147" ht="14.5" customHeight="1" spans="11:29" x14ac:dyDescent="0.25">
      <c r="K2147" s="128"/>
      <c r="X2147" s="234">
        <v>2022</v>
      </c>
      <c r="Y2147" s="234">
        <v>3</v>
      </c>
      <c r="Z2147" s="234">
        <v>31</v>
      </c>
      <c r="AA2147" s="235">
        <v>0.375</v>
      </c>
      <c r="AB2147" s="236">
        <v>3.7</v>
      </c>
      <c r="AC2147" s="127">
        <f t="shared" si="48"/>
        <v>4</v>
      </c>
    </row>
    <row r="2148" ht="14.5" customHeight="1" spans="11:29" x14ac:dyDescent="0.25">
      <c r="K2148" s="128"/>
      <c r="X2148" s="234">
        <v>2022</v>
      </c>
      <c r="Y2148" s="234">
        <v>3</v>
      </c>
      <c r="Z2148" s="234">
        <v>31</v>
      </c>
      <c r="AA2148" s="235">
        <v>0.4166666666678793</v>
      </c>
      <c r="AB2148" s="236">
        <v>4</v>
      </c>
      <c r="AC2148" s="127">
        <f t="shared" si="48"/>
        <v>4</v>
      </c>
    </row>
    <row r="2149" ht="14.5" customHeight="1" spans="11:29" x14ac:dyDescent="0.25">
      <c r="K2149" s="128"/>
      <c r="X2149" s="234">
        <v>2022</v>
      </c>
      <c r="Y2149" s="234">
        <v>3</v>
      </c>
      <c r="Z2149" s="234">
        <v>31</v>
      </c>
      <c r="AA2149" s="235">
        <v>0.4583333333321207</v>
      </c>
      <c r="AB2149" s="236">
        <v>5.7</v>
      </c>
      <c r="AC2149" s="127">
        <f t="shared" si="48"/>
        <v>6</v>
      </c>
    </row>
    <row r="2150" ht="14.5" customHeight="1" spans="11:29" x14ac:dyDescent="0.25">
      <c r="K2150" s="128"/>
      <c r="X2150" s="234">
        <v>2022</v>
      </c>
      <c r="Y2150" s="234">
        <v>3</v>
      </c>
      <c r="Z2150" s="234">
        <v>31</v>
      </c>
      <c r="AA2150" s="235">
        <v>0.5</v>
      </c>
      <c r="AB2150" s="236">
        <v>5.8</v>
      </c>
      <c r="AC2150" s="127">
        <f t="shared" si="48"/>
        <v>6</v>
      </c>
    </row>
    <row r="2151" ht="14.5" customHeight="1" spans="11:29" x14ac:dyDescent="0.25">
      <c r="K2151" s="128"/>
      <c r="X2151" s="234">
        <v>2022</v>
      </c>
      <c r="Y2151" s="234">
        <v>3</v>
      </c>
      <c r="Z2151" s="234">
        <v>31</v>
      </c>
      <c r="AA2151" s="235">
        <v>0.5416666666678793</v>
      </c>
      <c r="AB2151" s="236">
        <v>5.9</v>
      </c>
      <c r="AC2151" s="127">
        <f t="shared" si="48"/>
        <v>6</v>
      </c>
    </row>
    <row r="2152" ht="14.5" customHeight="1" spans="11:29" x14ac:dyDescent="0.25">
      <c r="K2152" s="128"/>
      <c r="X2152" s="234">
        <v>2022</v>
      </c>
      <c r="Y2152" s="234">
        <v>3</v>
      </c>
      <c r="Z2152" s="234">
        <v>31</v>
      </c>
      <c r="AA2152" s="235">
        <v>0.5833333333321207</v>
      </c>
      <c r="AB2152" s="236">
        <v>7.1</v>
      </c>
      <c r="AC2152" s="127">
        <f t="shared" si="48"/>
        <v>7</v>
      </c>
    </row>
    <row r="2153" ht="14.5" customHeight="1" spans="11:29" x14ac:dyDescent="0.25">
      <c r="K2153" s="128"/>
      <c r="X2153" s="234">
        <v>2022</v>
      </c>
      <c r="Y2153" s="234">
        <v>3</v>
      </c>
      <c r="Z2153" s="234">
        <v>31</v>
      </c>
      <c r="AA2153" s="235">
        <v>0.625</v>
      </c>
      <c r="AB2153" s="236">
        <v>6.5</v>
      </c>
      <c r="AC2153" s="127">
        <f t="shared" si="48"/>
        <v>7</v>
      </c>
    </row>
    <row r="2154" ht="14.5" customHeight="1" spans="11:29" x14ac:dyDescent="0.25">
      <c r="K2154" s="128"/>
      <c r="X2154" s="234">
        <v>2022</v>
      </c>
      <c r="Y2154" s="234">
        <v>3</v>
      </c>
      <c r="Z2154" s="234">
        <v>31</v>
      </c>
      <c r="AA2154" s="235">
        <v>0.6666666666678793</v>
      </c>
      <c r="AB2154" s="236">
        <v>7.4</v>
      </c>
      <c r="AC2154" s="127">
        <f t="shared" si="48"/>
        <v>7</v>
      </c>
    </row>
    <row r="2155" ht="14.5" customHeight="1" spans="11:29" x14ac:dyDescent="0.25">
      <c r="K2155" s="128"/>
      <c r="X2155" s="234">
        <v>2022</v>
      </c>
      <c r="Y2155" s="234">
        <v>3</v>
      </c>
      <c r="Z2155" s="234">
        <v>31</v>
      </c>
      <c r="AA2155" s="235">
        <v>0.7083333333321207</v>
      </c>
      <c r="AB2155" s="236">
        <v>5.4</v>
      </c>
      <c r="AC2155" s="127">
        <f t="shared" si="48"/>
        <v>5</v>
      </c>
    </row>
    <row r="2156" ht="14.5" customHeight="1" spans="11:29" x14ac:dyDescent="0.25">
      <c r="K2156" s="128"/>
      <c r="X2156" s="234">
        <v>2022</v>
      </c>
      <c r="Y2156" s="234">
        <v>3</v>
      </c>
      <c r="Z2156" s="234">
        <v>31</v>
      </c>
      <c r="AA2156" s="235">
        <v>0.75</v>
      </c>
      <c r="AB2156" s="236">
        <v>5.1</v>
      </c>
      <c r="AC2156" s="127">
        <f t="shared" si="48"/>
        <v>5</v>
      </c>
    </row>
    <row r="2157" ht="14.5" customHeight="1" spans="11:29" x14ac:dyDescent="0.25">
      <c r="K2157" s="128"/>
      <c r="X2157" s="234">
        <v>2022</v>
      </c>
      <c r="Y2157" s="234">
        <v>3</v>
      </c>
      <c r="Z2157" s="234">
        <v>31</v>
      </c>
      <c r="AA2157" s="235">
        <v>0.7916666666678793</v>
      </c>
      <c r="AB2157" s="236">
        <v>3.6</v>
      </c>
      <c r="AC2157" s="127">
        <f t="shared" si="48"/>
        <v>4</v>
      </c>
    </row>
    <row r="2158" ht="14.5" customHeight="1" spans="11:29" x14ac:dyDescent="0.25">
      <c r="K2158" s="128"/>
      <c r="X2158" s="234">
        <v>2022</v>
      </c>
      <c r="Y2158" s="234">
        <v>3</v>
      </c>
      <c r="Z2158" s="234">
        <v>31</v>
      </c>
      <c r="AA2158" s="235">
        <v>0.8333333333321207</v>
      </c>
      <c r="AB2158" s="236">
        <v>2.6</v>
      </c>
      <c r="AC2158" s="127">
        <f t="shared" si="48"/>
        <v>3</v>
      </c>
    </row>
    <row r="2159" ht="14.5" customHeight="1" spans="11:29" x14ac:dyDescent="0.25">
      <c r="K2159" s="128"/>
      <c r="X2159" s="234">
        <v>2022</v>
      </c>
      <c r="Y2159" s="234">
        <v>3</v>
      </c>
      <c r="Z2159" s="234">
        <v>31</v>
      </c>
      <c r="AA2159" s="235">
        <v>0.875</v>
      </c>
      <c r="AB2159" s="236">
        <v>2.1</v>
      </c>
      <c r="AC2159" s="127">
        <f t="shared" si="48"/>
        <v>2</v>
      </c>
    </row>
    <row r="2160" ht="14.5" customHeight="1" spans="11:29" x14ac:dyDescent="0.25">
      <c r="K2160" s="128"/>
      <c r="X2160" s="234">
        <v>2022</v>
      </c>
      <c r="Y2160" s="234">
        <v>3</v>
      </c>
      <c r="Z2160" s="234">
        <v>31</v>
      </c>
      <c r="AA2160" s="235">
        <v>0.9166666666678793</v>
      </c>
      <c r="AB2160" s="236">
        <v>1.9</v>
      </c>
      <c r="AC2160" s="127">
        <f t="shared" si="48"/>
        <v>2</v>
      </c>
    </row>
    <row r="2161" ht="14.5" customHeight="1" spans="11:29" x14ac:dyDescent="0.25">
      <c r="K2161" s="128"/>
      <c r="X2161" s="234">
        <v>2022</v>
      </c>
      <c r="Y2161" s="234">
        <v>3</v>
      </c>
      <c r="Z2161" s="234">
        <v>31</v>
      </c>
      <c r="AA2161" s="235">
        <v>0.9583333333321207</v>
      </c>
      <c r="AB2161" s="236">
        <v>1.4</v>
      </c>
      <c r="AC2161" s="127">
        <f t="shared" si="48"/>
        <v>1</v>
      </c>
    </row>
    <row r="2162" ht="14.5" customHeight="1" spans="11:29" x14ac:dyDescent="0.25">
      <c r="K2162" s="128"/>
      <c r="X2162" s="234">
        <v>2022</v>
      </c>
      <c r="Y2162" s="234">
        <v>4</v>
      </c>
      <c r="Z2162" s="234">
        <v>1</v>
      </c>
      <c r="AA2162" s="235">
        <v>0</v>
      </c>
      <c r="AB2162" s="236">
        <v>-0.3</v>
      </c>
      <c r="AC2162" s="127">
        <f t="shared" si="48"/>
        <v>0</v>
      </c>
    </row>
    <row r="2163" ht="14.5" customHeight="1" spans="11:29" x14ac:dyDescent="0.25">
      <c r="K2163" s="128"/>
      <c r="X2163" s="234">
        <v>2022</v>
      </c>
      <c r="Y2163" s="234">
        <v>4</v>
      </c>
      <c r="Z2163" s="234">
        <v>1</v>
      </c>
      <c r="AA2163" s="235">
        <v>0.041666666667879326</v>
      </c>
      <c r="AB2163" s="236">
        <v>0.4</v>
      </c>
      <c r="AC2163" s="127">
        <f t="shared" si="48"/>
        <v>0</v>
      </c>
    </row>
    <row r="2164" ht="14.5" customHeight="1" spans="11:29" x14ac:dyDescent="0.25">
      <c r="K2164" s="128"/>
      <c r="X2164" s="234">
        <v>2022</v>
      </c>
      <c r="Y2164" s="234">
        <v>4</v>
      </c>
      <c r="Z2164" s="234">
        <v>1</v>
      </c>
      <c r="AA2164" s="235">
        <v>0.08333333333212067</v>
      </c>
      <c r="AB2164" s="236">
        <v>-0.4</v>
      </c>
      <c r="AC2164" s="127">
        <f t="shared" si="48"/>
        <v>0</v>
      </c>
    </row>
    <row r="2165" ht="14.5" customHeight="1" spans="11:29" x14ac:dyDescent="0.25">
      <c r="K2165" s="128"/>
      <c r="X2165" s="234">
        <v>2022</v>
      </c>
      <c r="Y2165" s="234">
        <v>4</v>
      </c>
      <c r="Z2165" s="234">
        <v>1</v>
      </c>
      <c r="AA2165" s="235">
        <v>0.125</v>
      </c>
      <c r="AB2165" s="236">
        <v>-1.3</v>
      </c>
      <c r="AC2165" s="127">
        <f t="shared" si="48"/>
        <v>-1</v>
      </c>
    </row>
    <row r="2166" ht="14.5" customHeight="1" spans="11:29" x14ac:dyDescent="0.25">
      <c r="K2166" s="128"/>
      <c r="X2166" s="234">
        <v>2022</v>
      </c>
      <c r="Y2166" s="234">
        <v>4</v>
      </c>
      <c r="Z2166" s="234">
        <v>1</v>
      </c>
      <c r="AA2166" s="235">
        <v>0.16666666666787933</v>
      </c>
      <c r="AB2166" s="236">
        <v>-1.7</v>
      </c>
      <c r="AC2166" s="127">
        <f t="shared" si="48"/>
        <v>-2</v>
      </c>
    </row>
    <row r="2167" ht="14.5" customHeight="1" spans="11:29" x14ac:dyDescent="0.25">
      <c r="K2167" s="128"/>
      <c r="X2167" s="234">
        <v>2022</v>
      </c>
      <c r="Y2167" s="234">
        <v>4</v>
      </c>
      <c r="Z2167" s="234">
        <v>1</v>
      </c>
      <c r="AA2167" s="235">
        <v>0.20833333333212067</v>
      </c>
      <c r="AB2167" s="236">
        <v>-3.4</v>
      </c>
      <c r="AC2167" s="127">
        <f t="shared" si="48"/>
        <v>-3</v>
      </c>
    </row>
    <row r="2168" ht="14.5" customHeight="1" spans="11:29" x14ac:dyDescent="0.25">
      <c r="K2168" s="128"/>
      <c r="X2168" s="234">
        <v>2022</v>
      </c>
      <c r="Y2168" s="234">
        <v>4</v>
      </c>
      <c r="Z2168" s="234">
        <v>1</v>
      </c>
      <c r="AA2168" s="235">
        <v>0.25</v>
      </c>
      <c r="AB2168" s="236">
        <v>-4.1</v>
      </c>
      <c r="AC2168" s="127">
        <f t="shared" si="48"/>
        <v>-4</v>
      </c>
    </row>
    <row r="2169" ht="14.5" customHeight="1" spans="11:29" x14ac:dyDescent="0.25">
      <c r="K2169" s="128"/>
      <c r="X2169" s="234">
        <v>2022</v>
      </c>
      <c r="Y2169" s="234">
        <v>4</v>
      </c>
      <c r="Z2169" s="234">
        <v>1</v>
      </c>
      <c r="AA2169" s="235">
        <v>0.2916666666678793</v>
      </c>
      <c r="AB2169" s="236">
        <v>-2.2</v>
      </c>
      <c r="AC2169" s="127">
        <f t="shared" si="48"/>
        <v>-2</v>
      </c>
    </row>
    <row r="2170" ht="14.5" customHeight="1" spans="11:29" x14ac:dyDescent="0.25">
      <c r="K2170" s="128"/>
      <c r="X2170" s="234">
        <v>2022</v>
      </c>
      <c r="Y2170" s="234">
        <v>4</v>
      </c>
      <c r="Z2170" s="234">
        <v>1</v>
      </c>
      <c r="AA2170" s="235">
        <v>0.3333333333321207</v>
      </c>
      <c r="AB2170" s="236">
        <v>1.3</v>
      </c>
      <c r="AC2170" s="127">
        <f t="shared" si="48"/>
        <v>1</v>
      </c>
    </row>
    <row r="2171" ht="14.5" customHeight="1" spans="11:29" x14ac:dyDescent="0.25">
      <c r="K2171" s="128"/>
      <c r="X2171" s="234">
        <v>2022</v>
      </c>
      <c r="Y2171" s="234">
        <v>4</v>
      </c>
      <c r="Z2171" s="234">
        <v>1</v>
      </c>
      <c r="AA2171" s="235">
        <v>0.375</v>
      </c>
      <c r="AB2171" s="236">
        <v>1.6</v>
      </c>
      <c r="AC2171" s="127">
        <f t="shared" si="48"/>
        <v>2</v>
      </c>
    </row>
    <row r="2172" ht="14.5" customHeight="1" spans="11:29" x14ac:dyDescent="0.25">
      <c r="K2172" s="128"/>
      <c r="X2172" s="234">
        <v>2022</v>
      </c>
      <c r="Y2172" s="234">
        <v>4</v>
      </c>
      <c r="Z2172" s="234">
        <v>1</v>
      </c>
      <c r="AA2172" s="235">
        <v>0.4166666666678793</v>
      </c>
      <c r="AB2172" s="236">
        <v>2.7</v>
      </c>
      <c r="AC2172" s="127">
        <f t="shared" si="48"/>
        <v>3</v>
      </c>
    </row>
    <row r="2173" ht="14.5" customHeight="1" spans="11:29" x14ac:dyDescent="0.25">
      <c r="K2173" s="128"/>
      <c r="X2173" s="234">
        <v>2022</v>
      </c>
      <c r="Y2173" s="234">
        <v>4</v>
      </c>
      <c r="Z2173" s="234">
        <v>1</v>
      </c>
      <c r="AA2173" s="235">
        <v>0.4583333333321207</v>
      </c>
      <c r="AB2173" s="236">
        <v>4</v>
      </c>
      <c r="AC2173" s="127">
        <f t="shared" si="48"/>
        <v>4</v>
      </c>
    </row>
    <row r="2174" ht="14.5" customHeight="1" spans="11:29" x14ac:dyDescent="0.25">
      <c r="K2174" s="128"/>
      <c r="X2174" s="234">
        <v>2022</v>
      </c>
      <c r="Y2174" s="234">
        <v>4</v>
      </c>
      <c r="Z2174" s="234">
        <v>1</v>
      </c>
      <c r="AA2174" s="235">
        <v>0.5</v>
      </c>
      <c r="AB2174" s="236">
        <v>4.9</v>
      </c>
      <c r="AC2174" s="127">
        <f t="shared" si="48"/>
        <v>5</v>
      </c>
    </row>
    <row r="2175" ht="14.5" customHeight="1" spans="11:29" x14ac:dyDescent="0.25">
      <c r="K2175" s="128"/>
      <c r="X2175" s="234">
        <v>2022</v>
      </c>
      <c r="Y2175" s="234">
        <v>4</v>
      </c>
      <c r="Z2175" s="234">
        <v>1</v>
      </c>
      <c r="AA2175" s="235">
        <v>0.5416666666678793</v>
      </c>
      <c r="AB2175" s="236">
        <v>5.6</v>
      </c>
      <c r="AC2175" s="127">
        <f t="shared" si="48"/>
        <v>6</v>
      </c>
    </row>
    <row r="2176" ht="14.5" customHeight="1" spans="11:29" x14ac:dyDescent="0.25">
      <c r="K2176" s="128"/>
      <c r="X2176" s="234">
        <v>2022</v>
      </c>
      <c r="Y2176" s="234">
        <v>4</v>
      </c>
      <c r="Z2176" s="234">
        <v>1</v>
      </c>
      <c r="AA2176" s="235">
        <v>0.5833333333321207</v>
      </c>
      <c r="AB2176" s="236">
        <v>6.9</v>
      </c>
      <c r="AC2176" s="127">
        <f t="shared" si="48"/>
        <v>7</v>
      </c>
    </row>
    <row r="2177" ht="14.5" customHeight="1" spans="11:29" x14ac:dyDescent="0.25">
      <c r="K2177" s="128"/>
      <c r="X2177" s="234">
        <v>2022</v>
      </c>
      <c r="Y2177" s="234">
        <v>4</v>
      </c>
      <c r="Z2177" s="234">
        <v>1</v>
      </c>
      <c r="AA2177" s="235">
        <v>0.625</v>
      </c>
      <c r="AB2177" s="236">
        <v>7.8</v>
      </c>
      <c r="AC2177" s="127">
        <f t="shared" si="48"/>
        <v>8</v>
      </c>
    </row>
    <row r="2178" ht="14.5" customHeight="1" spans="11:29" x14ac:dyDescent="0.25">
      <c r="K2178" s="128"/>
      <c r="X2178" s="234">
        <v>2022</v>
      </c>
      <c r="Y2178" s="234">
        <v>4</v>
      </c>
      <c r="Z2178" s="234">
        <v>1</v>
      </c>
      <c r="AA2178" s="235">
        <v>0.6666666666678793</v>
      </c>
      <c r="AB2178" s="236">
        <v>8.9</v>
      </c>
      <c r="AC2178" s="127">
        <f t="shared" si="48"/>
        <v>9</v>
      </c>
    </row>
    <row r="2179" ht="14.5" customHeight="1" spans="11:29" x14ac:dyDescent="0.25">
      <c r="K2179" s="128"/>
      <c r="X2179" s="234">
        <v>2022</v>
      </c>
      <c r="Y2179" s="234">
        <v>4</v>
      </c>
      <c r="Z2179" s="234">
        <v>1</v>
      </c>
      <c r="AA2179" s="235">
        <v>0.7083333333321207</v>
      </c>
      <c r="AB2179" s="236">
        <v>7.7</v>
      </c>
      <c r="AC2179" s="127">
        <f t="shared" si="48"/>
        <v>8</v>
      </c>
    </row>
    <row r="2180" ht="14.5" customHeight="1" spans="11:29" x14ac:dyDescent="0.25">
      <c r="K2180" s="128"/>
      <c r="X2180" s="234">
        <v>2022</v>
      </c>
      <c r="Y2180" s="234">
        <v>4</v>
      </c>
      <c r="Z2180" s="234">
        <v>1</v>
      </c>
      <c r="AA2180" s="235">
        <v>0.75</v>
      </c>
      <c r="AB2180" s="236">
        <v>7.2</v>
      </c>
      <c r="AC2180" s="127">
        <f t="shared" si="48"/>
        <v>7</v>
      </c>
    </row>
    <row r="2181" ht="14.5" customHeight="1" spans="11:29" x14ac:dyDescent="0.25">
      <c r="K2181" s="128"/>
      <c r="X2181" s="234">
        <v>2022</v>
      </c>
      <c r="Y2181" s="234">
        <v>4</v>
      </c>
      <c r="Z2181" s="234">
        <v>1</v>
      </c>
      <c r="AA2181" s="235">
        <v>0.7916666666678793</v>
      </c>
      <c r="AB2181" s="236">
        <v>5.9</v>
      </c>
      <c r="AC2181" s="127">
        <f t="shared" si="48"/>
        <v>6</v>
      </c>
    </row>
    <row r="2182" ht="14.5" customHeight="1" spans="11:29" x14ac:dyDescent="0.25">
      <c r="K2182" s="128"/>
      <c r="X2182" s="234">
        <v>2022</v>
      </c>
      <c r="Y2182" s="234">
        <v>4</v>
      </c>
      <c r="Z2182" s="234">
        <v>1</v>
      </c>
      <c r="AA2182" s="235">
        <v>0.8333333333321207</v>
      </c>
      <c r="AB2182" s="236">
        <v>3.7</v>
      </c>
      <c r="AC2182" s="127">
        <f t="shared" si="48"/>
        <v>4</v>
      </c>
    </row>
    <row r="2183" ht="14.5" customHeight="1" spans="11:29" x14ac:dyDescent="0.25">
      <c r="K2183" s="128"/>
      <c r="X2183" s="234">
        <v>2022</v>
      </c>
      <c r="Y2183" s="234">
        <v>4</v>
      </c>
      <c r="Z2183" s="234">
        <v>1</v>
      </c>
      <c r="AA2183" s="235">
        <v>0.875</v>
      </c>
      <c r="AB2183" s="236">
        <v>1.7</v>
      </c>
      <c r="AC2183" s="127">
        <f t="shared" si="48"/>
        <v>2</v>
      </c>
    </row>
    <row r="2184" ht="14.5" customHeight="1" spans="11:29" x14ac:dyDescent="0.25">
      <c r="K2184" s="128"/>
      <c r="X2184" s="234">
        <v>2022</v>
      </c>
      <c r="Y2184" s="234">
        <v>4</v>
      </c>
      <c r="Z2184" s="234">
        <v>1</v>
      </c>
      <c r="AA2184" s="235">
        <v>0.9166666666678793</v>
      </c>
      <c r="AB2184" s="236">
        <v>-0.3</v>
      </c>
      <c r="AC2184" s="127">
        <f t="shared" si="48"/>
        <v>0</v>
      </c>
    </row>
    <row r="2185" ht="14.5" customHeight="1" spans="11:29" x14ac:dyDescent="0.25">
      <c r="K2185" s="128"/>
      <c r="X2185" s="234">
        <v>2022</v>
      </c>
      <c r="Y2185" s="234">
        <v>4</v>
      </c>
      <c r="Z2185" s="234">
        <v>1</v>
      </c>
      <c r="AA2185" s="235">
        <v>0.9583333333321207</v>
      </c>
      <c r="AB2185" s="236">
        <v>0</v>
      </c>
      <c r="AC2185" s="127">
        <f t="shared" si="48"/>
        <v>0</v>
      </c>
    </row>
    <row r="2186" ht="14.5" customHeight="1" spans="11:29" x14ac:dyDescent="0.25">
      <c r="K2186" s="128"/>
      <c r="X2186" s="234">
        <v>2022</v>
      </c>
      <c r="Y2186" s="234">
        <v>4</v>
      </c>
      <c r="Z2186" s="234">
        <v>2</v>
      </c>
      <c r="AA2186" s="235">
        <v>0</v>
      </c>
      <c r="AB2186" s="236">
        <v>-1</v>
      </c>
      <c r="AC2186" s="127">
        <f t="shared" si="48"/>
        <v>-1</v>
      </c>
    </row>
    <row r="2187" ht="14.5" customHeight="1" spans="11:29" x14ac:dyDescent="0.25">
      <c r="K2187" s="128"/>
      <c r="X2187" s="234">
        <v>2022</v>
      </c>
      <c r="Y2187" s="234">
        <v>4</v>
      </c>
      <c r="Z2187" s="234">
        <v>2</v>
      </c>
      <c r="AA2187" s="235">
        <v>0.041666666667879326</v>
      </c>
      <c r="AB2187" s="236">
        <v>-1</v>
      </c>
      <c r="AC2187" s="127">
        <f t="shared" ref="AC2187:AC2250" si="49">ROUND(AB2187,0)</f>
        <v>-1</v>
      </c>
    </row>
    <row r="2188" ht="14.5" customHeight="1" spans="11:29" x14ac:dyDescent="0.25">
      <c r="K2188" s="128"/>
      <c r="X2188" s="234">
        <v>2022</v>
      </c>
      <c r="Y2188" s="234">
        <v>4</v>
      </c>
      <c r="Z2188" s="234">
        <v>2</v>
      </c>
      <c r="AA2188" s="235">
        <v>0.08333333333212067</v>
      </c>
      <c r="AB2188" s="236">
        <v>-1.5</v>
      </c>
      <c r="AC2188" s="127">
        <f t="shared" si="49"/>
        <v>-2</v>
      </c>
    </row>
    <row r="2189" ht="14.5" customHeight="1" spans="11:29" x14ac:dyDescent="0.25">
      <c r="K2189" s="128"/>
      <c r="X2189" s="234">
        <v>2022</v>
      </c>
      <c r="Y2189" s="234">
        <v>4</v>
      </c>
      <c r="Z2189" s="234">
        <v>2</v>
      </c>
      <c r="AA2189" s="235">
        <v>0.125</v>
      </c>
      <c r="AB2189" s="236">
        <v>-0.3</v>
      </c>
      <c r="AC2189" s="127">
        <f t="shared" si="49"/>
        <v>0</v>
      </c>
    </row>
    <row r="2190" ht="14.5" customHeight="1" spans="11:29" x14ac:dyDescent="0.25">
      <c r="K2190" s="128"/>
      <c r="X2190" s="234">
        <v>2022</v>
      </c>
      <c r="Y2190" s="234">
        <v>4</v>
      </c>
      <c r="Z2190" s="234">
        <v>2</v>
      </c>
      <c r="AA2190" s="235">
        <v>0.16666666666787933</v>
      </c>
      <c r="AB2190" s="236">
        <v>0.3</v>
      </c>
      <c r="AC2190" s="127">
        <f t="shared" si="49"/>
        <v>0</v>
      </c>
    </row>
    <row r="2191" ht="14.5" customHeight="1" spans="11:29" x14ac:dyDescent="0.25">
      <c r="K2191" s="128"/>
      <c r="X2191" s="234">
        <v>2022</v>
      </c>
      <c r="Y2191" s="234">
        <v>4</v>
      </c>
      <c r="Z2191" s="234">
        <v>2</v>
      </c>
      <c r="AA2191" s="235">
        <v>0.20833333333212067</v>
      </c>
      <c r="AB2191" s="236">
        <v>-1</v>
      </c>
      <c r="AC2191" s="127">
        <f t="shared" si="49"/>
        <v>-1</v>
      </c>
    </row>
    <row r="2192" ht="14.5" customHeight="1" spans="11:29" x14ac:dyDescent="0.25">
      <c r="K2192" s="128"/>
      <c r="X2192" s="234">
        <v>2022</v>
      </c>
      <c r="Y2192" s="234">
        <v>4</v>
      </c>
      <c r="Z2192" s="234">
        <v>2</v>
      </c>
      <c r="AA2192" s="235">
        <v>0.25</v>
      </c>
      <c r="AB2192" s="236">
        <v>0.3</v>
      </c>
      <c r="AC2192" s="127">
        <f t="shared" si="49"/>
        <v>0</v>
      </c>
    </row>
    <row r="2193" ht="14.5" customHeight="1" spans="11:29" x14ac:dyDescent="0.25">
      <c r="K2193" s="128"/>
      <c r="X2193" s="234">
        <v>2022</v>
      </c>
      <c r="Y2193" s="234">
        <v>4</v>
      </c>
      <c r="Z2193" s="234">
        <v>2</v>
      </c>
      <c r="AA2193" s="235">
        <v>0.2916666666678793</v>
      </c>
      <c r="AB2193" s="236">
        <v>0.7</v>
      </c>
      <c r="AC2193" s="127">
        <f t="shared" si="49"/>
        <v>1</v>
      </c>
    </row>
    <row r="2194" ht="14.5" customHeight="1" spans="11:29" x14ac:dyDescent="0.25">
      <c r="K2194" s="128"/>
      <c r="X2194" s="234">
        <v>2022</v>
      </c>
      <c r="Y2194" s="234">
        <v>4</v>
      </c>
      <c r="Z2194" s="234">
        <v>2</v>
      </c>
      <c r="AA2194" s="235">
        <v>0.3333333333321207</v>
      </c>
      <c r="AB2194" s="236">
        <v>2.6</v>
      </c>
      <c r="AC2194" s="127">
        <f t="shared" si="49"/>
        <v>3</v>
      </c>
    </row>
    <row r="2195" ht="14.5" customHeight="1" spans="11:29" x14ac:dyDescent="0.25">
      <c r="K2195" s="128"/>
      <c r="X2195" s="234">
        <v>2022</v>
      </c>
      <c r="Y2195" s="234">
        <v>4</v>
      </c>
      <c r="Z2195" s="234">
        <v>2</v>
      </c>
      <c r="AA2195" s="235">
        <v>0.375</v>
      </c>
      <c r="AB2195" s="236">
        <v>6.8</v>
      </c>
      <c r="AC2195" s="127">
        <f t="shared" si="49"/>
        <v>7</v>
      </c>
    </row>
    <row r="2196" ht="14.5" customHeight="1" spans="11:29" x14ac:dyDescent="0.25">
      <c r="K2196" s="128"/>
      <c r="X2196" s="234">
        <v>2022</v>
      </c>
      <c r="Y2196" s="234">
        <v>4</v>
      </c>
      <c r="Z2196" s="234">
        <v>2</v>
      </c>
      <c r="AA2196" s="235">
        <v>0.4166666666678793</v>
      </c>
      <c r="AB2196" s="236">
        <v>8.9</v>
      </c>
      <c r="AC2196" s="127">
        <f t="shared" si="49"/>
        <v>9</v>
      </c>
    </row>
    <row r="2197" ht="14.5" customHeight="1" spans="11:29" x14ac:dyDescent="0.25">
      <c r="K2197" s="128"/>
      <c r="X2197" s="234">
        <v>2022</v>
      </c>
      <c r="Y2197" s="234">
        <v>4</v>
      </c>
      <c r="Z2197" s="234">
        <v>2</v>
      </c>
      <c r="AA2197" s="235">
        <v>0.4583333333321207</v>
      </c>
      <c r="AB2197" s="236">
        <v>8.9</v>
      </c>
      <c r="AC2197" s="127">
        <f t="shared" si="49"/>
        <v>9</v>
      </c>
    </row>
    <row r="2198" ht="14.5" customHeight="1" spans="11:29" x14ac:dyDescent="0.25">
      <c r="K2198" s="128"/>
      <c r="X2198" s="234">
        <v>2022</v>
      </c>
      <c r="Y2198" s="234">
        <v>4</v>
      </c>
      <c r="Z2198" s="234">
        <v>2</v>
      </c>
      <c r="AA2198" s="235">
        <v>0.5</v>
      </c>
      <c r="AB2198" s="236">
        <v>9.6</v>
      </c>
      <c r="AC2198" s="127">
        <f t="shared" si="49"/>
        <v>10</v>
      </c>
    </row>
    <row r="2199" ht="14.5" customHeight="1" spans="11:29" x14ac:dyDescent="0.25">
      <c r="K2199" s="128"/>
      <c r="X2199" s="234">
        <v>2022</v>
      </c>
      <c r="Y2199" s="234">
        <v>4</v>
      </c>
      <c r="Z2199" s="234">
        <v>2</v>
      </c>
      <c r="AA2199" s="235">
        <v>0.5416666666678793</v>
      </c>
      <c r="AB2199" s="236">
        <v>9.1</v>
      </c>
      <c r="AC2199" s="127">
        <f t="shared" si="49"/>
        <v>9</v>
      </c>
    </row>
    <row r="2200" ht="14.5" customHeight="1" spans="11:29" x14ac:dyDescent="0.25">
      <c r="K2200" s="128"/>
      <c r="X2200" s="234">
        <v>2022</v>
      </c>
      <c r="Y2200" s="234">
        <v>4</v>
      </c>
      <c r="Z2200" s="234">
        <v>2</v>
      </c>
      <c r="AA2200" s="235">
        <v>0.5833333333321207</v>
      </c>
      <c r="AB2200" s="236">
        <v>6.7</v>
      </c>
      <c r="AC2200" s="127">
        <f t="shared" si="49"/>
        <v>7</v>
      </c>
    </row>
    <row r="2201" ht="14.5" customHeight="1" spans="11:29" x14ac:dyDescent="0.25">
      <c r="K2201" s="128"/>
      <c r="X2201" s="234">
        <v>2022</v>
      </c>
      <c r="Y2201" s="234">
        <v>4</v>
      </c>
      <c r="Z2201" s="234">
        <v>2</v>
      </c>
      <c r="AA2201" s="235">
        <v>0.625</v>
      </c>
      <c r="AB2201" s="236">
        <v>2.7</v>
      </c>
      <c r="AC2201" s="127">
        <f t="shared" si="49"/>
        <v>3</v>
      </c>
    </row>
    <row r="2202" ht="14.5" customHeight="1" spans="11:29" x14ac:dyDescent="0.25">
      <c r="K2202" s="128"/>
      <c r="X2202" s="234">
        <v>2022</v>
      </c>
      <c r="Y2202" s="234">
        <v>4</v>
      </c>
      <c r="Z2202" s="234">
        <v>2</v>
      </c>
      <c r="AA2202" s="235">
        <v>0.6666666666678793</v>
      </c>
      <c r="AB2202" s="236">
        <v>4.8</v>
      </c>
      <c r="AC2202" s="127">
        <f t="shared" si="49"/>
        <v>5</v>
      </c>
    </row>
    <row r="2203" ht="14.5" customHeight="1" spans="11:29" x14ac:dyDescent="0.25">
      <c r="K2203" s="128"/>
      <c r="X2203" s="234">
        <v>2022</v>
      </c>
      <c r="Y2203" s="234">
        <v>4</v>
      </c>
      <c r="Z2203" s="234">
        <v>2</v>
      </c>
      <c r="AA2203" s="235">
        <v>0.7083333333321207</v>
      </c>
      <c r="AB2203" s="236">
        <v>3.9</v>
      </c>
      <c r="AC2203" s="127">
        <f t="shared" si="49"/>
        <v>4</v>
      </c>
    </row>
    <row r="2204" ht="14.5" customHeight="1" spans="11:29" x14ac:dyDescent="0.25">
      <c r="K2204" s="128"/>
      <c r="X2204" s="234">
        <v>2022</v>
      </c>
      <c r="Y2204" s="234">
        <v>4</v>
      </c>
      <c r="Z2204" s="234">
        <v>2</v>
      </c>
      <c r="AA2204" s="235">
        <v>0.75</v>
      </c>
      <c r="AB2204" s="236">
        <v>4.1</v>
      </c>
      <c r="AC2204" s="127">
        <f t="shared" si="49"/>
        <v>4</v>
      </c>
    </row>
    <row r="2205" ht="14.5" customHeight="1" spans="11:29" x14ac:dyDescent="0.25">
      <c r="K2205" s="128"/>
      <c r="X2205" s="234">
        <v>2022</v>
      </c>
      <c r="Y2205" s="234">
        <v>4</v>
      </c>
      <c r="Z2205" s="234">
        <v>2</v>
      </c>
      <c r="AA2205" s="235">
        <v>0.7916666666678793</v>
      </c>
      <c r="AB2205" s="236">
        <v>0.8</v>
      </c>
      <c r="AC2205" s="127">
        <f t="shared" si="49"/>
        <v>1</v>
      </c>
    </row>
    <row r="2206" ht="14.5" customHeight="1" spans="11:29" x14ac:dyDescent="0.25">
      <c r="K2206" s="128"/>
      <c r="X2206" s="234">
        <v>2022</v>
      </c>
      <c r="Y2206" s="234">
        <v>4</v>
      </c>
      <c r="Z2206" s="234">
        <v>2</v>
      </c>
      <c r="AA2206" s="235">
        <v>0.8333333333321207</v>
      </c>
      <c r="AB2206" s="236">
        <v>-0.3</v>
      </c>
      <c r="AC2206" s="127">
        <f t="shared" si="49"/>
        <v>0</v>
      </c>
    </row>
    <row r="2207" ht="14.5" customHeight="1" spans="11:29" x14ac:dyDescent="0.25">
      <c r="K2207" s="128"/>
      <c r="X2207" s="234">
        <v>2022</v>
      </c>
      <c r="Y2207" s="234">
        <v>4</v>
      </c>
      <c r="Z2207" s="234">
        <v>2</v>
      </c>
      <c r="AA2207" s="235">
        <v>0.875</v>
      </c>
      <c r="AB2207" s="236">
        <v>-1.7</v>
      </c>
      <c r="AC2207" s="127">
        <f t="shared" si="49"/>
        <v>-2</v>
      </c>
    </row>
    <row r="2208" ht="14.5" customHeight="1" spans="11:29" x14ac:dyDescent="0.25">
      <c r="K2208" s="128"/>
      <c r="X2208" s="234">
        <v>2022</v>
      </c>
      <c r="Y2208" s="234">
        <v>4</v>
      </c>
      <c r="Z2208" s="234">
        <v>2</v>
      </c>
      <c r="AA2208" s="235">
        <v>0.9166666666678793</v>
      </c>
      <c r="AB2208" s="236">
        <v>-1.9</v>
      </c>
      <c r="AC2208" s="127">
        <f t="shared" si="49"/>
        <v>-2</v>
      </c>
    </row>
    <row r="2209" ht="14.5" customHeight="1" spans="11:29" x14ac:dyDescent="0.25">
      <c r="K2209" s="128"/>
      <c r="X2209" s="234">
        <v>2022</v>
      </c>
      <c r="Y2209" s="234">
        <v>4</v>
      </c>
      <c r="Z2209" s="234">
        <v>2</v>
      </c>
      <c r="AA2209" s="235">
        <v>0.9583333333321207</v>
      </c>
      <c r="AB2209" s="236">
        <v>-1.8</v>
      </c>
      <c r="AC2209" s="127">
        <f t="shared" si="49"/>
        <v>-2</v>
      </c>
    </row>
    <row r="2210" ht="14.5" customHeight="1" spans="11:29" x14ac:dyDescent="0.25">
      <c r="K2210" s="128"/>
      <c r="X2210" s="234">
        <v>2022</v>
      </c>
      <c r="Y2210" s="234">
        <v>4</v>
      </c>
      <c r="Z2210" s="234">
        <v>3</v>
      </c>
      <c r="AA2210" s="235">
        <v>0</v>
      </c>
      <c r="AB2210" s="236">
        <v>-1.9</v>
      </c>
      <c r="AC2210" s="127">
        <f t="shared" si="49"/>
        <v>-2</v>
      </c>
    </row>
    <row r="2211" ht="14.5" customHeight="1" spans="11:29" x14ac:dyDescent="0.25">
      <c r="K2211" s="128"/>
      <c r="X2211" s="234">
        <v>2022</v>
      </c>
      <c r="Y2211" s="234">
        <v>4</v>
      </c>
      <c r="Z2211" s="234">
        <v>3</v>
      </c>
      <c r="AA2211" s="235">
        <v>0.041666666667879326</v>
      </c>
      <c r="AB2211" s="236">
        <v>-2.9</v>
      </c>
      <c r="AC2211" s="127">
        <f t="shared" si="49"/>
        <v>-3</v>
      </c>
    </row>
    <row r="2212" ht="14.5" customHeight="1" spans="11:29" x14ac:dyDescent="0.25">
      <c r="K2212" s="128"/>
      <c r="X2212" s="234">
        <v>2022</v>
      </c>
      <c r="Y2212" s="234">
        <v>4</v>
      </c>
      <c r="Z2212" s="234">
        <v>3</v>
      </c>
      <c r="AA2212" s="235">
        <v>0.08333333333212067</v>
      </c>
      <c r="AB2212" s="236">
        <v>-4.2</v>
      </c>
      <c r="AC2212" s="127">
        <f t="shared" si="49"/>
        <v>-4</v>
      </c>
    </row>
    <row r="2213" ht="14.5" customHeight="1" spans="11:29" x14ac:dyDescent="0.25">
      <c r="K2213" s="128"/>
      <c r="X2213" s="234">
        <v>2022</v>
      </c>
      <c r="Y2213" s="234">
        <v>4</v>
      </c>
      <c r="Z2213" s="234">
        <v>3</v>
      </c>
      <c r="AA2213" s="235">
        <v>0.125</v>
      </c>
      <c r="AB2213" s="236">
        <v>-3.5</v>
      </c>
      <c r="AC2213" s="127">
        <f t="shared" si="49"/>
        <v>-4</v>
      </c>
    </row>
    <row r="2214" ht="14.5" customHeight="1" spans="11:29" x14ac:dyDescent="0.25">
      <c r="K2214" s="128"/>
      <c r="X2214" s="234">
        <v>2022</v>
      </c>
      <c r="Y2214" s="234">
        <v>4</v>
      </c>
      <c r="Z2214" s="234">
        <v>3</v>
      </c>
      <c r="AA2214" s="235">
        <v>0.16666666666787933</v>
      </c>
      <c r="AB2214" s="236">
        <v>-3.9</v>
      </c>
      <c r="AC2214" s="127">
        <f t="shared" si="49"/>
        <v>-4</v>
      </c>
    </row>
    <row r="2215" ht="14.5" customHeight="1" spans="11:29" x14ac:dyDescent="0.25">
      <c r="K2215" s="128"/>
      <c r="X2215" s="234">
        <v>2022</v>
      </c>
      <c r="Y2215" s="234">
        <v>4</v>
      </c>
      <c r="Z2215" s="234">
        <v>3</v>
      </c>
      <c r="AA2215" s="235">
        <v>0.20833333333212067</v>
      </c>
      <c r="AB2215" s="236">
        <v>-4.4</v>
      </c>
      <c r="AC2215" s="127">
        <f t="shared" si="49"/>
        <v>-4</v>
      </c>
    </row>
    <row r="2216" ht="14.5" customHeight="1" spans="11:29" x14ac:dyDescent="0.25">
      <c r="K2216" s="128"/>
      <c r="X2216" s="234">
        <v>2022</v>
      </c>
      <c r="Y2216" s="234">
        <v>4</v>
      </c>
      <c r="Z2216" s="234">
        <v>3</v>
      </c>
      <c r="AA2216" s="235">
        <v>0.25</v>
      </c>
      <c r="AB2216" s="236">
        <v>-3.3</v>
      </c>
      <c r="AC2216" s="127">
        <f t="shared" si="49"/>
        <v>-3</v>
      </c>
    </row>
    <row r="2217" ht="14.5" customHeight="1" spans="11:29" x14ac:dyDescent="0.25">
      <c r="K2217" s="128"/>
      <c r="X2217" s="234">
        <v>2022</v>
      </c>
      <c r="Y2217" s="234">
        <v>4</v>
      </c>
      <c r="Z2217" s="234">
        <v>3</v>
      </c>
      <c r="AA2217" s="235">
        <v>0.2916666666678793</v>
      </c>
      <c r="AB2217" s="236">
        <v>-2.1</v>
      </c>
      <c r="AC2217" s="127">
        <f t="shared" si="49"/>
        <v>-2</v>
      </c>
    </row>
    <row r="2218" ht="14.5" customHeight="1" spans="11:29" x14ac:dyDescent="0.25">
      <c r="K2218" s="128"/>
      <c r="X2218" s="234">
        <v>2022</v>
      </c>
      <c r="Y2218" s="234">
        <v>4</v>
      </c>
      <c r="Z2218" s="234">
        <v>3</v>
      </c>
      <c r="AA2218" s="235">
        <v>0.3333333333321207</v>
      </c>
      <c r="AB2218" s="236">
        <v>0</v>
      </c>
      <c r="AC2218" s="127">
        <f t="shared" si="49"/>
        <v>0</v>
      </c>
    </row>
    <row r="2219" ht="14.5" customHeight="1" spans="11:29" x14ac:dyDescent="0.25">
      <c r="K2219" s="128"/>
      <c r="X2219" s="234">
        <v>2022</v>
      </c>
      <c r="Y2219" s="234">
        <v>4</v>
      </c>
      <c r="Z2219" s="234">
        <v>3</v>
      </c>
      <c r="AA2219" s="235">
        <v>0.375</v>
      </c>
      <c r="AB2219" s="236">
        <v>0.7</v>
      </c>
      <c r="AC2219" s="127">
        <f t="shared" si="49"/>
        <v>1</v>
      </c>
    </row>
    <row r="2220" ht="14.5" customHeight="1" spans="11:29" x14ac:dyDescent="0.25">
      <c r="K2220" s="128"/>
      <c r="X2220" s="234">
        <v>2022</v>
      </c>
      <c r="Y2220" s="234">
        <v>4</v>
      </c>
      <c r="Z2220" s="234">
        <v>3</v>
      </c>
      <c r="AA2220" s="235">
        <v>0.4166666666678793</v>
      </c>
      <c r="AB2220" s="236">
        <v>1.6</v>
      </c>
      <c r="AC2220" s="127">
        <f t="shared" si="49"/>
        <v>2</v>
      </c>
    </row>
    <row r="2221" ht="14.5" customHeight="1" spans="11:29" x14ac:dyDescent="0.25">
      <c r="K2221" s="128"/>
      <c r="X2221" s="234">
        <v>2022</v>
      </c>
      <c r="Y2221" s="234">
        <v>4</v>
      </c>
      <c r="Z2221" s="234">
        <v>3</v>
      </c>
      <c r="AA2221" s="235">
        <v>0.4583333333321207</v>
      </c>
      <c r="AB2221" s="236">
        <v>2.9</v>
      </c>
      <c r="AC2221" s="127">
        <f t="shared" si="49"/>
        <v>3</v>
      </c>
    </row>
    <row r="2222" ht="14.5" customHeight="1" spans="11:29" x14ac:dyDescent="0.25">
      <c r="K2222" s="128"/>
      <c r="X2222" s="234">
        <v>2022</v>
      </c>
      <c r="Y2222" s="234">
        <v>4</v>
      </c>
      <c r="Z2222" s="234">
        <v>3</v>
      </c>
      <c r="AA2222" s="235">
        <v>0.5</v>
      </c>
      <c r="AB2222" s="236">
        <v>3.5</v>
      </c>
      <c r="AC2222" s="127">
        <f t="shared" si="49"/>
        <v>4</v>
      </c>
    </row>
    <row r="2223" ht="14.5" customHeight="1" spans="11:29" x14ac:dyDescent="0.25">
      <c r="K2223" s="128"/>
      <c r="X2223" s="234">
        <v>2022</v>
      </c>
      <c r="Y2223" s="234">
        <v>4</v>
      </c>
      <c r="Z2223" s="234">
        <v>3</v>
      </c>
      <c r="AA2223" s="235">
        <v>0.5416666666678793</v>
      </c>
      <c r="AB2223" s="236">
        <v>4.7</v>
      </c>
      <c r="AC2223" s="127">
        <f t="shared" si="49"/>
        <v>5</v>
      </c>
    </row>
    <row r="2224" ht="14.5" customHeight="1" spans="11:29" x14ac:dyDescent="0.25">
      <c r="K2224" s="128"/>
      <c r="X2224" s="234">
        <v>2022</v>
      </c>
      <c r="Y2224" s="234">
        <v>4</v>
      </c>
      <c r="Z2224" s="234">
        <v>3</v>
      </c>
      <c r="AA2224" s="235">
        <v>0.5833333333321207</v>
      </c>
      <c r="AB2224" s="236">
        <v>5.7</v>
      </c>
      <c r="AC2224" s="127">
        <f t="shared" si="49"/>
        <v>6</v>
      </c>
    </row>
    <row r="2225" ht="14.5" customHeight="1" spans="11:29" x14ac:dyDescent="0.25">
      <c r="K2225" s="128"/>
      <c r="X2225" s="234">
        <v>2022</v>
      </c>
      <c r="Y2225" s="234">
        <v>4</v>
      </c>
      <c r="Z2225" s="234">
        <v>3</v>
      </c>
      <c r="AA2225" s="235">
        <v>0.625</v>
      </c>
      <c r="AB2225" s="236">
        <v>6.4</v>
      </c>
      <c r="AC2225" s="127">
        <f t="shared" si="49"/>
        <v>6</v>
      </c>
    </row>
    <row r="2226" ht="14.5" customHeight="1" spans="11:29" x14ac:dyDescent="0.25">
      <c r="K2226" s="128"/>
      <c r="X2226" s="234">
        <v>2022</v>
      </c>
      <c r="Y2226" s="234">
        <v>4</v>
      </c>
      <c r="Z2226" s="234">
        <v>3</v>
      </c>
      <c r="AA2226" s="235">
        <v>0.6666666666678793</v>
      </c>
      <c r="AB2226" s="236">
        <v>6.7</v>
      </c>
      <c r="AC2226" s="127">
        <f t="shared" si="49"/>
        <v>7</v>
      </c>
    </row>
    <row r="2227" ht="14.5" customHeight="1" spans="11:29" x14ac:dyDescent="0.25">
      <c r="K2227" s="128"/>
      <c r="X2227" s="234">
        <v>2022</v>
      </c>
      <c r="Y2227" s="234">
        <v>4</v>
      </c>
      <c r="Z2227" s="234">
        <v>3</v>
      </c>
      <c r="AA2227" s="235">
        <v>0.7083333333321207</v>
      </c>
      <c r="AB2227" s="236">
        <v>8.7</v>
      </c>
      <c r="AC2227" s="127">
        <f t="shared" si="49"/>
        <v>9</v>
      </c>
    </row>
    <row r="2228" ht="14.5" customHeight="1" spans="11:29" x14ac:dyDescent="0.25">
      <c r="K2228" s="128"/>
      <c r="X2228" s="234">
        <v>2022</v>
      </c>
      <c r="Y2228" s="234">
        <v>4</v>
      </c>
      <c r="Z2228" s="234">
        <v>3</v>
      </c>
      <c r="AA2228" s="235">
        <v>0.75</v>
      </c>
      <c r="AB2228" s="236">
        <v>9.1</v>
      </c>
      <c r="AC2228" s="127">
        <f t="shared" si="49"/>
        <v>9</v>
      </c>
    </row>
    <row r="2229" ht="14.5" customHeight="1" spans="11:29" x14ac:dyDescent="0.25">
      <c r="K2229" s="128"/>
      <c r="X2229" s="234">
        <v>2022</v>
      </c>
      <c r="Y2229" s="234">
        <v>4</v>
      </c>
      <c r="Z2229" s="234">
        <v>3</v>
      </c>
      <c r="AA2229" s="235">
        <v>0.7916666666678793</v>
      </c>
      <c r="AB2229" s="236">
        <v>7.7</v>
      </c>
      <c r="AC2229" s="127">
        <f t="shared" si="49"/>
        <v>8</v>
      </c>
    </row>
    <row r="2230" ht="14.5" customHeight="1" spans="11:29" x14ac:dyDescent="0.25">
      <c r="K2230" s="128"/>
      <c r="X2230" s="234">
        <v>2022</v>
      </c>
      <c r="Y2230" s="234">
        <v>4</v>
      </c>
      <c r="Z2230" s="234">
        <v>3</v>
      </c>
      <c r="AA2230" s="235">
        <v>0.8333333333321207</v>
      </c>
      <c r="AB2230" s="236">
        <v>3.8</v>
      </c>
      <c r="AC2230" s="127">
        <f t="shared" si="49"/>
        <v>4</v>
      </c>
    </row>
    <row r="2231" ht="14.5" customHeight="1" spans="11:29" x14ac:dyDescent="0.25">
      <c r="K2231" s="128"/>
      <c r="X2231" s="234">
        <v>2022</v>
      </c>
      <c r="Y2231" s="234">
        <v>4</v>
      </c>
      <c r="Z2231" s="234">
        <v>3</v>
      </c>
      <c r="AA2231" s="235">
        <v>0.875</v>
      </c>
      <c r="AB2231" s="236">
        <v>1.9</v>
      </c>
      <c r="AC2231" s="127">
        <f t="shared" si="49"/>
        <v>2</v>
      </c>
    </row>
    <row r="2232" ht="14.5" customHeight="1" spans="11:29" x14ac:dyDescent="0.25">
      <c r="K2232" s="128"/>
      <c r="X2232" s="234">
        <v>2022</v>
      </c>
      <c r="Y2232" s="234">
        <v>4</v>
      </c>
      <c r="Z2232" s="234">
        <v>3</v>
      </c>
      <c r="AA2232" s="235">
        <v>0.9166666666678793</v>
      </c>
      <c r="AB2232" s="236">
        <v>2.5</v>
      </c>
      <c r="AC2232" s="127">
        <f t="shared" si="49"/>
        <v>3</v>
      </c>
    </row>
    <row r="2233" ht="14.5" customHeight="1" spans="11:29" x14ac:dyDescent="0.25">
      <c r="K2233" s="128"/>
      <c r="X2233" s="234">
        <v>2022</v>
      </c>
      <c r="Y2233" s="234">
        <v>4</v>
      </c>
      <c r="Z2233" s="234">
        <v>3</v>
      </c>
      <c r="AA2233" s="235">
        <v>0.9583333333321207</v>
      </c>
      <c r="AB2233" s="236">
        <v>1.8</v>
      </c>
      <c r="AC2233" s="127">
        <f t="shared" si="49"/>
        <v>2</v>
      </c>
    </row>
    <row r="2234" ht="14.5" customHeight="1" spans="11:29" x14ac:dyDescent="0.25">
      <c r="K2234" s="128"/>
      <c r="X2234" s="234">
        <v>2022</v>
      </c>
      <c r="Y2234" s="234">
        <v>4</v>
      </c>
      <c r="Z2234" s="234">
        <v>4</v>
      </c>
      <c r="AA2234" s="235">
        <v>0</v>
      </c>
      <c r="AB2234" s="236">
        <v>2.2</v>
      </c>
      <c r="AC2234" s="127">
        <f t="shared" si="49"/>
        <v>2</v>
      </c>
    </row>
    <row r="2235" ht="14.5" customHeight="1" spans="11:29" x14ac:dyDescent="0.25">
      <c r="K2235" s="128"/>
      <c r="X2235" s="234">
        <v>2022</v>
      </c>
      <c r="Y2235" s="234">
        <v>4</v>
      </c>
      <c r="Z2235" s="234">
        <v>4</v>
      </c>
      <c r="AA2235" s="235">
        <v>0.041666666667879326</v>
      </c>
      <c r="AB2235" s="236">
        <v>1.5</v>
      </c>
      <c r="AC2235" s="127">
        <f t="shared" si="49"/>
        <v>2</v>
      </c>
    </row>
    <row r="2236" ht="14.5" customHeight="1" spans="11:29" x14ac:dyDescent="0.25">
      <c r="K2236" s="128"/>
      <c r="X2236" s="234">
        <v>2022</v>
      </c>
      <c r="Y2236" s="234">
        <v>4</v>
      </c>
      <c r="Z2236" s="234">
        <v>4</v>
      </c>
      <c r="AA2236" s="235">
        <v>0.08333333333212067</v>
      </c>
      <c r="AB2236" s="236">
        <v>2</v>
      </c>
      <c r="AC2236" s="127">
        <f t="shared" si="49"/>
        <v>2</v>
      </c>
    </row>
    <row r="2237" ht="14.5" customHeight="1" spans="11:29" x14ac:dyDescent="0.25">
      <c r="K2237" s="128"/>
      <c r="X2237" s="234">
        <v>2022</v>
      </c>
      <c r="Y2237" s="234">
        <v>4</v>
      </c>
      <c r="Z2237" s="234">
        <v>4</v>
      </c>
      <c r="AA2237" s="235">
        <v>0.125</v>
      </c>
      <c r="AB2237" s="236">
        <v>2.1</v>
      </c>
      <c r="AC2237" s="127">
        <f t="shared" si="49"/>
        <v>2</v>
      </c>
    </row>
    <row r="2238" ht="14.5" customHeight="1" spans="11:29" x14ac:dyDescent="0.25">
      <c r="K2238" s="128"/>
      <c r="X2238" s="234">
        <v>2022</v>
      </c>
      <c r="Y2238" s="234">
        <v>4</v>
      </c>
      <c r="Z2238" s="234">
        <v>4</v>
      </c>
      <c r="AA2238" s="235">
        <v>0.16666666666787933</v>
      </c>
      <c r="AB2238" s="236">
        <v>2.4</v>
      </c>
      <c r="AC2238" s="127">
        <f t="shared" si="49"/>
        <v>2</v>
      </c>
    </row>
    <row r="2239" ht="14.5" customHeight="1" spans="11:29" x14ac:dyDescent="0.25">
      <c r="K2239" s="128"/>
      <c r="X2239" s="234">
        <v>2022</v>
      </c>
      <c r="Y2239" s="234">
        <v>4</v>
      </c>
      <c r="Z2239" s="234">
        <v>4</v>
      </c>
      <c r="AA2239" s="235">
        <v>0.20833333333212067</v>
      </c>
      <c r="AB2239" s="236">
        <v>2.8</v>
      </c>
      <c r="AC2239" s="127">
        <f t="shared" si="49"/>
        <v>3</v>
      </c>
    </row>
    <row r="2240" ht="14.5" customHeight="1" spans="11:29" x14ac:dyDescent="0.25">
      <c r="K2240" s="128"/>
      <c r="X2240" s="234">
        <v>2022</v>
      </c>
      <c r="Y2240" s="234">
        <v>4</v>
      </c>
      <c r="Z2240" s="234">
        <v>4</v>
      </c>
      <c r="AA2240" s="235">
        <v>0.25</v>
      </c>
      <c r="AB2240" s="236">
        <v>4.1</v>
      </c>
      <c r="AC2240" s="127">
        <f t="shared" si="49"/>
        <v>4</v>
      </c>
    </row>
    <row r="2241" ht="14.5" customHeight="1" spans="11:29" x14ac:dyDescent="0.25">
      <c r="K2241" s="128"/>
      <c r="X2241" s="234">
        <v>2022</v>
      </c>
      <c r="Y2241" s="234">
        <v>4</v>
      </c>
      <c r="Z2241" s="234">
        <v>4</v>
      </c>
      <c r="AA2241" s="235">
        <v>0.2916666666678793</v>
      </c>
      <c r="AB2241" s="236">
        <v>3.4</v>
      </c>
      <c r="AC2241" s="127">
        <f t="shared" si="49"/>
        <v>3</v>
      </c>
    </row>
    <row r="2242" ht="14.5" customHeight="1" spans="11:29" x14ac:dyDescent="0.25">
      <c r="K2242" s="128"/>
      <c r="X2242" s="234">
        <v>2022</v>
      </c>
      <c r="Y2242" s="234">
        <v>4</v>
      </c>
      <c r="Z2242" s="234">
        <v>4</v>
      </c>
      <c r="AA2242" s="235">
        <v>0.3333333333321207</v>
      </c>
      <c r="AB2242" s="236">
        <v>3.5</v>
      </c>
      <c r="AC2242" s="127">
        <f t="shared" si="49"/>
        <v>4</v>
      </c>
    </row>
    <row r="2243" ht="14.5" customHeight="1" spans="11:29" x14ac:dyDescent="0.25">
      <c r="K2243" s="128"/>
      <c r="X2243" s="234">
        <v>2022</v>
      </c>
      <c r="Y2243" s="234">
        <v>4</v>
      </c>
      <c r="Z2243" s="234">
        <v>4</v>
      </c>
      <c r="AA2243" s="235">
        <v>0.375</v>
      </c>
      <c r="AB2243" s="236">
        <v>5.2</v>
      </c>
      <c r="AC2243" s="127">
        <f t="shared" si="49"/>
        <v>5</v>
      </c>
    </row>
    <row r="2244" ht="14.5" customHeight="1" spans="11:29" x14ac:dyDescent="0.25">
      <c r="K2244" s="128"/>
      <c r="X2244" s="234">
        <v>2022</v>
      </c>
      <c r="Y2244" s="234">
        <v>4</v>
      </c>
      <c r="Z2244" s="234">
        <v>4</v>
      </c>
      <c r="AA2244" s="235">
        <v>0.4166666666678793</v>
      </c>
      <c r="AB2244" s="236">
        <v>7.6</v>
      </c>
      <c r="AC2244" s="127">
        <f t="shared" si="49"/>
        <v>8</v>
      </c>
    </row>
    <row r="2245" ht="14.5" customHeight="1" spans="11:29" x14ac:dyDescent="0.25">
      <c r="K2245" s="128"/>
      <c r="X2245" s="234">
        <v>2022</v>
      </c>
      <c r="Y2245" s="234">
        <v>4</v>
      </c>
      <c r="Z2245" s="234">
        <v>4</v>
      </c>
      <c r="AA2245" s="235">
        <v>0.4583333333321207</v>
      </c>
      <c r="AB2245" s="236">
        <v>11.2</v>
      </c>
      <c r="AC2245" s="127">
        <f t="shared" si="49"/>
        <v>11</v>
      </c>
    </row>
    <row r="2246" ht="14.5" customHeight="1" spans="11:29" x14ac:dyDescent="0.25">
      <c r="K2246" s="128"/>
      <c r="X2246" s="234">
        <v>2022</v>
      </c>
      <c r="Y2246" s="234">
        <v>4</v>
      </c>
      <c r="Z2246" s="234">
        <v>4</v>
      </c>
      <c r="AA2246" s="235">
        <v>0.5</v>
      </c>
      <c r="AB2246" s="236">
        <v>12.3</v>
      </c>
      <c r="AC2246" s="127">
        <f t="shared" si="49"/>
        <v>12</v>
      </c>
    </row>
    <row r="2247" ht="14.5" customHeight="1" spans="11:29" x14ac:dyDescent="0.25">
      <c r="K2247" s="128"/>
      <c r="X2247" s="234">
        <v>2022</v>
      </c>
      <c r="Y2247" s="234">
        <v>4</v>
      </c>
      <c r="Z2247" s="234">
        <v>4</v>
      </c>
      <c r="AA2247" s="235">
        <v>0.5416666666678793</v>
      </c>
      <c r="AB2247" s="236">
        <v>13.1</v>
      </c>
      <c r="AC2247" s="127">
        <f t="shared" si="49"/>
        <v>13</v>
      </c>
    </row>
    <row r="2248" ht="14.5" customHeight="1" spans="11:29" x14ac:dyDescent="0.25">
      <c r="K2248" s="128"/>
      <c r="X2248" s="234">
        <v>2022</v>
      </c>
      <c r="Y2248" s="234">
        <v>4</v>
      </c>
      <c r="Z2248" s="234">
        <v>4</v>
      </c>
      <c r="AA2248" s="235">
        <v>0.5833333333321207</v>
      </c>
      <c r="AB2248" s="236">
        <v>12.6</v>
      </c>
      <c r="AC2248" s="127">
        <f t="shared" si="49"/>
        <v>13</v>
      </c>
    </row>
    <row r="2249" ht="14.5" customHeight="1" spans="11:29" x14ac:dyDescent="0.25">
      <c r="K2249" s="128"/>
      <c r="X2249" s="234">
        <v>2022</v>
      </c>
      <c r="Y2249" s="234">
        <v>4</v>
      </c>
      <c r="Z2249" s="234">
        <v>4</v>
      </c>
      <c r="AA2249" s="235">
        <v>0.625</v>
      </c>
      <c r="AB2249" s="236">
        <v>12.1</v>
      </c>
      <c r="AC2249" s="127">
        <f t="shared" si="49"/>
        <v>12</v>
      </c>
    </row>
    <row r="2250" ht="14.5" customHeight="1" spans="11:29" x14ac:dyDescent="0.25">
      <c r="K2250" s="128"/>
      <c r="X2250" s="234">
        <v>2022</v>
      </c>
      <c r="Y2250" s="234">
        <v>4</v>
      </c>
      <c r="Z2250" s="234">
        <v>4</v>
      </c>
      <c r="AA2250" s="235">
        <v>0.6666666666678793</v>
      </c>
      <c r="AB2250" s="236">
        <v>11</v>
      </c>
      <c r="AC2250" s="127">
        <f t="shared" si="49"/>
        <v>11</v>
      </c>
    </row>
    <row r="2251" ht="14.5" customHeight="1" spans="11:29" x14ac:dyDescent="0.25">
      <c r="K2251" s="128"/>
      <c r="X2251" s="234">
        <v>2022</v>
      </c>
      <c r="Y2251" s="234">
        <v>4</v>
      </c>
      <c r="Z2251" s="234">
        <v>4</v>
      </c>
      <c r="AA2251" s="235">
        <v>0.7083333333321207</v>
      </c>
      <c r="AB2251" s="236">
        <v>9.5</v>
      </c>
      <c r="AC2251" s="127">
        <f t="shared" ref="AC2251:AC2314" si="50">ROUND(AB2251,0)</f>
        <v>10</v>
      </c>
    </row>
    <row r="2252" ht="14.5" customHeight="1" spans="11:29" x14ac:dyDescent="0.25">
      <c r="K2252" s="128"/>
      <c r="X2252" s="234">
        <v>2022</v>
      </c>
      <c r="Y2252" s="234">
        <v>4</v>
      </c>
      <c r="Z2252" s="234">
        <v>4</v>
      </c>
      <c r="AA2252" s="235">
        <v>0.75</v>
      </c>
      <c r="AB2252" s="236">
        <v>8.3</v>
      </c>
      <c r="AC2252" s="127">
        <f t="shared" si="50"/>
        <v>8</v>
      </c>
    </row>
    <row r="2253" ht="14.5" customHeight="1" spans="11:29" x14ac:dyDescent="0.25">
      <c r="K2253" s="128"/>
      <c r="X2253" s="234">
        <v>2022</v>
      </c>
      <c r="Y2253" s="234">
        <v>4</v>
      </c>
      <c r="Z2253" s="234">
        <v>4</v>
      </c>
      <c r="AA2253" s="235">
        <v>0.7916666666678793</v>
      </c>
      <c r="AB2253" s="236">
        <v>6.1</v>
      </c>
      <c r="AC2253" s="127">
        <f t="shared" si="50"/>
        <v>6</v>
      </c>
    </row>
    <row r="2254" ht="14.5" customHeight="1" spans="11:29" x14ac:dyDescent="0.25">
      <c r="K2254" s="128"/>
      <c r="X2254" s="234">
        <v>2022</v>
      </c>
      <c r="Y2254" s="234">
        <v>4</v>
      </c>
      <c r="Z2254" s="234">
        <v>4</v>
      </c>
      <c r="AA2254" s="235">
        <v>0.8333333333321207</v>
      </c>
      <c r="AB2254" s="236">
        <v>6</v>
      </c>
      <c r="AC2254" s="127">
        <f t="shared" si="50"/>
        <v>6</v>
      </c>
    </row>
    <row r="2255" ht="14.5" customHeight="1" spans="11:29" x14ac:dyDescent="0.25">
      <c r="K2255" s="128"/>
      <c r="X2255" s="234">
        <v>2022</v>
      </c>
      <c r="Y2255" s="234">
        <v>4</v>
      </c>
      <c r="Z2255" s="234">
        <v>4</v>
      </c>
      <c r="AA2255" s="235">
        <v>0.875</v>
      </c>
      <c r="AB2255" s="236">
        <v>5.4</v>
      </c>
      <c r="AC2255" s="127">
        <f t="shared" si="50"/>
        <v>5</v>
      </c>
    </row>
    <row r="2256" ht="14.5" customHeight="1" spans="11:29" x14ac:dyDescent="0.25">
      <c r="K2256" s="128"/>
      <c r="X2256" s="234">
        <v>2022</v>
      </c>
      <c r="Y2256" s="234">
        <v>4</v>
      </c>
      <c r="Z2256" s="234">
        <v>4</v>
      </c>
      <c r="AA2256" s="235">
        <v>0.9166666666678793</v>
      </c>
      <c r="AB2256" s="236">
        <v>5.3</v>
      </c>
      <c r="AC2256" s="127">
        <f t="shared" si="50"/>
        <v>5</v>
      </c>
    </row>
    <row r="2257" ht="14.5" customHeight="1" spans="11:29" x14ac:dyDescent="0.25">
      <c r="K2257" s="128"/>
      <c r="X2257" s="234">
        <v>2022</v>
      </c>
      <c r="Y2257" s="234">
        <v>4</v>
      </c>
      <c r="Z2257" s="234">
        <v>4</v>
      </c>
      <c r="AA2257" s="235">
        <v>0.9583333333321207</v>
      </c>
      <c r="AB2257" s="236">
        <v>4.9</v>
      </c>
      <c r="AC2257" s="127">
        <f t="shared" si="50"/>
        <v>5</v>
      </c>
    </row>
    <row r="2258" ht="14.5" customHeight="1" spans="11:29" x14ac:dyDescent="0.25">
      <c r="K2258" s="128"/>
      <c r="X2258" s="234">
        <v>2022</v>
      </c>
      <c r="Y2258" s="234">
        <v>4</v>
      </c>
      <c r="Z2258" s="234">
        <v>5</v>
      </c>
      <c r="AA2258" s="235">
        <v>0</v>
      </c>
      <c r="AB2258" s="236">
        <v>4.6</v>
      </c>
      <c r="AC2258" s="127">
        <f t="shared" si="50"/>
        <v>5</v>
      </c>
    </row>
    <row r="2259" ht="14.5" customHeight="1" spans="11:29" x14ac:dyDescent="0.25">
      <c r="K2259" s="128"/>
      <c r="X2259" s="234">
        <v>2022</v>
      </c>
      <c r="Y2259" s="234">
        <v>4</v>
      </c>
      <c r="Z2259" s="234">
        <v>5</v>
      </c>
      <c r="AA2259" s="235">
        <v>0.041666666667879326</v>
      </c>
      <c r="AB2259" s="236">
        <v>3.7</v>
      </c>
      <c r="AC2259" s="127">
        <f t="shared" si="50"/>
        <v>4</v>
      </c>
    </row>
    <row r="2260" ht="14.5" customHeight="1" spans="11:29" x14ac:dyDescent="0.25">
      <c r="K2260" s="128"/>
      <c r="X2260" s="234">
        <v>2022</v>
      </c>
      <c r="Y2260" s="234">
        <v>4</v>
      </c>
      <c r="Z2260" s="234">
        <v>5</v>
      </c>
      <c r="AA2260" s="235">
        <v>0.08333333333212067</v>
      </c>
      <c r="AB2260" s="236">
        <v>3.2</v>
      </c>
      <c r="AC2260" s="127">
        <f t="shared" si="50"/>
        <v>3</v>
      </c>
    </row>
    <row r="2261" ht="14.5" customHeight="1" spans="11:29" x14ac:dyDescent="0.25">
      <c r="K2261" s="128"/>
      <c r="X2261" s="234">
        <v>2022</v>
      </c>
      <c r="Y2261" s="234">
        <v>4</v>
      </c>
      <c r="Z2261" s="234">
        <v>5</v>
      </c>
      <c r="AA2261" s="235">
        <v>0.125</v>
      </c>
      <c r="AB2261" s="236">
        <v>3.8</v>
      </c>
      <c r="AC2261" s="127">
        <f t="shared" si="50"/>
        <v>4</v>
      </c>
    </row>
    <row r="2262" ht="14.5" customHeight="1" spans="11:29" x14ac:dyDescent="0.25">
      <c r="K2262" s="128"/>
      <c r="X2262" s="234">
        <v>2022</v>
      </c>
      <c r="Y2262" s="234">
        <v>4</v>
      </c>
      <c r="Z2262" s="234">
        <v>5</v>
      </c>
      <c r="AA2262" s="235">
        <v>0.16666666666787933</v>
      </c>
      <c r="AB2262" s="236">
        <v>1.7</v>
      </c>
      <c r="AC2262" s="127">
        <f t="shared" si="50"/>
        <v>2</v>
      </c>
    </row>
    <row r="2263" ht="14.5" customHeight="1" spans="11:29" x14ac:dyDescent="0.25">
      <c r="K2263" s="128"/>
      <c r="X2263" s="234">
        <v>2022</v>
      </c>
      <c r="Y2263" s="234">
        <v>4</v>
      </c>
      <c r="Z2263" s="234">
        <v>5</v>
      </c>
      <c r="AA2263" s="235">
        <v>0.20833333333212067</v>
      </c>
      <c r="AB2263" s="236">
        <v>1.3</v>
      </c>
      <c r="AC2263" s="127">
        <f t="shared" si="50"/>
        <v>1</v>
      </c>
    </row>
    <row r="2264" ht="14.5" customHeight="1" spans="11:29" x14ac:dyDescent="0.25">
      <c r="K2264" s="128"/>
      <c r="X2264" s="234">
        <v>2022</v>
      </c>
      <c r="Y2264" s="234">
        <v>4</v>
      </c>
      <c r="Z2264" s="234">
        <v>5</v>
      </c>
      <c r="AA2264" s="235">
        <v>0.25</v>
      </c>
      <c r="AB2264" s="236">
        <v>3.1</v>
      </c>
      <c r="AC2264" s="127">
        <f t="shared" si="50"/>
        <v>3</v>
      </c>
    </row>
    <row r="2265" ht="14.5" customHeight="1" spans="11:29" x14ac:dyDescent="0.25">
      <c r="K2265" s="128"/>
      <c r="X2265" s="234">
        <v>2022</v>
      </c>
      <c r="Y2265" s="234">
        <v>4</v>
      </c>
      <c r="Z2265" s="234">
        <v>5</v>
      </c>
      <c r="AA2265" s="235">
        <v>0.2916666666678793</v>
      </c>
      <c r="AB2265" s="236">
        <v>3.7</v>
      </c>
      <c r="AC2265" s="127">
        <f t="shared" si="50"/>
        <v>4</v>
      </c>
    </row>
    <row r="2266" ht="14.5" customHeight="1" spans="11:29" x14ac:dyDescent="0.25">
      <c r="K2266" s="128"/>
      <c r="X2266" s="234">
        <v>2022</v>
      </c>
      <c r="Y2266" s="234">
        <v>4</v>
      </c>
      <c r="Z2266" s="234">
        <v>5</v>
      </c>
      <c r="AA2266" s="235">
        <v>0.3333333333321207</v>
      </c>
      <c r="AB2266" s="236">
        <v>3.3</v>
      </c>
      <c r="AC2266" s="127">
        <f t="shared" si="50"/>
        <v>3</v>
      </c>
    </row>
    <row r="2267" ht="14.5" customHeight="1" spans="11:29" x14ac:dyDescent="0.25">
      <c r="K2267" s="128"/>
      <c r="X2267" s="234">
        <v>2022</v>
      </c>
      <c r="Y2267" s="234">
        <v>4</v>
      </c>
      <c r="Z2267" s="234">
        <v>5</v>
      </c>
      <c r="AA2267" s="235">
        <v>0.375</v>
      </c>
      <c r="AB2267" s="236">
        <v>4.7</v>
      </c>
      <c r="AC2267" s="127">
        <f t="shared" si="50"/>
        <v>5</v>
      </c>
    </row>
    <row r="2268" ht="14.5" customHeight="1" spans="11:29" x14ac:dyDescent="0.25">
      <c r="K2268" s="128"/>
      <c r="X2268" s="234">
        <v>2022</v>
      </c>
      <c r="Y2268" s="234">
        <v>4</v>
      </c>
      <c r="Z2268" s="234">
        <v>5</v>
      </c>
      <c r="AA2268" s="235">
        <v>0.4166666666678793</v>
      </c>
      <c r="AB2268" s="236">
        <v>5.7</v>
      </c>
      <c r="AC2268" s="127">
        <f t="shared" si="50"/>
        <v>6</v>
      </c>
    </row>
    <row r="2269" ht="14.5" customHeight="1" spans="11:29" x14ac:dyDescent="0.25">
      <c r="K2269" s="128"/>
      <c r="X2269" s="234">
        <v>2022</v>
      </c>
      <c r="Y2269" s="234">
        <v>4</v>
      </c>
      <c r="Z2269" s="234">
        <v>5</v>
      </c>
      <c r="AA2269" s="235">
        <v>0.4583333333321207</v>
      </c>
      <c r="AB2269" s="236">
        <v>7.3</v>
      </c>
      <c r="AC2269" s="127">
        <f t="shared" si="50"/>
        <v>7</v>
      </c>
    </row>
    <row r="2270" ht="14.5" customHeight="1" spans="11:29" x14ac:dyDescent="0.25">
      <c r="K2270" s="128"/>
      <c r="X2270" s="234">
        <v>2022</v>
      </c>
      <c r="Y2270" s="234">
        <v>4</v>
      </c>
      <c r="Z2270" s="234">
        <v>5</v>
      </c>
      <c r="AA2270" s="235">
        <v>0.5</v>
      </c>
      <c r="AB2270" s="236">
        <v>7.9</v>
      </c>
      <c r="AC2270" s="127">
        <f t="shared" si="50"/>
        <v>8</v>
      </c>
    </row>
    <row r="2271" ht="14.5" customHeight="1" spans="11:29" x14ac:dyDescent="0.25">
      <c r="K2271" s="128"/>
      <c r="X2271" s="234">
        <v>2022</v>
      </c>
      <c r="Y2271" s="234">
        <v>4</v>
      </c>
      <c r="Z2271" s="234">
        <v>5</v>
      </c>
      <c r="AA2271" s="235">
        <v>0.5416666666678793</v>
      </c>
      <c r="AB2271" s="236">
        <v>7.7</v>
      </c>
      <c r="AC2271" s="127">
        <f t="shared" si="50"/>
        <v>8</v>
      </c>
    </row>
    <row r="2272" ht="14.5" customHeight="1" spans="11:29" x14ac:dyDescent="0.25">
      <c r="K2272" s="128"/>
      <c r="X2272" s="234">
        <v>2022</v>
      </c>
      <c r="Y2272" s="234">
        <v>4</v>
      </c>
      <c r="Z2272" s="234">
        <v>5</v>
      </c>
      <c r="AA2272" s="235">
        <v>0.5833333333321207</v>
      </c>
      <c r="AB2272" s="236">
        <v>8.8</v>
      </c>
      <c r="AC2272" s="127">
        <f t="shared" si="50"/>
        <v>9</v>
      </c>
    </row>
    <row r="2273" ht="14.5" customHeight="1" spans="11:29" x14ac:dyDescent="0.25">
      <c r="K2273" s="128"/>
      <c r="X2273" s="234">
        <v>2022</v>
      </c>
      <c r="Y2273" s="234">
        <v>4</v>
      </c>
      <c r="Z2273" s="234">
        <v>5</v>
      </c>
      <c r="AA2273" s="235">
        <v>0.625</v>
      </c>
      <c r="AB2273" s="236">
        <v>8.8</v>
      </c>
      <c r="AC2273" s="127">
        <f t="shared" si="50"/>
        <v>9</v>
      </c>
    </row>
    <row r="2274" ht="14.5" customHeight="1" spans="11:29" x14ac:dyDescent="0.25">
      <c r="K2274" s="128"/>
      <c r="X2274" s="234">
        <v>2022</v>
      </c>
      <c r="Y2274" s="234">
        <v>4</v>
      </c>
      <c r="Z2274" s="234">
        <v>5</v>
      </c>
      <c r="AA2274" s="235">
        <v>0.6666666666678793</v>
      </c>
      <c r="AB2274" s="236">
        <v>7.9</v>
      </c>
      <c r="AC2274" s="127">
        <f t="shared" si="50"/>
        <v>8</v>
      </c>
    </row>
    <row r="2275" ht="14.5" customHeight="1" spans="11:29" x14ac:dyDescent="0.25">
      <c r="K2275" s="128"/>
      <c r="X2275" s="234">
        <v>2022</v>
      </c>
      <c r="Y2275" s="234">
        <v>4</v>
      </c>
      <c r="Z2275" s="234">
        <v>5</v>
      </c>
      <c r="AA2275" s="235">
        <v>0.7083333333321207</v>
      </c>
      <c r="AB2275" s="236">
        <v>8.9</v>
      </c>
      <c r="AC2275" s="127">
        <f t="shared" si="50"/>
        <v>9</v>
      </c>
    </row>
    <row r="2276" ht="14.5" customHeight="1" spans="11:29" x14ac:dyDescent="0.25">
      <c r="K2276" s="128"/>
      <c r="X2276" s="234">
        <v>2022</v>
      </c>
      <c r="Y2276" s="234">
        <v>4</v>
      </c>
      <c r="Z2276" s="234">
        <v>5</v>
      </c>
      <c r="AA2276" s="235">
        <v>0.75</v>
      </c>
      <c r="AB2276" s="236">
        <v>8.3</v>
      </c>
      <c r="AC2276" s="127">
        <f t="shared" si="50"/>
        <v>8</v>
      </c>
    </row>
    <row r="2277" ht="14.5" customHeight="1" spans="11:29" x14ac:dyDescent="0.25">
      <c r="K2277" s="128"/>
      <c r="X2277" s="234">
        <v>2022</v>
      </c>
      <c r="Y2277" s="234">
        <v>4</v>
      </c>
      <c r="Z2277" s="234">
        <v>5</v>
      </c>
      <c r="AA2277" s="235">
        <v>0.7916666666678793</v>
      </c>
      <c r="AB2277" s="236">
        <v>6.2</v>
      </c>
      <c r="AC2277" s="127">
        <f t="shared" si="50"/>
        <v>6</v>
      </c>
    </row>
    <row r="2278" ht="14.5" customHeight="1" spans="11:29" x14ac:dyDescent="0.25">
      <c r="K2278" s="128"/>
      <c r="X2278" s="234">
        <v>2022</v>
      </c>
      <c r="Y2278" s="234">
        <v>4</v>
      </c>
      <c r="Z2278" s="234">
        <v>5</v>
      </c>
      <c r="AA2278" s="235">
        <v>0.8333333333321207</v>
      </c>
      <c r="AB2278" s="236">
        <v>5.2</v>
      </c>
      <c r="AC2278" s="127">
        <f t="shared" si="50"/>
        <v>5</v>
      </c>
    </row>
    <row r="2279" ht="14.5" customHeight="1" spans="11:29" x14ac:dyDescent="0.25">
      <c r="K2279" s="128"/>
      <c r="X2279" s="234">
        <v>2022</v>
      </c>
      <c r="Y2279" s="234">
        <v>4</v>
      </c>
      <c r="Z2279" s="234">
        <v>5</v>
      </c>
      <c r="AA2279" s="235">
        <v>0.875</v>
      </c>
      <c r="AB2279" s="236">
        <v>4.5</v>
      </c>
      <c r="AC2279" s="127">
        <f t="shared" si="50"/>
        <v>5</v>
      </c>
    </row>
    <row r="2280" ht="14.5" customHeight="1" spans="11:29" x14ac:dyDescent="0.25">
      <c r="K2280" s="128"/>
      <c r="X2280" s="234">
        <v>2022</v>
      </c>
      <c r="Y2280" s="234">
        <v>4</v>
      </c>
      <c r="Z2280" s="234">
        <v>5</v>
      </c>
      <c r="AA2280" s="235">
        <v>0.9166666666678793</v>
      </c>
      <c r="AB2280" s="236">
        <v>3.5</v>
      </c>
      <c r="AC2280" s="127">
        <f t="shared" si="50"/>
        <v>4</v>
      </c>
    </row>
    <row r="2281" ht="14.5" customHeight="1" spans="11:29" x14ac:dyDescent="0.25">
      <c r="K2281" s="128"/>
      <c r="X2281" s="234">
        <v>2022</v>
      </c>
      <c r="Y2281" s="234">
        <v>4</v>
      </c>
      <c r="Z2281" s="234">
        <v>5</v>
      </c>
      <c r="AA2281" s="235">
        <v>0.9583333333321207</v>
      </c>
      <c r="AB2281" s="236">
        <v>2.9</v>
      </c>
      <c r="AC2281" s="127">
        <f t="shared" si="50"/>
        <v>3</v>
      </c>
    </row>
    <row r="2282" ht="14.5" customHeight="1" spans="11:29" x14ac:dyDescent="0.25">
      <c r="K2282" s="128"/>
      <c r="X2282" s="234">
        <v>2022</v>
      </c>
      <c r="Y2282" s="234">
        <v>4</v>
      </c>
      <c r="Z2282" s="234">
        <v>6</v>
      </c>
      <c r="AA2282" s="235">
        <v>0</v>
      </c>
      <c r="AB2282" s="236">
        <v>0.5</v>
      </c>
      <c r="AC2282" s="127">
        <f t="shared" si="50"/>
        <v>1</v>
      </c>
    </row>
    <row r="2283" ht="14.5" customHeight="1" spans="11:29" x14ac:dyDescent="0.25">
      <c r="K2283" s="128"/>
      <c r="X2283" s="234">
        <v>2022</v>
      </c>
      <c r="Y2283" s="234">
        <v>4</v>
      </c>
      <c r="Z2283" s="234">
        <v>6</v>
      </c>
      <c r="AA2283" s="235">
        <v>0.041666666667879326</v>
      </c>
      <c r="AB2283" s="236">
        <v>-1.4</v>
      </c>
      <c r="AC2283" s="127">
        <f t="shared" si="50"/>
        <v>-1</v>
      </c>
    </row>
    <row r="2284" ht="14.5" customHeight="1" spans="11:29" x14ac:dyDescent="0.25">
      <c r="K2284" s="128"/>
      <c r="X2284" s="234">
        <v>2022</v>
      </c>
      <c r="Y2284" s="234">
        <v>4</v>
      </c>
      <c r="Z2284" s="234">
        <v>6</v>
      </c>
      <c r="AA2284" s="235">
        <v>0.08333333333212067</v>
      </c>
      <c r="AB2284" s="236">
        <v>1.6</v>
      </c>
      <c r="AC2284" s="127">
        <f t="shared" si="50"/>
        <v>2</v>
      </c>
    </row>
    <row r="2285" ht="14.5" customHeight="1" spans="11:29" x14ac:dyDescent="0.25">
      <c r="K2285" s="128"/>
      <c r="X2285" s="234">
        <v>2022</v>
      </c>
      <c r="Y2285" s="234">
        <v>4</v>
      </c>
      <c r="Z2285" s="234">
        <v>6</v>
      </c>
      <c r="AA2285" s="235">
        <v>0.125</v>
      </c>
      <c r="AB2285" s="236">
        <v>2.2</v>
      </c>
      <c r="AC2285" s="127">
        <f t="shared" si="50"/>
        <v>2</v>
      </c>
    </row>
    <row r="2286" ht="14.5" customHeight="1" spans="11:29" x14ac:dyDescent="0.25">
      <c r="K2286" s="128"/>
      <c r="X2286" s="234">
        <v>2022</v>
      </c>
      <c r="Y2286" s="234">
        <v>4</v>
      </c>
      <c r="Z2286" s="234">
        <v>6</v>
      </c>
      <c r="AA2286" s="235">
        <v>0.16666666666787933</v>
      </c>
      <c r="AB2286" s="236">
        <v>1</v>
      </c>
      <c r="AC2286" s="127">
        <f t="shared" si="50"/>
        <v>1</v>
      </c>
    </row>
    <row r="2287" ht="14.5" customHeight="1" spans="11:29" x14ac:dyDescent="0.25">
      <c r="K2287" s="128"/>
      <c r="X2287" s="234">
        <v>2022</v>
      </c>
      <c r="Y2287" s="234">
        <v>4</v>
      </c>
      <c r="Z2287" s="234">
        <v>6</v>
      </c>
      <c r="AA2287" s="235">
        <v>0.20833333333212067</v>
      </c>
      <c r="AB2287" s="236">
        <v>-2</v>
      </c>
      <c r="AC2287" s="127">
        <f t="shared" si="50"/>
        <v>-2</v>
      </c>
    </row>
    <row r="2288" ht="14.5" customHeight="1" spans="11:29" x14ac:dyDescent="0.25">
      <c r="K2288" s="128"/>
      <c r="X2288" s="234">
        <v>2022</v>
      </c>
      <c r="Y2288" s="234">
        <v>4</v>
      </c>
      <c r="Z2288" s="234">
        <v>6</v>
      </c>
      <c r="AA2288" s="235">
        <v>0.25</v>
      </c>
      <c r="AB2288" s="236">
        <v>-0.6</v>
      </c>
      <c r="AC2288" s="127">
        <f t="shared" si="50"/>
        <v>-1</v>
      </c>
    </row>
    <row r="2289" ht="14.5" customHeight="1" spans="11:29" x14ac:dyDescent="0.25">
      <c r="K2289" s="128"/>
      <c r="X2289" s="234">
        <v>2022</v>
      </c>
      <c r="Y2289" s="234">
        <v>4</v>
      </c>
      <c r="Z2289" s="234">
        <v>6</v>
      </c>
      <c r="AA2289" s="235">
        <v>0.2916666666678793</v>
      </c>
      <c r="AB2289" s="236">
        <v>0.4</v>
      </c>
      <c r="AC2289" s="127">
        <f t="shared" si="50"/>
        <v>0</v>
      </c>
    </row>
    <row r="2290" ht="14.5" customHeight="1" spans="11:29" x14ac:dyDescent="0.25">
      <c r="K2290" s="128"/>
      <c r="X2290" s="234">
        <v>2022</v>
      </c>
      <c r="Y2290" s="234">
        <v>4</v>
      </c>
      <c r="Z2290" s="234">
        <v>6</v>
      </c>
      <c r="AA2290" s="235">
        <v>0.3333333333321207</v>
      </c>
      <c r="AB2290" s="236">
        <v>3.4</v>
      </c>
      <c r="AC2290" s="127">
        <f t="shared" si="50"/>
        <v>3</v>
      </c>
    </row>
    <row r="2291" ht="14.5" customHeight="1" spans="11:29" x14ac:dyDescent="0.25">
      <c r="K2291" s="128"/>
      <c r="X2291" s="234">
        <v>2022</v>
      </c>
      <c r="Y2291" s="234">
        <v>4</v>
      </c>
      <c r="Z2291" s="234">
        <v>6</v>
      </c>
      <c r="AA2291" s="235">
        <v>0.375</v>
      </c>
      <c r="AB2291" s="236">
        <v>4.6</v>
      </c>
      <c r="AC2291" s="127">
        <f t="shared" si="50"/>
        <v>5</v>
      </c>
    </row>
    <row r="2292" ht="14.5" customHeight="1" spans="11:29" x14ac:dyDescent="0.25">
      <c r="K2292" s="128"/>
      <c r="X2292" s="234">
        <v>2022</v>
      </c>
      <c r="Y2292" s="234">
        <v>4</v>
      </c>
      <c r="Z2292" s="234">
        <v>6</v>
      </c>
      <c r="AA2292" s="235">
        <v>0.4166666666678793</v>
      </c>
      <c r="AB2292" s="236">
        <v>4.7</v>
      </c>
      <c r="AC2292" s="127">
        <f t="shared" si="50"/>
        <v>5</v>
      </c>
    </row>
    <row r="2293" ht="14.5" customHeight="1" spans="11:29" x14ac:dyDescent="0.25">
      <c r="K2293" s="128"/>
      <c r="X2293" s="234">
        <v>2022</v>
      </c>
      <c r="Y2293" s="234">
        <v>4</v>
      </c>
      <c r="Z2293" s="234">
        <v>6</v>
      </c>
      <c r="AA2293" s="235">
        <v>0.4583333333321207</v>
      </c>
      <c r="AB2293" s="236">
        <v>6.7</v>
      </c>
      <c r="AC2293" s="127">
        <f t="shared" si="50"/>
        <v>7</v>
      </c>
    </row>
    <row r="2294" ht="14.5" customHeight="1" spans="11:29" x14ac:dyDescent="0.25">
      <c r="K2294" s="128"/>
      <c r="X2294" s="234">
        <v>2022</v>
      </c>
      <c r="Y2294" s="234">
        <v>4</v>
      </c>
      <c r="Z2294" s="234">
        <v>6</v>
      </c>
      <c r="AA2294" s="235">
        <v>0.5</v>
      </c>
      <c r="AB2294" s="236">
        <v>5.5</v>
      </c>
      <c r="AC2294" s="127">
        <f t="shared" si="50"/>
        <v>6</v>
      </c>
    </row>
    <row r="2295" ht="14.5" customHeight="1" spans="11:29" x14ac:dyDescent="0.25">
      <c r="K2295" s="128"/>
      <c r="X2295" s="234">
        <v>2022</v>
      </c>
      <c r="Y2295" s="234">
        <v>4</v>
      </c>
      <c r="Z2295" s="234">
        <v>6</v>
      </c>
      <c r="AA2295" s="235">
        <v>0.5416666666678793</v>
      </c>
      <c r="AB2295" s="236">
        <v>6.6</v>
      </c>
      <c r="AC2295" s="127">
        <f t="shared" si="50"/>
        <v>7</v>
      </c>
    </row>
    <row r="2296" ht="14.5" customHeight="1" spans="11:29" x14ac:dyDescent="0.25">
      <c r="K2296" s="128"/>
      <c r="X2296" s="234">
        <v>2022</v>
      </c>
      <c r="Y2296" s="234">
        <v>4</v>
      </c>
      <c r="Z2296" s="234">
        <v>6</v>
      </c>
      <c r="AA2296" s="235">
        <v>0.5833333333321207</v>
      </c>
      <c r="AB2296" s="236">
        <v>7.4</v>
      </c>
      <c r="AC2296" s="127">
        <f t="shared" si="50"/>
        <v>7</v>
      </c>
    </row>
    <row r="2297" ht="14.5" customHeight="1" spans="11:29" x14ac:dyDescent="0.25">
      <c r="K2297" s="128"/>
      <c r="X2297" s="234">
        <v>2022</v>
      </c>
      <c r="Y2297" s="234">
        <v>4</v>
      </c>
      <c r="Z2297" s="234">
        <v>6</v>
      </c>
      <c r="AA2297" s="235">
        <v>0.625</v>
      </c>
      <c r="AB2297" s="236">
        <v>8.2</v>
      </c>
      <c r="AC2297" s="127">
        <f t="shared" si="50"/>
        <v>8</v>
      </c>
    </row>
    <row r="2298" ht="14.5" customHeight="1" spans="11:29" x14ac:dyDescent="0.25">
      <c r="K2298" s="128"/>
      <c r="X2298" s="234">
        <v>2022</v>
      </c>
      <c r="Y2298" s="234">
        <v>4</v>
      </c>
      <c r="Z2298" s="234">
        <v>6</v>
      </c>
      <c r="AA2298" s="235">
        <v>0.6666666666678793</v>
      </c>
      <c r="AB2298" s="236">
        <v>7.5</v>
      </c>
      <c r="AC2298" s="127">
        <f t="shared" si="50"/>
        <v>8</v>
      </c>
    </row>
    <row r="2299" ht="14.5" customHeight="1" spans="11:29" x14ac:dyDescent="0.25">
      <c r="K2299" s="128"/>
      <c r="X2299" s="234">
        <v>2022</v>
      </c>
      <c r="Y2299" s="234">
        <v>4</v>
      </c>
      <c r="Z2299" s="234">
        <v>6</v>
      </c>
      <c r="AA2299" s="235">
        <v>0.7083333333321207</v>
      </c>
      <c r="AB2299" s="236">
        <v>7.5</v>
      </c>
      <c r="AC2299" s="127">
        <f t="shared" si="50"/>
        <v>8</v>
      </c>
    </row>
    <row r="2300" ht="14.5" customHeight="1" spans="11:29" x14ac:dyDescent="0.25">
      <c r="K2300" s="128"/>
      <c r="X2300" s="234">
        <v>2022</v>
      </c>
      <c r="Y2300" s="234">
        <v>4</v>
      </c>
      <c r="Z2300" s="234">
        <v>6</v>
      </c>
      <c r="AA2300" s="235">
        <v>0.75</v>
      </c>
      <c r="AB2300" s="236">
        <v>7.2</v>
      </c>
      <c r="AC2300" s="127">
        <f t="shared" si="50"/>
        <v>7</v>
      </c>
    </row>
    <row r="2301" ht="14.5" customHeight="1" spans="11:29" x14ac:dyDescent="0.25">
      <c r="K2301" s="128"/>
      <c r="X2301" s="234">
        <v>2022</v>
      </c>
      <c r="Y2301" s="234">
        <v>4</v>
      </c>
      <c r="Z2301" s="234">
        <v>6</v>
      </c>
      <c r="AA2301" s="235">
        <v>0.7916666666678793</v>
      </c>
      <c r="AB2301" s="236">
        <v>5.1</v>
      </c>
      <c r="AC2301" s="127">
        <f t="shared" si="50"/>
        <v>5</v>
      </c>
    </row>
    <row r="2302" ht="14.5" customHeight="1" spans="11:29" x14ac:dyDescent="0.25">
      <c r="K2302" s="128"/>
      <c r="X2302" s="234">
        <v>2022</v>
      </c>
      <c r="Y2302" s="234">
        <v>4</v>
      </c>
      <c r="Z2302" s="234">
        <v>6</v>
      </c>
      <c r="AA2302" s="235">
        <v>0.8333333333321207</v>
      </c>
      <c r="AB2302" s="236">
        <v>2</v>
      </c>
      <c r="AC2302" s="127">
        <f t="shared" si="50"/>
        <v>2</v>
      </c>
    </row>
    <row r="2303" ht="14.5" customHeight="1" spans="11:29" x14ac:dyDescent="0.25">
      <c r="K2303" s="128"/>
      <c r="X2303" s="234">
        <v>2022</v>
      </c>
      <c r="Y2303" s="234">
        <v>4</v>
      </c>
      <c r="Z2303" s="234">
        <v>6</v>
      </c>
      <c r="AA2303" s="235">
        <v>0.875</v>
      </c>
      <c r="AB2303" s="236">
        <v>-0.6</v>
      </c>
      <c r="AC2303" s="127">
        <f t="shared" si="50"/>
        <v>-1</v>
      </c>
    </row>
    <row r="2304" ht="14.5" customHeight="1" spans="11:29" x14ac:dyDescent="0.25">
      <c r="K2304" s="128"/>
      <c r="X2304" s="234">
        <v>2022</v>
      </c>
      <c r="Y2304" s="234">
        <v>4</v>
      </c>
      <c r="Z2304" s="234">
        <v>6</v>
      </c>
      <c r="AA2304" s="235">
        <v>0.9166666666678793</v>
      </c>
      <c r="AB2304" s="236">
        <v>-1.1</v>
      </c>
      <c r="AC2304" s="127">
        <f t="shared" si="50"/>
        <v>-1</v>
      </c>
    </row>
    <row r="2305" ht="14.5" customHeight="1" spans="11:29" x14ac:dyDescent="0.25">
      <c r="K2305" s="128"/>
      <c r="X2305" s="234">
        <v>2022</v>
      </c>
      <c r="Y2305" s="234">
        <v>4</v>
      </c>
      <c r="Z2305" s="234">
        <v>6</v>
      </c>
      <c r="AA2305" s="235">
        <v>0.9583333333321207</v>
      </c>
      <c r="AB2305" s="236">
        <v>-1.9</v>
      </c>
      <c r="AC2305" s="127">
        <f t="shared" si="50"/>
        <v>-2</v>
      </c>
    </row>
    <row r="2306" ht="14.5" customHeight="1" spans="11:29" x14ac:dyDescent="0.25">
      <c r="K2306" s="128"/>
      <c r="X2306" s="234">
        <v>2022</v>
      </c>
      <c r="Y2306" s="234">
        <v>4</v>
      </c>
      <c r="Z2306" s="234">
        <v>7</v>
      </c>
      <c r="AA2306" s="235">
        <v>0</v>
      </c>
      <c r="AB2306" s="236">
        <v>-2.2</v>
      </c>
      <c r="AC2306" s="127">
        <f t="shared" si="50"/>
        <v>-2</v>
      </c>
    </row>
    <row r="2307" ht="14.5" customHeight="1" spans="11:29" x14ac:dyDescent="0.25">
      <c r="K2307" s="128"/>
      <c r="X2307" s="234">
        <v>2022</v>
      </c>
      <c r="Y2307" s="234">
        <v>4</v>
      </c>
      <c r="Z2307" s="234">
        <v>7</v>
      </c>
      <c r="AA2307" s="235">
        <v>0.041666666667879326</v>
      </c>
      <c r="AB2307" s="236">
        <v>-1.8</v>
      </c>
      <c r="AC2307" s="127">
        <f t="shared" si="50"/>
        <v>-2</v>
      </c>
    </row>
    <row r="2308" ht="14.5" customHeight="1" spans="11:29" x14ac:dyDescent="0.25">
      <c r="K2308" s="128"/>
      <c r="X2308" s="234">
        <v>2022</v>
      </c>
      <c r="Y2308" s="234">
        <v>4</v>
      </c>
      <c r="Z2308" s="234">
        <v>7</v>
      </c>
      <c r="AA2308" s="235">
        <v>0.08333333333212067</v>
      </c>
      <c r="AB2308" s="236">
        <v>-2.2</v>
      </c>
      <c r="AC2308" s="127">
        <f t="shared" si="50"/>
        <v>-2</v>
      </c>
    </row>
    <row r="2309" ht="14.5" customHeight="1" spans="11:29" x14ac:dyDescent="0.25">
      <c r="K2309" s="128"/>
      <c r="X2309" s="234">
        <v>2022</v>
      </c>
      <c r="Y2309" s="234">
        <v>4</v>
      </c>
      <c r="Z2309" s="234">
        <v>7</v>
      </c>
      <c r="AA2309" s="235">
        <v>0.125</v>
      </c>
      <c r="AB2309" s="236">
        <v>-2.4</v>
      </c>
      <c r="AC2309" s="127">
        <f t="shared" si="50"/>
        <v>-2</v>
      </c>
    </row>
    <row r="2310" ht="14.5" customHeight="1" spans="11:29" x14ac:dyDescent="0.25">
      <c r="K2310" s="128"/>
      <c r="X2310" s="234">
        <v>2022</v>
      </c>
      <c r="Y2310" s="234">
        <v>4</v>
      </c>
      <c r="Z2310" s="234">
        <v>7</v>
      </c>
      <c r="AA2310" s="235">
        <v>0.16666666666787933</v>
      </c>
      <c r="AB2310" s="236">
        <v>-3.5</v>
      </c>
      <c r="AC2310" s="127">
        <f t="shared" si="50"/>
        <v>-4</v>
      </c>
    </row>
    <row r="2311" ht="14.5" customHeight="1" spans="11:29" x14ac:dyDescent="0.25">
      <c r="K2311" s="128"/>
      <c r="X2311" s="234">
        <v>2022</v>
      </c>
      <c r="Y2311" s="234">
        <v>4</v>
      </c>
      <c r="Z2311" s="234">
        <v>7</v>
      </c>
      <c r="AA2311" s="235">
        <v>0.20833333333212067</v>
      </c>
      <c r="AB2311" s="236">
        <v>-3.7</v>
      </c>
      <c r="AC2311" s="127">
        <f t="shared" si="50"/>
        <v>-4</v>
      </c>
    </row>
    <row r="2312" ht="14.5" customHeight="1" spans="11:29" x14ac:dyDescent="0.25">
      <c r="K2312" s="128"/>
      <c r="X2312" s="234">
        <v>2022</v>
      </c>
      <c r="Y2312" s="234">
        <v>4</v>
      </c>
      <c r="Z2312" s="234">
        <v>7</v>
      </c>
      <c r="AA2312" s="235">
        <v>0.25</v>
      </c>
      <c r="AB2312" s="236">
        <v>-4.1</v>
      </c>
      <c r="AC2312" s="127">
        <f t="shared" si="50"/>
        <v>-4</v>
      </c>
    </row>
    <row r="2313" ht="14.5" customHeight="1" spans="11:29" x14ac:dyDescent="0.25">
      <c r="K2313" s="128"/>
      <c r="X2313" s="234">
        <v>2022</v>
      </c>
      <c r="Y2313" s="234">
        <v>4</v>
      </c>
      <c r="Z2313" s="234">
        <v>7</v>
      </c>
      <c r="AA2313" s="235">
        <v>0.2916666666678793</v>
      </c>
      <c r="AB2313" s="236">
        <v>-2.1</v>
      </c>
      <c r="AC2313" s="127">
        <f t="shared" si="50"/>
        <v>-2</v>
      </c>
    </row>
    <row r="2314" ht="14.5" customHeight="1" spans="11:29" x14ac:dyDescent="0.25">
      <c r="K2314" s="128"/>
      <c r="X2314" s="234">
        <v>2022</v>
      </c>
      <c r="Y2314" s="234">
        <v>4</v>
      </c>
      <c r="Z2314" s="234">
        <v>7</v>
      </c>
      <c r="AA2314" s="235">
        <v>0.3333333333321207</v>
      </c>
      <c r="AB2314" s="236">
        <v>1.2</v>
      </c>
      <c r="AC2314" s="127">
        <f t="shared" si="50"/>
        <v>1</v>
      </c>
    </row>
    <row r="2315" ht="14.5" customHeight="1" spans="11:29" x14ac:dyDescent="0.25">
      <c r="K2315" s="128"/>
      <c r="X2315" s="234">
        <v>2022</v>
      </c>
      <c r="Y2315" s="234">
        <v>4</v>
      </c>
      <c r="Z2315" s="234">
        <v>7</v>
      </c>
      <c r="AA2315" s="235">
        <v>0.375</v>
      </c>
      <c r="AB2315" s="236">
        <v>3.7</v>
      </c>
      <c r="AC2315" s="127">
        <f t="shared" ref="AC2315:AC2378" si="51">ROUND(AB2315,0)</f>
        <v>4</v>
      </c>
    </row>
    <row r="2316" ht="14.5" customHeight="1" spans="11:29" x14ac:dyDescent="0.25">
      <c r="K2316" s="128"/>
      <c r="X2316" s="234">
        <v>2022</v>
      </c>
      <c r="Y2316" s="234">
        <v>4</v>
      </c>
      <c r="Z2316" s="234">
        <v>7</v>
      </c>
      <c r="AA2316" s="235">
        <v>0.4166666666678793</v>
      </c>
      <c r="AB2316" s="236">
        <v>6.1</v>
      </c>
      <c r="AC2316" s="127">
        <f t="shared" si="51"/>
        <v>6</v>
      </c>
    </row>
    <row r="2317" ht="14.5" customHeight="1" spans="11:29" x14ac:dyDescent="0.25">
      <c r="K2317" s="128"/>
      <c r="X2317" s="234">
        <v>2022</v>
      </c>
      <c r="Y2317" s="234">
        <v>4</v>
      </c>
      <c r="Z2317" s="234">
        <v>7</v>
      </c>
      <c r="AA2317" s="235">
        <v>0.4583333333321207</v>
      </c>
      <c r="AB2317" s="236">
        <v>9.1</v>
      </c>
      <c r="AC2317" s="127">
        <f t="shared" si="51"/>
        <v>9</v>
      </c>
    </row>
    <row r="2318" ht="14.5" customHeight="1" spans="11:29" x14ac:dyDescent="0.25">
      <c r="K2318" s="128"/>
      <c r="X2318" s="234">
        <v>2022</v>
      </c>
      <c r="Y2318" s="234">
        <v>4</v>
      </c>
      <c r="Z2318" s="234">
        <v>7</v>
      </c>
      <c r="AA2318" s="235">
        <v>0.5</v>
      </c>
      <c r="AB2318" s="236">
        <v>12</v>
      </c>
      <c r="AC2318" s="127">
        <f t="shared" si="51"/>
        <v>12</v>
      </c>
    </row>
    <row r="2319" ht="14.5" customHeight="1" spans="11:29" x14ac:dyDescent="0.25">
      <c r="K2319" s="128"/>
      <c r="X2319" s="234">
        <v>2022</v>
      </c>
      <c r="Y2319" s="234">
        <v>4</v>
      </c>
      <c r="Z2319" s="234">
        <v>7</v>
      </c>
      <c r="AA2319" s="235">
        <v>0.5416666666678793</v>
      </c>
      <c r="AB2319" s="236">
        <v>14.3</v>
      </c>
      <c r="AC2319" s="127">
        <f t="shared" si="51"/>
        <v>14</v>
      </c>
    </row>
    <row r="2320" ht="14.5" customHeight="1" spans="11:29" x14ac:dyDescent="0.25">
      <c r="K2320" s="128"/>
      <c r="X2320" s="234">
        <v>2022</v>
      </c>
      <c r="Y2320" s="234">
        <v>4</v>
      </c>
      <c r="Z2320" s="234">
        <v>7</v>
      </c>
      <c r="AA2320" s="235">
        <v>0.5833333333321207</v>
      </c>
      <c r="AB2320" s="236">
        <v>15.2</v>
      </c>
      <c r="AC2320" s="127">
        <f t="shared" si="51"/>
        <v>15</v>
      </c>
    </row>
    <row r="2321" ht="14.5" customHeight="1" spans="11:29" x14ac:dyDescent="0.25">
      <c r="K2321" s="128"/>
      <c r="X2321" s="234">
        <v>2022</v>
      </c>
      <c r="Y2321" s="234">
        <v>4</v>
      </c>
      <c r="Z2321" s="234">
        <v>7</v>
      </c>
      <c r="AA2321" s="235">
        <v>0.625</v>
      </c>
      <c r="AB2321" s="236">
        <v>16</v>
      </c>
      <c r="AC2321" s="127">
        <f t="shared" si="51"/>
        <v>16</v>
      </c>
    </row>
    <row r="2322" ht="14.5" customHeight="1" spans="11:29" x14ac:dyDescent="0.25">
      <c r="K2322" s="128"/>
      <c r="X2322" s="234">
        <v>2022</v>
      </c>
      <c r="Y2322" s="234">
        <v>4</v>
      </c>
      <c r="Z2322" s="234">
        <v>7</v>
      </c>
      <c r="AA2322" s="235">
        <v>0.6666666666678793</v>
      </c>
      <c r="AB2322" s="236">
        <v>16.5</v>
      </c>
      <c r="AC2322" s="127">
        <f t="shared" si="51"/>
        <v>17</v>
      </c>
    </row>
    <row r="2323" ht="14.5" customHeight="1" spans="11:29" x14ac:dyDescent="0.25">
      <c r="K2323" s="128"/>
      <c r="X2323" s="234">
        <v>2022</v>
      </c>
      <c r="Y2323" s="234">
        <v>4</v>
      </c>
      <c r="Z2323" s="234">
        <v>7</v>
      </c>
      <c r="AA2323" s="235">
        <v>0.7083333333321207</v>
      </c>
      <c r="AB2323" s="236">
        <v>16.4</v>
      </c>
      <c r="AC2323" s="127">
        <f t="shared" si="51"/>
        <v>16</v>
      </c>
    </row>
    <row r="2324" ht="14.5" customHeight="1" spans="11:29" x14ac:dyDescent="0.25">
      <c r="K2324" s="128"/>
      <c r="X2324" s="234">
        <v>2022</v>
      </c>
      <c r="Y2324" s="234">
        <v>4</v>
      </c>
      <c r="Z2324" s="234">
        <v>7</v>
      </c>
      <c r="AA2324" s="235">
        <v>0.75</v>
      </c>
      <c r="AB2324" s="236">
        <v>15.7</v>
      </c>
      <c r="AC2324" s="127">
        <f t="shared" si="51"/>
        <v>16</v>
      </c>
    </row>
    <row r="2325" ht="14.5" customHeight="1" spans="11:29" x14ac:dyDescent="0.25">
      <c r="K2325" s="128"/>
      <c r="X2325" s="234">
        <v>2022</v>
      </c>
      <c r="Y2325" s="234">
        <v>4</v>
      </c>
      <c r="Z2325" s="234">
        <v>7</v>
      </c>
      <c r="AA2325" s="235">
        <v>0.7916666666678793</v>
      </c>
      <c r="AB2325" s="236">
        <v>13.6</v>
      </c>
      <c r="AC2325" s="127">
        <f t="shared" si="51"/>
        <v>14</v>
      </c>
    </row>
    <row r="2326" ht="14.5" customHeight="1" spans="11:29" x14ac:dyDescent="0.25">
      <c r="K2326" s="128"/>
      <c r="X2326" s="234">
        <v>2022</v>
      </c>
      <c r="Y2326" s="234">
        <v>4</v>
      </c>
      <c r="Z2326" s="234">
        <v>7</v>
      </c>
      <c r="AA2326" s="235">
        <v>0.8333333333321207</v>
      </c>
      <c r="AB2326" s="236">
        <v>12.1</v>
      </c>
      <c r="AC2326" s="127">
        <f t="shared" si="51"/>
        <v>12</v>
      </c>
    </row>
    <row r="2327" ht="14.5" customHeight="1" spans="11:29" x14ac:dyDescent="0.25">
      <c r="K2327" s="128"/>
      <c r="X2327" s="234">
        <v>2022</v>
      </c>
      <c r="Y2327" s="234">
        <v>4</v>
      </c>
      <c r="Z2327" s="234">
        <v>7</v>
      </c>
      <c r="AA2327" s="235">
        <v>0.875</v>
      </c>
      <c r="AB2327" s="236">
        <v>9.7</v>
      </c>
      <c r="AC2327" s="127">
        <f t="shared" si="51"/>
        <v>10</v>
      </c>
    </row>
    <row r="2328" ht="14.5" customHeight="1" spans="11:29" x14ac:dyDescent="0.25">
      <c r="K2328" s="128"/>
      <c r="X2328" s="234">
        <v>2022</v>
      </c>
      <c r="Y2328" s="234">
        <v>4</v>
      </c>
      <c r="Z2328" s="234">
        <v>7</v>
      </c>
      <c r="AA2328" s="235">
        <v>0.9166666666678793</v>
      </c>
      <c r="AB2328" s="236">
        <v>8.5</v>
      </c>
      <c r="AC2328" s="127">
        <f t="shared" si="51"/>
        <v>9</v>
      </c>
    </row>
    <row r="2329" ht="14.5" customHeight="1" spans="11:29" x14ac:dyDescent="0.25">
      <c r="K2329" s="128"/>
      <c r="X2329" s="234">
        <v>2022</v>
      </c>
      <c r="Y2329" s="234">
        <v>4</v>
      </c>
      <c r="Z2329" s="234">
        <v>7</v>
      </c>
      <c r="AA2329" s="235">
        <v>0.9583333333321207</v>
      </c>
      <c r="AB2329" s="236">
        <v>8.2</v>
      </c>
      <c r="AC2329" s="127">
        <f t="shared" si="51"/>
        <v>8</v>
      </c>
    </row>
    <row r="2330" ht="14.5" customHeight="1" spans="11:29" x14ac:dyDescent="0.25">
      <c r="K2330" s="128"/>
      <c r="X2330" s="234">
        <v>2022</v>
      </c>
      <c r="Y2330" s="234">
        <v>4</v>
      </c>
      <c r="Z2330" s="234">
        <v>8</v>
      </c>
      <c r="AA2330" s="235">
        <v>0</v>
      </c>
      <c r="AB2330" s="236">
        <v>9.2</v>
      </c>
      <c r="AC2330" s="127">
        <f t="shared" si="51"/>
        <v>9</v>
      </c>
    </row>
    <row r="2331" ht="14.5" customHeight="1" spans="11:29" x14ac:dyDescent="0.25">
      <c r="K2331" s="128"/>
      <c r="X2331" s="234">
        <v>2022</v>
      </c>
      <c r="Y2331" s="234">
        <v>4</v>
      </c>
      <c r="Z2331" s="234">
        <v>8</v>
      </c>
      <c r="AA2331" s="235">
        <v>0.041666666667879326</v>
      </c>
      <c r="AB2331" s="236">
        <v>8.7</v>
      </c>
      <c r="AC2331" s="127">
        <f t="shared" si="51"/>
        <v>9</v>
      </c>
    </row>
    <row r="2332" ht="14.5" customHeight="1" spans="11:29" x14ac:dyDescent="0.25">
      <c r="K2332" s="128"/>
      <c r="X2332" s="234">
        <v>2022</v>
      </c>
      <c r="Y2332" s="234">
        <v>4</v>
      </c>
      <c r="Z2332" s="234">
        <v>8</v>
      </c>
      <c r="AA2332" s="235">
        <v>0.08333333333212067</v>
      </c>
      <c r="AB2332" s="236">
        <v>8.8</v>
      </c>
      <c r="AC2332" s="127">
        <f t="shared" si="51"/>
        <v>9</v>
      </c>
    </row>
    <row r="2333" ht="14.5" customHeight="1" spans="11:29" x14ac:dyDescent="0.25">
      <c r="K2333" s="128"/>
      <c r="X2333" s="234">
        <v>2022</v>
      </c>
      <c r="Y2333" s="234">
        <v>4</v>
      </c>
      <c r="Z2333" s="234">
        <v>8</v>
      </c>
      <c r="AA2333" s="235">
        <v>0.125</v>
      </c>
      <c r="AB2333" s="236">
        <v>8.4</v>
      </c>
      <c r="AC2333" s="127">
        <f t="shared" si="51"/>
        <v>8</v>
      </c>
    </row>
    <row r="2334" ht="14.5" customHeight="1" spans="11:29" x14ac:dyDescent="0.25">
      <c r="K2334" s="128"/>
      <c r="X2334" s="234">
        <v>2022</v>
      </c>
      <c r="Y2334" s="234">
        <v>4</v>
      </c>
      <c r="Z2334" s="234">
        <v>8</v>
      </c>
      <c r="AA2334" s="235">
        <v>0.16666666666787933</v>
      </c>
      <c r="AB2334" s="236">
        <v>7.8</v>
      </c>
      <c r="AC2334" s="127">
        <f t="shared" si="51"/>
        <v>8</v>
      </c>
    </row>
    <row r="2335" ht="14.5" customHeight="1" spans="11:29" x14ac:dyDescent="0.25">
      <c r="K2335" s="128"/>
      <c r="X2335" s="234">
        <v>2022</v>
      </c>
      <c r="Y2335" s="234">
        <v>4</v>
      </c>
      <c r="Z2335" s="234">
        <v>8</v>
      </c>
      <c r="AA2335" s="235">
        <v>0.20833333333212067</v>
      </c>
      <c r="AB2335" s="236">
        <v>6.5</v>
      </c>
      <c r="AC2335" s="127">
        <f t="shared" si="51"/>
        <v>7</v>
      </c>
    </row>
    <row r="2336" ht="14.5" customHeight="1" spans="11:29" x14ac:dyDescent="0.25">
      <c r="K2336" s="128"/>
      <c r="X2336" s="234">
        <v>2022</v>
      </c>
      <c r="Y2336" s="234">
        <v>4</v>
      </c>
      <c r="Z2336" s="234">
        <v>8</v>
      </c>
      <c r="AA2336" s="235">
        <v>0.25</v>
      </c>
      <c r="AB2336" s="236">
        <v>8.5</v>
      </c>
      <c r="AC2336" s="127">
        <f t="shared" si="51"/>
        <v>9</v>
      </c>
    </row>
    <row r="2337" ht="14.5" customHeight="1" spans="11:29" x14ac:dyDescent="0.25">
      <c r="K2337" s="128"/>
      <c r="X2337" s="234">
        <v>2022</v>
      </c>
      <c r="Y2337" s="234">
        <v>4</v>
      </c>
      <c r="Z2337" s="234">
        <v>8</v>
      </c>
      <c r="AA2337" s="235">
        <v>0.2916666666678793</v>
      </c>
      <c r="AB2337" s="236">
        <v>7.8</v>
      </c>
      <c r="AC2337" s="127">
        <f t="shared" si="51"/>
        <v>8</v>
      </c>
    </row>
    <row r="2338" ht="14.5" customHeight="1" spans="11:29" x14ac:dyDescent="0.25">
      <c r="K2338" s="128"/>
      <c r="X2338" s="234">
        <v>2022</v>
      </c>
      <c r="Y2338" s="234">
        <v>4</v>
      </c>
      <c r="Z2338" s="234">
        <v>8</v>
      </c>
      <c r="AA2338" s="235">
        <v>0.3333333333321207</v>
      </c>
      <c r="AB2338" s="236">
        <v>9.7</v>
      </c>
      <c r="AC2338" s="127">
        <f t="shared" si="51"/>
        <v>10</v>
      </c>
    </row>
    <row r="2339" ht="14.5" customHeight="1" spans="11:29" x14ac:dyDescent="0.25">
      <c r="K2339" s="128"/>
      <c r="X2339" s="234">
        <v>2022</v>
      </c>
      <c r="Y2339" s="234">
        <v>4</v>
      </c>
      <c r="Z2339" s="234">
        <v>8</v>
      </c>
      <c r="AA2339" s="235">
        <v>0.375</v>
      </c>
      <c r="AB2339" s="236">
        <v>13.2</v>
      </c>
      <c r="AC2339" s="127">
        <f t="shared" si="51"/>
        <v>13</v>
      </c>
    </row>
    <row r="2340" ht="14.5" customHeight="1" spans="11:29" x14ac:dyDescent="0.25">
      <c r="K2340" s="128"/>
      <c r="X2340" s="234">
        <v>2022</v>
      </c>
      <c r="Y2340" s="234">
        <v>4</v>
      </c>
      <c r="Z2340" s="234">
        <v>8</v>
      </c>
      <c r="AA2340" s="235">
        <v>0.4166666666678793</v>
      </c>
      <c r="AB2340" s="236">
        <v>15.7</v>
      </c>
      <c r="AC2340" s="127">
        <f t="shared" si="51"/>
        <v>16</v>
      </c>
    </row>
    <row r="2341" ht="14.5" customHeight="1" spans="11:29" x14ac:dyDescent="0.25">
      <c r="K2341" s="128"/>
      <c r="X2341" s="234">
        <v>2022</v>
      </c>
      <c r="Y2341" s="234">
        <v>4</v>
      </c>
      <c r="Z2341" s="234">
        <v>8</v>
      </c>
      <c r="AA2341" s="235">
        <v>0.4583333333321207</v>
      </c>
      <c r="AB2341" s="236">
        <v>20.5</v>
      </c>
      <c r="AC2341" s="127">
        <f t="shared" si="51"/>
        <v>21</v>
      </c>
    </row>
    <row r="2342" ht="14.5" customHeight="1" spans="11:29" x14ac:dyDescent="0.25">
      <c r="K2342" s="128"/>
      <c r="X2342" s="234">
        <v>2022</v>
      </c>
      <c r="Y2342" s="234">
        <v>4</v>
      </c>
      <c r="Z2342" s="234">
        <v>8</v>
      </c>
      <c r="AA2342" s="235">
        <v>0.5</v>
      </c>
      <c r="AB2342" s="236">
        <v>20.5</v>
      </c>
      <c r="AC2342" s="127">
        <f t="shared" si="51"/>
        <v>21</v>
      </c>
    </row>
    <row r="2343" ht="14.5" customHeight="1" spans="11:29" x14ac:dyDescent="0.25">
      <c r="K2343" s="128"/>
      <c r="X2343" s="234">
        <v>2022</v>
      </c>
      <c r="Y2343" s="234">
        <v>4</v>
      </c>
      <c r="Z2343" s="234">
        <v>8</v>
      </c>
      <c r="AA2343" s="235">
        <v>0.5416666666678793</v>
      </c>
      <c r="AB2343" s="236">
        <v>19.9</v>
      </c>
      <c r="AC2343" s="127">
        <f t="shared" si="51"/>
        <v>20</v>
      </c>
    </row>
    <row r="2344" ht="14.5" customHeight="1" spans="11:29" x14ac:dyDescent="0.25">
      <c r="K2344" s="128"/>
      <c r="X2344" s="234">
        <v>2022</v>
      </c>
      <c r="Y2344" s="234">
        <v>4</v>
      </c>
      <c r="Z2344" s="234">
        <v>8</v>
      </c>
      <c r="AA2344" s="235">
        <v>0.5833333333321207</v>
      </c>
      <c r="AB2344" s="236">
        <v>19.8</v>
      </c>
      <c r="AC2344" s="127">
        <f t="shared" si="51"/>
        <v>20</v>
      </c>
    </row>
    <row r="2345" ht="14.5" customHeight="1" spans="11:29" x14ac:dyDescent="0.25">
      <c r="K2345" s="128"/>
      <c r="X2345" s="234">
        <v>2022</v>
      </c>
      <c r="Y2345" s="234">
        <v>4</v>
      </c>
      <c r="Z2345" s="234">
        <v>8</v>
      </c>
      <c r="AA2345" s="235">
        <v>0.625</v>
      </c>
      <c r="AB2345" s="236">
        <v>19.2</v>
      </c>
      <c r="AC2345" s="127">
        <f t="shared" si="51"/>
        <v>19</v>
      </c>
    </row>
    <row r="2346" ht="14.5" customHeight="1" spans="11:29" x14ac:dyDescent="0.25">
      <c r="K2346" s="128"/>
      <c r="X2346" s="234">
        <v>2022</v>
      </c>
      <c r="Y2346" s="234">
        <v>4</v>
      </c>
      <c r="Z2346" s="234">
        <v>8</v>
      </c>
      <c r="AA2346" s="235">
        <v>0.6666666666678793</v>
      </c>
      <c r="AB2346" s="236">
        <v>18.1</v>
      </c>
      <c r="AC2346" s="127">
        <f t="shared" si="51"/>
        <v>18</v>
      </c>
    </row>
    <row r="2347" ht="14.5" customHeight="1" spans="11:29" x14ac:dyDescent="0.25">
      <c r="K2347" s="128"/>
      <c r="X2347" s="234">
        <v>2022</v>
      </c>
      <c r="Y2347" s="234">
        <v>4</v>
      </c>
      <c r="Z2347" s="234">
        <v>8</v>
      </c>
      <c r="AA2347" s="235">
        <v>0.7083333333321207</v>
      </c>
      <c r="AB2347" s="236">
        <v>17.1</v>
      </c>
      <c r="AC2347" s="127">
        <f t="shared" si="51"/>
        <v>17</v>
      </c>
    </row>
    <row r="2348" ht="14.5" customHeight="1" spans="11:29" x14ac:dyDescent="0.25">
      <c r="K2348" s="128"/>
      <c r="X2348" s="234">
        <v>2022</v>
      </c>
      <c r="Y2348" s="234">
        <v>4</v>
      </c>
      <c r="Z2348" s="234">
        <v>8</v>
      </c>
      <c r="AA2348" s="235">
        <v>0.75</v>
      </c>
      <c r="AB2348" s="236">
        <v>11.2</v>
      </c>
      <c r="AC2348" s="127">
        <f t="shared" si="51"/>
        <v>11</v>
      </c>
    </row>
    <row r="2349" ht="14.5" customHeight="1" spans="11:29" x14ac:dyDescent="0.25">
      <c r="K2349" s="128"/>
      <c r="X2349" s="234">
        <v>2022</v>
      </c>
      <c r="Y2349" s="234">
        <v>4</v>
      </c>
      <c r="Z2349" s="234">
        <v>8</v>
      </c>
      <c r="AA2349" s="235">
        <v>0.7916666666678793</v>
      </c>
      <c r="AB2349" s="236">
        <v>7.9</v>
      </c>
      <c r="AC2349" s="127">
        <f t="shared" si="51"/>
        <v>8</v>
      </c>
    </row>
    <row r="2350" ht="14.5" customHeight="1" spans="11:29" x14ac:dyDescent="0.25">
      <c r="K2350" s="128"/>
      <c r="X2350" s="234">
        <v>2022</v>
      </c>
      <c r="Y2350" s="234">
        <v>4</v>
      </c>
      <c r="Z2350" s="234">
        <v>8</v>
      </c>
      <c r="AA2350" s="235">
        <v>0.8333333333321207</v>
      </c>
      <c r="AB2350" s="236">
        <v>7.3</v>
      </c>
      <c r="AC2350" s="127">
        <f t="shared" si="51"/>
        <v>7</v>
      </c>
    </row>
    <row r="2351" ht="14.5" customHeight="1" spans="11:29" x14ac:dyDescent="0.25">
      <c r="K2351" s="128"/>
      <c r="X2351" s="234">
        <v>2022</v>
      </c>
      <c r="Y2351" s="234">
        <v>4</v>
      </c>
      <c r="Z2351" s="234">
        <v>8</v>
      </c>
      <c r="AA2351" s="235">
        <v>0.875</v>
      </c>
      <c r="AB2351" s="236">
        <v>7.1</v>
      </c>
      <c r="AC2351" s="127">
        <f t="shared" si="51"/>
        <v>7</v>
      </c>
    </row>
    <row r="2352" ht="14.5" customHeight="1" spans="11:29" x14ac:dyDescent="0.25">
      <c r="K2352" s="128"/>
      <c r="X2352" s="234">
        <v>2022</v>
      </c>
      <c r="Y2352" s="234">
        <v>4</v>
      </c>
      <c r="Z2352" s="234">
        <v>8</v>
      </c>
      <c r="AA2352" s="235">
        <v>0.9166666666678793</v>
      </c>
      <c r="AB2352" s="236">
        <v>6</v>
      </c>
      <c r="AC2352" s="127">
        <f t="shared" si="51"/>
        <v>6</v>
      </c>
    </row>
    <row r="2353" ht="14.5" customHeight="1" spans="11:29" x14ac:dyDescent="0.25">
      <c r="K2353" s="128"/>
      <c r="X2353" s="234">
        <v>2022</v>
      </c>
      <c r="Y2353" s="234">
        <v>4</v>
      </c>
      <c r="Z2353" s="234">
        <v>8</v>
      </c>
      <c r="AA2353" s="235">
        <v>0.9583333333321207</v>
      </c>
      <c r="AB2353" s="236">
        <v>4.7</v>
      </c>
      <c r="AC2353" s="127">
        <f t="shared" si="51"/>
        <v>5</v>
      </c>
    </row>
    <row r="2354" ht="14.5" customHeight="1" spans="11:29" x14ac:dyDescent="0.25">
      <c r="K2354" s="128"/>
      <c r="X2354" s="234">
        <v>2022</v>
      </c>
      <c r="Y2354" s="234">
        <v>4</v>
      </c>
      <c r="Z2354" s="234">
        <v>9</v>
      </c>
      <c r="AA2354" s="235">
        <v>0</v>
      </c>
      <c r="AB2354" s="236">
        <v>3.6</v>
      </c>
      <c r="AC2354" s="127">
        <f t="shared" si="51"/>
        <v>4</v>
      </c>
    </row>
    <row r="2355" ht="14.5" customHeight="1" spans="11:29" x14ac:dyDescent="0.25">
      <c r="K2355" s="128"/>
      <c r="X2355" s="234">
        <v>2022</v>
      </c>
      <c r="Y2355" s="234">
        <v>4</v>
      </c>
      <c r="Z2355" s="234">
        <v>9</v>
      </c>
      <c r="AA2355" s="235">
        <v>0.041666666667879326</v>
      </c>
      <c r="AB2355" s="236">
        <v>3.3</v>
      </c>
      <c r="AC2355" s="127">
        <f t="shared" si="51"/>
        <v>3</v>
      </c>
    </row>
    <row r="2356" ht="14.5" customHeight="1" spans="11:29" x14ac:dyDescent="0.25">
      <c r="K2356" s="128"/>
      <c r="X2356" s="234">
        <v>2022</v>
      </c>
      <c r="Y2356" s="234">
        <v>4</v>
      </c>
      <c r="Z2356" s="234">
        <v>9</v>
      </c>
      <c r="AA2356" s="235">
        <v>0.08333333333212067</v>
      </c>
      <c r="AB2356" s="236">
        <v>3.4</v>
      </c>
      <c r="AC2356" s="127">
        <f t="shared" si="51"/>
        <v>3</v>
      </c>
    </row>
    <row r="2357" ht="14.5" customHeight="1" spans="11:29" x14ac:dyDescent="0.25">
      <c r="K2357" s="128"/>
      <c r="X2357" s="234">
        <v>2022</v>
      </c>
      <c r="Y2357" s="234">
        <v>4</v>
      </c>
      <c r="Z2357" s="234">
        <v>9</v>
      </c>
      <c r="AA2357" s="235">
        <v>0.125</v>
      </c>
      <c r="AB2357" s="236">
        <v>3</v>
      </c>
      <c r="AC2357" s="127">
        <f t="shared" si="51"/>
        <v>3</v>
      </c>
    </row>
    <row r="2358" ht="14.5" customHeight="1" spans="11:29" x14ac:dyDescent="0.25">
      <c r="K2358" s="128"/>
      <c r="X2358" s="234">
        <v>2022</v>
      </c>
      <c r="Y2358" s="234">
        <v>4</v>
      </c>
      <c r="Z2358" s="234">
        <v>9</v>
      </c>
      <c r="AA2358" s="235">
        <v>0.16666666666787933</v>
      </c>
      <c r="AB2358" s="236">
        <v>1.7</v>
      </c>
      <c r="AC2358" s="127">
        <f t="shared" si="51"/>
        <v>2</v>
      </c>
    </row>
    <row r="2359" ht="14.5" customHeight="1" spans="11:29" x14ac:dyDescent="0.25">
      <c r="K2359" s="128"/>
      <c r="X2359" s="234">
        <v>2022</v>
      </c>
      <c r="Y2359" s="234">
        <v>4</v>
      </c>
      <c r="Z2359" s="234">
        <v>9</v>
      </c>
      <c r="AA2359" s="235">
        <v>0.20833333333212067</v>
      </c>
      <c r="AB2359" s="236">
        <v>1</v>
      </c>
      <c r="AC2359" s="127">
        <f t="shared" si="51"/>
        <v>1</v>
      </c>
    </row>
    <row r="2360" ht="14.5" customHeight="1" spans="11:29" x14ac:dyDescent="0.25">
      <c r="K2360" s="128"/>
      <c r="X2360" s="234">
        <v>2022</v>
      </c>
      <c r="Y2360" s="234">
        <v>4</v>
      </c>
      <c r="Z2360" s="234">
        <v>9</v>
      </c>
      <c r="AA2360" s="235">
        <v>0.25</v>
      </c>
      <c r="AB2360" s="236">
        <v>1.7</v>
      </c>
      <c r="AC2360" s="127">
        <f t="shared" si="51"/>
        <v>2</v>
      </c>
    </row>
    <row r="2361" ht="14.5" customHeight="1" spans="11:29" x14ac:dyDescent="0.25">
      <c r="K2361" s="128"/>
      <c r="X2361" s="234">
        <v>2022</v>
      </c>
      <c r="Y2361" s="234">
        <v>4</v>
      </c>
      <c r="Z2361" s="234">
        <v>9</v>
      </c>
      <c r="AA2361" s="235">
        <v>0.2916666666678793</v>
      </c>
      <c r="AB2361" s="236">
        <v>1.3</v>
      </c>
      <c r="AC2361" s="127">
        <f t="shared" si="51"/>
        <v>1</v>
      </c>
    </row>
    <row r="2362" ht="14.5" customHeight="1" spans="11:29" x14ac:dyDescent="0.25">
      <c r="K2362" s="128"/>
      <c r="X2362" s="234">
        <v>2022</v>
      </c>
      <c r="Y2362" s="234">
        <v>4</v>
      </c>
      <c r="Z2362" s="234">
        <v>9</v>
      </c>
      <c r="AA2362" s="235">
        <v>0.3333333333321207</v>
      </c>
      <c r="AB2362" s="236">
        <v>3</v>
      </c>
      <c r="AC2362" s="127">
        <f t="shared" si="51"/>
        <v>3</v>
      </c>
    </row>
    <row r="2363" ht="14.5" customHeight="1" spans="11:29" x14ac:dyDescent="0.25">
      <c r="K2363" s="128"/>
      <c r="X2363" s="234">
        <v>2022</v>
      </c>
      <c r="Y2363" s="234">
        <v>4</v>
      </c>
      <c r="Z2363" s="234">
        <v>9</v>
      </c>
      <c r="AA2363" s="235">
        <v>0.375</v>
      </c>
      <c r="AB2363" s="236">
        <v>4.1</v>
      </c>
      <c r="AC2363" s="127">
        <f t="shared" si="51"/>
        <v>4</v>
      </c>
    </row>
    <row r="2364" ht="14.5" customHeight="1" spans="11:29" x14ac:dyDescent="0.25">
      <c r="K2364" s="128"/>
      <c r="X2364" s="234">
        <v>2022</v>
      </c>
      <c r="Y2364" s="234">
        <v>4</v>
      </c>
      <c r="Z2364" s="234">
        <v>9</v>
      </c>
      <c r="AA2364" s="235">
        <v>0.4166666666678793</v>
      </c>
      <c r="AB2364" s="236">
        <v>2.5</v>
      </c>
      <c r="AC2364" s="127">
        <f t="shared" si="51"/>
        <v>3</v>
      </c>
    </row>
    <row r="2365" ht="14.5" customHeight="1" spans="11:29" x14ac:dyDescent="0.25">
      <c r="K2365" s="128"/>
      <c r="X2365" s="234">
        <v>2022</v>
      </c>
      <c r="Y2365" s="234">
        <v>4</v>
      </c>
      <c r="Z2365" s="234">
        <v>9</v>
      </c>
      <c r="AA2365" s="235">
        <v>0.4583333333321207</v>
      </c>
      <c r="AB2365" s="236">
        <v>4.5</v>
      </c>
      <c r="AC2365" s="127">
        <f t="shared" si="51"/>
        <v>5</v>
      </c>
    </row>
    <row r="2366" ht="14.5" customHeight="1" spans="11:29" x14ac:dyDescent="0.25">
      <c r="K2366" s="128"/>
      <c r="X2366" s="234">
        <v>2022</v>
      </c>
      <c r="Y2366" s="234">
        <v>4</v>
      </c>
      <c r="Z2366" s="234">
        <v>9</v>
      </c>
      <c r="AA2366" s="235">
        <v>0.5</v>
      </c>
      <c r="AB2366" s="236">
        <v>5.8</v>
      </c>
      <c r="AC2366" s="127">
        <f t="shared" si="51"/>
        <v>6</v>
      </c>
    </row>
    <row r="2367" ht="14.5" customHeight="1" spans="11:29" x14ac:dyDescent="0.25">
      <c r="K2367" s="128"/>
      <c r="X2367" s="234">
        <v>2022</v>
      </c>
      <c r="Y2367" s="234">
        <v>4</v>
      </c>
      <c r="Z2367" s="234">
        <v>9</v>
      </c>
      <c r="AA2367" s="235">
        <v>0.5416666666678793</v>
      </c>
      <c r="AB2367" s="236">
        <v>5.1</v>
      </c>
      <c r="AC2367" s="127">
        <f t="shared" si="51"/>
        <v>5</v>
      </c>
    </row>
    <row r="2368" ht="14.5" customHeight="1" spans="11:29" x14ac:dyDescent="0.25">
      <c r="K2368" s="128"/>
      <c r="X2368" s="234">
        <v>2022</v>
      </c>
      <c r="Y2368" s="234">
        <v>4</v>
      </c>
      <c r="Z2368" s="234">
        <v>9</v>
      </c>
      <c r="AA2368" s="235">
        <v>0.5833333333321207</v>
      </c>
      <c r="AB2368" s="236">
        <v>4.6</v>
      </c>
      <c r="AC2368" s="127">
        <f t="shared" si="51"/>
        <v>5</v>
      </c>
    </row>
    <row r="2369" ht="14.5" customHeight="1" spans="11:29" x14ac:dyDescent="0.25">
      <c r="K2369" s="128"/>
      <c r="X2369" s="234">
        <v>2022</v>
      </c>
      <c r="Y2369" s="234">
        <v>4</v>
      </c>
      <c r="Z2369" s="234">
        <v>9</v>
      </c>
      <c r="AA2369" s="235">
        <v>0.625</v>
      </c>
      <c r="AB2369" s="236">
        <v>1.4</v>
      </c>
      <c r="AC2369" s="127">
        <f t="shared" si="51"/>
        <v>1</v>
      </c>
    </row>
    <row r="2370" ht="14.5" customHeight="1" spans="11:29" x14ac:dyDescent="0.25">
      <c r="K2370" s="128"/>
      <c r="X2370" s="234">
        <v>2022</v>
      </c>
      <c r="Y2370" s="234">
        <v>4</v>
      </c>
      <c r="Z2370" s="234">
        <v>9</v>
      </c>
      <c r="AA2370" s="235">
        <v>0.6666666666678793</v>
      </c>
      <c r="AB2370" s="236">
        <v>5</v>
      </c>
      <c r="AC2370" s="127">
        <f t="shared" si="51"/>
        <v>5</v>
      </c>
    </row>
    <row r="2371" ht="14.5" customHeight="1" spans="11:29" x14ac:dyDescent="0.25">
      <c r="K2371" s="128"/>
      <c r="X2371" s="234">
        <v>2022</v>
      </c>
      <c r="Y2371" s="234">
        <v>4</v>
      </c>
      <c r="Z2371" s="234">
        <v>9</v>
      </c>
      <c r="AA2371" s="235">
        <v>0.7083333333321207</v>
      </c>
      <c r="AB2371" s="236">
        <v>5.6</v>
      </c>
      <c r="AC2371" s="127">
        <f t="shared" si="51"/>
        <v>6</v>
      </c>
    </row>
    <row r="2372" ht="14.5" customHeight="1" spans="11:29" x14ac:dyDescent="0.25">
      <c r="K2372" s="128"/>
      <c r="X2372" s="234">
        <v>2022</v>
      </c>
      <c r="Y2372" s="234">
        <v>4</v>
      </c>
      <c r="Z2372" s="234">
        <v>9</v>
      </c>
      <c r="AA2372" s="235">
        <v>0.75</v>
      </c>
      <c r="AB2372" s="236">
        <v>2.2</v>
      </c>
      <c r="AC2372" s="127">
        <f t="shared" si="51"/>
        <v>2</v>
      </c>
    </row>
    <row r="2373" ht="14.5" customHeight="1" spans="11:29" x14ac:dyDescent="0.25">
      <c r="K2373" s="128"/>
      <c r="X2373" s="234">
        <v>2022</v>
      </c>
      <c r="Y2373" s="234">
        <v>4</v>
      </c>
      <c r="Z2373" s="234">
        <v>9</v>
      </c>
      <c r="AA2373" s="235">
        <v>0.7916666666678793</v>
      </c>
      <c r="AB2373" s="236">
        <v>3.2</v>
      </c>
      <c r="AC2373" s="127">
        <f t="shared" si="51"/>
        <v>3</v>
      </c>
    </row>
    <row r="2374" ht="14.5" customHeight="1" spans="11:29" x14ac:dyDescent="0.25">
      <c r="K2374" s="128"/>
      <c r="X2374" s="234">
        <v>2022</v>
      </c>
      <c r="Y2374" s="234">
        <v>4</v>
      </c>
      <c r="Z2374" s="234">
        <v>9</v>
      </c>
      <c r="AA2374" s="235">
        <v>0.8333333333321207</v>
      </c>
      <c r="AB2374" s="236">
        <v>2.6</v>
      </c>
      <c r="AC2374" s="127">
        <f t="shared" si="51"/>
        <v>3</v>
      </c>
    </row>
    <row r="2375" ht="14.5" customHeight="1" spans="11:29" x14ac:dyDescent="0.25">
      <c r="K2375" s="128"/>
      <c r="X2375" s="234">
        <v>2022</v>
      </c>
      <c r="Y2375" s="234">
        <v>4</v>
      </c>
      <c r="Z2375" s="234">
        <v>9</v>
      </c>
      <c r="AA2375" s="235">
        <v>0.875</v>
      </c>
      <c r="AB2375" s="236">
        <v>2.4</v>
      </c>
      <c r="AC2375" s="127">
        <f t="shared" si="51"/>
        <v>2</v>
      </c>
    </row>
    <row r="2376" ht="14.5" customHeight="1" spans="11:29" x14ac:dyDescent="0.25">
      <c r="K2376" s="128"/>
      <c r="X2376" s="234">
        <v>2022</v>
      </c>
      <c r="Y2376" s="234">
        <v>4</v>
      </c>
      <c r="Z2376" s="234">
        <v>9</v>
      </c>
      <c r="AA2376" s="235">
        <v>0.9166666666678793</v>
      </c>
      <c r="AB2376" s="236">
        <v>1.8</v>
      </c>
      <c r="AC2376" s="127">
        <f t="shared" si="51"/>
        <v>2</v>
      </c>
    </row>
    <row r="2377" ht="14.5" customHeight="1" spans="11:29" x14ac:dyDescent="0.25">
      <c r="K2377" s="128"/>
      <c r="X2377" s="234">
        <v>2022</v>
      </c>
      <c r="Y2377" s="234">
        <v>4</v>
      </c>
      <c r="Z2377" s="234">
        <v>9</v>
      </c>
      <c r="AA2377" s="235">
        <v>0.9583333333321207</v>
      </c>
      <c r="AB2377" s="236">
        <v>1.4</v>
      </c>
      <c r="AC2377" s="127">
        <f t="shared" si="51"/>
        <v>1</v>
      </c>
    </row>
    <row r="2378" ht="14.5" customHeight="1" spans="11:29" x14ac:dyDescent="0.25">
      <c r="K2378" s="128"/>
      <c r="X2378" s="234">
        <v>2022</v>
      </c>
      <c r="Y2378" s="234">
        <v>4</v>
      </c>
      <c r="Z2378" s="234">
        <v>10</v>
      </c>
      <c r="AA2378" s="235">
        <v>0</v>
      </c>
      <c r="AB2378" s="236">
        <v>0.5</v>
      </c>
      <c r="AC2378" s="127">
        <f t="shared" si="51"/>
        <v>1</v>
      </c>
    </row>
    <row r="2379" ht="14.5" customHeight="1" spans="11:29" x14ac:dyDescent="0.25">
      <c r="K2379" s="128"/>
      <c r="X2379" s="234">
        <v>2022</v>
      </c>
      <c r="Y2379" s="234">
        <v>4</v>
      </c>
      <c r="Z2379" s="234">
        <v>10</v>
      </c>
      <c r="AA2379" s="235">
        <v>0.041666666667879326</v>
      </c>
      <c r="AB2379" s="236">
        <v>-0.2</v>
      </c>
      <c r="AC2379" s="127">
        <f t="shared" ref="AC2379:AC2442" si="52">ROUND(AB2379,0)</f>
        <v>0</v>
      </c>
    </row>
    <row r="2380" ht="14.5" customHeight="1" spans="11:29" x14ac:dyDescent="0.25">
      <c r="K2380" s="128"/>
      <c r="X2380" s="234">
        <v>2022</v>
      </c>
      <c r="Y2380" s="234">
        <v>4</v>
      </c>
      <c r="Z2380" s="234">
        <v>10</v>
      </c>
      <c r="AA2380" s="235">
        <v>0.08333333333212067</v>
      </c>
      <c r="AB2380" s="236">
        <v>-1.9</v>
      </c>
      <c r="AC2380" s="127">
        <f t="shared" si="52"/>
        <v>-2</v>
      </c>
    </row>
    <row r="2381" ht="14.5" customHeight="1" spans="11:29" x14ac:dyDescent="0.25">
      <c r="K2381" s="128"/>
      <c r="X2381" s="234">
        <v>2022</v>
      </c>
      <c r="Y2381" s="234">
        <v>4</v>
      </c>
      <c r="Z2381" s="234">
        <v>10</v>
      </c>
      <c r="AA2381" s="235">
        <v>0.125</v>
      </c>
      <c r="AB2381" s="236">
        <v>-2.5</v>
      </c>
      <c r="AC2381" s="127">
        <f t="shared" si="52"/>
        <v>-3</v>
      </c>
    </row>
    <row r="2382" ht="14.5" customHeight="1" spans="11:29" x14ac:dyDescent="0.25">
      <c r="K2382" s="128"/>
      <c r="X2382" s="234">
        <v>2022</v>
      </c>
      <c r="Y2382" s="234">
        <v>4</v>
      </c>
      <c r="Z2382" s="234">
        <v>10</v>
      </c>
      <c r="AA2382" s="235">
        <v>0.16666666666787933</v>
      </c>
      <c r="AB2382" s="236">
        <v>-2.9</v>
      </c>
      <c r="AC2382" s="127">
        <f t="shared" si="52"/>
        <v>-3</v>
      </c>
    </row>
    <row r="2383" ht="14.5" customHeight="1" spans="11:29" x14ac:dyDescent="0.25">
      <c r="K2383" s="128"/>
      <c r="X2383" s="234">
        <v>2022</v>
      </c>
      <c r="Y2383" s="234">
        <v>4</v>
      </c>
      <c r="Z2383" s="234">
        <v>10</v>
      </c>
      <c r="AA2383" s="235">
        <v>0.20833333333212067</v>
      </c>
      <c r="AB2383" s="236">
        <v>-4.4</v>
      </c>
      <c r="AC2383" s="127">
        <f t="shared" si="52"/>
        <v>-4</v>
      </c>
    </row>
    <row r="2384" ht="14.5" customHeight="1" spans="11:29" x14ac:dyDescent="0.25">
      <c r="K2384" s="128"/>
      <c r="X2384" s="234">
        <v>2022</v>
      </c>
      <c r="Y2384" s="234">
        <v>4</v>
      </c>
      <c r="Z2384" s="234">
        <v>10</v>
      </c>
      <c r="AA2384" s="235">
        <v>0.25</v>
      </c>
      <c r="AB2384" s="236">
        <v>-4.3</v>
      </c>
      <c r="AC2384" s="127">
        <f t="shared" si="52"/>
        <v>-4</v>
      </c>
    </row>
    <row r="2385" ht="14.5" customHeight="1" spans="11:29" x14ac:dyDescent="0.25">
      <c r="K2385" s="128"/>
      <c r="X2385" s="234">
        <v>2022</v>
      </c>
      <c r="Y2385" s="234">
        <v>4</v>
      </c>
      <c r="Z2385" s="234">
        <v>10</v>
      </c>
      <c r="AA2385" s="235">
        <v>0.2916666666678793</v>
      </c>
      <c r="AB2385" s="236">
        <v>-2.4</v>
      </c>
      <c r="AC2385" s="127">
        <f t="shared" si="52"/>
        <v>-2</v>
      </c>
    </row>
    <row r="2386" ht="14.5" customHeight="1" spans="11:29" x14ac:dyDescent="0.25">
      <c r="K2386" s="128"/>
      <c r="X2386" s="234">
        <v>2022</v>
      </c>
      <c r="Y2386" s="234">
        <v>4</v>
      </c>
      <c r="Z2386" s="234">
        <v>10</v>
      </c>
      <c r="AA2386" s="235">
        <v>0.3333333333321207</v>
      </c>
      <c r="AB2386" s="236">
        <v>-2.4</v>
      </c>
      <c r="AC2386" s="127">
        <f t="shared" si="52"/>
        <v>-2</v>
      </c>
    </row>
    <row r="2387" ht="14.5" customHeight="1" spans="11:29" x14ac:dyDescent="0.25">
      <c r="K2387" s="128"/>
      <c r="X2387" s="234">
        <v>2022</v>
      </c>
      <c r="Y2387" s="234">
        <v>4</v>
      </c>
      <c r="Z2387" s="234">
        <v>10</v>
      </c>
      <c r="AA2387" s="235">
        <v>0.375</v>
      </c>
      <c r="AB2387" s="236">
        <v>-0.7</v>
      </c>
      <c r="AC2387" s="127">
        <f t="shared" si="52"/>
        <v>-1</v>
      </c>
    </row>
    <row r="2388" ht="14.5" customHeight="1" spans="11:29" x14ac:dyDescent="0.25">
      <c r="K2388" s="128"/>
      <c r="X2388" s="234">
        <v>2022</v>
      </c>
      <c r="Y2388" s="234">
        <v>4</v>
      </c>
      <c r="Z2388" s="234">
        <v>10</v>
      </c>
      <c r="AA2388" s="235">
        <v>0.4166666666678793</v>
      </c>
      <c r="AB2388" s="236">
        <v>0.2</v>
      </c>
      <c r="AC2388" s="127">
        <f t="shared" si="52"/>
        <v>0</v>
      </c>
    </row>
    <row r="2389" ht="14.5" customHeight="1" spans="11:29" x14ac:dyDescent="0.25">
      <c r="K2389" s="128"/>
      <c r="X2389" s="234">
        <v>2022</v>
      </c>
      <c r="Y2389" s="234">
        <v>4</v>
      </c>
      <c r="Z2389" s="234">
        <v>10</v>
      </c>
      <c r="AA2389" s="235">
        <v>0.4583333333321207</v>
      </c>
      <c r="AB2389" s="236">
        <v>1</v>
      </c>
      <c r="AC2389" s="127">
        <f t="shared" si="52"/>
        <v>1</v>
      </c>
    </row>
    <row r="2390" ht="14.5" customHeight="1" spans="11:29" x14ac:dyDescent="0.25">
      <c r="K2390" s="128"/>
      <c r="X2390" s="234">
        <v>2022</v>
      </c>
      <c r="Y2390" s="234">
        <v>4</v>
      </c>
      <c r="Z2390" s="234">
        <v>10</v>
      </c>
      <c r="AA2390" s="235">
        <v>0.5</v>
      </c>
      <c r="AB2390" s="236">
        <v>1.9</v>
      </c>
      <c r="AC2390" s="127">
        <f t="shared" si="52"/>
        <v>2</v>
      </c>
    </row>
    <row r="2391" ht="14.5" customHeight="1" spans="11:29" x14ac:dyDescent="0.25">
      <c r="K2391" s="128"/>
      <c r="X2391" s="234">
        <v>2022</v>
      </c>
      <c r="Y2391" s="234">
        <v>4</v>
      </c>
      <c r="Z2391" s="234">
        <v>10</v>
      </c>
      <c r="AA2391" s="235">
        <v>0.5416666666678793</v>
      </c>
      <c r="AB2391" s="236">
        <v>2.1</v>
      </c>
      <c r="AC2391" s="127">
        <f t="shared" si="52"/>
        <v>2</v>
      </c>
    </row>
    <row r="2392" ht="14.5" customHeight="1" spans="11:29" x14ac:dyDescent="0.25">
      <c r="K2392" s="128"/>
      <c r="X2392" s="234">
        <v>2022</v>
      </c>
      <c r="Y2392" s="234">
        <v>4</v>
      </c>
      <c r="Z2392" s="234">
        <v>10</v>
      </c>
      <c r="AA2392" s="235">
        <v>0.5833333333321207</v>
      </c>
      <c r="AB2392" s="236">
        <v>2.4</v>
      </c>
      <c r="AC2392" s="127">
        <f t="shared" si="52"/>
        <v>2</v>
      </c>
    </row>
    <row r="2393" ht="14.5" customHeight="1" spans="11:29" x14ac:dyDescent="0.25">
      <c r="K2393" s="128"/>
      <c r="X2393" s="234">
        <v>2022</v>
      </c>
      <c r="Y2393" s="234">
        <v>4</v>
      </c>
      <c r="Z2393" s="234">
        <v>10</v>
      </c>
      <c r="AA2393" s="235">
        <v>0.625</v>
      </c>
      <c r="AB2393" s="236">
        <v>2.4</v>
      </c>
      <c r="AC2393" s="127">
        <f t="shared" si="52"/>
        <v>2</v>
      </c>
    </row>
    <row r="2394" ht="14.5" customHeight="1" spans="11:29" x14ac:dyDescent="0.25">
      <c r="K2394" s="128"/>
      <c r="X2394" s="234">
        <v>2022</v>
      </c>
      <c r="Y2394" s="234">
        <v>4</v>
      </c>
      <c r="Z2394" s="234">
        <v>10</v>
      </c>
      <c r="AA2394" s="235">
        <v>0.6666666666678793</v>
      </c>
      <c r="AB2394" s="236">
        <v>2.1</v>
      </c>
      <c r="AC2394" s="127">
        <f t="shared" si="52"/>
        <v>2</v>
      </c>
    </row>
    <row r="2395" ht="14.5" customHeight="1" spans="11:29" x14ac:dyDescent="0.25">
      <c r="K2395" s="128"/>
      <c r="X2395" s="234">
        <v>2022</v>
      </c>
      <c r="Y2395" s="234">
        <v>4</v>
      </c>
      <c r="Z2395" s="234">
        <v>10</v>
      </c>
      <c r="AA2395" s="235">
        <v>0.7083333333321207</v>
      </c>
      <c r="AB2395" s="236">
        <v>1.6</v>
      </c>
      <c r="AC2395" s="127">
        <f t="shared" si="52"/>
        <v>2</v>
      </c>
    </row>
    <row r="2396" ht="14.5" customHeight="1" spans="11:29" x14ac:dyDescent="0.25">
      <c r="K2396" s="128"/>
      <c r="X2396" s="234">
        <v>2022</v>
      </c>
      <c r="Y2396" s="234">
        <v>4</v>
      </c>
      <c r="Z2396" s="234">
        <v>10</v>
      </c>
      <c r="AA2396" s="235">
        <v>0.75</v>
      </c>
      <c r="AB2396" s="236">
        <v>0.6</v>
      </c>
      <c r="AC2396" s="127">
        <f t="shared" si="52"/>
        <v>1</v>
      </c>
    </row>
    <row r="2397" ht="14.5" customHeight="1" spans="11:29" x14ac:dyDescent="0.25">
      <c r="K2397" s="128"/>
      <c r="X2397" s="234">
        <v>2022</v>
      </c>
      <c r="Y2397" s="234">
        <v>4</v>
      </c>
      <c r="Z2397" s="234">
        <v>10</v>
      </c>
      <c r="AA2397" s="235">
        <v>0.7916666666678793</v>
      </c>
      <c r="AB2397" s="236">
        <v>-0.8</v>
      </c>
      <c r="AC2397" s="127">
        <f t="shared" si="52"/>
        <v>-1</v>
      </c>
    </row>
    <row r="2398" ht="14.5" customHeight="1" spans="11:29" x14ac:dyDescent="0.25">
      <c r="K2398" s="128"/>
      <c r="X2398" s="234">
        <v>2022</v>
      </c>
      <c r="Y2398" s="234">
        <v>4</v>
      </c>
      <c r="Z2398" s="234">
        <v>10</v>
      </c>
      <c r="AA2398" s="235">
        <v>0.8333333333321207</v>
      </c>
      <c r="AB2398" s="236">
        <v>-2.1</v>
      </c>
      <c r="AC2398" s="127">
        <f t="shared" si="52"/>
        <v>-2</v>
      </c>
    </row>
    <row r="2399" ht="14.5" customHeight="1" spans="11:29" x14ac:dyDescent="0.25">
      <c r="K2399" s="128"/>
      <c r="X2399" s="234">
        <v>2022</v>
      </c>
      <c r="Y2399" s="234">
        <v>4</v>
      </c>
      <c r="Z2399" s="234">
        <v>10</v>
      </c>
      <c r="AA2399" s="235">
        <v>0.875</v>
      </c>
      <c r="AB2399" s="236">
        <v>-3.6</v>
      </c>
      <c r="AC2399" s="127">
        <f t="shared" si="52"/>
        <v>-4</v>
      </c>
    </row>
    <row r="2400" ht="14.5" customHeight="1" spans="11:29" x14ac:dyDescent="0.25">
      <c r="K2400" s="128"/>
      <c r="X2400" s="234">
        <v>2022</v>
      </c>
      <c r="Y2400" s="234">
        <v>4</v>
      </c>
      <c r="Z2400" s="234">
        <v>10</v>
      </c>
      <c r="AA2400" s="235">
        <v>0.9166666666678793</v>
      </c>
      <c r="AB2400" s="236">
        <v>-5.1</v>
      </c>
      <c r="AC2400" s="127">
        <f t="shared" si="52"/>
        <v>-5</v>
      </c>
    </row>
    <row r="2401" ht="14.5" customHeight="1" spans="11:29" x14ac:dyDescent="0.25">
      <c r="K2401" s="128"/>
      <c r="X2401" s="234">
        <v>2022</v>
      </c>
      <c r="Y2401" s="234">
        <v>4</v>
      </c>
      <c r="Z2401" s="234">
        <v>10</v>
      </c>
      <c r="AA2401" s="235">
        <v>0.9583333333321207</v>
      </c>
      <c r="AB2401" s="236">
        <v>-6</v>
      </c>
      <c r="AC2401" s="127">
        <f t="shared" si="52"/>
        <v>-6</v>
      </c>
    </row>
    <row r="2402" ht="14.5" customHeight="1" spans="11:29" x14ac:dyDescent="0.25">
      <c r="K2402" s="128"/>
      <c r="X2402" s="234">
        <v>2022</v>
      </c>
      <c r="Y2402" s="234">
        <v>4</v>
      </c>
      <c r="Z2402" s="234">
        <v>11</v>
      </c>
      <c r="AA2402" s="235">
        <v>0</v>
      </c>
      <c r="AB2402" s="236">
        <v>-7.2</v>
      </c>
      <c r="AC2402" s="127">
        <f t="shared" si="52"/>
        <v>-7</v>
      </c>
    </row>
    <row r="2403" ht="14.5" customHeight="1" spans="11:29" x14ac:dyDescent="0.25">
      <c r="K2403" s="128"/>
      <c r="X2403" s="234">
        <v>2022</v>
      </c>
      <c r="Y2403" s="234">
        <v>4</v>
      </c>
      <c r="Z2403" s="234">
        <v>11</v>
      </c>
      <c r="AA2403" s="235">
        <v>0.041666666667879326</v>
      </c>
      <c r="AB2403" s="236">
        <v>-7.9</v>
      </c>
      <c r="AC2403" s="127">
        <f t="shared" si="52"/>
        <v>-8</v>
      </c>
    </row>
    <row r="2404" ht="14.5" customHeight="1" spans="11:29" x14ac:dyDescent="0.25">
      <c r="K2404" s="128"/>
      <c r="X2404" s="234">
        <v>2022</v>
      </c>
      <c r="Y2404" s="234">
        <v>4</v>
      </c>
      <c r="Z2404" s="234">
        <v>11</v>
      </c>
      <c r="AA2404" s="235">
        <v>0.08333333333212067</v>
      </c>
      <c r="AB2404" s="236">
        <v>-7.4</v>
      </c>
      <c r="AC2404" s="127">
        <f t="shared" si="52"/>
        <v>-7</v>
      </c>
    </row>
    <row r="2405" ht="14.5" customHeight="1" spans="11:29" x14ac:dyDescent="0.25">
      <c r="K2405" s="128"/>
      <c r="X2405" s="234">
        <v>2022</v>
      </c>
      <c r="Y2405" s="234">
        <v>4</v>
      </c>
      <c r="Z2405" s="234">
        <v>11</v>
      </c>
      <c r="AA2405" s="235">
        <v>0.125</v>
      </c>
      <c r="AB2405" s="236">
        <v>-6.7</v>
      </c>
      <c r="AC2405" s="127">
        <f t="shared" si="52"/>
        <v>-7</v>
      </c>
    </row>
    <row r="2406" ht="14.5" customHeight="1" spans="11:29" x14ac:dyDescent="0.25">
      <c r="K2406" s="128"/>
      <c r="X2406" s="234">
        <v>2022</v>
      </c>
      <c r="Y2406" s="234">
        <v>4</v>
      </c>
      <c r="Z2406" s="234">
        <v>11</v>
      </c>
      <c r="AA2406" s="235">
        <v>0.16666666666787933</v>
      </c>
      <c r="AB2406" s="236">
        <v>-6.8</v>
      </c>
      <c r="AC2406" s="127">
        <f t="shared" si="52"/>
        <v>-7</v>
      </c>
    </row>
    <row r="2407" ht="14.5" customHeight="1" spans="11:29" x14ac:dyDescent="0.25">
      <c r="K2407" s="128"/>
      <c r="X2407" s="234">
        <v>2022</v>
      </c>
      <c r="Y2407" s="234">
        <v>4</v>
      </c>
      <c r="Z2407" s="234">
        <v>11</v>
      </c>
      <c r="AA2407" s="235">
        <v>0.20833333333212067</v>
      </c>
      <c r="AB2407" s="236">
        <v>-6.2</v>
      </c>
      <c r="AC2407" s="127">
        <f t="shared" si="52"/>
        <v>-6</v>
      </c>
    </row>
    <row r="2408" ht="14.5" customHeight="1" spans="11:29" x14ac:dyDescent="0.25">
      <c r="K2408" s="128"/>
      <c r="X2408" s="234">
        <v>2022</v>
      </c>
      <c r="Y2408" s="234">
        <v>4</v>
      </c>
      <c r="Z2408" s="234">
        <v>11</v>
      </c>
      <c r="AA2408" s="235">
        <v>0.25</v>
      </c>
      <c r="AB2408" s="236">
        <v>-7.3</v>
      </c>
      <c r="AC2408" s="127">
        <f t="shared" si="52"/>
        <v>-7</v>
      </c>
    </row>
    <row r="2409" ht="14.5" customHeight="1" spans="11:29" x14ac:dyDescent="0.25">
      <c r="K2409" s="128"/>
      <c r="X2409" s="234">
        <v>2022</v>
      </c>
      <c r="Y2409" s="234">
        <v>4</v>
      </c>
      <c r="Z2409" s="234">
        <v>11</v>
      </c>
      <c r="AA2409" s="235">
        <v>0.2916666666678793</v>
      </c>
      <c r="AB2409" s="236">
        <v>-6.2</v>
      </c>
      <c r="AC2409" s="127">
        <f t="shared" si="52"/>
        <v>-6</v>
      </c>
    </row>
    <row r="2410" ht="14.5" customHeight="1" spans="11:29" x14ac:dyDescent="0.25">
      <c r="K2410" s="128"/>
      <c r="X2410" s="234">
        <v>2022</v>
      </c>
      <c r="Y2410" s="234">
        <v>4</v>
      </c>
      <c r="Z2410" s="234">
        <v>11</v>
      </c>
      <c r="AA2410" s="235">
        <v>0.3333333333321207</v>
      </c>
      <c r="AB2410" s="236">
        <v>-5.3</v>
      </c>
      <c r="AC2410" s="127">
        <f t="shared" si="52"/>
        <v>-5</v>
      </c>
    </row>
    <row r="2411" ht="14.5" customHeight="1" spans="11:29" x14ac:dyDescent="0.25">
      <c r="K2411" s="128"/>
      <c r="X2411" s="234">
        <v>2022</v>
      </c>
      <c r="Y2411" s="234">
        <v>4</v>
      </c>
      <c r="Z2411" s="234">
        <v>11</v>
      </c>
      <c r="AA2411" s="235">
        <v>0.375</v>
      </c>
      <c r="AB2411" s="236">
        <v>-4.1</v>
      </c>
      <c r="AC2411" s="127">
        <f t="shared" si="52"/>
        <v>-4</v>
      </c>
    </row>
    <row r="2412" ht="14.5" customHeight="1" spans="11:29" x14ac:dyDescent="0.25">
      <c r="K2412" s="128"/>
      <c r="X2412" s="234">
        <v>2022</v>
      </c>
      <c r="Y2412" s="234">
        <v>4</v>
      </c>
      <c r="Z2412" s="234">
        <v>11</v>
      </c>
      <c r="AA2412" s="235">
        <v>0.4166666666678793</v>
      </c>
      <c r="AB2412" s="236">
        <v>-3.7</v>
      </c>
      <c r="AC2412" s="127">
        <f t="shared" si="52"/>
        <v>-4</v>
      </c>
    </row>
    <row r="2413" ht="14.5" customHeight="1" spans="11:29" x14ac:dyDescent="0.25">
      <c r="K2413" s="128"/>
      <c r="X2413" s="234">
        <v>2022</v>
      </c>
      <c r="Y2413" s="234">
        <v>4</v>
      </c>
      <c r="Z2413" s="234">
        <v>11</v>
      </c>
      <c r="AA2413" s="235">
        <v>0.4583333333321207</v>
      </c>
      <c r="AB2413" s="236">
        <v>-2</v>
      </c>
      <c r="AC2413" s="127">
        <f t="shared" si="52"/>
        <v>-2</v>
      </c>
    </row>
    <row r="2414" ht="14.5" customHeight="1" spans="11:29" x14ac:dyDescent="0.25">
      <c r="K2414" s="128"/>
      <c r="X2414" s="234">
        <v>2022</v>
      </c>
      <c r="Y2414" s="234">
        <v>4</v>
      </c>
      <c r="Z2414" s="234">
        <v>11</v>
      </c>
      <c r="AA2414" s="235">
        <v>0.5</v>
      </c>
      <c r="AB2414" s="236">
        <v>-2.5</v>
      </c>
      <c r="AC2414" s="127">
        <f t="shared" si="52"/>
        <v>-3</v>
      </c>
    </row>
    <row r="2415" ht="14.5" customHeight="1" spans="11:29" x14ac:dyDescent="0.25">
      <c r="K2415" s="128"/>
      <c r="X2415" s="234">
        <v>2022</v>
      </c>
      <c r="Y2415" s="234">
        <v>4</v>
      </c>
      <c r="Z2415" s="234">
        <v>11</v>
      </c>
      <c r="AA2415" s="235">
        <v>0.5416666666678793</v>
      </c>
      <c r="AB2415" s="236">
        <v>-1.8</v>
      </c>
      <c r="AC2415" s="127">
        <f t="shared" si="52"/>
        <v>-2</v>
      </c>
    </row>
    <row r="2416" ht="14.5" customHeight="1" spans="11:29" x14ac:dyDescent="0.25">
      <c r="K2416" s="128"/>
      <c r="X2416" s="234">
        <v>2022</v>
      </c>
      <c r="Y2416" s="234">
        <v>4</v>
      </c>
      <c r="Z2416" s="234">
        <v>11</v>
      </c>
      <c r="AA2416" s="235">
        <v>0.5833333333321207</v>
      </c>
      <c r="AB2416" s="236">
        <v>-0.6</v>
      </c>
      <c r="AC2416" s="127">
        <f t="shared" si="52"/>
        <v>-1</v>
      </c>
    </row>
    <row r="2417" ht="14.5" customHeight="1" spans="11:29" x14ac:dyDescent="0.25">
      <c r="K2417" s="128"/>
      <c r="X2417" s="234">
        <v>2022</v>
      </c>
      <c r="Y2417" s="234">
        <v>4</v>
      </c>
      <c r="Z2417" s="234">
        <v>11</v>
      </c>
      <c r="AA2417" s="235">
        <v>0.625</v>
      </c>
      <c r="AB2417" s="236">
        <v>-0.8</v>
      </c>
      <c r="AC2417" s="127">
        <f t="shared" si="52"/>
        <v>-1</v>
      </c>
    </row>
    <row r="2418" ht="14.5" customHeight="1" spans="11:29" x14ac:dyDescent="0.25">
      <c r="K2418" s="128"/>
      <c r="X2418" s="234">
        <v>2022</v>
      </c>
      <c r="Y2418" s="234">
        <v>4</v>
      </c>
      <c r="Z2418" s="234">
        <v>11</v>
      </c>
      <c r="AA2418" s="235">
        <v>0.6666666666678793</v>
      </c>
      <c r="AB2418" s="236">
        <v>-1.2</v>
      </c>
      <c r="AC2418" s="127">
        <f t="shared" si="52"/>
        <v>-1</v>
      </c>
    </row>
    <row r="2419" ht="14.5" customHeight="1" spans="11:29" x14ac:dyDescent="0.25">
      <c r="K2419" s="128"/>
      <c r="X2419" s="234">
        <v>2022</v>
      </c>
      <c r="Y2419" s="234">
        <v>4</v>
      </c>
      <c r="Z2419" s="234">
        <v>11</v>
      </c>
      <c r="AA2419" s="235">
        <v>0.7083333333321207</v>
      </c>
      <c r="AB2419" s="236">
        <v>-1.8</v>
      </c>
      <c r="AC2419" s="127">
        <f t="shared" si="52"/>
        <v>-2</v>
      </c>
    </row>
    <row r="2420" ht="14.5" customHeight="1" spans="11:29" x14ac:dyDescent="0.25">
      <c r="K2420" s="128"/>
      <c r="X2420" s="234">
        <v>2022</v>
      </c>
      <c r="Y2420" s="234">
        <v>4</v>
      </c>
      <c r="Z2420" s="234">
        <v>11</v>
      </c>
      <c r="AA2420" s="235">
        <v>0.75</v>
      </c>
      <c r="AB2420" s="236">
        <v>-3.4</v>
      </c>
      <c r="AC2420" s="127">
        <f t="shared" si="52"/>
        <v>-3</v>
      </c>
    </row>
    <row r="2421" ht="14.5" customHeight="1" spans="11:29" x14ac:dyDescent="0.25">
      <c r="K2421" s="128"/>
      <c r="X2421" s="234">
        <v>2022</v>
      </c>
      <c r="Y2421" s="234">
        <v>4</v>
      </c>
      <c r="Z2421" s="234">
        <v>11</v>
      </c>
      <c r="AA2421" s="235">
        <v>0.7916666666678793</v>
      </c>
      <c r="AB2421" s="236">
        <v>-4.5</v>
      </c>
      <c r="AC2421" s="127">
        <f t="shared" si="52"/>
        <v>-5</v>
      </c>
    </row>
    <row r="2422" ht="14.5" customHeight="1" spans="11:29" x14ac:dyDescent="0.25">
      <c r="K2422" s="128"/>
      <c r="X2422" s="234">
        <v>2022</v>
      </c>
      <c r="Y2422" s="234">
        <v>4</v>
      </c>
      <c r="Z2422" s="234">
        <v>11</v>
      </c>
      <c r="AA2422" s="235">
        <v>0.8333333333321207</v>
      </c>
      <c r="AB2422" s="236">
        <v>-5.5</v>
      </c>
      <c r="AC2422" s="127">
        <f t="shared" si="52"/>
        <v>-6</v>
      </c>
    </row>
    <row r="2423" ht="14.5" customHeight="1" spans="11:29" x14ac:dyDescent="0.25">
      <c r="K2423" s="128"/>
      <c r="X2423" s="234">
        <v>2022</v>
      </c>
      <c r="Y2423" s="234">
        <v>4</v>
      </c>
      <c r="Z2423" s="234">
        <v>11</v>
      </c>
      <c r="AA2423" s="235">
        <v>0.875</v>
      </c>
      <c r="AB2423" s="236">
        <v>-6.7</v>
      </c>
      <c r="AC2423" s="127">
        <f t="shared" si="52"/>
        <v>-7</v>
      </c>
    </row>
    <row r="2424" ht="14.5" customHeight="1" spans="11:29" x14ac:dyDescent="0.25">
      <c r="K2424" s="128"/>
      <c r="X2424" s="234">
        <v>2022</v>
      </c>
      <c r="Y2424" s="234">
        <v>4</v>
      </c>
      <c r="Z2424" s="234">
        <v>11</v>
      </c>
      <c r="AA2424" s="235">
        <v>0.9166666666678793</v>
      </c>
      <c r="AB2424" s="236">
        <v>-7.5</v>
      </c>
      <c r="AC2424" s="127">
        <f t="shared" si="52"/>
        <v>-8</v>
      </c>
    </row>
    <row r="2425" ht="14.5" customHeight="1" spans="11:29" x14ac:dyDescent="0.25">
      <c r="K2425" s="128"/>
      <c r="X2425" s="234">
        <v>2022</v>
      </c>
      <c r="Y2425" s="234">
        <v>4</v>
      </c>
      <c r="Z2425" s="234">
        <v>11</v>
      </c>
      <c r="AA2425" s="235">
        <v>0.9583333333321207</v>
      </c>
      <c r="AB2425" s="236">
        <v>-8.8</v>
      </c>
      <c r="AC2425" s="127">
        <f t="shared" si="52"/>
        <v>-9</v>
      </c>
    </row>
    <row r="2426" ht="14.5" customHeight="1" spans="11:29" x14ac:dyDescent="0.25">
      <c r="K2426" s="128"/>
      <c r="X2426" s="234">
        <v>2022</v>
      </c>
      <c r="Y2426" s="234">
        <v>4</v>
      </c>
      <c r="Z2426" s="234">
        <v>12</v>
      </c>
      <c r="AA2426" s="235">
        <v>0</v>
      </c>
      <c r="AB2426" s="236">
        <v>-8.4</v>
      </c>
      <c r="AC2426" s="127">
        <f t="shared" si="52"/>
        <v>-8</v>
      </c>
    </row>
    <row r="2427" ht="14.5" customHeight="1" spans="11:29" x14ac:dyDescent="0.25">
      <c r="K2427" s="128"/>
      <c r="X2427" s="234">
        <v>2022</v>
      </c>
      <c r="Y2427" s="234">
        <v>4</v>
      </c>
      <c r="Z2427" s="234">
        <v>12</v>
      </c>
      <c r="AA2427" s="235">
        <v>0.041666666667879326</v>
      </c>
      <c r="AB2427" s="236">
        <v>-8.4</v>
      </c>
      <c r="AC2427" s="127">
        <f t="shared" si="52"/>
        <v>-8</v>
      </c>
    </row>
    <row r="2428" ht="14.5" customHeight="1" spans="11:29" x14ac:dyDescent="0.25">
      <c r="K2428" s="128"/>
      <c r="X2428" s="234">
        <v>2022</v>
      </c>
      <c r="Y2428" s="234">
        <v>4</v>
      </c>
      <c r="Z2428" s="234">
        <v>12</v>
      </c>
      <c r="AA2428" s="235">
        <v>0.08333333333212067</v>
      </c>
      <c r="AB2428" s="236">
        <v>-8.5</v>
      </c>
      <c r="AC2428" s="127">
        <f t="shared" si="52"/>
        <v>-9</v>
      </c>
    </row>
    <row r="2429" ht="14.5" customHeight="1" spans="11:29" x14ac:dyDescent="0.25">
      <c r="K2429" s="128"/>
      <c r="X2429" s="234">
        <v>2022</v>
      </c>
      <c r="Y2429" s="234">
        <v>4</v>
      </c>
      <c r="Z2429" s="234">
        <v>12</v>
      </c>
      <c r="AA2429" s="235">
        <v>0.125</v>
      </c>
      <c r="AB2429" s="236">
        <v>-9.1</v>
      </c>
      <c r="AC2429" s="127">
        <f t="shared" si="52"/>
        <v>-9</v>
      </c>
    </row>
    <row r="2430" ht="14.5" customHeight="1" spans="11:29" x14ac:dyDescent="0.25">
      <c r="K2430" s="128"/>
      <c r="X2430" s="234">
        <v>2022</v>
      </c>
      <c r="Y2430" s="234">
        <v>4</v>
      </c>
      <c r="Z2430" s="234">
        <v>12</v>
      </c>
      <c r="AA2430" s="235">
        <v>0.16666666666787933</v>
      </c>
      <c r="AB2430" s="236">
        <v>-9.7</v>
      </c>
      <c r="AC2430" s="127">
        <f t="shared" si="52"/>
        <v>-10</v>
      </c>
    </row>
    <row r="2431" ht="14.5" customHeight="1" spans="11:29" x14ac:dyDescent="0.25">
      <c r="K2431" s="128"/>
      <c r="X2431" s="234">
        <v>2022</v>
      </c>
      <c r="Y2431" s="234">
        <v>4</v>
      </c>
      <c r="Z2431" s="234">
        <v>12</v>
      </c>
      <c r="AA2431" s="235">
        <v>0.20833333333212067</v>
      </c>
      <c r="AB2431" s="236">
        <v>-10.4</v>
      </c>
      <c r="AC2431" s="127">
        <f t="shared" si="52"/>
        <v>-10</v>
      </c>
    </row>
    <row r="2432" ht="14.5" customHeight="1" spans="11:29" x14ac:dyDescent="0.25">
      <c r="K2432" s="128"/>
      <c r="X2432" s="234">
        <v>2022</v>
      </c>
      <c r="Y2432" s="234">
        <v>4</v>
      </c>
      <c r="Z2432" s="234">
        <v>12</v>
      </c>
      <c r="AA2432" s="235">
        <v>0.25</v>
      </c>
      <c r="AB2432" s="236">
        <v>-10.8</v>
      </c>
      <c r="AC2432" s="127">
        <f t="shared" si="52"/>
        <v>-11</v>
      </c>
    </row>
    <row r="2433" ht="14.5" customHeight="1" spans="11:29" x14ac:dyDescent="0.25">
      <c r="K2433" s="128"/>
      <c r="X2433" s="234">
        <v>2022</v>
      </c>
      <c r="Y2433" s="234">
        <v>4</v>
      </c>
      <c r="Z2433" s="234">
        <v>12</v>
      </c>
      <c r="AA2433" s="235">
        <v>0.2916666666678793</v>
      </c>
      <c r="AB2433" s="236">
        <v>-10.9</v>
      </c>
      <c r="AC2433" s="127">
        <f t="shared" si="52"/>
        <v>-11</v>
      </c>
    </row>
    <row r="2434" ht="14.5" customHeight="1" spans="11:29" x14ac:dyDescent="0.25">
      <c r="K2434" s="128"/>
      <c r="X2434" s="234">
        <v>2022</v>
      </c>
      <c r="Y2434" s="234">
        <v>4</v>
      </c>
      <c r="Z2434" s="234">
        <v>12</v>
      </c>
      <c r="AA2434" s="235">
        <v>0.3333333333321207</v>
      </c>
      <c r="AB2434" s="236">
        <v>-10.7</v>
      </c>
      <c r="AC2434" s="127">
        <f t="shared" si="52"/>
        <v>-11</v>
      </c>
    </row>
    <row r="2435" ht="14.5" customHeight="1" spans="11:29" x14ac:dyDescent="0.25">
      <c r="K2435" s="128"/>
      <c r="X2435" s="234">
        <v>2022</v>
      </c>
      <c r="Y2435" s="234">
        <v>4</v>
      </c>
      <c r="Z2435" s="234">
        <v>12</v>
      </c>
      <c r="AA2435" s="235">
        <v>0.375</v>
      </c>
      <c r="AB2435" s="236">
        <v>-10.6</v>
      </c>
      <c r="AC2435" s="127">
        <f t="shared" si="52"/>
        <v>-11</v>
      </c>
    </row>
    <row r="2436" ht="14.5" customHeight="1" spans="11:29" x14ac:dyDescent="0.25">
      <c r="K2436" s="128"/>
      <c r="X2436" s="234">
        <v>2022</v>
      </c>
      <c r="Y2436" s="234">
        <v>4</v>
      </c>
      <c r="Z2436" s="234">
        <v>12</v>
      </c>
      <c r="AA2436" s="235">
        <v>0.4166666666678793</v>
      </c>
      <c r="AB2436" s="236">
        <v>-9.9</v>
      </c>
      <c r="AC2436" s="127">
        <f t="shared" si="52"/>
        <v>-10</v>
      </c>
    </row>
    <row r="2437" ht="14.5" customHeight="1" spans="11:29" x14ac:dyDescent="0.25">
      <c r="K2437" s="128"/>
      <c r="X2437" s="234">
        <v>2022</v>
      </c>
      <c r="Y2437" s="234">
        <v>4</v>
      </c>
      <c r="Z2437" s="234">
        <v>12</v>
      </c>
      <c r="AA2437" s="235">
        <v>0.4583333333321207</v>
      </c>
      <c r="AB2437" s="236">
        <v>-9.2</v>
      </c>
      <c r="AC2437" s="127">
        <f t="shared" si="52"/>
        <v>-9</v>
      </c>
    </row>
    <row r="2438" ht="14.5" customHeight="1" spans="11:29" x14ac:dyDescent="0.25">
      <c r="K2438" s="128"/>
      <c r="X2438" s="234">
        <v>2022</v>
      </c>
      <c r="Y2438" s="234">
        <v>4</v>
      </c>
      <c r="Z2438" s="234">
        <v>12</v>
      </c>
      <c r="AA2438" s="235">
        <v>0.5</v>
      </c>
      <c r="AB2438" s="236">
        <v>-8.7</v>
      </c>
      <c r="AC2438" s="127">
        <f t="shared" si="52"/>
        <v>-9</v>
      </c>
    </row>
    <row r="2439" ht="14.5" customHeight="1" spans="11:29" x14ac:dyDescent="0.25">
      <c r="K2439" s="128"/>
      <c r="X2439" s="234">
        <v>2022</v>
      </c>
      <c r="Y2439" s="234">
        <v>4</v>
      </c>
      <c r="Z2439" s="234">
        <v>12</v>
      </c>
      <c r="AA2439" s="235">
        <v>0.5416666666678793</v>
      </c>
      <c r="AB2439" s="236">
        <v>-8.3</v>
      </c>
      <c r="AC2439" s="127">
        <f t="shared" si="52"/>
        <v>-8</v>
      </c>
    </row>
    <row r="2440" ht="14.5" customHeight="1" spans="11:29" x14ac:dyDescent="0.25">
      <c r="K2440" s="128"/>
      <c r="X2440" s="234">
        <v>2022</v>
      </c>
      <c r="Y2440" s="234">
        <v>4</v>
      </c>
      <c r="Z2440" s="234">
        <v>12</v>
      </c>
      <c r="AA2440" s="235">
        <v>0.5833333333321207</v>
      </c>
      <c r="AB2440" s="236">
        <v>-8.4</v>
      </c>
      <c r="AC2440" s="127">
        <f t="shared" si="52"/>
        <v>-8</v>
      </c>
    </row>
    <row r="2441" ht="14.5" customHeight="1" spans="11:29" x14ac:dyDescent="0.25">
      <c r="K2441" s="128"/>
      <c r="X2441" s="234">
        <v>2022</v>
      </c>
      <c r="Y2441" s="234">
        <v>4</v>
      </c>
      <c r="Z2441" s="234">
        <v>12</v>
      </c>
      <c r="AA2441" s="235">
        <v>0.625</v>
      </c>
      <c r="AB2441" s="236">
        <v>-7.8</v>
      </c>
      <c r="AC2441" s="127">
        <f t="shared" si="52"/>
        <v>-8</v>
      </c>
    </row>
    <row r="2442" ht="14.5" customHeight="1" spans="11:29" x14ac:dyDescent="0.25">
      <c r="K2442" s="128"/>
      <c r="X2442" s="234">
        <v>2022</v>
      </c>
      <c r="Y2442" s="234">
        <v>4</v>
      </c>
      <c r="Z2442" s="234">
        <v>12</v>
      </c>
      <c r="AA2442" s="235">
        <v>0.6666666666678793</v>
      </c>
      <c r="AB2442" s="236">
        <v>-8</v>
      </c>
      <c r="AC2442" s="127">
        <f t="shared" si="52"/>
        <v>-8</v>
      </c>
    </row>
    <row r="2443" ht="14.5" customHeight="1" spans="11:29" x14ac:dyDescent="0.25">
      <c r="K2443" s="128"/>
      <c r="X2443" s="234">
        <v>2022</v>
      </c>
      <c r="Y2443" s="234">
        <v>4</v>
      </c>
      <c r="Z2443" s="234">
        <v>12</v>
      </c>
      <c r="AA2443" s="235">
        <v>0.7083333333321207</v>
      </c>
      <c r="AB2443" s="236">
        <v>-8</v>
      </c>
      <c r="AC2443" s="127">
        <f t="shared" ref="AC2443:AC2506" si="53">ROUND(AB2443,0)</f>
        <v>-8</v>
      </c>
    </row>
    <row r="2444" ht="14.5" customHeight="1" spans="11:29" x14ac:dyDescent="0.25">
      <c r="K2444" s="128"/>
      <c r="X2444" s="234">
        <v>2022</v>
      </c>
      <c r="Y2444" s="234">
        <v>4</v>
      </c>
      <c r="Z2444" s="234">
        <v>12</v>
      </c>
      <c r="AA2444" s="235">
        <v>0.75</v>
      </c>
      <c r="AB2444" s="236">
        <v>-8.3</v>
      </c>
      <c r="AC2444" s="127">
        <f t="shared" si="53"/>
        <v>-8</v>
      </c>
    </row>
    <row r="2445" ht="14.5" customHeight="1" spans="11:29" x14ac:dyDescent="0.25">
      <c r="K2445" s="128"/>
      <c r="X2445" s="234">
        <v>2022</v>
      </c>
      <c r="Y2445" s="234">
        <v>4</v>
      </c>
      <c r="Z2445" s="234">
        <v>12</v>
      </c>
      <c r="AA2445" s="235">
        <v>0.7916666666678793</v>
      </c>
      <c r="AB2445" s="236">
        <v>-9.1</v>
      </c>
      <c r="AC2445" s="127">
        <f t="shared" si="53"/>
        <v>-9</v>
      </c>
    </row>
    <row r="2446" ht="14.5" customHeight="1" spans="11:29" x14ac:dyDescent="0.25">
      <c r="K2446" s="128"/>
      <c r="X2446" s="234">
        <v>2022</v>
      </c>
      <c r="Y2446" s="234">
        <v>4</v>
      </c>
      <c r="Z2446" s="234">
        <v>12</v>
      </c>
      <c r="AA2446" s="235">
        <v>0.8333333333321207</v>
      </c>
      <c r="AB2446" s="236">
        <v>-9.8</v>
      </c>
      <c r="AC2446" s="127">
        <f t="shared" si="53"/>
        <v>-10</v>
      </c>
    </row>
    <row r="2447" ht="14.5" customHeight="1" spans="11:29" x14ac:dyDescent="0.25">
      <c r="K2447" s="128"/>
      <c r="X2447" s="234">
        <v>2022</v>
      </c>
      <c r="Y2447" s="234">
        <v>4</v>
      </c>
      <c r="Z2447" s="234">
        <v>12</v>
      </c>
      <c r="AA2447" s="235">
        <v>0.875</v>
      </c>
      <c r="AB2447" s="236">
        <v>-10.6</v>
      </c>
      <c r="AC2447" s="127">
        <f t="shared" si="53"/>
        <v>-11</v>
      </c>
    </row>
    <row r="2448" ht="14.5" customHeight="1" spans="11:29" x14ac:dyDescent="0.25">
      <c r="K2448" s="128"/>
      <c r="X2448" s="234">
        <v>2022</v>
      </c>
      <c r="Y2448" s="234">
        <v>4</v>
      </c>
      <c r="Z2448" s="234">
        <v>12</v>
      </c>
      <c r="AA2448" s="235">
        <v>0.9166666666678793</v>
      </c>
      <c r="AB2448" s="236">
        <v>-10</v>
      </c>
      <c r="AC2448" s="127">
        <f t="shared" si="53"/>
        <v>-10</v>
      </c>
    </row>
    <row r="2449" ht="14.5" customHeight="1" spans="11:29" x14ac:dyDescent="0.25">
      <c r="K2449" s="128"/>
      <c r="X2449" s="234">
        <v>2022</v>
      </c>
      <c r="Y2449" s="234">
        <v>4</v>
      </c>
      <c r="Z2449" s="234">
        <v>12</v>
      </c>
      <c r="AA2449" s="235">
        <v>0.9583333333321207</v>
      </c>
      <c r="AB2449" s="236">
        <v>-10</v>
      </c>
      <c r="AC2449" s="127">
        <f t="shared" si="53"/>
        <v>-10</v>
      </c>
    </row>
    <row r="2450" ht="14.5" customHeight="1" spans="11:29" x14ac:dyDescent="0.25">
      <c r="K2450" s="128"/>
      <c r="X2450" s="234">
        <v>2022</v>
      </c>
      <c r="Y2450" s="234">
        <v>4</v>
      </c>
      <c r="Z2450" s="234">
        <v>13</v>
      </c>
      <c r="AA2450" s="235">
        <v>0</v>
      </c>
      <c r="AB2450" s="236">
        <v>-10.1</v>
      </c>
      <c r="AC2450" s="127">
        <f t="shared" si="53"/>
        <v>-10</v>
      </c>
    </row>
    <row r="2451" ht="14.5" customHeight="1" spans="11:29" x14ac:dyDescent="0.25">
      <c r="K2451" s="128"/>
      <c r="X2451" s="234">
        <v>2022</v>
      </c>
      <c r="Y2451" s="234">
        <v>4</v>
      </c>
      <c r="Z2451" s="234">
        <v>13</v>
      </c>
      <c r="AA2451" s="235">
        <v>0.041666666667879326</v>
      </c>
      <c r="AB2451" s="236">
        <v>-10</v>
      </c>
      <c r="AC2451" s="127">
        <f t="shared" si="53"/>
        <v>-10</v>
      </c>
    </row>
    <row r="2452" ht="14.5" customHeight="1" spans="11:29" x14ac:dyDescent="0.25">
      <c r="K2452" s="128"/>
      <c r="X2452" s="234">
        <v>2022</v>
      </c>
      <c r="Y2452" s="234">
        <v>4</v>
      </c>
      <c r="Z2452" s="234">
        <v>13</v>
      </c>
      <c r="AA2452" s="235">
        <v>0.08333333333212067</v>
      </c>
      <c r="AB2452" s="236">
        <v>-10.1</v>
      </c>
      <c r="AC2452" s="127">
        <f t="shared" si="53"/>
        <v>-10</v>
      </c>
    </row>
    <row r="2453" ht="14.5" customHeight="1" spans="11:29" x14ac:dyDescent="0.25">
      <c r="K2453" s="128"/>
      <c r="X2453" s="234">
        <v>2022</v>
      </c>
      <c r="Y2453" s="234">
        <v>4</v>
      </c>
      <c r="Z2453" s="234">
        <v>13</v>
      </c>
      <c r="AA2453" s="235">
        <v>0.125</v>
      </c>
      <c r="AB2453" s="236">
        <v>-10.1</v>
      </c>
      <c r="AC2453" s="127">
        <f t="shared" si="53"/>
        <v>-10</v>
      </c>
    </row>
    <row r="2454" ht="14.5" customHeight="1" spans="11:29" x14ac:dyDescent="0.25">
      <c r="K2454" s="128"/>
      <c r="X2454" s="234">
        <v>2022</v>
      </c>
      <c r="Y2454" s="234">
        <v>4</v>
      </c>
      <c r="Z2454" s="234">
        <v>13</v>
      </c>
      <c r="AA2454" s="235">
        <v>0.16666666666787933</v>
      </c>
      <c r="AB2454" s="236">
        <v>-10.2</v>
      </c>
      <c r="AC2454" s="127">
        <f t="shared" si="53"/>
        <v>-10</v>
      </c>
    </row>
    <row r="2455" ht="14.5" customHeight="1" spans="11:29" x14ac:dyDescent="0.25">
      <c r="K2455" s="128"/>
      <c r="X2455" s="234">
        <v>2022</v>
      </c>
      <c r="Y2455" s="234">
        <v>4</v>
      </c>
      <c r="Z2455" s="234">
        <v>13</v>
      </c>
      <c r="AA2455" s="235">
        <v>0.20833333333212067</v>
      </c>
      <c r="AB2455" s="236">
        <v>-10.1</v>
      </c>
      <c r="AC2455" s="127">
        <f t="shared" si="53"/>
        <v>-10</v>
      </c>
    </row>
    <row r="2456" ht="14.5" customHeight="1" spans="11:29" x14ac:dyDescent="0.25">
      <c r="K2456" s="128"/>
      <c r="X2456" s="234">
        <v>2022</v>
      </c>
      <c r="Y2456" s="234">
        <v>4</v>
      </c>
      <c r="Z2456" s="234">
        <v>13</v>
      </c>
      <c r="AA2456" s="235">
        <v>0.25</v>
      </c>
      <c r="AB2456" s="236">
        <v>-10.2</v>
      </c>
      <c r="AC2456" s="127">
        <f t="shared" si="53"/>
        <v>-10</v>
      </c>
    </row>
    <row r="2457" ht="14.5" customHeight="1" spans="11:29" x14ac:dyDescent="0.25">
      <c r="K2457" s="128"/>
      <c r="X2457" s="234">
        <v>2022</v>
      </c>
      <c r="Y2457" s="234">
        <v>4</v>
      </c>
      <c r="Z2457" s="234">
        <v>13</v>
      </c>
      <c r="AA2457" s="235">
        <v>0.2916666666678793</v>
      </c>
      <c r="AB2457" s="236">
        <v>-9.9</v>
      </c>
      <c r="AC2457" s="127">
        <f t="shared" si="53"/>
        <v>-10</v>
      </c>
    </row>
    <row r="2458" ht="14.5" customHeight="1" spans="11:29" x14ac:dyDescent="0.25">
      <c r="K2458" s="128"/>
      <c r="X2458" s="234">
        <v>2022</v>
      </c>
      <c r="Y2458" s="234">
        <v>4</v>
      </c>
      <c r="Z2458" s="234">
        <v>13</v>
      </c>
      <c r="AA2458" s="235">
        <v>0.3333333333321207</v>
      </c>
      <c r="AB2458" s="236">
        <v>-9.3</v>
      </c>
      <c r="AC2458" s="127">
        <f t="shared" si="53"/>
        <v>-9</v>
      </c>
    </row>
    <row r="2459" ht="14.5" customHeight="1" spans="11:29" x14ac:dyDescent="0.25">
      <c r="K2459" s="128"/>
      <c r="X2459" s="234">
        <v>2022</v>
      </c>
      <c r="Y2459" s="234">
        <v>4</v>
      </c>
      <c r="Z2459" s="234">
        <v>13</v>
      </c>
      <c r="AA2459" s="235">
        <v>0.375</v>
      </c>
      <c r="AB2459" s="236">
        <v>-9.3</v>
      </c>
      <c r="AC2459" s="127">
        <f t="shared" si="53"/>
        <v>-9</v>
      </c>
    </row>
    <row r="2460" ht="14.5" customHeight="1" spans="11:29" x14ac:dyDescent="0.25">
      <c r="K2460" s="128"/>
      <c r="X2460" s="234">
        <v>2022</v>
      </c>
      <c r="Y2460" s="234">
        <v>4</v>
      </c>
      <c r="Z2460" s="234">
        <v>13</v>
      </c>
      <c r="AA2460" s="235">
        <v>0.4166666666678793</v>
      </c>
      <c r="AB2460" s="236">
        <v>-8.9</v>
      </c>
      <c r="AC2460" s="127">
        <f t="shared" si="53"/>
        <v>-9</v>
      </c>
    </row>
    <row r="2461" ht="14.5" customHeight="1" spans="11:29" x14ac:dyDescent="0.25">
      <c r="K2461" s="128"/>
      <c r="X2461" s="234">
        <v>2022</v>
      </c>
      <c r="Y2461" s="234">
        <v>4</v>
      </c>
      <c r="Z2461" s="234">
        <v>13</v>
      </c>
      <c r="AA2461" s="235">
        <v>0.4583333333321207</v>
      </c>
      <c r="AB2461" s="236">
        <v>-7.8</v>
      </c>
      <c r="AC2461" s="127">
        <f t="shared" si="53"/>
        <v>-8</v>
      </c>
    </row>
    <row r="2462" ht="14.5" customHeight="1" spans="11:29" x14ac:dyDescent="0.25">
      <c r="K2462" s="128"/>
      <c r="X2462" s="234">
        <v>2022</v>
      </c>
      <c r="Y2462" s="234">
        <v>4</v>
      </c>
      <c r="Z2462" s="234">
        <v>13</v>
      </c>
      <c r="AA2462" s="235">
        <v>0.5</v>
      </c>
      <c r="AB2462" s="236">
        <v>-7</v>
      </c>
      <c r="AC2462" s="127">
        <f t="shared" si="53"/>
        <v>-7</v>
      </c>
    </row>
    <row r="2463" ht="14.5" customHeight="1" spans="11:29" x14ac:dyDescent="0.25">
      <c r="K2463" s="128"/>
      <c r="X2463" s="234">
        <v>2022</v>
      </c>
      <c r="Y2463" s="234">
        <v>4</v>
      </c>
      <c r="Z2463" s="234">
        <v>13</v>
      </c>
      <c r="AA2463" s="235">
        <v>0.5416666666678793</v>
      </c>
      <c r="AB2463" s="236">
        <v>-7.1</v>
      </c>
      <c r="AC2463" s="127">
        <f t="shared" si="53"/>
        <v>-7</v>
      </c>
    </row>
    <row r="2464" ht="14.5" customHeight="1" spans="11:29" x14ac:dyDescent="0.25">
      <c r="K2464" s="128"/>
      <c r="X2464" s="234">
        <v>2022</v>
      </c>
      <c r="Y2464" s="234">
        <v>4</v>
      </c>
      <c r="Z2464" s="234">
        <v>13</v>
      </c>
      <c r="AA2464" s="235">
        <v>0.5833333333321207</v>
      </c>
      <c r="AB2464" s="236">
        <v>-7</v>
      </c>
      <c r="AC2464" s="127">
        <f t="shared" si="53"/>
        <v>-7</v>
      </c>
    </row>
    <row r="2465" ht="14.5" customHeight="1" spans="11:29" x14ac:dyDescent="0.25">
      <c r="K2465" s="128"/>
      <c r="X2465" s="234">
        <v>2022</v>
      </c>
      <c r="Y2465" s="234">
        <v>4</v>
      </c>
      <c r="Z2465" s="234">
        <v>13</v>
      </c>
      <c r="AA2465" s="235">
        <v>0.625</v>
      </c>
      <c r="AB2465" s="236">
        <v>-6.5</v>
      </c>
      <c r="AC2465" s="127">
        <f t="shared" si="53"/>
        <v>-7</v>
      </c>
    </row>
    <row r="2466" ht="14.5" customHeight="1" spans="11:29" x14ac:dyDescent="0.25">
      <c r="K2466" s="128"/>
      <c r="X2466" s="234">
        <v>2022</v>
      </c>
      <c r="Y2466" s="234">
        <v>4</v>
      </c>
      <c r="Z2466" s="234">
        <v>13</v>
      </c>
      <c r="AA2466" s="235">
        <v>0.6666666666678793</v>
      </c>
      <c r="AB2466" s="236">
        <v>-6.6</v>
      </c>
      <c r="AC2466" s="127">
        <f t="shared" si="53"/>
        <v>-7</v>
      </c>
    </row>
    <row r="2467" ht="14.5" customHeight="1" spans="11:29" x14ac:dyDescent="0.25">
      <c r="K2467" s="128"/>
      <c r="X2467" s="234">
        <v>2022</v>
      </c>
      <c r="Y2467" s="234">
        <v>4</v>
      </c>
      <c r="Z2467" s="234">
        <v>13</v>
      </c>
      <c r="AA2467" s="235">
        <v>0.7083333333321207</v>
      </c>
      <c r="AB2467" s="236">
        <v>-6.5</v>
      </c>
      <c r="AC2467" s="127">
        <f t="shared" si="53"/>
        <v>-7</v>
      </c>
    </row>
    <row r="2468" ht="14.5" customHeight="1" spans="11:29" x14ac:dyDescent="0.25">
      <c r="K2468" s="128"/>
      <c r="X2468" s="234">
        <v>2022</v>
      </c>
      <c r="Y2468" s="234">
        <v>4</v>
      </c>
      <c r="Z2468" s="234">
        <v>13</v>
      </c>
      <c r="AA2468" s="235">
        <v>0.75</v>
      </c>
      <c r="AB2468" s="236">
        <v>-6.4</v>
      </c>
      <c r="AC2468" s="127">
        <f t="shared" si="53"/>
        <v>-6</v>
      </c>
    </row>
    <row r="2469" ht="14.5" customHeight="1" spans="11:29" x14ac:dyDescent="0.25">
      <c r="K2469" s="128"/>
      <c r="X2469" s="234">
        <v>2022</v>
      </c>
      <c r="Y2469" s="234">
        <v>4</v>
      </c>
      <c r="Z2469" s="234">
        <v>13</v>
      </c>
      <c r="AA2469" s="235">
        <v>0.7916666666678793</v>
      </c>
      <c r="AB2469" s="236">
        <v>-7.2</v>
      </c>
      <c r="AC2469" s="127">
        <f t="shared" si="53"/>
        <v>-7</v>
      </c>
    </row>
    <row r="2470" ht="14.5" customHeight="1" spans="11:29" x14ac:dyDescent="0.25">
      <c r="K2470" s="128"/>
      <c r="X2470" s="234">
        <v>2022</v>
      </c>
      <c r="Y2470" s="234">
        <v>4</v>
      </c>
      <c r="Z2470" s="234">
        <v>13</v>
      </c>
      <c r="AA2470" s="235">
        <v>0.8333333333321207</v>
      </c>
      <c r="AB2470" s="236">
        <v>-7.8</v>
      </c>
      <c r="AC2470" s="127">
        <f t="shared" si="53"/>
        <v>-8</v>
      </c>
    </row>
    <row r="2471" ht="14.5" customHeight="1" spans="11:29" x14ac:dyDescent="0.25">
      <c r="K2471" s="128"/>
      <c r="X2471" s="234">
        <v>2022</v>
      </c>
      <c r="Y2471" s="234">
        <v>4</v>
      </c>
      <c r="Z2471" s="234">
        <v>13</v>
      </c>
      <c r="AA2471" s="235">
        <v>0.875</v>
      </c>
      <c r="AB2471" s="236">
        <v>-7.9</v>
      </c>
      <c r="AC2471" s="127">
        <f t="shared" si="53"/>
        <v>-8</v>
      </c>
    </row>
    <row r="2472" ht="14.5" customHeight="1" spans="11:29" x14ac:dyDescent="0.25">
      <c r="K2472" s="128"/>
      <c r="X2472" s="234">
        <v>2022</v>
      </c>
      <c r="Y2472" s="234">
        <v>4</v>
      </c>
      <c r="Z2472" s="234">
        <v>13</v>
      </c>
      <c r="AA2472" s="235">
        <v>0.9166666666678793</v>
      </c>
      <c r="AB2472" s="236">
        <v>-8.2</v>
      </c>
      <c r="AC2472" s="127">
        <f t="shared" si="53"/>
        <v>-8</v>
      </c>
    </row>
    <row r="2473" ht="14.5" customHeight="1" spans="11:29" x14ac:dyDescent="0.25">
      <c r="K2473" s="128"/>
      <c r="X2473" s="234">
        <v>2022</v>
      </c>
      <c r="Y2473" s="234">
        <v>4</v>
      </c>
      <c r="Z2473" s="234">
        <v>13</v>
      </c>
      <c r="AA2473" s="235">
        <v>0.9583333333321207</v>
      </c>
      <c r="AB2473" s="236">
        <v>-8.6</v>
      </c>
      <c r="AC2473" s="127">
        <f t="shared" si="53"/>
        <v>-9</v>
      </c>
    </row>
    <row r="2474" ht="14.5" customHeight="1" spans="11:29" x14ac:dyDescent="0.25">
      <c r="K2474" s="128"/>
      <c r="X2474" s="234">
        <v>2022</v>
      </c>
      <c r="Y2474" s="234">
        <v>4</v>
      </c>
      <c r="Z2474" s="234">
        <v>14</v>
      </c>
      <c r="AA2474" s="235">
        <v>0</v>
      </c>
      <c r="AB2474" s="236">
        <v>-8.9</v>
      </c>
      <c r="AC2474" s="127">
        <f t="shared" si="53"/>
        <v>-9</v>
      </c>
    </row>
    <row r="2475" ht="14.5" customHeight="1" spans="11:29" x14ac:dyDescent="0.25">
      <c r="K2475" s="128"/>
      <c r="X2475" s="234">
        <v>2022</v>
      </c>
      <c r="Y2475" s="234">
        <v>4</v>
      </c>
      <c r="Z2475" s="234">
        <v>14</v>
      </c>
      <c r="AA2475" s="235">
        <v>0.041666666667879326</v>
      </c>
      <c r="AB2475" s="236">
        <v>-9</v>
      </c>
      <c r="AC2475" s="127">
        <f t="shared" si="53"/>
        <v>-9</v>
      </c>
    </row>
    <row r="2476" ht="14.5" customHeight="1" spans="11:29" x14ac:dyDescent="0.25">
      <c r="K2476" s="128"/>
      <c r="X2476" s="234">
        <v>2022</v>
      </c>
      <c r="Y2476" s="234">
        <v>4</v>
      </c>
      <c r="Z2476" s="234">
        <v>14</v>
      </c>
      <c r="AA2476" s="235">
        <v>0.08333333333212067</v>
      </c>
      <c r="AB2476" s="236">
        <v>-9.7</v>
      </c>
      <c r="AC2476" s="127">
        <f t="shared" si="53"/>
        <v>-10</v>
      </c>
    </row>
    <row r="2477" ht="14.5" customHeight="1" spans="11:29" x14ac:dyDescent="0.25">
      <c r="K2477" s="128"/>
      <c r="X2477" s="234">
        <v>2022</v>
      </c>
      <c r="Y2477" s="234">
        <v>4</v>
      </c>
      <c r="Z2477" s="234">
        <v>14</v>
      </c>
      <c r="AA2477" s="235">
        <v>0.125</v>
      </c>
      <c r="AB2477" s="236">
        <v>-10.1</v>
      </c>
      <c r="AC2477" s="127">
        <f t="shared" si="53"/>
        <v>-10</v>
      </c>
    </row>
    <row r="2478" ht="14.5" customHeight="1" spans="11:29" x14ac:dyDescent="0.25">
      <c r="K2478" s="128"/>
      <c r="X2478" s="234">
        <v>2022</v>
      </c>
      <c r="Y2478" s="234">
        <v>4</v>
      </c>
      <c r="Z2478" s="234">
        <v>14</v>
      </c>
      <c r="AA2478" s="235">
        <v>0.16666666666787933</v>
      </c>
      <c r="AB2478" s="236">
        <v>-10.2</v>
      </c>
      <c r="AC2478" s="127">
        <f t="shared" si="53"/>
        <v>-10</v>
      </c>
    </row>
    <row r="2479" ht="14.5" customHeight="1" spans="11:29" x14ac:dyDescent="0.25">
      <c r="K2479" s="128"/>
      <c r="X2479" s="234">
        <v>2022</v>
      </c>
      <c r="Y2479" s="234">
        <v>4</v>
      </c>
      <c r="Z2479" s="234">
        <v>14</v>
      </c>
      <c r="AA2479" s="235">
        <v>0.20833333333212067</v>
      </c>
      <c r="AB2479" s="236">
        <v>-10.2</v>
      </c>
      <c r="AC2479" s="127">
        <f t="shared" si="53"/>
        <v>-10</v>
      </c>
    </row>
    <row r="2480" ht="14.5" customHeight="1" spans="11:29" x14ac:dyDescent="0.25">
      <c r="K2480" s="128"/>
      <c r="X2480" s="234">
        <v>2022</v>
      </c>
      <c r="Y2480" s="234">
        <v>4</v>
      </c>
      <c r="Z2480" s="234">
        <v>14</v>
      </c>
      <c r="AA2480" s="235">
        <v>0.25</v>
      </c>
      <c r="AB2480" s="236">
        <v>-10</v>
      </c>
      <c r="AC2480" s="127">
        <f t="shared" si="53"/>
        <v>-10</v>
      </c>
    </row>
    <row r="2481" ht="14.5" customHeight="1" spans="11:29" x14ac:dyDescent="0.25">
      <c r="K2481" s="128"/>
      <c r="X2481" s="234">
        <v>2022</v>
      </c>
      <c r="Y2481" s="234">
        <v>4</v>
      </c>
      <c r="Z2481" s="234">
        <v>14</v>
      </c>
      <c r="AA2481" s="235">
        <v>0.2916666666678793</v>
      </c>
      <c r="AB2481" s="236">
        <v>-9.2</v>
      </c>
      <c r="AC2481" s="127">
        <f t="shared" si="53"/>
        <v>-9</v>
      </c>
    </row>
    <row r="2482" ht="14.5" customHeight="1" spans="11:29" x14ac:dyDescent="0.25">
      <c r="K2482" s="128"/>
      <c r="X2482" s="234">
        <v>2022</v>
      </c>
      <c r="Y2482" s="234">
        <v>4</v>
      </c>
      <c r="Z2482" s="234">
        <v>14</v>
      </c>
      <c r="AA2482" s="235">
        <v>0.3333333333321207</v>
      </c>
      <c r="AB2482" s="236">
        <v>-8.9</v>
      </c>
      <c r="AC2482" s="127">
        <f t="shared" si="53"/>
        <v>-9</v>
      </c>
    </row>
    <row r="2483" ht="14.5" customHeight="1" spans="11:29" x14ac:dyDescent="0.25">
      <c r="K2483" s="128"/>
      <c r="X2483" s="234">
        <v>2022</v>
      </c>
      <c r="Y2483" s="234">
        <v>4</v>
      </c>
      <c r="Z2483" s="234">
        <v>14</v>
      </c>
      <c r="AA2483" s="235">
        <v>0.375</v>
      </c>
      <c r="AB2483" s="236">
        <v>-8.3</v>
      </c>
      <c r="AC2483" s="127">
        <f t="shared" si="53"/>
        <v>-8</v>
      </c>
    </row>
    <row r="2484" ht="14.5" customHeight="1" spans="11:29" x14ac:dyDescent="0.25">
      <c r="K2484" s="128"/>
      <c r="X2484" s="234">
        <v>2022</v>
      </c>
      <c r="Y2484" s="234">
        <v>4</v>
      </c>
      <c r="Z2484" s="234">
        <v>14</v>
      </c>
      <c r="AA2484" s="235">
        <v>0.4166666666678793</v>
      </c>
      <c r="AB2484" s="236">
        <v>-7.2</v>
      </c>
      <c r="AC2484" s="127">
        <f t="shared" si="53"/>
        <v>-7</v>
      </c>
    </row>
    <row r="2485" ht="14.5" customHeight="1" spans="11:29" x14ac:dyDescent="0.25">
      <c r="K2485" s="128"/>
      <c r="X2485" s="234">
        <v>2022</v>
      </c>
      <c r="Y2485" s="234">
        <v>4</v>
      </c>
      <c r="Z2485" s="234">
        <v>14</v>
      </c>
      <c r="AA2485" s="235">
        <v>0.4583333333321207</v>
      </c>
      <c r="AB2485" s="236">
        <v>-7.4</v>
      </c>
      <c r="AC2485" s="127">
        <f t="shared" si="53"/>
        <v>-7</v>
      </c>
    </row>
    <row r="2486" ht="14.5" customHeight="1" spans="11:29" x14ac:dyDescent="0.25">
      <c r="K2486" s="128"/>
      <c r="X2486" s="234">
        <v>2022</v>
      </c>
      <c r="Y2486" s="234">
        <v>4</v>
      </c>
      <c r="Z2486" s="234">
        <v>14</v>
      </c>
      <c r="AA2486" s="235">
        <v>0.5</v>
      </c>
      <c r="AB2486" s="236">
        <v>-6.9</v>
      </c>
      <c r="AC2486" s="127">
        <f t="shared" si="53"/>
        <v>-7</v>
      </c>
    </row>
    <row r="2487" ht="14.5" customHeight="1" spans="11:29" x14ac:dyDescent="0.25">
      <c r="K2487" s="128"/>
      <c r="X2487" s="234">
        <v>2022</v>
      </c>
      <c r="Y2487" s="234">
        <v>4</v>
      </c>
      <c r="Z2487" s="234">
        <v>14</v>
      </c>
      <c r="AA2487" s="235">
        <v>0.5416666666678793</v>
      </c>
      <c r="AB2487" s="236">
        <v>-6.5</v>
      </c>
      <c r="AC2487" s="127">
        <f t="shared" si="53"/>
        <v>-7</v>
      </c>
    </row>
    <row r="2488" ht="14.5" customHeight="1" spans="11:29" x14ac:dyDescent="0.25">
      <c r="K2488" s="128"/>
      <c r="X2488" s="234">
        <v>2022</v>
      </c>
      <c r="Y2488" s="234">
        <v>4</v>
      </c>
      <c r="Z2488" s="234">
        <v>14</v>
      </c>
      <c r="AA2488" s="235">
        <v>0.5833333333321207</v>
      </c>
      <c r="AB2488" s="236">
        <v>-6.6</v>
      </c>
      <c r="AC2488" s="127">
        <f t="shared" si="53"/>
        <v>-7</v>
      </c>
    </row>
    <row r="2489" ht="14.5" customHeight="1" spans="11:29" x14ac:dyDescent="0.25">
      <c r="K2489" s="128"/>
      <c r="X2489" s="234">
        <v>2022</v>
      </c>
      <c r="Y2489" s="234">
        <v>4</v>
      </c>
      <c r="Z2489" s="234">
        <v>14</v>
      </c>
      <c r="AA2489" s="235">
        <v>0.625</v>
      </c>
      <c r="AB2489" s="236">
        <v>-5.7</v>
      </c>
      <c r="AC2489" s="127">
        <f t="shared" si="53"/>
        <v>-6</v>
      </c>
    </row>
    <row r="2490" ht="14.5" customHeight="1" spans="11:29" x14ac:dyDescent="0.25">
      <c r="K2490" s="128"/>
      <c r="X2490" s="234">
        <v>2022</v>
      </c>
      <c r="Y2490" s="234">
        <v>4</v>
      </c>
      <c r="Z2490" s="234">
        <v>14</v>
      </c>
      <c r="AA2490" s="235">
        <v>0.6666666666678793</v>
      </c>
      <c r="AB2490" s="236">
        <v>-6.1</v>
      </c>
      <c r="AC2490" s="127">
        <f t="shared" si="53"/>
        <v>-6</v>
      </c>
    </row>
    <row r="2491" ht="14.5" customHeight="1" spans="11:29" x14ac:dyDescent="0.25">
      <c r="K2491" s="128"/>
      <c r="X2491" s="234">
        <v>2022</v>
      </c>
      <c r="Y2491" s="234">
        <v>4</v>
      </c>
      <c r="Z2491" s="234">
        <v>14</v>
      </c>
      <c r="AA2491" s="235">
        <v>0.7083333333321207</v>
      </c>
      <c r="AB2491" s="236">
        <v>-5.9</v>
      </c>
      <c r="AC2491" s="127">
        <f t="shared" si="53"/>
        <v>-6</v>
      </c>
    </row>
    <row r="2492" ht="14.5" customHeight="1" spans="11:29" x14ac:dyDescent="0.25">
      <c r="K2492" s="128"/>
      <c r="X2492" s="234">
        <v>2022</v>
      </c>
      <c r="Y2492" s="234">
        <v>4</v>
      </c>
      <c r="Z2492" s="234">
        <v>14</v>
      </c>
      <c r="AA2492" s="235">
        <v>0.75</v>
      </c>
      <c r="AB2492" s="236">
        <v>-6.6</v>
      </c>
      <c r="AC2492" s="127">
        <f t="shared" si="53"/>
        <v>-7</v>
      </c>
    </row>
    <row r="2493" ht="14.5" customHeight="1" spans="11:29" x14ac:dyDescent="0.25">
      <c r="K2493" s="128"/>
      <c r="X2493" s="234">
        <v>2022</v>
      </c>
      <c r="Y2493" s="234">
        <v>4</v>
      </c>
      <c r="Z2493" s="234">
        <v>14</v>
      </c>
      <c r="AA2493" s="235">
        <v>0.7916666666678793</v>
      </c>
      <c r="AB2493" s="236">
        <v>-7</v>
      </c>
      <c r="AC2493" s="127">
        <f t="shared" si="53"/>
        <v>-7</v>
      </c>
    </row>
    <row r="2494" ht="14.5" customHeight="1" spans="11:29" x14ac:dyDescent="0.25">
      <c r="K2494" s="128"/>
      <c r="X2494" s="234">
        <v>2022</v>
      </c>
      <c r="Y2494" s="234">
        <v>4</v>
      </c>
      <c r="Z2494" s="234">
        <v>14</v>
      </c>
      <c r="AA2494" s="235">
        <v>0.8333333333321207</v>
      </c>
      <c r="AB2494" s="236">
        <v>-7.3</v>
      </c>
      <c r="AC2494" s="127">
        <f t="shared" si="53"/>
        <v>-7</v>
      </c>
    </row>
    <row r="2495" ht="14.5" customHeight="1" spans="11:29" x14ac:dyDescent="0.25">
      <c r="K2495" s="128"/>
      <c r="X2495" s="234">
        <v>2022</v>
      </c>
      <c r="Y2495" s="234">
        <v>4</v>
      </c>
      <c r="Z2495" s="234">
        <v>14</v>
      </c>
      <c r="AA2495" s="235">
        <v>0.875</v>
      </c>
      <c r="AB2495" s="236">
        <v>-7.7</v>
      </c>
      <c r="AC2495" s="127">
        <f t="shared" si="53"/>
        <v>-8</v>
      </c>
    </row>
    <row r="2496" ht="14.5" customHeight="1" spans="11:29" x14ac:dyDescent="0.25">
      <c r="K2496" s="128"/>
      <c r="X2496" s="234">
        <v>2022</v>
      </c>
      <c r="Y2496" s="234">
        <v>4</v>
      </c>
      <c r="Z2496" s="234">
        <v>14</v>
      </c>
      <c r="AA2496" s="235">
        <v>0.9166666666678793</v>
      </c>
      <c r="AB2496" s="236">
        <v>-7.9</v>
      </c>
      <c r="AC2496" s="127">
        <f t="shared" si="53"/>
        <v>-8</v>
      </c>
    </row>
    <row r="2497" ht="14.5" customHeight="1" spans="11:29" x14ac:dyDescent="0.25">
      <c r="K2497" s="128"/>
      <c r="X2497" s="234">
        <v>2022</v>
      </c>
      <c r="Y2497" s="234">
        <v>4</v>
      </c>
      <c r="Z2497" s="234">
        <v>14</v>
      </c>
      <c r="AA2497" s="235">
        <v>0.9583333333321207</v>
      </c>
      <c r="AB2497" s="236">
        <v>-7.9</v>
      </c>
      <c r="AC2497" s="127">
        <f t="shared" si="53"/>
        <v>-8</v>
      </c>
    </row>
    <row r="2498" ht="14.5" customHeight="1" spans="11:29" x14ac:dyDescent="0.25">
      <c r="K2498" s="128"/>
      <c r="X2498" s="234">
        <v>2022</v>
      </c>
      <c r="Y2498" s="234">
        <v>4</v>
      </c>
      <c r="Z2498" s="234">
        <v>15</v>
      </c>
      <c r="AA2498" s="235">
        <v>0</v>
      </c>
      <c r="AB2498" s="236">
        <v>-8.5</v>
      </c>
      <c r="AC2498" s="127">
        <f t="shared" si="53"/>
        <v>-9</v>
      </c>
    </row>
    <row r="2499" ht="14.5" customHeight="1" spans="11:29" x14ac:dyDescent="0.25">
      <c r="K2499" s="128"/>
      <c r="X2499" s="234">
        <v>2022</v>
      </c>
      <c r="Y2499" s="234">
        <v>4</v>
      </c>
      <c r="Z2499" s="234">
        <v>15</v>
      </c>
      <c r="AA2499" s="235">
        <v>0.041666666667879326</v>
      </c>
      <c r="AB2499" s="236">
        <v>-9</v>
      </c>
      <c r="AC2499" s="127">
        <f t="shared" si="53"/>
        <v>-9</v>
      </c>
    </row>
    <row r="2500" ht="14.5" customHeight="1" spans="11:29" x14ac:dyDescent="0.25">
      <c r="K2500" s="128"/>
      <c r="X2500" s="234">
        <v>2022</v>
      </c>
      <c r="Y2500" s="234">
        <v>4</v>
      </c>
      <c r="Z2500" s="234">
        <v>15</v>
      </c>
      <c r="AA2500" s="235">
        <v>0.08333333333212067</v>
      </c>
      <c r="AB2500" s="236">
        <v>-8.6</v>
      </c>
      <c r="AC2500" s="127">
        <f t="shared" si="53"/>
        <v>-9</v>
      </c>
    </row>
    <row r="2501" ht="14.5" customHeight="1" spans="11:29" x14ac:dyDescent="0.25">
      <c r="K2501" s="128"/>
      <c r="X2501" s="234">
        <v>2022</v>
      </c>
      <c r="Y2501" s="234">
        <v>4</v>
      </c>
      <c r="Z2501" s="234">
        <v>15</v>
      </c>
      <c r="AA2501" s="235">
        <v>0.125</v>
      </c>
      <c r="AB2501" s="236">
        <v>-8.7</v>
      </c>
      <c r="AC2501" s="127">
        <f t="shared" si="53"/>
        <v>-9</v>
      </c>
    </row>
    <row r="2502" ht="14.5" customHeight="1" spans="11:29" x14ac:dyDescent="0.25">
      <c r="K2502" s="128"/>
      <c r="X2502" s="234">
        <v>2022</v>
      </c>
      <c r="Y2502" s="234">
        <v>4</v>
      </c>
      <c r="Z2502" s="234">
        <v>15</v>
      </c>
      <c r="AA2502" s="235">
        <v>0.16666666666787933</v>
      </c>
      <c r="AB2502" s="236">
        <v>-9.1</v>
      </c>
      <c r="AC2502" s="127">
        <f t="shared" si="53"/>
        <v>-9</v>
      </c>
    </row>
    <row r="2503" ht="14.5" customHeight="1" spans="11:29" x14ac:dyDescent="0.25">
      <c r="K2503" s="128"/>
      <c r="X2503" s="234">
        <v>2022</v>
      </c>
      <c r="Y2503" s="234">
        <v>4</v>
      </c>
      <c r="Z2503" s="234">
        <v>15</v>
      </c>
      <c r="AA2503" s="235">
        <v>0.20833333333212067</v>
      </c>
      <c r="AB2503" s="236">
        <v>-9.4</v>
      </c>
      <c r="AC2503" s="127">
        <f t="shared" si="53"/>
        <v>-9</v>
      </c>
    </row>
    <row r="2504" ht="14.5" customHeight="1" spans="11:29" x14ac:dyDescent="0.25">
      <c r="K2504" s="128"/>
      <c r="X2504" s="234">
        <v>2022</v>
      </c>
      <c r="Y2504" s="234">
        <v>4</v>
      </c>
      <c r="Z2504" s="234">
        <v>15</v>
      </c>
      <c r="AA2504" s="235">
        <v>0.25</v>
      </c>
      <c r="AB2504" s="236">
        <v>-9.6</v>
      </c>
      <c r="AC2504" s="127">
        <f t="shared" si="53"/>
        <v>-10</v>
      </c>
    </row>
    <row r="2505" ht="14.5" customHeight="1" spans="11:29" x14ac:dyDescent="0.25">
      <c r="K2505" s="128"/>
      <c r="X2505" s="234">
        <v>2022</v>
      </c>
      <c r="Y2505" s="234">
        <v>4</v>
      </c>
      <c r="Z2505" s="234">
        <v>15</v>
      </c>
      <c r="AA2505" s="235">
        <v>0.2916666666678793</v>
      </c>
      <c r="AB2505" s="236">
        <v>-9.2</v>
      </c>
      <c r="AC2505" s="127">
        <f t="shared" si="53"/>
        <v>-9</v>
      </c>
    </row>
    <row r="2506" ht="14.5" customHeight="1" spans="11:29" x14ac:dyDescent="0.25">
      <c r="K2506" s="128"/>
      <c r="X2506" s="234">
        <v>2022</v>
      </c>
      <c r="Y2506" s="234">
        <v>4</v>
      </c>
      <c r="Z2506" s="234">
        <v>15</v>
      </c>
      <c r="AA2506" s="235">
        <v>0.3333333333321207</v>
      </c>
      <c r="AB2506" s="236">
        <v>-8.2</v>
      </c>
      <c r="AC2506" s="127">
        <f t="shared" si="53"/>
        <v>-8</v>
      </c>
    </row>
    <row r="2507" ht="14.5" customHeight="1" spans="11:29" x14ac:dyDescent="0.25">
      <c r="K2507" s="128"/>
      <c r="X2507" s="234">
        <v>2022</v>
      </c>
      <c r="Y2507" s="234">
        <v>4</v>
      </c>
      <c r="Z2507" s="234">
        <v>15</v>
      </c>
      <c r="AA2507" s="235">
        <v>0.375</v>
      </c>
      <c r="AB2507" s="236">
        <v>-7.6</v>
      </c>
      <c r="AC2507" s="127">
        <f t="shared" ref="AC2507:AC2570" si="54">ROUND(AB2507,0)</f>
        <v>-8</v>
      </c>
    </row>
    <row r="2508" ht="14.5" customHeight="1" spans="11:29" x14ac:dyDescent="0.25">
      <c r="K2508" s="128"/>
      <c r="X2508" s="234">
        <v>2022</v>
      </c>
      <c r="Y2508" s="234">
        <v>4</v>
      </c>
      <c r="Z2508" s="234">
        <v>15</v>
      </c>
      <c r="AA2508" s="235">
        <v>0.4166666666678793</v>
      </c>
      <c r="AB2508" s="236">
        <v>-6.7</v>
      </c>
      <c r="AC2508" s="127">
        <f t="shared" si="54"/>
        <v>-7</v>
      </c>
    </row>
    <row r="2509" ht="14.5" customHeight="1" spans="11:29" x14ac:dyDescent="0.25">
      <c r="K2509" s="128"/>
      <c r="X2509" s="234">
        <v>2022</v>
      </c>
      <c r="Y2509" s="234">
        <v>4</v>
      </c>
      <c r="Z2509" s="234">
        <v>15</v>
      </c>
      <c r="AA2509" s="235">
        <v>0.4583333333321207</v>
      </c>
      <c r="AB2509" s="236">
        <v>-5.9</v>
      </c>
      <c r="AC2509" s="127">
        <f t="shared" si="54"/>
        <v>-6</v>
      </c>
    </row>
    <row r="2510" ht="14.5" customHeight="1" spans="11:29" x14ac:dyDescent="0.25">
      <c r="K2510" s="128"/>
      <c r="X2510" s="234">
        <v>2022</v>
      </c>
      <c r="Y2510" s="234">
        <v>4</v>
      </c>
      <c r="Z2510" s="234">
        <v>15</v>
      </c>
      <c r="AA2510" s="235">
        <v>0.5</v>
      </c>
      <c r="AB2510" s="236">
        <v>-5.4</v>
      </c>
      <c r="AC2510" s="127">
        <f t="shared" si="54"/>
        <v>-5</v>
      </c>
    </row>
    <row r="2511" ht="14.5" customHeight="1" spans="11:29" x14ac:dyDescent="0.25">
      <c r="K2511" s="128"/>
      <c r="X2511" s="234">
        <v>2022</v>
      </c>
      <c r="Y2511" s="234">
        <v>4</v>
      </c>
      <c r="Z2511" s="234">
        <v>15</v>
      </c>
      <c r="AA2511" s="235">
        <v>0.5416666666678793</v>
      </c>
      <c r="AB2511" s="236">
        <v>-5</v>
      </c>
      <c r="AC2511" s="127">
        <f t="shared" si="54"/>
        <v>-5</v>
      </c>
    </row>
    <row r="2512" ht="14.5" customHeight="1" spans="11:29" x14ac:dyDescent="0.25">
      <c r="K2512" s="128"/>
      <c r="X2512" s="234">
        <v>2022</v>
      </c>
      <c r="Y2512" s="234">
        <v>4</v>
      </c>
      <c r="Z2512" s="234">
        <v>15</v>
      </c>
      <c r="AA2512" s="235">
        <v>0.5833333333321207</v>
      </c>
      <c r="AB2512" s="236">
        <v>-4.2</v>
      </c>
      <c r="AC2512" s="127">
        <f t="shared" si="54"/>
        <v>-4</v>
      </c>
    </row>
    <row r="2513" ht="14.5" customHeight="1" spans="11:29" x14ac:dyDescent="0.25">
      <c r="K2513" s="128"/>
      <c r="X2513" s="234">
        <v>2022</v>
      </c>
      <c r="Y2513" s="234">
        <v>4</v>
      </c>
      <c r="Z2513" s="234">
        <v>15</v>
      </c>
      <c r="AA2513" s="235">
        <v>0.625</v>
      </c>
      <c r="AB2513" s="236">
        <v>-3.6</v>
      </c>
      <c r="AC2513" s="127">
        <f t="shared" si="54"/>
        <v>-4</v>
      </c>
    </row>
    <row r="2514" ht="14.5" customHeight="1" spans="11:29" x14ac:dyDescent="0.25">
      <c r="K2514" s="128"/>
      <c r="X2514" s="234">
        <v>2022</v>
      </c>
      <c r="Y2514" s="234">
        <v>4</v>
      </c>
      <c r="Z2514" s="234">
        <v>15</v>
      </c>
      <c r="AA2514" s="235">
        <v>0.6666666666678793</v>
      </c>
      <c r="AB2514" s="236">
        <v>-3.2</v>
      </c>
      <c r="AC2514" s="127">
        <f t="shared" si="54"/>
        <v>-3</v>
      </c>
    </row>
    <row r="2515" ht="14.5" customHeight="1" spans="11:29" x14ac:dyDescent="0.25">
      <c r="K2515" s="128"/>
      <c r="X2515" s="234">
        <v>2022</v>
      </c>
      <c r="Y2515" s="234">
        <v>4</v>
      </c>
      <c r="Z2515" s="234">
        <v>15</v>
      </c>
      <c r="AA2515" s="235">
        <v>0.7083333333321207</v>
      </c>
      <c r="AB2515" s="236">
        <v>-2.9</v>
      </c>
      <c r="AC2515" s="127">
        <f t="shared" si="54"/>
        <v>-3</v>
      </c>
    </row>
    <row r="2516" ht="14.5" customHeight="1" spans="11:29" x14ac:dyDescent="0.25">
      <c r="K2516" s="128"/>
      <c r="X2516" s="234">
        <v>2022</v>
      </c>
      <c r="Y2516" s="234">
        <v>4</v>
      </c>
      <c r="Z2516" s="234">
        <v>15</v>
      </c>
      <c r="AA2516" s="235">
        <v>0.75</v>
      </c>
      <c r="AB2516" s="236">
        <v>-3.4</v>
      </c>
      <c r="AC2516" s="127">
        <f t="shared" si="54"/>
        <v>-3</v>
      </c>
    </row>
    <row r="2517" ht="14.5" customHeight="1" spans="11:29" x14ac:dyDescent="0.25">
      <c r="K2517" s="128"/>
      <c r="X2517" s="234">
        <v>2022</v>
      </c>
      <c r="Y2517" s="234">
        <v>4</v>
      </c>
      <c r="Z2517" s="234">
        <v>15</v>
      </c>
      <c r="AA2517" s="235">
        <v>0.7916666666678793</v>
      </c>
      <c r="AB2517" s="236">
        <v>-4.2</v>
      </c>
      <c r="AC2517" s="127">
        <f t="shared" si="54"/>
        <v>-4</v>
      </c>
    </row>
    <row r="2518" ht="14.5" customHeight="1" spans="11:29" x14ac:dyDescent="0.25">
      <c r="K2518" s="128"/>
      <c r="X2518" s="234">
        <v>2022</v>
      </c>
      <c r="Y2518" s="234">
        <v>4</v>
      </c>
      <c r="Z2518" s="234">
        <v>15</v>
      </c>
      <c r="AA2518" s="235">
        <v>0.8333333333321207</v>
      </c>
      <c r="AB2518" s="236">
        <v>-4.7</v>
      </c>
      <c r="AC2518" s="127">
        <f t="shared" si="54"/>
        <v>-5</v>
      </c>
    </row>
    <row r="2519" ht="14.5" customHeight="1" spans="11:29" x14ac:dyDescent="0.25">
      <c r="K2519" s="128"/>
      <c r="X2519" s="234">
        <v>2022</v>
      </c>
      <c r="Y2519" s="234">
        <v>4</v>
      </c>
      <c r="Z2519" s="234">
        <v>15</v>
      </c>
      <c r="AA2519" s="235">
        <v>0.875</v>
      </c>
      <c r="AB2519" s="236">
        <v>-5.7</v>
      </c>
      <c r="AC2519" s="127">
        <f t="shared" si="54"/>
        <v>-6</v>
      </c>
    </row>
    <row r="2520" ht="14.5" customHeight="1" spans="11:29" x14ac:dyDescent="0.25">
      <c r="K2520" s="128"/>
      <c r="X2520" s="234">
        <v>2022</v>
      </c>
      <c r="Y2520" s="234">
        <v>4</v>
      </c>
      <c r="Z2520" s="234">
        <v>15</v>
      </c>
      <c r="AA2520" s="235">
        <v>0.9166666666678793</v>
      </c>
      <c r="AB2520" s="236">
        <v>-5.4</v>
      </c>
      <c r="AC2520" s="127">
        <f t="shared" si="54"/>
        <v>-5</v>
      </c>
    </row>
    <row r="2521" ht="14.5" customHeight="1" spans="11:29" x14ac:dyDescent="0.25">
      <c r="K2521" s="128"/>
      <c r="X2521" s="234">
        <v>2022</v>
      </c>
      <c r="Y2521" s="234">
        <v>4</v>
      </c>
      <c r="Z2521" s="234">
        <v>15</v>
      </c>
      <c r="AA2521" s="235">
        <v>0.9583333333321207</v>
      </c>
      <c r="AB2521" s="236">
        <v>-6.2</v>
      </c>
      <c r="AC2521" s="127">
        <f t="shared" si="54"/>
        <v>-6</v>
      </c>
    </row>
    <row r="2522" ht="14.5" customHeight="1" spans="11:29" x14ac:dyDescent="0.25">
      <c r="K2522" s="128"/>
      <c r="X2522" s="234">
        <v>2022</v>
      </c>
      <c r="Y2522" s="234">
        <v>4</v>
      </c>
      <c r="Z2522" s="234">
        <v>16</v>
      </c>
      <c r="AA2522" s="235">
        <v>0</v>
      </c>
      <c r="AB2522" s="236">
        <v>-6.3</v>
      </c>
      <c r="AC2522" s="127">
        <f t="shared" si="54"/>
        <v>-6</v>
      </c>
    </row>
    <row r="2523" ht="14.5" customHeight="1" spans="11:29" x14ac:dyDescent="0.25">
      <c r="K2523" s="128"/>
      <c r="X2523" s="234">
        <v>2022</v>
      </c>
      <c r="Y2523" s="234">
        <v>4</v>
      </c>
      <c r="Z2523" s="234">
        <v>16</v>
      </c>
      <c r="AA2523" s="235">
        <v>0.041666666667879326</v>
      </c>
      <c r="AB2523" s="236">
        <v>-7.1</v>
      </c>
      <c r="AC2523" s="127">
        <f t="shared" si="54"/>
        <v>-7</v>
      </c>
    </row>
    <row r="2524" ht="14.5" customHeight="1" spans="11:29" x14ac:dyDescent="0.25">
      <c r="K2524" s="128"/>
      <c r="X2524" s="234">
        <v>2022</v>
      </c>
      <c r="Y2524" s="234">
        <v>4</v>
      </c>
      <c r="Z2524" s="234">
        <v>16</v>
      </c>
      <c r="AA2524" s="235">
        <v>0.08333333333212067</v>
      </c>
      <c r="AB2524" s="236">
        <v>-8.9</v>
      </c>
      <c r="AC2524" s="127">
        <f t="shared" si="54"/>
        <v>-9</v>
      </c>
    </row>
    <row r="2525" ht="14.5" customHeight="1" spans="11:29" x14ac:dyDescent="0.25">
      <c r="K2525" s="128"/>
      <c r="X2525" s="234">
        <v>2022</v>
      </c>
      <c r="Y2525" s="234">
        <v>4</v>
      </c>
      <c r="Z2525" s="234">
        <v>16</v>
      </c>
      <c r="AA2525" s="235">
        <v>0.125</v>
      </c>
      <c r="AB2525" s="236">
        <v>-9.4</v>
      </c>
      <c r="AC2525" s="127">
        <f t="shared" si="54"/>
        <v>-9</v>
      </c>
    </row>
    <row r="2526" ht="14.5" customHeight="1" spans="11:29" x14ac:dyDescent="0.25">
      <c r="K2526" s="128"/>
      <c r="X2526" s="234">
        <v>2022</v>
      </c>
      <c r="Y2526" s="234">
        <v>4</v>
      </c>
      <c r="Z2526" s="234">
        <v>16</v>
      </c>
      <c r="AA2526" s="235">
        <v>0.16666666666787933</v>
      </c>
      <c r="AB2526" s="236">
        <v>-10.9</v>
      </c>
      <c r="AC2526" s="127">
        <f t="shared" si="54"/>
        <v>-11</v>
      </c>
    </row>
    <row r="2527" ht="14.5" customHeight="1" spans="11:29" x14ac:dyDescent="0.25">
      <c r="K2527" s="128"/>
      <c r="X2527" s="234">
        <v>2022</v>
      </c>
      <c r="Y2527" s="234">
        <v>4</v>
      </c>
      <c r="Z2527" s="234">
        <v>16</v>
      </c>
      <c r="AA2527" s="235">
        <v>0.20833333333212067</v>
      </c>
      <c r="AB2527" s="236">
        <v>-10.9</v>
      </c>
      <c r="AC2527" s="127">
        <f t="shared" si="54"/>
        <v>-11</v>
      </c>
    </row>
    <row r="2528" ht="14.5" customHeight="1" spans="11:29" x14ac:dyDescent="0.25">
      <c r="K2528" s="128"/>
      <c r="X2528" s="234">
        <v>2022</v>
      </c>
      <c r="Y2528" s="234">
        <v>4</v>
      </c>
      <c r="Z2528" s="234">
        <v>16</v>
      </c>
      <c r="AA2528" s="235">
        <v>0.25</v>
      </c>
      <c r="AB2528" s="236">
        <v>-11.5</v>
      </c>
      <c r="AC2528" s="127">
        <f t="shared" si="54"/>
        <v>-12</v>
      </c>
    </row>
    <row r="2529" ht="14.5" customHeight="1" spans="11:29" x14ac:dyDescent="0.25">
      <c r="K2529" s="128"/>
      <c r="X2529" s="234">
        <v>2022</v>
      </c>
      <c r="Y2529" s="234">
        <v>4</v>
      </c>
      <c r="Z2529" s="234">
        <v>16</v>
      </c>
      <c r="AA2529" s="235">
        <v>0.2916666666678793</v>
      </c>
      <c r="AB2529" s="236">
        <v>-8.5</v>
      </c>
      <c r="AC2529" s="127">
        <f t="shared" si="54"/>
        <v>-9</v>
      </c>
    </row>
    <row r="2530" ht="14.5" customHeight="1" spans="11:29" x14ac:dyDescent="0.25">
      <c r="K2530" s="128"/>
      <c r="X2530" s="234">
        <v>2022</v>
      </c>
      <c r="Y2530" s="234">
        <v>4</v>
      </c>
      <c r="Z2530" s="234">
        <v>16</v>
      </c>
      <c r="AA2530" s="235">
        <v>0.3333333333321207</v>
      </c>
      <c r="AB2530" s="236">
        <v>-6.3</v>
      </c>
      <c r="AC2530" s="127">
        <f t="shared" si="54"/>
        <v>-6</v>
      </c>
    </row>
    <row r="2531" ht="14.5" customHeight="1" spans="11:29" x14ac:dyDescent="0.25">
      <c r="K2531" s="128"/>
      <c r="X2531" s="234">
        <v>2022</v>
      </c>
      <c r="Y2531" s="234">
        <v>4</v>
      </c>
      <c r="Z2531" s="234">
        <v>16</v>
      </c>
      <c r="AA2531" s="235">
        <v>0.375</v>
      </c>
      <c r="AB2531" s="236">
        <v>-4.2</v>
      </c>
      <c r="AC2531" s="127">
        <f t="shared" si="54"/>
        <v>-4</v>
      </c>
    </row>
    <row r="2532" ht="14.5" customHeight="1" spans="11:29" x14ac:dyDescent="0.25">
      <c r="K2532" s="128"/>
      <c r="X2532" s="234">
        <v>2022</v>
      </c>
      <c r="Y2532" s="234">
        <v>4</v>
      </c>
      <c r="Z2532" s="234">
        <v>16</v>
      </c>
      <c r="AA2532" s="235">
        <v>0.4166666666678793</v>
      </c>
      <c r="AB2532" s="236">
        <v>-2.2</v>
      </c>
      <c r="AC2532" s="127">
        <f t="shared" si="54"/>
        <v>-2</v>
      </c>
    </row>
    <row r="2533" ht="14.5" customHeight="1" spans="11:29" x14ac:dyDescent="0.25">
      <c r="K2533" s="128"/>
      <c r="X2533" s="234">
        <v>2022</v>
      </c>
      <c r="Y2533" s="234">
        <v>4</v>
      </c>
      <c r="Z2533" s="234">
        <v>16</v>
      </c>
      <c r="AA2533" s="235">
        <v>0.4583333333321207</v>
      </c>
      <c r="AB2533" s="236">
        <v>-0.5</v>
      </c>
      <c r="AC2533" s="127">
        <f t="shared" si="54"/>
        <v>-1</v>
      </c>
    </row>
    <row r="2534" ht="14.5" customHeight="1" spans="11:29" x14ac:dyDescent="0.25">
      <c r="K2534" s="128"/>
      <c r="X2534" s="234">
        <v>2022</v>
      </c>
      <c r="Y2534" s="234">
        <v>4</v>
      </c>
      <c r="Z2534" s="234">
        <v>16</v>
      </c>
      <c r="AA2534" s="235">
        <v>0.5</v>
      </c>
      <c r="AB2534" s="236">
        <v>1.3</v>
      </c>
      <c r="AC2534" s="127">
        <f t="shared" si="54"/>
        <v>1</v>
      </c>
    </row>
    <row r="2535" ht="14.5" customHeight="1" spans="11:29" x14ac:dyDescent="0.25">
      <c r="K2535" s="128"/>
      <c r="X2535" s="234">
        <v>2022</v>
      </c>
      <c r="Y2535" s="234">
        <v>4</v>
      </c>
      <c r="Z2535" s="234">
        <v>16</v>
      </c>
      <c r="AA2535" s="235">
        <v>0.5416666666678793</v>
      </c>
      <c r="AB2535" s="236">
        <v>1.5</v>
      </c>
      <c r="AC2535" s="127">
        <f t="shared" si="54"/>
        <v>2</v>
      </c>
    </row>
    <row r="2536" ht="14.5" customHeight="1" spans="11:29" x14ac:dyDescent="0.25">
      <c r="K2536" s="128"/>
      <c r="X2536" s="234">
        <v>2022</v>
      </c>
      <c r="Y2536" s="234">
        <v>4</v>
      </c>
      <c r="Z2536" s="234">
        <v>16</v>
      </c>
      <c r="AA2536" s="235">
        <v>0.5833333333321207</v>
      </c>
      <c r="AB2536" s="236">
        <v>1.7</v>
      </c>
      <c r="AC2536" s="127">
        <f t="shared" si="54"/>
        <v>2</v>
      </c>
    </row>
    <row r="2537" ht="14.5" customHeight="1" spans="11:29" x14ac:dyDescent="0.25">
      <c r="K2537" s="128"/>
      <c r="X2537" s="234">
        <v>2022</v>
      </c>
      <c r="Y2537" s="234">
        <v>4</v>
      </c>
      <c r="Z2537" s="234">
        <v>16</v>
      </c>
      <c r="AA2537" s="235">
        <v>0.625</v>
      </c>
      <c r="AB2537" s="236">
        <v>2</v>
      </c>
      <c r="AC2537" s="127">
        <f t="shared" si="54"/>
        <v>2</v>
      </c>
    </row>
    <row r="2538" ht="14.5" customHeight="1" spans="11:29" x14ac:dyDescent="0.25">
      <c r="K2538" s="128"/>
      <c r="X2538" s="234">
        <v>2022</v>
      </c>
      <c r="Y2538" s="234">
        <v>4</v>
      </c>
      <c r="Z2538" s="234">
        <v>16</v>
      </c>
      <c r="AA2538" s="235">
        <v>0.6666666666678793</v>
      </c>
      <c r="AB2538" s="236">
        <v>3</v>
      </c>
      <c r="AC2538" s="127">
        <f t="shared" si="54"/>
        <v>3</v>
      </c>
    </row>
    <row r="2539" ht="14.5" customHeight="1" spans="11:29" x14ac:dyDescent="0.25">
      <c r="K2539" s="128"/>
      <c r="X2539" s="234">
        <v>2022</v>
      </c>
      <c r="Y2539" s="234">
        <v>4</v>
      </c>
      <c r="Z2539" s="234">
        <v>16</v>
      </c>
      <c r="AA2539" s="235">
        <v>0.7083333333321207</v>
      </c>
      <c r="AB2539" s="236">
        <v>2</v>
      </c>
      <c r="AC2539" s="127">
        <f t="shared" si="54"/>
        <v>2</v>
      </c>
    </row>
    <row r="2540" ht="14.5" customHeight="1" spans="11:29" x14ac:dyDescent="0.25">
      <c r="K2540" s="128"/>
      <c r="X2540" s="234">
        <v>2022</v>
      </c>
      <c r="Y2540" s="234">
        <v>4</v>
      </c>
      <c r="Z2540" s="234">
        <v>16</v>
      </c>
      <c r="AA2540" s="235">
        <v>0.75</v>
      </c>
      <c r="AB2540" s="236">
        <v>1.5</v>
      </c>
      <c r="AC2540" s="127">
        <f t="shared" si="54"/>
        <v>2</v>
      </c>
    </row>
    <row r="2541" ht="14.5" customHeight="1" spans="11:29" x14ac:dyDescent="0.25">
      <c r="K2541" s="128"/>
      <c r="X2541" s="234">
        <v>2022</v>
      </c>
      <c r="Y2541" s="234">
        <v>4</v>
      </c>
      <c r="Z2541" s="234">
        <v>16</v>
      </c>
      <c r="AA2541" s="235">
        <v>0.7916666666678793</v>
      </c>
      <c r="AB2541" s="236">
        <v>1</v>
      </c>
      <c r="AC2541" s="127">
        <f t="shared" si="54"/>
        <v>1</v>
      </c>
    </row>
    <row r="2542" ht="14.5" customHeight="1" spans="11:29" x14ac:dyDescent="0.25">
      <c r="K2542" s="128"/>
      <c r="X2542" s="234">
        <v>2022</v>
      </c>
      <c r="Y2542" s="234">
        <v>4</v>
      </c>
      <c r="Z2542" s="234">
        <v>16</v>
      </c>
      <c r="AA2542" s="235">
        <v>0.8333333333321207</v>
      </c>
      <c r="AB2542" s="236">
        <v>0</v>
      </c>
      <c r="AC2542" s="127">
        <f t="shared" si="54"/>
        <v>0</v>
      </c>
    </row>
    <row r="2543" ht="14.5" customHeight="1" spans="11:29" x14ac:dyDescent="0.25">
      <c r="K2543" s="128"/>
      <c r="X2543" s="234">
        <v>2022</v>
      </c>
      <c r="Y2543" s="234">
        <v>4</v>
      </c>
      <c r="Z2543" s="234">
        <v>16</v>
      </c>
      <c r="AA2543" s="235">
        <v>0.875</v>
      </c>
      <c r="AB2543" s="236">
        <v>-1</v>
      </c>
      <c r="AC2543" s="127">
        <f t="shared" si="54"/>
        <v>-1</v>
      </c>
    </row>
    <row r="2544" ht="14.5" customHeight="1" spans="11:29" x14ac:dyDescent="0.25">
      <c r="K2544" s="128"/>
      <c r="X2544" s="234">
        <v>2022</v>
      </c>
      <c r="Y2544" s="234">
        <v>4</v>
      </c>
      <c r="Z2544" s="234">
        <v>16</v>
      </c>
      <c r="AA2544" s="235">
        <v>0.9166666666678793</v>
      </c>
      <c r="AB2544" s="236">
        <v>-2.6</v>
      </c>
      <c r="AC2544" s="127">
        <f t="shared" si="54"/>
        <v>-3</v>
      </c>
    </row>
    <row r="2545" ht="14.5" customHeight="1" spans="11:29" x14ac:dyDescent="0.25">
      <c r="K2545" s="128"/>
      <c r="X2545" s="234">
        <v>2022</v>
      </c>
      <c r="Y2545" s="234">
        <v>4</v>
      </c>
      <c r="Z2545" s="234">
        <v>16</v>
      </c>
      <c r="AA2545" s="235">
        <v>0.9583333333321207</v>
      </c>
      <c r="AB2545" s="236">
        <v>-3.6</v>
      </c>
      <c r="AC2545" s="127">
        <f t="shared" si="54"/>
        <v>-4</v>
      </c>
    </row>
    <row r="2546" ht="14.5" customHeight="1" spans="11:29" x14ac:dyDescent="0.25">
      <c r="K2546" s="128"/>
      <c r="X2546" s="234">
        <v>2022</v>
      </c>
      <c r="Y2546" s="234">
        <v>4</v>
      </c>
      <c r="Z2546" s="234">
        <v>17</v>
      </c>
      <c r="AA2546" s="235">
        <v>0</v>
      </c>
      <c r="AB2546" s="236">
        <v>-5.2</v>
      </c>
      <c r="AC2546" s="127">
        <f t="shared" si="54"/>
        <v>-5</v>
      </c>
    </row>
    <row r="2547" ht="14.5" customHeight="1" spans="11:29" x14ac:dyDescent="0.25">
      <c r="K2547" s="128"/>
      <c r="X2547" s="234">
        <v>2022</v>
      </c>
      <c r="Y2547" s="234">
        <v>4</v>
      </c>
      <c r="Z2547" s="234">
        <v>17</v>
      </c>
      <c r="AA2547" s="235">
        <v>0.041666666667879326</v>
      </c>
      <c r="AB2547" s="236">
        <v>-5.2</v>
      </c>
      <c r="AC2547" s="127">
        <f t="shared" si="54"/>
        <v>-5</v>
      </c>
    </row>
    <row r="2548" ht="14.5" customHeight="1" spans="11:29" x14ac:dyDescent="0.25">
      <c r="K2548" s="128"/>
      <c r="X2548" s="234">
        <v>2022</v>
      </c>
      <c r="Y2548" s="234">
        <v>4</v>
      </c>
      <c r="Z2548" s="234">
        <v>17</v>
      </c>
      <c r="AA2548" s="235">
        <v>0.08333333333212067</v>
      </c>
      <c r="AB2548" s="236">
        <v>-5.5</v>
      </c>
      <c r="AC2548" s="127">
        <f t="shared" si="54"/>
        <v>-6</v>
      </c>
    </row>
    <row r="2549" ht="14.5" customHeight="1" spans="11:29" x14ac:dyDescent="0.25">
      <c r="K2549" s="128"/>
      <c r="X2549" s="234">
        <v>2022</v>
      </c>
      <c r="Y2549" s="234">
        <v>4</v>
      </c>
      <c r="Z2549" s="234">
        <v>17</v>
      </c>
      <c r="AA2549" s="235">
        <v>0.125</v>
      </c>
      <c r="AB2549" s="236">
        <v>-5.5</v>
      </c>
      <c r="AC2549" s="127">
        <f t="shared" si="54"/>
        <v>-6</v>
      </c>
    </row>
    <row r="2550" ht="14.5" customHeight="1" spans="11:29" x14ac:dyDescent="0.25">
      <c r="K2550" s="128"/>
      <c r="X2550" s="234">
        <v>2022</v>
      </c>
      <c r="Y2550" s="234">
        <v>4</v>
      </c>
      <c r="Z2550" s="234">
        <v>17</v>
      </c>
      <c r="AA2550" s="235">
        <v>0.16666666666787933</v>
      </c>
      <c r="AB2550" s="236">
        <v>-7.6</v>
      </c>
      <c r="AC2550" s="127">
        <f t="shared" si="54"/>
        <v>-8</v>
      </c>
    </row>
    <row r="2551" ht="14.5" customHeight="1" spans="11:29" x14ac:dyDescent="0.25">
      <c r="K2551" s="128"/>
      <c r="X2551" s="234">
        <v>2022</v>
      </c>
      <c r="Y2551" s="234">
        <v>4</v>
      </c>
      <c r="Z2551" s="234">
        <v>17</v>
      </c>
      <c r="AA2551" s="235">
        <v>0.20833333333212067</v>
      </c>
      <c r="AB2551" s="236">
        <v>-7.3</v>
      </c>
      <c r="AC2551" s="127">
        <f t="shared" si="54"/>
        <v>-7</v>
      </c>
    </row>
    <row r="2552" ht="14.5" customHeight="1" spans="11:29" x14ac:dyDescent="0.25">
      <c r="K2552" s="128"/>
      <c r="X2552" s="234">
        <v>2022</v>
      </c>
      <c r="Y2552" s="234">
        <v>4</v>
      </c>
      <c r="Z2552" s="234">
        <v>17</v>
      </c>
      <c r="AA2552" s="235">
        <v>0.25</v>
      </c>
      <c r="AB2552" s="236">
        <v>-8.8</v>
      </c>
      <c r="AC2552" s="127">
        <f t="shared" si="54"/>
        <v>-9</v>
      </c>
    </row>
    <row r="2553" ht="14.5" customHeight="1" spans="11:29" x14ac:dyDescent="0.25">
      <c r="K2553" s="128"/>
      <c r="X2553" s="234">
        <v>2022</v>
      </c>
      <c r="Y2553" s="234">
        <v>4</v>
      </c>
      <c r="Z2553" s="234">
        <v>17</v>
      </c>
      <c r="AA2553" s="235">
        <v>0.2916666666678793</v>
      </c>
      <c r="AB2553" s="236">
        <v>-5.6</v>
      </c>
      <c r="AC2553" s="127">
        <f t="shared" si="54"/>
        <v>-6</v>
      </c>
    </row>
    <row r="2554" ht="14.5" customHeight="1" spans="11:29" x14ac:dyDescent="0.25">
      <c r="K2554" s="128"/>
      <c r="X2554" s="234">
        <v>2022</v>
      </c>
      <c r="Y2554" s="234">
        <v>4</v>
      </c>
      <c r="Z2554" s="234">
        <v>17</v>
      </c>
      <c r="AA2554" s="235">
        <v>0.3333333333321207</v>
      </c>
      <c r="AB2554" s="236">
        <v>-2.3</v>
      </c>
      <c r="AC2554" s="127">
        <f t="shared" si="54"/>
        <v>-2</v>
      </c>
    </row>
    <row r="2555" ht="14.5" customHeight="1" spans="11:29" x14ac:dyDescent="0.25">
      <c r="K2555" s="128"/>
      <c r="X2555" s="234">
        <v>2022</v>
      </c>
      <c r="Y2555" s="234">
        <v>4</v>
      </c>
      <c r="Z2555" s="234">
        <v>17</v>
      </c>
      <c r="AA2555" s="235">
        <v>0.375</v>
      </c>
      <c r="AB2555" s="236">
        <v>-1.1</v>
      </c>
      <c r="AC2555" s="127">
        <f t="shared" si="54"/>
        <v>-1</v>
      </c>
    </row>
    <row r="2556" ht="14.5" customHeight="1" spans="11:29" x14ac:dyDescent="0.25">
      <c r="K2556" s="128"/>
      <c r="X2556" s="234">
        <v>2022</v>
      </c>
      <c r="Y2556" s="234">
        <v>4</v>
      </c>
      <c r="Z2556" s="234">
        <v>17</v>
      </c>
      <c r="AA2556" s="235">
        <v>0.4166666666678793</v>
      </c>
      <c r="AB2556" s="236">
        <v>0.3</v>
      </c>
      <c r="AC2556" s="127">
        <f t="shared" si="54"/>
        <v>0</v>
      </c>
    </row>
    <row r="2557" ht="14.5" customHeight="1" spans="11:29" x14ac:dyDescent="0.25">
      <c r="K2557" s="128"/>
      <c r="X2557" s="234">
        <v>2022</v>
      </c>
      <c r="Y2557" s="234">
        <v>4</v>
      </c>
      <c r="Z2557" s="234">
        <v>17</v>
      </c>
      <c r="AA2557" s="235">
        <v>0.4583333333321207</v>
      </c>
      <c r="AB2557" s="236">
        <v>2.2</v>
      </c>
      <c r="AC2557" s="127">
        <f t="shared" si="54"/>
        <v>2</v>
      </c>
    </row>
    <row r="2558" ht="14.5" customHeight="1" spans="11:29" x14ac:dyDescent="0.25">
      <c r="K2558" s="128"/>
      <c r="X2558" s="234">
        <v>2022</v>
      </c>
      <c r="Y2558" s="234">
        <v>4</v>
      </c>
      <c r="Z2558" s="234">
        <v>17</v>
      </c>
      <c r="AA2558" s="235">
        <v>0.5</v>
      </c>
      <c r="AB2558" s="236">
        <v>3.1</v>
      </c>
      <c r="AC2558" s="127">
        <f t="shared" si="54"/>
        <v>3</v>
      </c>
    </row>
    <row r="2559" ht="14.5" customHeight="1" spans="11:29" x14ac:dyDescent="0.25">
      <c r="K2559" s="128"/>
      <c r="X2559" s="234">
        <v>2022</v>
      </c>
      <c r="Y2559" s="234">
        <v>4</v>
      </c>
      <c r="Z2559" s="234">
        <v>17</v>
      </c>
      <c r="AA2559" s="235">
        <v>0.5416666666678793</v>
      </c>
      <c r="AB2559" s="236">
        <v>3.8</v>
      </c>
      <c r="AC2559" s="127">
        <f t="shared" si="54"/>
        <v>4</v>
      </c>
    </row>
    <row r="2560" ht="14.5" customHeight="1" spans="11:29" x14ac:dyDescent="0.25">
      <c r="K2560" s="128"/>
      <c r="X2560" s="234">
        <v>2022</v>
      </c>
      <c r="Y2560" s="234">
        <v>4</v>
      </c>
      <c r="Z2560" s="234">
        <v>17</v>
      </c>
      <c r="AA2560" s="235">
        <v>0.5833333333321207</v>
      </c>
      <c r="AB2560" s="236">
        <v>4.8</v>
      </c>
      <c r="AC2560" s="127">
        <f t="shared" si="54"/>
        <v>5</v>
      </c>
    </row>
    <row r="2561" ht="14.5" customHeight="1" spans="11:29" x14ac:dyDescent="0.25">
      <c r="K2561" s="128"/>
      <c r="X2561" s="234">
        <v>2022</v>
      </c>
      <c r="Y2561" s="234">
        <v>4</v>
      </c>
      <c r="Z2561" s="234">
        <v>17</v>
      </c>
      <c r="AA2561" s="235">
        <v>0.625</v>
      </c>
      <c r="AB2561" s="236">
        <v>2.6</v>
      </c>
      <c r="AC2561" s="127">
        <f t="shared" si="54"/>
        <v>3</v>
      </c>
    </row>
    <row r="2562" ht="14.5" customHeight="1" spans="11:29" x14ac:dyDescent="0.25">
      <c r="K2562" s="128"/>
      <c r="X2562" s="234">
        <v>2022</v>
      </c>
      <c r="Y2562" s="234">
        <v>4</v>
      </c>
      <c r="Z2562" s="234">
        <v>17</v>
      </c>
      <c r="AA2562" s="235">
        <v>0.6666666666678793</v>
      </c>
      <c r="AB2562" s="236">
        <v>4.3</v>
      </c>
      <c r="AC2562" s="127">
        <f t="shared" si="54"/>
        <v>4</v>
      </c>
    </row>
    <row r="2563" ht="14.5" customHeight="1" spans="11:29" x14ac:dyDescent="0.25">
      <c r="K2563" s="128"/>
      <c r="X2563" s="234">
        <v>2022</v>
      </c>
      <c r="Y2563" s="234">
        <v>4</v>
      </c>
      <c r="Z2563" s="234">
        <v>17</v>
      </c>
      <c r="AA2563" s="235">
        <v>0.7083333333321207</v>
      </c>
      <c r="AB2563" s="236">
        <v>3.5</v>
      </c>
      <c r="AC2563" s="127">
        <f t="shared" si="54"/>
        <v>4</v>
      </c>
    </row>
    <row r="2564" ht="14.5" customHeight="1" spans="11:29" x14ac:dyDescent="0.25">
      <c r="K2564" s="128"/>
      <c r="X2564" s="234">
        <v>2022</v>
      </c>
      <c r="Y2564" s="234">
        <v>4</v>
      </c>
      <c r="Z2564" s="234">
        <v>17</v>
      </c>
      <c r="AA2564" s="235">
        <v>0.75</v>
      </c>
      <c r="AB2564" s="236">
        <v>3.1</v>
      </c>
      <c r="AC2564" s="127">
        <f t="shared" si="54"/>
        <v>3</v>
      </c>
    </row>
    <row r="2565" ht="14.5" customHeight="1" spans="11:29" x14ac:dyDescent="0.25">
      <c r="K2565" s="128"/>
      <c r="X2565" s="234">
        <v>2022</v>
      </c>
      <c r="Y2565" s="234">
        <v>4</v>
      </c>
      <c r="Z2565" s="234">
        <v>17</v>
      </c>
      <c r="AA2565" s="235">
        <v>0.7916666666678793</v>
      </c>
      <c r="AB2565" s="236">
        <v>1.8</v>
      </c>
      <c r="AC2565" s="127">
        <f t="shared" si="54"/>
        <v>2</v>
      </c>
    </row>
    <row r="2566" ht="14.5" customHeight="1" spans="11:29" x14ac:dyDescent="0.25">
      <c r="K2566" s="128"/>
      <c r="X2566" s="234">
        <v>2022</v>
      </c>
      <c r="Y2566" s="234">
        <v>4</v>
      </c>
      <c r="Z2566" s="234">
        <v>17</v>
      </c>
      <c r="AA2566" s="235">
        <v>0.8333333333321207</v>
      </c>
      <c r="AB2566" s="236">
        <v>-0.1</v>
      </c>
      <c r="AC2566" s="127">
        <f t="shared" si="54"/>
        <v>0</v>
      </c>
    </row>
    <row r="2567" ht="14.5" customHeight="1" spans="11:29" x14ac:dyDescent="0.25">
      <c r="K2567" s="128"/>
      <c r="X2567" s="234">
        <v>2022</v>
      </c>
      <c r="Y2567" s="234">
        <v>4</v>
      </c>
      <c r="Z2567" s="234">
        <v>17</v>
      </c>
      <c r="AA2567" s="235">
        <v>0.875</v>
      </c>
      <c r="AB2567" s="236">
        <v>-2.6</v>
      </c>
      <c r="AC2567" s="127">
        <f t="shared" si="54"/>
        <v>-3</v>
      </c>
    </row>
    <row r="2568" ht="14.5" customHeight="1" spans="11:29" x14ac:dyDescent="0.25">
      <c r="K2568" s="128"/>
      <c r="X2568" s="234">
        <v>2022</v>
      </c>
      <c r="Y2568" s="234">
        <v>4</v>
      </c>
      <c r="Z2568" s="234">
        <v>17</v>
      </c>
      <c r="AA2568" s="235">
        <v>0.9166666666678793</v>
      </c>
      <c r="AB2568" s="236">
        <v>-2.4</v>
      </c>
      <c r="AC2568" s="127">
        <f t="shared" si="54"/>
        <v>-2</v>
      </c>
    </row>
    <row r="2569" ht="14.5" customHeight="1" spans="11:29" x14ac:dyDescent="0.25">
      <c r="K2569" s="128"/>
      <c r="X2569" s="234">
        <v>2022</v>
      </c>
      <c r="Y2569" s="234">
        <v>4</v>
      </c>
      <c r="Z2569" s="234">
        <v>17</v>
      </c>
      <c r="AA2569" s="235">
        <v>0.9583333333321207</v>
      </c>
      <c r="AB2569" s="236">
        <v>-3.7</v>
      </c>
      <c r="AC2569" s="127">
        <f t="shared" si="54"/>
        <v>-4</v>
      </c>
    </row>
    <row r="2570" ht="14.5" customHeight="1" spans="11:29" x14ac:dyDescent="0.25">
      <c r="K2570" s="128"/>
      <c r="X2570" s="234">
        <v>2022</v>
      </c>
      <c r="Y2570" s="234">
        <v>4</v>
      </c>
      <c r="Z2570" s="234">
        <v>18</v>
      </c>
      <c r="AA2570" s="235">
        <v>0</v>
      </c>
      <c r="AB2570" s="236">
        <v>-3.6</v>
      </c>
      <c r="AC2570" s="127">
        <f t="shared" si="54"/>
        <v>-4</v>
      </c>
    </row>
    <row r="2571" ht="14.5" customHeight="1" spans="11:29" x14ac:dyDescent="0.25">
      <c r="K2571" s="128"/>
      <c r="X2571" s="234">
        <v>2022</v>
      </c>
      <c r="Y2571" s="234">
        <v>4</v>
      </c>
      <c r="Z2571" s="234">
        <v>18</v>
      </c>
      <c r="AA2571" s="235">
        <v>0.041666666667879326</v>
      </c>
      <c r="AB2571" s="236">
        <v>-3.3</v>
      </c>
      <c r="AC2571" s="127">
        <f t="shared" ref="AC2571:AC2634" si="55">ROUND(AB2571,0)</f>
        <v>-3</v>
      </c>
    </row>
    <row r="2572" ht="14.5" customHeight="1" spans="11:29" x14ac:dyDescent="0.25">
      <c r="K2572" s="128"/>
      <c r="X2572" s="234">
        <v>2022</v>
      </c>
      <c r="Y2572" s="234">
        <v>4</v>
      </c>
      <c r="Z2572" s="234">
        <v>18</v>
      </c>
      <c r="AA2572" s="235">
        <v>0.08333333333212067</v>
      </c>
      <c r="AB2572" s="236">
        <v>-4.8</v>
      </c>
      <c r="AC2572" s="127">
        <f t="shared" si="55"/>
        <v>-5</v>
      </c>
    </row>
    <row r="2573" ht="14.5" customHeight="1" spans="11:29" x14ac:dyDescent="0.25">
      <c r="K2573" s="128"/>
      <c r="X2573" s="234">
        <v>2022</v>
      </c>
      <c r="Y2573" s="234">
        <v>4</v>
      </c>
      <c r="Z2573" s="234">
        <v>18</v>
      </c>
      <c r="AA2573" s="235">
        <v>0.125</v>
      </c>
      <c r="AB2573" s="236">
        <v>-4.9</v>
      </c>
      <c r="AC2573" s="127">
        <f t="shared" si="55"/>
        <v>-5</v>
      </c>
    </row>
    <row r="2574" ht="14.5" customHeight="1" spans="11:29" x14ac:dyDescent="0.25">
      <c r="K2574" s="128"/>
      <c r="X2574" s="234">
        <v>2022</v>
      </c>
      <c r="Y2574" s="234">
        <v>4</v>
      </c>
      <c r="Z2574" s="234">
        <v>18</v>
      </c>
      <c r="AA2574" s="235">
        <v>0.16666666666787933</v>
      </c>
      <c r="AB2574" s="236">
        <v>-5.6</v>
      </c>
      <c r="AC2574" s="127">
        <f t="shared" si="55"/>
        <v>-6</v>
      </c>
    </row>
    <row r="2575" ht="14.5" customHeight="1" spans="11:29" x14ac:dyDescent="0.25">
      <c r="K2575" s="128"/>
      <c r="X2575" s="234">
        <v>2022</v>
      </c>
      <c r="Y2575" s="234">
        <v>4</v>
      </c>
      <c r="Z2575" s="234">
        <v>18</v>
      </c>
      <c r="AA2575" s="235">
        <v>0.20833333333212067</v>
      </c>
      <c r="AB2575" s="236">
        <v>-7.1</v>
      </c>
      <c r="AC2575" s="127">
        <f t="shared" si="55"/>
        <v>-7</v>
      </c>
    </row>
    <row r="2576" ht="14.5" customHeight="1" spans="11:29" x14ac:dyDescent="0.25">
      <c r="K2576" s="128"/>
      <c r="X2576" s="234">
        <v>2022</v>
      </c>
      <c r="Y2576" s="234">
        <v>4</v>
      </c>
      <c r="Z2576" s="234">
        <v>18</v>
      </c>
      <c r="AA2576" s="235">
        <v>0.25</v>
      </c>
      <c r="AB2576" s="236">
        <v>-5.5</v>
      </c>
      <c r="AC2576" s="127">
        <f t="shared" si="55"/>
        <v>-6</v>
      </c>
    </row>
    <row r="2577" ht="14.5" customHeight="1" spans="11:29" x14ac:dyDescent="0.25">
      <c r="K2577" s="128"/>
      <c r="X2577" s="234">
        <v>2022</v>
      </c>
      <c r="Y2577" s="234">
        <v>4</v>
      </c>
      <c r="Z2577" s="234">
        <v>18</v>
      </c>
      <c r="AA2577" s="235">
        <v>0.2916666666678793</v>
      </c>
      <c r="AB2577" s="236">
        <v>-3.7</v>
      </c>
      <c r="AC2577" s="127">
        <f t="shared" si="55"/>
        <v>-4</v>
      </c>
    </row>
    <row r="2578" ht="14.5" customHeight="1" spans="11:29" x14ac:dyDescent="0.25">
      <c r="K2578" s="128"/>
      <c r="X2578" s="234">
        <v>2022</v>
      </c>
      <c r="Y2578" s="234">
        <v>4</v>
      </c>
      <c r="Z2578" s="234">
        <v>18</v>
      </c>
      <c r="AA2578" s="235">
        <v>0.3333333333321207</v>
      </c>
      <c r="AB2578" s="236">
        <v>-1</v>
      </c>
      <c r="AC2578" s="127">
        <f t="shared" si="55"/>
        <v>-1</v>
      </c>
    </row>
    <row r="2579" ht="14.5" customHeight="1" spans="11:29" x14ac:dyDescent="0.25">
      <c r="K2579" s="128"/>
      <c r="X2579" s="234">
        <v>2022</v>
      </c>
      <c r="Y2579" s="234">
        <v>4</v>
      </c>
      <c r="Z2579" s="234">
        <v>18</v>
      </c>
      <c r="AA2579" s="235">
        <v>0.375</v>
      </c>
      <c r="AB2579" s="236">
        <v>1.9</v>
      </c>
      <c r="AC2579" s="127">
        <f t="shared" si="55"/>
        <v>2</v>
      </c>
    </row>
    <row r="2580" ht="14.5" customHeight="1" spans="11:29" x14ac:dyDescent="0.25">
      <c r="K2580" s="128"/>
      <c r="X2580" s="234">
        <v>2022</v>
      </c>
      <c r="Y2580" s="234">
        <v>4</v>
      </c>
      <c r="Z2580" s="234">
        <v>18</v>
      </c>
      <c r="AA2580" s="235">
        <v>0.4166666666678793</v>
      </c>
      <c r="AB2580" s="236">
        <v>4.9</v>
      </c>
      <c r="AC2580" s="127">
        <f t="shared" si="55"/>
        <v>5</v>
      </c>
    </row>
    <row r="2581" ht="14.5" customHeight="1" spans="11:29" x14ac:dyDescent="0.25">
      <c r="K2581" s="128"/>
      <c r="X2581" s="234">
        <v>2022</v>
      </c>
      <c r="Y2581" s="234">
        <v>4</v>
      </c>
      <c r="Z2581" s="234">
        <v>18</v>
      </c>
      <c r="AA2581" s="235">
        <v>0.4583333333321207</v>
      </c>
      <c r="AB2581" s="236">
        <v>6.4</v>
      </c>
      <c r="AC2581" s="127">
        <f t="shared" si="55"/>
        <v>6</v>
      </c>
    </row>
    <row r="2582" ht="14.5" customHeight="1" spans="11:29" x14ac:dyDescent="0.25">
      <c r="K2582" s="128"/>
      <c r="X2582" s="234">
        <v>2022</v>
      </c>
      <c r="Y2582" s="234">
        <v>4</v>
      </c>
      <c r="Z2582" s="234">
        <v>18</v>
      </c>
      <c r="AA2582" s="235">
        <v>0.5</v>
      </c>
      <c r="AB2582" s="236">
        <v>7.2</v>
      </c>
      <c r="AC2582" s="127">
        <f t="shared" si="55"/>
        <v>7</v>
      </c>
    </row>
    <row r="2583" ht="14.5" customHeight="1" spans="11:29" x14ac:dyDescent="0.25">
      <c r="K2583" s="128"/>
      <c r="X2583" s="234">
        <v>2022</v>
      </c>
      <c r="Y2583" s="234">
        <v>4</v>
      </c>
      <c r="Z2583" s="234">
        <v>18</v>
      </c>
      <c r="AA2583" s="235">
        <v>0.5416666666678793</v>
      </c>
      <c r="AB2583" s="236">
        <v>8</v>
      </c>
      <c r="AC2583" s="127">
        <f t="shared" si="55"/>
        <v>8</v>
      </c>
    </row>
    <row r="2584" ht="14.5" customHeight="1" spans="11:29" x14ac:dyDescent="0.25">
      <c r="K2584" s="128"/>
      <c r="X2584" s="234">
        <v>2022</v>
      </c>
      <c r="Y2584" s="234">
        <v>4</v>
      </c>
      <c r="Z2584" s="234">
        <v>18</v>
      </c>
      <c r="AA2584" s="235">
        <v>0.5833333333321207</v>
      </c>
      <c r="AB2584" s="236">
        <v>8.7</v>
      </c>
      <c r="AC2584" s="127">
        <f t="shared" si="55"/>
        <v>9</v>
      </c>
    </row>
    <row r="2585" ht="14.5" customHeight="1" spans="11:29" x14ac:dyDescent="0.25">
      <c r="K2585" s="128"/>
      <c r="X2585" s="234">
        <v>2022</v>
      </c>
      <c r="Y2585" s="234">
        <v>4</v>
      </c>
      <c r="Z2585" s="234">
        <v>18</v>
      </c>
      <c r="AA2585" s="235">
        <v>0.625</v>
      </c>
      <c r="AB2585" s="236">
        <v>9.2</v>
      </c>
      <c r="AC2585" s="127">
        <f t="shared" si="55"/>
        <v>9</v>
      </c>
    </row>
    <row r="2586" ht="14.5" customHeight="1" spans="11:29" x14ac:dyDescent="0.25">
      <c r="K2586" s="128"/>
      <c r="X2586" s="234">
        <v>2022</v>
      </c>
      <c r="Y2586" s="234">
        <v>4</v>
      </c>
      <c r="Z2586" s="234">
        <v>18</v>
      </c>
      <c r="AA2586" s="235">
        <v>0.6666666666678793</v>
      </c>
      <c r="AB2586" s="236">
        <v>8.7</v>
      </c>
      <c r="AC2586" s="127">
        <f t="shared" si="55"/>
        <v>9</v>
      </c>
    </row>
    <row r="2587" ht="14.5" customHeight="1" spans="11:29" x14ac:dyDescent="0.25">
      <c r="K2587" s="128"/>
      <c r="X2587" s="234">
        <v>2022</v>
      </c>
      <c r="Y2587" s="234">
        <v>4</v>
      </c>
      <c r="Z2587" s="234">
        <v>18</v>
      </c>
      <c r="AA2587" s="235">
        <v>0.7083333333321207</v>
      </c>
      <c r="AB2587" s="236">
        <v>8.3</v>
      </c>
      <c r="AC2587" s="127">
        <f t="shared" si="55"/>
        <v>8</v>
      </c>
    </row>
    <row r="2588" ht="14.5" customHeight="1" spans="11:29" x14ac:dyDescent="0.25">
      <c r="K2588" s="128"/>
      <c r="X2588" s="234">
        <v>2022</v>
      </c>
      <c r="Y2588" s="234">
        <v>4</v>
      </c>
      <c r="Z2588" s="234">
        <v>18</v>
      </c>
      <c r="AA2588" s="235">
        <v>0.75</v>
      </c>
      <c r="AB2588" s="236">
        <v>7.7</v>
      </c>
      <c r="AC2588" s="127">
        <f t="shared" si="55"/>
        <v>8</v>
      </c>
    </row>
    <row r="2589" ht="14.5" customHeight="1" spans="11:29" x14ac:dyDescent="0.25">
      <c r="K2589" s="128"/>
      <c r="X2589" s="234">
        <v>2022</v>
      </c>
      <c r="Y2589" s="234">
        <v>4</v>
      </c>
      <c r="Z2589" s="234">
        <v>18</v>
      </c>
      <c r="AA2589" s="235">
        <v>0.7916666666678793</v>
      </c>
      <c r="AB2589" s="236">
        <v>7.1</v>
      </c>
      <c r="AC2589" s="127">
        <f t="shared" si="55"/>
        <v>7</v>
      </c>
    </row>
    <row r="2590" ht="14.5" customHeight="1" spans="11:29" x14ac:dyDescent="0.25">
      <c r="K2590" s="128"/>
      <c r="X2590" s="234">
        <v>2022</v>
      </c>
      <c r="Y2590" s="234">
        <v>4</v>
      </c>
      <c r="Z2590" s="234">
        <v>18</v>
      </c>
      <c r="AA2590" s="235">
        <v>0.8333333333321207</v>
      </c>
      <c r="AB2590" s="236">
        <v>6.1</v>
      </c>
      <c r="AC2590" s="127">
        <f t="shared" si="55"/>
        <v>6</v>
      </c>
    </row>
    <row r="2591" ht="14.5" customHeight="1" spans="11:29" x14ac:dyDescent="0.25">
      <c r="K2591" s="128"/>
      <c r="X2591" s="234">
        <v>2022</v>
      </c>
      <c r="Y2591" s="234">
        <v>4</v>
      </c>
      <c r="Z2591" s="234">
        <v>18</v>
      </c>
      <c r="AA2591" s="235">
        <v>0.875</v>
      </c>
      <c r="AB2591" s="236">
        <v>5.6</v>
      </c>
      <c r="AC2591" s="127">
        <f t="shared" si="55"/>
        <v>6</v>
      </c>
    </row>
    <row r="2592" ht="14.5" customHeight="1" spans="11:29" x14ac:dyDescent="0.25">
      <c r="K2592" s="128"/>
      <c r="X2592" s="234">
        <v>2022</v>
      </c>
      <c r="Y2592" s="234">
        <v>4</v>
      </c>
      <c r="Z2592" s="234">
        <v>18</v>
      </c>
      <c r="AA2592" s="235">
        <v>0.9166666666678793</v>
      </c>
      <c r="AB2592" s="236">
        <v>4.7</v>
      </c>
      <c r="AC2592" s="127">
        <f t="shared" si="55"/>
        <v>5</v>
      </c>
    </row>
    <row r="2593" ht="14.5" customHeight="1" spans="11:29" x14ac:dyDescent="0.25">
      <c r="K2593" s="128"/>
      <c r="X2593" s="234">
        <v>2022</v>
      </c>
      <c r="Y2593" s="234">
        <v>4</v>
      </c>
      <c r="Z2593" s="234">
        <v>18</v>
      </c>
      <c r="AA2593" s="235">
        <v>0.9583333333321207</v>
      </c>
      <c r="AB2593" s="236">
        <v>3.5</v>
      </c>
      <c r="AC2593" s="127">
        <f t="shared" si="55"/>
        <v>4</v>
      </c>
    </row>
    <row r="2594" ht="14.5" customHeight="1" spans="11:29" x14ac:dyDescent="0.25">
      <c r="K2594" s="128"/>
      <c r="X2594" s="234">
        <v>2022</v>
      </c>
      <c r="Y2594" s="234">
        <v>4</v>
      </c>
      <c r="Z2594" s="234">
        <v>19</v>
      </c>
      <c r="AA2594" s="235">
        <v>0</v>
      </c>
      <c r="AB2594" s="236">
        <v>2</v>
      </c>
      <c r="AC2594" s="127">
        <f t="shared" si="55"/>
        <v>2</v>
      </c>
    </row>
    <row r="2595" ht="14.5" customHeight="1" spans="11:29" x14ac:dyDescent="0.25">
      <c r="K2595" s="128"/>
      <c r="X2595" s="234">
        <v>2022</v>
      </c>
      <c r="Y2595" s="234">
        <v>4</v>
      </c>
      <c r="Z2595" s="234">
        <v>19</v>
      </c>
      <c r="AA2595" s="235">
        <v>0.041666666667879326</v>
      </c>
      <c r="AB2595" s="236">
        <v>1.2</v>
      </c>
      <c r="AC2595" s="127">
        <f t="shared" si="55"/>
        <v>1</v>
      </c>
    </row>
    <row r="2596" ht="14.5" customHeight="1" spans="11:29" x14ac:dyDescent="0.25">
      <c r="K2596" s="128"/>
      <c r="X2596" s="234">
        <v>2022</v>
      </c>
      <c r="Y2596" s="234">
        <v>4</v>
      </c>
      <c r="Z2596" s="234">
        <v>19</v>
      </c>
      <c r="AA2596" s="235">
        <v>0.08333333333212067</v>
      </c>
      <c r="AB2596" s="236">
        <v>1.5</v>
      </c>
      <c r="AC2596" s="127">
        <f t="shared" si="55"/>
        <v>2</v>
      </c>
    </row>
    <row r="2597" ht="14.5" customHeight="1" spans="11:29" x14ac:dyDescent="0.25">
      <c r="K2597" s="128"/>
      <c r="X2597" s="234">
        <v>2022</v>
      </c>
      <c r="Y2597" s="234">
        <v>4</v>
      </c>
      <c r="Z2597" s="234">
        <v>19</v>
      </c>
      <c r="AA2597" s="235">
        <v>0.125</v>
      </c>
      <c r="AB2597" s="236">
        <v>0</v>
      </c>
      <c r="AC2597" s="127">
        <f t="shared" si="55"/>
        <v>0</v>
      </c>
    </row>
    <row r="2598" ht="14.5" customHeight="1" spans="11:29" x14ac:dyDescent="0.25">
      <c r="K2598" s="128"/>
      <c r="X2598" s="234">
        <v>2022</v>
      </c>
      <c r="Y2598" s="234">
        <v>4</v>
      </c>
      <c r="Z2598" s="234">
        <v>19</v>
      </c>
      <c r="AA2598" s="235">
        <v>0.16666666666787933</v>
      </c>
      <c r="AB2598" s="236">
        <v>-0.6</v>
      </c>
      <c r="AC2598" s="127">
        <f t="shared" si="55"/>
        <v>-1</v>
      </c>
    </row>
    <row r="2599" ht="14.5" customHeight="1" spans="11:29" x14ac:dyDescent="0.25">
      <c r="K2599" s="128"/>
      <c r="X2599" s="234">
        <v>2022</v>
      </c>
      <c r="Y2599" s="234">
        <v>4</v>
      </c>
      <c r="Z2599" s="234">
        <v>19</v>
      </c>
      <c r="AA2599" s="235">
        <v>0.20833333333212067</v>
      </c>
      <c r="AB2599" s="236">
        <v>0</v>
      </c>
      <c r="AC2599" s="127">
        <f t="shared" si="55"/>
        <v>0</v>
      </c>
    </row>
    <row r="2600" ht="14.5" customHeight="1" spans="11:29" x14ac:dyDescent="0.25">
      <c r="K2600" s="128"/>
      <c r="X2600" s="234">
        <v>2022</v>
      </c>
      <c r="Y2600" s="234">
        <v>4</v>
      </c>
      <c r="Z2600" s="234">
        <v>19</v>
      </c>
      <c r="AA2600" s="235">
        <v>0.25</v>
      </c>
      <c r="AB2600" s="236">
        <v>-0.3</v>
      </c>
      <c r="AC2600" s="127">
        <f t="shared" si="55"/>
        <v>0</v>
      </c>
    </row>
    <row r="2601" ht="14.5" customHeight="1" spans="11:29" x14ac:dyDescent="0.25">
      <c r="K2601" s="128"/>
      <c r="X2601" s="234">
        <v>2022</v>
      </c>
      <c r="Y2601" s="234">
        <v>4</v>
      </c>
      <c r="Z2601" s="234">
        <v>19</v>
      </c>
      <c r="AA2601" s="235">
        <v>0.2916666666678793</v>
      </c>
      <c r="AB2601" s="236">
        <v>0.3</v>
      </c>
      <c r="AC2601" s="127">
        <f t="shared" si="55"/>
        <v>0</v>
      </c>
    </row>
    <row r="2602" ht="14.5" customHeight="1" spans="11:29" x14ac:dyDescent="0.25">
      <c r="K2602" s="128"/>
      <c r="X2602" s="234">
        <v>2022</v>
      </c>
      <c r="Y2602" s="234">
        <v>4</v>
      </c>
      <c r="Z2602" s="234">
        <v>19</v>
      </c>
      <c r="AA2602" s="235">
        <v>0.3333333333321207</v>
      </c>
      <c r="AB2602" s="236">
        <v>0.6</v>
      </c>
      <c r="AC2602" s="127">
        <f t="shared" si="55"/>
        <v>1</v>
      </c>
    </row>
    <row r="2603" ht="14.5" customHeight="1" spans="11:29" x14ac:dyDescent="0.25">
      <c r="K2603" s="128"/>
      <c r="X2603" s="234">
        <v>2022</v>
      </c>
      <c r="Y2603" s="234">
        <v>4</v>
      </c>
      <c r="Z2603" s="234">
        <v>19</v>
      </c>
      <c r="AA2603" s="235">
        <v>0.375</v>
      </c>
      <c r="AB2603" s="236">
        <v>0</v>
      </c>
      <c r="AC2603" s="127">
        <f t="shared" si="55"/>
        <v>0</v>
      </c>
    </row>
    <row r="2604" ht="14.5" customHeight="1" spans="11:29" x14ac:dyDescent="0.25">
      <c r="K2604" s="128"/>
      <c r="X2604" s="234">
        <v>2022</v>
      </c>
      <c r="Y2604" s="234">
        <v>4</v>
      </c>
      <c r="Z2604" s="234">
        <v>19</v>
      </c>
      <c r="AA2604" s="235">
        <v>0.4166666666678793</v>
      </c>
      <c r="AB2604" s="236">
        <v>-0.6</v>
      </c>
      <c r="AC2604" s="127">
        <f t="shared" si="55"/>
        <v>-1</v>
      </c>
    </row>
    <row r="2605" ht="14.5" customHeight="1" spans="11:29" x14ac:dyDescent="0.25">
      <c r="K2605" s="128"/>
      <c r="X2605" s="234">
        <v>2022</v>
      </c>
      <c r="Y2605" s="234">
        <v>4</v>
      </c>
      <c r="Z2605" s="234">
        <v>19</v>
      </c>
      <c r="AA2605" s="235">
        <v>0.4583333333321207</v>
      </c>
      <c r="AB2605" s="236">
        <v>-0.3</v>
      </c>
      <c r="AC2605" s="127">
        <f t="shared" si="55"/>
        <v>0</v>
      </c>
    </row>
    <row r="2606" ht="14.5" customHeight="1" spans="11:29" x14ac:dyDescent="0.25">
      <c r="K2606" s="128"/>
      <c r="X2606" s="234">
        <v>2022</v>
      </c>
      <c r="Y2606" s="234">
        <v>4</v>
      </c>
      <c r="Z2606" s="234">
        <v>19</v>
      </c>
      <c r="AA2606" s="235">
        <v>0.5</v>
      </c>
      <c r="AB2606" s="236">
        <v>0.4</v>
      </c>
      <c r="AC2606" s="127">
        <f t="shared" si="55"/>
        <v>0</v>
      </c>
    </row>
    <row r="2607" ht="14.5" customHeight="1" spans="11:29" x14ac:dyDescent="0.25">
      <c r="K2607" s="128"/>
      <c r="X2607" s="234">
        <v>2022</v>
      </c>
      <c r="Y2607" s="234">
        <v>4</v>
      </c>
      <c r="Z2607" s="234">
        <v>19</v>
      </c>
      <c r="AA2607" s="235">
        <v>0.5416666666678793</v>
      </c>
      <c r="AB2607" s="236">
        <v>-0.8</v>
      </c>
      <c r="AC2607" s="127">
        <f t="shared" si="55"/>
        <v>-1</v>
      </c>
    </row>
    <row r="2608" ht="14.5" customHeight="1" spans="11:29" x14ac:dyDescent="0.25">
      <c r="K2608" s="128"/>
      <c r="X2608" s="234">
        <v>2022</v>
      </c>
      <c r="Y2608" s="234">
        <v>4</v>
      </c>
      <c r="Z2608" s="234">
        <v>19</v>
      </c>
      <c r="AA2608" s="235">
        <v>0.5833333333321207</v>
      </c>
      <c r="AB2608" s="236">
        <v>-0.9</v>
      </c>
      <c r="AC2608" s="127">
        <f t="shared" si="55"/>
        <v>-1</v>
      </c>
    </row>
    <row r="2609" ht="14.5" customHeight="1" spans="11:29" x14ac:dyDescent="0.25">
      <c r="K2609" s="128"/>
      <c r="X2609" s="234">
        <v>2022</v>
      </c>
      <c r="Y2609" s="234">
        <v>4</v>
      </c>
      <c r="Z2609" s="234">
        <v>19</v>
      </c>
      <c r="AA2609" s="235">
        <v>0.625</v>
      </c>
      <c r="AB2609" s="236">
        <v>-0.8</v>
      </c>
      <c r="AC2609" s="127">
        <f t="shared" si="55"/>
        <v>-1</v>
      </c>
    </row>
    <row r="2610" ht="14.5" customHeight="1" spans="11:29" x14ac:dyDescent="0.25">
      <c r="K2610" s="128"/>
      <c r="X2610" s="234">
        <v>2022</v>
      </c>
      <c r="Y2610" s="234">
        <v>4</v>
      </c>
      <c r="Z2610" s="234">
        <v>19</v>
      </c>
      <c r="AA2610" s="235">
        <v>0.6666666666678793</v>
      </c>
      <c r="AB2610" s="236">
        <v>-0.7</v>
      </c>
      <c r="AC2610" s="127">
        <f t="shared" si="55"/>
        <v>-1</v>
      </c>
    </row>
    <row r="2611" ht="14.5" customHeight="1" spans="11:29" x14ac:dyDescent="0.25">
      <c r="K2611" s="128"/>
      <c r="X2611" s="234">
        <v>2022</v>
      </c>
      <c r="Y2611" s="234">
        <v>4</v>
      </c>
      <c r="Z2611" s="234">
        <v>19</v>
      </c>
      <c r="AA2611" s="235">
        <v>0.7083333333321207</v>
      </c>
      <c r="AB2611" s="236">
        <v>-0.9</v>
      </c>
      <c r="AC2611" s="127">
        <f t="shared" si="55"/>
        <v>-1</v>
      </c>
    </row>
    <row r="2612" ht="14.5" customHeight="1" spans="11:29" x14ac:dyDescent="0.25">
      <c r="K2612" s="128"/>
      <c r="X2612" s="234">
        <v>2022</v>
      </c>
      <c r="Y2612" s="234">
        <v>4</v>
      </c>
      <c r="Z2612" s="234">
        <v>19</v>
      </c>
      <c r="AA2612" s="235">
        <v>0.75</v>
      </c>
      <c r="AB2612" s="236">
        <v>-0.6</v>
      </c>
      <c r="AC2612" s="127">
        <f t="shared" si="55"/>
        <v>-1</v>
      </c>
    </row>
    <row r="2613" ht="14.5" customHeight="1" spans="11:29" x14ac:dyDescent="0.25">
      <c r="K2613" s="128"/>
      <c r="X2613" s="234">
        <v>2022</v>
      </c>
      <c r="Y2613" s="234">
        <v>4</v>
      </c>
      <c r="Z2613" s="234">
        <v>19</v>
      </c>
      <c r="AA2613" s="235">
        <v>0.7916666666678793</v>
      </c>
      <c r="AB2613" s="236">
        <v>-1.6</v>
      </c>
      <c r="AC2613" s="127">
        <f t="shared" si="55"/>
        <v>-2</v>
      </c>
    </row>
    <row r="2614" ht="14.5" customHeight="1" spans="11:29" x14ac:dyDescent="0.25">
      <c r="K2614" s="128"/>
      <c r="X2614" s="234">
        <v>2022</v>
      </c>
      <c r="Y2614" s="234">
        <v>4</v>
      </c>
      <c r="Z2614" s="234">
        <v>19</v>
      </c>
      <c r="AA2614" s="235">
        <v>0.8333333333321207</v>
      </c>
      <c r="AB2614" s="236">
        <v>-2</v>
      </c>
      <c r="AC2614" s="127">
        <f t="shared" si="55"/>
        <v>-2</v>
      </c>
    </row>
    <row r="2615" ht="14.5" customHeight="1" spans="11:29" x14ac:dyDescent="0.25">
      <c r="K2615" s="128"/>
      <c r="X2615" s="234">
        <v>2022</v>
      </c>
      <c r="Y2615" s="234">
        <v>4</v>
      </c>
      <c r="Z2615" s="234">
        <v>19</v>
      </c>
      <c r="AA2615" s="235">
        <v>0.875</v>
      </c>
      <c r="AB2615" s="236">
        <v>-2</v>
      </c>
      <c r="AC2615" s="127">
        <f t="shared" si="55"/>
        <v>-2</v>
      </c>
    </row>
    <row r="2616" ht="14.5" customHeight="1" spans="11:29" x14ac:dyDescent="0.25">
      <c r="K2616" s="128"/>
      <c r="X2616" s="234">
        <v>2022</v>
      </c>
      <c r="Y2616" s="234">
        <v>4</v>
      </c>
      <c r="Z2616" s="234">
        <v>19</v>
      </c>
      <c r="AA2616" s="235">
        <v>0.9166666666678793</v>
      </c>
      <c r="AB2616" s="236">
        <v>-2.5</v>
      </c>
      <c r="AC2616" s="127">
        <f t="shared" si="55"/>
        <v>-3</v>
      </c>
    </row>
    <row r="2617" ht="14.5" customHeight="1" spans="11:29" x14ac:dyDescent="0.25">
      <c r="K2617" s="128"/>
      <c r="X2617" s="234">
        <v>2022</v>
      </c>
      <c r="Y2617" s="234">
        <v>4</v>
      </c>
      <c r="Z2617" s="234">
        <v>19</v>
      </c>
      <c r="AA2617" s="235">
        <v>0.9583333333321207</v>
      </c>
      <c r="AB2617" s="236">
        <v>-2.4</v>
      </c>
      <c r="AC2617" s="127">
        <f t="shared" si="55"/>
        <v>-2</v>
      </c>
    </row>
    <row r="2618" ht="14.5" customHeight="1" spans="11:29" x14ac:dyDescent="0.25">
      <c r="K2618" s="128"/>
      <c r="X2618" s="234">
        <v>2022</v>
      </c>
      <c r="Y2618" s="234">
        <v>4</v>
      </c>
      <c r="Z2618" s="234">
        <v>20</v>
      </c>
      <c r="AA2618" s="235">
        <v>0</v>
      </c>
      <c r="AB2618" s="236">
        <v>-2.6</v>
      </c>
      <c r="AC2618" s="127">
        <f t="shared" si="55"/>
        <v>-3</v>
      </c>
    </row>
    <row r="2619" ht="14.5" customHeight="1" spans="11:29" x14ac:dyDescent="0.25">
      <c r="K2619" s="128"/>
      <c r="X2619" s="234">
        <v>2022</v>
      </c>
      <c r="Y2619" s="234">
        <v>4</v>
      </c>
      <c r="Z2619" s="234">
        <v>20</v>
      </c>
      <c r="AA2619" s="235">
        <v>0.041666666667879326</v>
      </c>
      <c r="AB2619" s="236">
        <v>-2.6</v>
      </c>
      <c r="AC2619" s="127">
        <f t="shared" si="55"/>
        <v>-3</v>
      </c>
    </row>
    <row r="2620" ht="14.5" customHeight="1" spans="11:29" x14ac:dyDescent="0.25">
      <c r="K2620" s="128"/>
      <c r="X2620" s="234">
        <v>2022</v>
      </c>
      <c r="Y2620" s="234">
        <v>4</v>
      </c>
      <c r="Z2620" s="234">
        <v>20</v>
      </c>
      <c r="AA2620" s="235">
        <v>0.08333333333212067</v>
      </c>
      <c r="AB2620" s="236">
        <v>-2.5</v>
      </c>
      <c r="AC2620" s="127">
        <f t="shared" si="55"/>
        <v>-3</v>
      </c>
    </row>
    <row r="2621" ht="14.5" customHeight="1" spans="11:29" x14ac:dyDescent="0.25">
      <c r="K2621" s="128"/>
      <c r="X2621" s="234">
        <v>2022</v>
      </c>
      <c r="Y2621" s="234">
        <v>4</v>
      </c>
      <c r="Z2621" s="234">
        <v>20</v>
      </c>
      <c r="AA2621" s="235">
        <v>0.125</v>
      </c>
      <c r="AB2621" s="236">
        <v>-2.6</v>
      </c>
      <c r="AC2621" s="127">
        <f t="shared" si="55"/>
        <v>-3</v>
      </c>
    </row>
    <row r="2622" ht="14.5" customHeight="1" spans="11:29" x14ac:dyDescent="0.25">
      <c r="K2622" s="128"/>
      <c r="X2622" s="234">
        <v>2022</v>
      </c>
      <c r="Y2622" s="234">
        <v>4</v>
      </c>
      <c r="Z2622" s="234">
        <v>20</v>
      </c>
      <c r="AA2622" s="235">
        <v>0.16666666666787933</v>
      </c>
      <c r="AB2622" s="236">
        <v>-3.1</v>
      </c>
      <c r="AC2622" s="127">
        <f t="shared" si="55"/>
        <v>-3</v>
      </c>
    </row>
    <row r="2623" ht="14.5" customHeight="1" spans="11:29" x14ac:dyDescent="0.25">
      <c r="K2623" s="128"/>
      <c r="X2623" s="234">
        <v>2022</v>
      </c>
      <c r="Y2623" s="234">
        <v>4</v>
      </c>
      <c r="Z2623" s="234">
        <v>20</v>
      </c>
      <c r="AA2623" s="235">
        <v>0.20833333333212067</v>
      </c>
      <c r="AB2623" s="236">
        <v>-3.7</v>
      </c>
      <c r="AC2623" s="127">
        <f t="shared" si="55"/>
        <v>-4</v>
      </c>
    </row>
    <row r="2624" ht="14.5" customHeight="1" spans="11:29" x14ac:dyDescent="0.25">
      <c r="K2624" s="128"/>
      <c r="X2624" s="234">
        <v>2022</v>
      </c>
      <c r="Y2624" s="234">
        <v>4</v>
      </c>
      <c r="Z2624" s="234">
        <v>20</v>
      </c>
      <c r="AA2624" s="235">
        <v>0.25</v>
      </c>
      <c r="AB2624" s="236">
        <v>-4</v>
      </c>
      <c r="AC2624" s="127">
        <f t="shared" si="55"/>
        <v>-4</v>
      </c>
    </row>
    <row r="2625" ht="14.5" customHeight="1" spans="11:29" x14ac:dyDescent="0.25">
      <c r="K2625" s="128"/>
      <c r="X2625" s="234">
        <v>2022</v>
      </c>
      <c r="Y2625" s="234">
        <v>4</v>
      </c>
      <c r="Z2625" s="234">
        <v>20</v>
      </c>
      <c r="AA2625" s="235">
        <v>0.2916666666678793</v>
      </c>
      <c r="AB2625" s="236">
        <v>-3.7</v>
      </c>
      <c r="AC2625" s="127">
        <f t="shared" si="55"/>
        <v>-4</v>
      </c>
    </row>
    <row r="2626" ht="14.5" customHeight="1" spans="11:29" x14ac:dyDescent="0.25">
      <c r="K2626" s="128"/>
      <c r="X2626" s="234">
        <v>2022</v>
      </c>
      <c r="Y2626" s="234">
        <v>4</v>
      </c>
      <c r="Z2626" s="234">
        <v>20</v>
      </c>
      <c r="AA2626" s="235">
        <v>0.3333333333321207</v>
      </c>
      <c r="AB2626" s="236">
        <v>-3.4</v>
      </c>
      <c r="AC2626" s="127">
        <f t="shared" si="55"/>
        <v>-3</v>
      </c>
    </row>
    <row r="2627" ht="14.5" customHeight="1" spans="11:29" x14ac:dyDescent="0.25">
      <c r="K2627" s="128"/>
      <c r="X2627" s="234">
        <v>2022</v>
      </c>
      <c r="Y2627" s="234">
        <v>4</v>
      </c>
      <c r="Z2627" s="234">
        <v>20</v>
      </c>
      <c r="AA2627" s="235">
        <v>0.375</v>
      </c>
      <c r="AB2627" s="236">
        <v>-2.8</v>
      </c>
      <c r="AC2627" s="127">
        <f t="shared" si="55"/>
        <v>-3</v>
      </c>
    </row>
    <row r="2628" ht="14.5" customHeight="1" spans="11:29" x14ac:dyDescent="0.25">
      <c r="K2628" s="128"/>
      <c r="X2628" s="234">
        <v>2022</v>
      </c>
      <c r="Y2628" s="234">
        <v>4</v>
      </c>
      <c r="Z2628" s="234">
        <v>20</v>
      </c>
      <c r="AA2628" s="235">
        <v>0.4166666666678793</v>
      </c>
      <c r="AB2628" s="236">
        <v>-1.8</v>
      </c>
      <c r="AC2628" s="127">
        <f t="shared" si="55"/>
        <v>-2</v>
      </c>
    </row>
    <row r="2629" ht="14.5" customHeight="1" spans="11:29" x14ac:dyDescent="0.25">
      <c r="K2629" s="128"/>
      <c r="X2629" s="234">
        <v>2022</v>
      </c>
      <c r="Y2629" s="234">
        <v>4</v>
      </c>
      <c r="Z2629" s="234">
        <v>20</v>
      </c>
      <c r="AA2629" s="235">
        <v>0.4583333333321207</v>
      </c>
      <c r="AB2629" s="236">
        <v>-1.6</v>
      </c>
      <c r="AC2629" s="127">
        <f t="shared" si="55"/>
        <v>-2</v>
      </c>
    </row>
    <row r="2630" ht="14.5" customHeight="1" spans="11:29" x14ac:dyDescent="0.25">
      <c r="K2630" s="128"/>
      <c r="X2630" s="234">
        <v>2022</v>
      </c>
      <c r="Y2630" s="234">
        <v>4</v>
      </c>
      <c r="Z2630" s="234">
        <v>20</v>
      </c>
      <c r="AA2630" s="235">
        <v>0.5</v>
      </c>
      <c r="AB2630" s="236">
        <v>-1.2</v>
      </c>
      <c r="AC2630" s="127">
        <f t="shared" si="55"/>
        <v>-1</v>
      </c>
    </row>
    <row r="2631" ht="14.5" customHeight="1" spans="11:29" x14ac:dyDescent="0.25">
      <c r="K2631" s="128"/>
      <c r="X2631" s="234">
        <v>2022</v>
      </c>
      <c r="Y2631" s="234">
        <v>4</v>
      </c>
      <c r="Z2631" s="234">
        <v>20</v>
      </c>
      <c r="AA2631" s="235">
        <v>0.5416666666678793</v>
      </c>
      <c r="AB2631" s="236">
        <v>-0.7</v>
      </c>
      <c r="AC2631" s="127">
        <f t="shared" si="55"/>
        <v>-1</v>
      </c>
    </row>
    <row r="2632" ht="14.5" customHeight="1" spans="11:29" x14ac:dyDescent="0.25">
      <c r="K2632" s="128"/>
      <c r="X2632" s="234">
        <v>2022</v>
      </c>
      <c r="Y2632" s="234">
        <v>4</v>
      </c>
      <c r="Z2632" s="234">
        <v>20</v>
      </c>
      <c r="AA2632" s="235">
        <v>0.5833333333321207</v>
      </c>
      <c r="AB2632" s="236">
        <v>-0.2</v>
      </c>
      <c r="AC2632" s="127">
        <f t="shared" si="55"/>
        <v>0</v>
      </c>
    </row>
    <row r="2633" ht="14.5" customHeight="1" spans="11:29" x14ac:dyDescent="0.25">
      <c r="K2633" s="128"/>
      <c r="X2633" s="234">
        <v>2022</v>
      </c>
      <c r="Y2633" s="234">
        <v>4</v>
      </c>
      <c r="Z2633" s="234">
        <v>20</v>
      </c>
      <c r="AA2633" s="235">
        <v>0.625</v>
      </c>
      <c r="AB2633" s="236">
        <v>0.1</v>
      </c>
      <c r="AC2633" s="127">
        <f t="shared" si="55"/>
        <v>0</v>
      </c>
    </row>
    <row r="2634" ht="14.5" customHeight="1" spans="11:29" x14ac:dyDescent="0.25">
      <c r="K2634" s="128"/>
      <c r="X2634" s="234">
        <v>2022</v>
      </c>
      <c r="Y2634" s="234">
        <v>4</v>
      </c>
      <c r="Z2634" s="234">
        <v>20</v>
      </c>
      <c r="AA2634" s="235">
        <v>0.6666666666678793</v>
      </c>
      <c r="AB2634" s="236">
        <v>0.4</v>
      </c>
      <c r="AC2634" s="127">
        <f t="shared" si="55"/>
        <v>0</v>
      </c>
    </row>
    <row r="2635" ht="14.5" customHeight="1" spans="11:29" x14ac:dyDescent="0.25">
      <c r="K2635" s="128"/>
      <c r="X2635" s="234">
        <v>2022</v>
      </c>
      <c r="Y2635" s="234">
        <v>4</v>
      </c>
      <c r="Z2635" s="234">
        <v>20</v>
      </c>
      <c r="AA2635" s="235">
        <v>0.7083333333321207</v>
      </c>
      <c r="AB2635" s="236">
        <v>0.1</v>
      </c>
      <c r="AC2635" s="127">
        <f t="shared" ref="AC2635:AC2698" si="56">ROUND(AB2635,0)</f>
        <v>0</v>
      </c>
    </row>
    <row r="2636" ht="14.5" customHeight="1" spans="11:29" x14ac:dyDescent="0.25">
      <c r="K2636" s="128"/>
      <c r="X2636" s="234">
        <v>2022</v>
      </c>
      <c r="Y2636" s="234">
        <v>4</v>
      </c>
      <c r="Z2636" s="234">
        <v>20</v>
      </c>
      <c r="AA2636" s="235">
        <v>0.75</v>
      </c>
      <c r="AB2636" s="236">
        <v>0.1</v>
      </c>
      <c r="AC2636" s="127">
        <f t="shared" si="56"/>
        <v>0</v>
      </c>
    </row>
    <row r="2637" ht="14.5" customHeight="1" spans="11:29" x14ac:dyDescent="0.25">
      <c r="K2637" s="128"/>
      <c r="X2637" s="234">
        <v>2022</v>
      </c>
      <c r="Y2637" s="234">
        <v>4</v>
      </c>
      <c r="Z2637" s="234">
        <v>20</v>
      </c>
      <c r="AA2637" s="235">
        <v>0.7916666666678793</v>
      </c>
      <c r="AB2637" s="236">
        <v>-0.2</v>
      </c>
      <c r="AC2637" s="127">
        <f t="shared" si="56"/>
        <v>0</v>
      </c>
    </row>
    <row r="2638" ht="14.5" customHeight="1" spans="11:29" x14ac:dyDescent="0.25">
      <c r="K2638" s="128"/>
      <c r="X2638" s="234">
        <v>2022</v>
      </c>
      <c r="Y2638" s="234">
        <v>4</v>
      </c>
      <c r="Z2638" s="234">
        <v>20</v>
      </c>
      <c r="AA2638" s="235">
        <v>0.8333333333321207</v>
      </c>
      <c r="AB2638" s="236">
        <v>-1.5</v>
      </c>
      <c r="AC2638" s="127">
        <f t="shared" si="56"/>
        <v>-2</v>
      </c>
    </row>
    <row r="2639" ht="14.5" customHeight="1" spans="11:29" x14ac:dyDescent="0.25">
      <c r="K2639" s="128"/>
      <c r="X2639" s="234">
        <v>2022</v>
      </c>
      <c r="Y2639" s="234">
        <v>4</v>
      </c>
      <c r="Z2639" s="234">
        <v>20</v>
      </c>
      <c r="AA2639" s="235">
        <v>0.875</v>
      </c>
      <c r="AB2639" s="236">
        <v>-1.5</v>
      </c>
      <c r="AC2639" s="127">
        <f t="shared" si="56"/>
        <v>-2</v>
      </c>
    </row>
    <row r="2640" ht="14.5" customHeight="1" spans="11:29" x14ac:dyDescent="0.25">
      <c r="K2640" s="128"/>
      <c r="X2640" s="234">
        <v>2022</v>
      </c>
      <c r="Y2640" s="234">
        <v>4</v>
      </c>
      <c r="Z2640" s="234">
        <v>20</v>
      </c>
      <c r="AA2640" s="235">
        <v>0.9166666666678793</v>
      </c>
      <c r="AB2640" s="236">
        <v>-2.5</v>
      </c>
      <c r="AC2640" s="127">
        <f t="shared" si="56"/>
        <v>-3</v>
      </c>
    </row>
    <row r="2641" ht="14.5" customHeight="1" spans="11:29" x14ac:dyDescent="0.25">
      <c r="K2641" s="128"/>
      <c r="X2641" s="234">
        <v>2022</v>
      </c>
      <c r="Y2641" s="234">
        <v>4</v>
      </c>
      <c r="Z2641" s="234">
        <v>20</v>
      </c>
      <c r="AA2641" s="235">
        <v>0.9583333333321207</v>
      </c>
      <c r="AB2641" s="236">
        <v>-3</v>
      </c>
      <c r="AC2641" s="127">
        <f t="shared" si="56"/>
        <v>-3</v>
      </c>
    </row>
    <row r="2642" ht="14.5" customHeight="1" spans="11:29" x14ac:dyDescent="0.25">
      <c r="K2642" s="128"/>
      <c r="X2642" s="234">
        <v>2022</v>
      </c>
      <c r="Y2642" s="234">
        <v>4</v>
      </c>
      <c r="Z2642" s="234">
        <v>21</v>
      </c>
      <c r="AA2642" s="235">
        <v>0</v>
      </c>
      <c r="AB2642" s="236">
        <v>-2.7</v>
      </c>
      <c r="AC2642" s="127">
        <f t="shared" si="56"/>
        <v>-3</v>
      </c>
    </row>
    <row r="2643" ht="14.5" customHeight="1" spans="11:29" x14ac:dyDescent="0.25">
      <c r="K2643" s="128"/>
      <c r="X2643" s="234">
        <v>2022</v>
      </c>
      <c r="Y2643" s="234">
        <v>4</v>
      </c>
      <c r="Z2643" s="234">
        <v>21</v>
      </c>
      <c r="AA2643" s="235">
        <v>0.041666666667879326</v>
      </c>
      <c r="AB2643" s="236">
        <v>-2.7</v>
      </c>
      <c r="AC2643" s="127">
        <f t="shared" si="56"/>
        <v>-3</v>
      </c>
    </row>
    <row r="2644" ht="14.5" customHeight="1" spans="11:29" x14ac:dyDescent="0.25">
      <c r="K2644" s="128"/>
      <c r="X2644" s="234">
        <v>2022</v>
      </c>
      <c r="Y2644" s="234">
        <v>4</v>
      </c>
      <c r="Z2644" s="234">
        <v>21</v>
      </c>
      <c r="AA2644" s="235">
        <v>0.08333333333212067</v>
      </c>
      <c r="AB2644" s="236">
        <v>-1.7</v>
      </c>
      <c r="AC2644" s="127">
        <f t="shared" si="56"/>
        <v>-2</v>
      </c>
    </row>
    <row r="2645" ht="14.5" customHeight="1" spans="11:29" x14ac:dyDescent="0.25">
      <c r="K2645" s="128"/>
      <c r="X2645" s="234">
        <v>2022</v>
      </c>
      <c r="Y2645" s="234">
        <v>4</v>
      </c>
      <c r="Z2645" s="234">
        <v>21</v>
      </c>
      <c r="AA2645" s="235">
        <v>0.125</v>
      </c>
      <c r="AB2645" s="236">
        <v>-2.7</v>
      </c>
      <c r="AC2645" s="127">
        <f t="shared" si="56"/>
        <v>-3</v>
      </c>
    </row>
    <row r="2646" ht="14.5" customHeight="1" spans="11:29" x14ac:dyDescent="0.25">
      <c r="K2646" s="128"/>
      <c r="X2646" s="234">
        <v>2022</v>
      </c>
      <c r="Y2646" s="234">
        <v>4</v>
      </c>
      <c r="Z2646" s="234">
        <v>21</v>
      </c>
      <c r="AA2646" s="235">
        <v>0.16666666666787933</v>
      </c>
      <c r="AB2646" s="236">
        <v>-3.4</v>
      </c>
      <c r="AC2646" s="127">
        <f t="shared" si="56"/>
        <v>-3</v>
      </c>
    </row>
    <row r="2647" ht="14.5" customHeight="1" spans="11:29" x14ac:dyDescent="0.25">
      <c r="K2647" s="128"/>
      <c r="X2647" s="234">
        <v>2022</v>
      </c>
      <c r="Y2647" s="234">
        <v>4</v>
      </c>
      <c r="Z2647" s="234">
        <v>21</v>
      </c>
      <c r="AA2647" s="235">
        <v>0.20833333333212067</v>
      </c>
      <c r="AB2647" s="236">
        <v>-4.2</v>
      </c>
      <c r="AC2647" s="127">
        <f t="shared" si="56"/>
        <v>-4</v>
      </c>
    </row>
    <row r="2648" ht="14.5" customHeight="1" spans="11:29" x14ac:dyDescent="0.25">
      <c r="K2648" s="128"/>
      <c r="X2648" s="234">
        <v>2022</v>
      </c>
      <c r="Y2648" s="234">
        <v>4</v>
      </c>
      <c r="Z2648" s="234">
        <v>21</v>
      </c>
      <c r="AA2648" s="235">
        <v>0.25</v>
      </c>
      <c r="AB2648" s="236">
        <v>-4.8</v>
      </c>
      <c r="AC2648" s="127">
        <f t="shared" si="56"/>
        <v>-5</v>
      </c>
    </row>
    <row r="2649" ht="14.5" customHeight="1" spans="11:29" x14ac:dyDescent="0.25">
      <c r="K2649" s="128"/>
      <c r="X2649" s="234">
        <v>2022</v>
      </c>
      <c r="Y2649" s="234">
        <v>4</v>
      </c>
      <c r="Z2649" s="234">
        <v>21</v>
      </c>
      <c r="AA2649" s="235">
        <v>0.2916666666678793</v>
      </c>
      <c r="AB2649" s="236">
        <v>-3.8</v>
      </c>
      <c r="AC2649" s="127">
        <f t="shared" si="56"/>
        <v>-4</v>
      </c>
    </row>
    <row r="2650" ht="14.5" customHeight="1" spans="11:29" x14ac:dyDescent="0.25">
      <c r="K2650" s="128"/>
      <c r="X2650" s="234">
        <v>2022</v>
      </c>
      <c r="Y2650" s="234">
        <v>4</v>
      </c>
      <c r="Z2650" s="234">
        <v>21</v>
      </c>
      <c r="AA2650" s="235">
        <v>0.3333333333321207</v>
      </c>
      <c r="AB2650" s="236">
        <v>-2.2</v>
      </c>
      <c r="AC2650" s="127">
        <f t="shared" si="56"/>
        <v>-2</v>
      </c>
    </row>
    <row r="2651" ht="14.5" customHeight="1" spans="11:29" x14ac:dyDescent="0.25">
      <c r="K2651" s="128"/>
      <c r="X2651" s="234">
        <v>2022</v>
      </c>
      <c r="Y2651" s="234">
        <v>4</v>
      </c>
      <c r="Z2651" s="234">
        <v>21</v>
      </c>
      <c r="AA2651" s="235">
        <v>0.375</v>
      </c>
      <c r="AB2651" s="236">
        <v>-0.6</v>
      </c>
      <c r="AC2651" s="127">
        <f t="shared" si="56"/>
        <v>-1</v>
      </c>
    </row>
    <row r="2652" ht="14.5" customHeight="1" spans="11:29" x14ac:dyDescent="0.25">
      <c r="K2652" s="128"/>
      <c r="X2652" s="234">
        <v>2022</v>
      </c>
      <c r="Y2652" s="234">
        <v>4</v>
      </c>
      <c r="Z2652" s="234">
        <v>21</v>
      </c>
      <c r="AA2652" s="235">
        <v>0.4166666666678793</v>
      </c>
      <c r="AB2652" s="236">
        <v>0.8</v>
      </c>
      <c r="AC2652" s="127">
        <f t="shared" si="56"/>
        <v>1</v>
      </c>
    </row>
    <row r="2653" ht="14.5" customHeight="1" spans="11:29" x14ac:dyDescent="0.25">
      <c r="K2653" s="128"/>
      <c r="X2653" s="234">
        <v>2022</v>
      </c>
      <c r="Y2653" s="234">
        <v>4</v>
      </c>
      <c r="Z2653" s="234">
        <v>21</v>
      </c>
      <c r="AA2653" s="235">
        <v>0.4583333333321207</v>
      </c>
      <c r="AB2653" s="236">
        <v>1.7</v>
      </c>
      <c r="AC2653" s="127">
        <f t="shared" si="56"/>
        <v>2</v>
      </c>
    </row>
    <row r="2654" ht="14.5" customHeight="1" spans="11:29" x14ac:dyDescent="0.25">
      <c r="K2654" s="128"/>
      <c r="X2654" s="234">
        <v>2022</v>
      </c>
      <c r="Y2654" s="234">
        <v>4</v>
      </c>
      <c r="Z2654" s="234">
        <v>21</v>
      </c>
      <c r="AA2654" s="235">
        <v>0.5</v>
      </c>
      <c r="AB2654" s="236">
        <v>3</v>
      </c>
      <c r="AC2654" s="127">
        <f t="shared" si="56"/>
        <v>3</v>
      </c>
    </row>
    <row r="2655" ht="14.5" customHeight="1" spans="11:29" x14ac:dyDescent="0.25">
      <c r="K2655" s="128"/>
      <c r="X2655" s="234">
        <v>2022</v>
      </c>
      <c r="Y2655" s="234">
        <v>4</v>
      </c>
      <c r="Z2655" s="234">
        <v>21</v>
      </c>
      <c r="AA2655" s="235">
        <v>0.5416666666678793</v>
      </c>
      <c r="AB2655" s="236">
        <v>2.5</v>
      </c>
      <c r="AC2655" s="127">
        <f t="shared" si="56"/>
        <v>3</v>
      </c>
    </row>
    <row r="2656" ht="14.5" customHeight="1" spans="11:29" x14ac:dyDescent="0.25">
      <c r="K2656" s="128"/>
      <c r="X2656" s="234">
        <v>2022</v>
      </c>
      <c r="Y2656" s="234">
        <v>4</v>
      </c>
      <c r="Z2656" s="234">
        <v>21</v>
      </c>
      <c r="AA2656" s="235">
        <v>0.5833333333321207</v>
      </c>
      <c r="AB2656" s="236">
        <v>3.5</v>
      </c>
      <c r="AC2656" s="127">
        <f t="shared" si="56"/>
        <v>4</v>
      </c>
    </row>
    <row r="2657" ht="14.5" customHeight="1" spans="11:29" x14ac:dyDescent="0.25">
      <c r="K2657" s="128"/>
      <c r="X2657" s="234">
        <v>2022</v>
      </c>
      <c r="Y2657" s="234">
        <v>4</v>
      </c>
      <c r="Z2657" s="234">
        <v>21</v>
      </c>
      <c r="AA2657" s="235">
        <v>0.625</v>
      </c>
      <c r="AB2657" s="236">
        <v>4.5</v>
      </c>
      <c r="AC2657" s="127">
        <f t="shared" si="56"/>
        <v>5</v>
      </c>
    </row>
    <row r="2658" ht="14.5" customHeight="1" spans="11:29" x14ac:dyDescent="0.25">
      <c r="K2658" s="128"/>
      <c r="X2658" s="234">
        <v>2022</v>
      </c>
      <c r="Y2658" s="234">
        <v>4</v>
      </c>
      <c r="Z2658" s="234">
        <v>21</v>
      </c>
      <c r="AA2658" s="235">
        <v>0.6666666666678793</v>
      </c>
      <c r="AB2658" s="236">
        <v>4.9</v>
      </c>
      <c r="AC2658" s="127">
        <f t="shared" si="56"/>
        <v>5</v>
      </c>
    </row>
    <row r="2659" ht="14.5" customHeight="1" spans="11:29" x14ac:dyDescent="0.25">
      <c r="K2659" s="128"/>
      <c r="X2659" s="234">
        <v>2022</v>
      </c>
      <c r="Y2659" s="234">
        <v>4</v>
      </c>
      <c r="Z2659" s="234">
        <v>21</v>
      </c>
      <c r="AA2659" s="235">
        <v>0.7083333333321207</v>
      </c>
      <c r="AB2659" s="236">
        <v>4.9</v>
      </c>
      <c r="AC2659" s="127">
        <f t="shared" si="56"/>
        <v>5</v>
      </c>
    </row>
    <row r="2660" ht="14.5" customHeight="1" spans="11:29" x14ac:dyDescent="0.25">
      <c r="K2660" s="128"/>
      <c r="X2660" s="234">
        <v>2022</v>
      </c>
      <c r="Y2660" s="234">
        <v>4</v>
      </c>
      <c r="Z2660" s="234">
        <v>21</v>
      </c>
      <c r="AA2660" s="235">
        <v>0.75</v>
      </c>
      <c r="AB2660" s="236">
        <v>4.3</v>
      </c>
      <c r="AC2660" s="127">
        <f t="shared" si="56"/>
        <v>4</v>
      </c>
    </row>
    <row r="2661" ht="14.5" customHeight="1" spans="11:29" x14ac:dyDescent="0.25">
      <c r="K2661" s="128"/>
      <c r="X2661" s="234">
        <v>2022</v>
      </c>
      <c r="Y2661" s="234">
        <v>4</v>
      </c>
      <c r="Z2661" s="234">
        <v>21</v>
      </c>
      <c r="AA2661" s="235">
        <v>0.7916666666678793</v>
      </c>
      <c r="AB2661" s="236">
        <v>3.7</v>
      </c>
      <c r="AC2661" s="127">
        <f t="shared" si="56"/>
        <v>4</v>
      </c>
    </row>
    <row r="2662" ht="14.5" customHeight="1" spans="11:29" x14ac:dyDescent="0.25">
      <c r="K2662" s="128"/>
      <c r="X2662" s="234">
        <v>2022</v>
      </c>
      <c r="Y2662" s="234">
        <v>4</v>
      </c>
      <c r="Z2662" s="234">
        <v>21</v>
      </c>
      <c r="AA2662" s="235">
        <v>0.8333333333321207</v>
      </c>
      <c r="AB2662" s="236">
        <v>3</v>
      </c>
      <c r="AC2662" s="127">
        <f t="shared" si="56"/>
        <v>3</v>
      </c>
    </row>
    <row r="2663" ht="14.5" customHeight="1" spans="11:29" x14ac:dyDescent="0.25">
      <c r="K2663" s="128"/>
      <c r="X2663" s="234">
        <v>2022</v>
      </c>
      <c r="Y2663" s="234">
        <v>4</v>
      </c>
      <c r="Z2663" s="234">
        <v>21</v>
      </c>
      <c r="AA2663" s="235">
        <v>0.875</v>
      </c>
      <c r="AB2663" s="236">
        <v>2.4</v>
      </c>
      <c r="AC2663" s="127">
        <f t="shared" si="56"/>
        <v>2</v>
      </c>
    </row>
    <row r="2664" ht="14.5" customHeight="1" spans="11:29" x14ac:dyDescent="0.25">
      <c r="K2664" s="128"/>
      <c r="X2664" s="234">
        <v>2022</v>
      </c>
      <c r="Y2664" s="234">
        <v>4</v>
      </c>
      <c r="Z2664" s="234">
        <v>21</v>
      </c>
      <c r="AA2664" s="235">
        <v>0.9166666666678793</v>
      </c>
      <c r="AB2664" s="236">
        <v>1.7</v>
      </c>
      <c r="AC2664" s="127">
        <f t="shared" si="56"/>
        <v>2</v>
      </c>
    </row>
    <row r="2665" ht="14.5" customHeight="1" spans="11:29" x14ac:dyDescent="0.25">
      <c r="K2665" s="128"/>
      <c r="X2665" s="234">
        <v>2022</v>
      </c>
      <c r="Y2665" s="234">
        <v>4</v>
      </c>
      <c r="Z2665" s="234">
        <v>21</v>
      </c>
      <c r="AA2665" s="235">
        <v>0.9583333333321207</v>
      </c>
      <c r="AB2665" s="236">
        <v>1.5</v>
      </c>
      <c r="AC2665" s="127">
        <f t="shared" si="56"/>
        <v>2</v>
      </c>
    </row>
    <row r="2666" ht="14.5" customHeight="1" spans="11:29" x14ac:dyDescent="0.25">
      <c r="K2666" s="128"/>
      <c r="X2666" s="234">
        <v>2022</v>
      </c>
      <c r="Y2666" s="234">
        <v>4</v>
      </c>
      <c r="Z2666" s="234">
        <v>22</v>
      </c>
      <c r="AA2666" s="235">
        <v>0</v>
      </c>
      <c r="AB2666" s="236">
        <v>1.3</v>
      </c>
      <c r="AC2666" s="127">
        <f t="shared" si="56"/>
        <v>1</v>
      </c>
    </row>
    <row r="2667" ht="14.5" customHeight="1" spans="11:29" x14ac:dyDescent="0.25">
      <c r="K2667" s="128"/>
      <c r="X2667" s="234">
        <v>2022</v>
      </c>
      <c r="Y2667" s="234">
        <v>4</v>
      </c>
      <c r="Z2667" s="234">
        <v>22</v>
      </c>
      <c r="AA2667" s="235">
        <v>0.041666666667879326</v>
      </c>
      <c r="AB2667" s="236">
        <v>1</v>
      </c>
      <c r="AC2667" s="127">
        <f t="shared" si="56"/>
        <v>1</v>
      </c>
    </row>
    <row r="2668" ht="14.5" customHeight="1" spans="11:29" x14ac:dyDescent="0.25">
      <c r="K2668" s="128"/>
      <c r="X2668" s="234">
        <v>2022</v>
      </c>
      <c r="Y2668" s="234">
        <v>4</v>
      </c>
      <c r="Z2668" s="234">
        <v>22</v>
      </c>
      <c r="AA2668" s="235">
        <v>0.08333333333212067</v>
      </c>
      <c r="AB2668" s="236">
        <v>0.6</v>
      </c>
      <c r="AC2668" s="127">
        <f t="shared" si="56"/>
        <v>1</v>
      </c>
    </row>
    <row r="2669" ht="14.5" customHeight="1" spans="11:29" x14ac:dyDescent="0.25">
      <c r="K2669" s="128"/>
      <c r="X2669" s="234">
        <v>2022</v>
      </c>
      <c r="Y2669" s="234">
        <v>4</v>
      </c>
      <c r="Z2669" s="234">
        <v>22</v>
      </c>
      <c r="AA2669" s="235">
        <v>0.125</v>
      </c>
      <c r="AB2669" s="236">
        <v>0.2</v>
      </c>
      <c r="AC2669" s="127">
        <f t="shared" si="56"/>
        <v>0</v>
      </c>
    </row>
    <row r="2670" ht="14.5" customHeight="1" spans="11:29" x14ac:dyDescent="0.25">
      <c r="K2670" s="128"/>
      <c r="X2670" s="234">
        <v>2022</v>
      </c>
      <c r="Y2670" s="234">
        <v>4</v>
      </c>
      <c r="Z2670" s="234">
        <v>22</v>
      </c>
      <c r="AA2670" s="235">
        <v>0.16666666666787933</v>
      </c>
      <c r="AB2670" s="236">
        <v>-0.1</v>
      </c>
      <c r="AC2670" s="127">
        <f t="shared" si="56"/>
        <v>0</v>
      </c>
    </row>
    <row r="2671" ht="14.5" customHeight="1" spans="11:29" x14ac:dyDescent="0.25">
      <c r="K2671" s="128"/>
      <c r="X2671" s="234">
        <v>2022</v>
      </c>
      <c r="Y2671" s="234">
        <v>4</v>
      </c>
      <c r="Z2671" s="234">
        <v>22</v>
      </c>
      <c r="AA2671" s="235">
        <v>0.20833333333212067</v>
      </c>
      <c r="AB2671" s="236">
        <v>-0.2</v>
      </c>
      <c r="AC2671" s="127">
        <f t="shared" si="56"/>
        <v>0</v>
      </c>
    </row>
    <row r="2672" ht="14.5" customHeight="1" spans="11:29" x14ac:dyDescent="0.25">
      <c r="K2672" s="128"/>
      <c r="X2672" s="234">
        <v>2022</v>
      </c>
      <c r="Y2672" s="234">
        <v>4</v>
      </c>
      <c r="Z2672" s="234">
        <v>22</v>
      </c>
      <c r="AA2672" s="235">
        <v>0.25</v>
      </c>
      <c r="AB2672" s="236">
        <v>-0.5</v>
      </c>
      <c r="AC2672" s="127">
        <f t="shared" si="56"/>
        <v>-1</v>
      </c>
    </row>
    <row r="2673" ht="14.5" customHeight="1" spans="11:29" x14ac:dyDescent="0.25">
      <c r="K2673" s="128"/>
      <c r="X2673" s="234">
        <v>2022</v>
      </c>
      <c r="Y2673" s="234">
        <v>4</v>
      </c>
      <c r="Z2673" s="234">
        <v>22</v>
      </c>
      <c r="AA2673" s="235">
        <v>0.2916666666678793</v>
      </c>
      <c r="AB2673" s="236">
        <v>-0.2</v>
      </c>
      <c r="AC2673" s="127">
        <f t="shared" si="56"/>
        <v>0</v>
      </c>
    </row>
    <row r="2674" ht="14.5" customHeight="1" spans="11:29" x14ac:dyDescent="0.25">
      <c r="K2674" s="128"/>
      <c r="X2674" s="234">
        <v>2022</v>
      </c>
      <c r="Y2674" s="234">
        <v>4</v>
      </c>
      <c r="Z2674" s="234">
        <v>22</v>
      </c>
      <c r="AA2674" s="235">
        <v>0.3333333333321207</v>
      </c>
      <c r="AB2674" s="236">
        <v>-0.3</v>
      </c>
      <c r="AC2674" s="127">
        <f t="shared" si="56"/>
        <v>0</v>
      </c>
    </row>
    <row r="2675" ht="14.5" customHeight="1" spans="11:29" x14ac:dyDescent="0.25">
      <c r="K2675" s="128"/>
      <c r="X2675" s="234">
        <v>2022</v>
      </c>
      <c r="Y2675" s="234">
        <v>4</v>
      </c>
      <c r="Z2675" s="234">
        <v>22</v>
      </c>
      <c r="AA2675" s="235">
        <v>0.375</v>
      </c>
      <c r="AB2675" s="236">
        <v>-0.2</v>
      </c>
      <c r="AC2675" s="127">
        <f t="shared" si="56"/>
        <v>0</v>
      </c>
    </row>
    <row r="2676" ht="14.5" customHeight="1" spans="11:29" x14ac:dyDescent="0.25">
      <c r="K2676" s="128"/>
      <c r="X2676" s="234">
        <v>2022</v>
      </c>
      <c r="Y2676" s="234">
        <v>4</v>
      </c>
      <c r="Z2676" s="234">
        <v>22</v>
      </c>
      <c r="AA2676" s="235">
        <v>0.4166666666678793</v>
      </c>
      <c r="AB2676" s="236">
        <v>0.6</v>
      </c>
      <c r="AC2676" s="127">
        <f t="shared" si="56"/>
        <v>1</v>
      </c>
    </row>
    <row r="2677" ht="14.5" customHeight="1" spans="11:29" x14ac:dyDescent="0.25">
      <c r="K2677" s="128"/>
      <c r="X2677" s="234">
        <v>2022</v>
      </c>
      <c r="Y2677" s="234">
        <v>4</v>
      </c>
      <c r="Z2677" s="234">
        <v>22</v>
      </c>
      <c r="AA2677" s="235">
        <v>0.4583333333321207</v>
      </c>
      <c r="AB2677" s="236">
        <v>0.7</v>
      </c>
      <c r="AC2677" s="127">
        <f t="shared" si="56"/>
        <v>1</v>
      </c>
    </row>
    <row r="2678" ht="14.5" customHeight="1" spans="11:29" x14ac:dyDescent="0.25">
      <c r="K2678" s="128"/>
      <c r="X2678" s="234">
        <v>2022</v>
      </c>
      <c r="Y2678" s="234">
        <v>4</v>
      </c>
      <c r="Z2678" s="234">
        <v>22</v>
      </c>
      <c r="AA2678" s="235">
        <v>0.5</v>
      </c>
      <c r="AB2678" s="236">
        <v>1.1</v>
      </c>
      <c r="AC2678" s="127">
        <f t="shared" si="56"/>
        <v>1</v>
      </c>
    </row>
    <row r="2679" ht="14.5" customHeight="1" spans="11:29" x14ac:dyDescent="0.25">
      <c r="K2679" s="128"/>
      <c r="X2679" s="234">
        <v>2022</v>
      </c>
      <c r="Y2679" s="234">
        <v>4</v>
      </c>
      <c r="Z2679" s="234">
        <v>22</v>
      </c>
      <c r="AA2679" s="235">
        <v>0.5416666666678793</v>
      </c>
      <c r="AB2679" s="236">
        <v>0.7</v>
      </c>
      <c r="AC2679" s="127">
        <f t="shared" si="56"/>
        <v>1</v>
      </c>
    </row>
    <row r="2680" ht="14.5" customHeight="1" spans="11:29" x14ac:dyDescent="0.25">
      <c r="K2680" s="128"/>
      <c r="X2680" s="234">
        <v>2022</v>
      </c>
      <c r="Y2680" s="234">
        <v>4</v>
      </c>
      <c r="Z2680" s="234">
        <v>22</v>
      </c>
      <c r="AA2680" s="235">
        <v>0.5833333333321207</v>
      </c>
      <c r="AB2680" s="236">
        <v>0.9</v>
      </c>
      <c r="AC2680" s="127">
        <f t="shared" si="56"/>
        <v>1</v>
      </c>
    </row>
    <row r="2681" ht="14.5" customHeight="1" spans="11:29" x14ac:dyDescent="0.25">
      <c r="K2681" s="128"/>
      <c r="X2681" s="234">
        <v>2022</v>
      </c>
      <c r="Y2681" s="234">
        <v>4</v>
      </c>
      <c r="Z2681" s="234">
        <v>22</v>
      </c>
      <c r="AA2681" s="235">
        <v>0.625</v>
      </c>
      <c r="AB2681" s="236">
        <v>1.2</v>
      </c>
      <c r="AC2681" s="127">
        <f t="shared" si="56"/>
        <v>1</v>
      </c>
    </row>
    <row r="2682" ht="14.5" customHeight="1" spans="11:29" x14ac:dyDescent="0.25">
      <c r="K2682" s="128"/>
      <c r="X2682" s="234">
        <v>2022</v>
      </c>
      <c r="Y2682" s="234">
        <v>4</v>
      </c>
      <c r="Z2682" s="234">
        <v>22</v>
      </c>
      <c r="AA2682" s="235">
        <v>0.6666666666678793</v>
      </c>
      <c r="AB2682" s="236">
        <v>1.4</v>
      </c>
      <c r="AC2682" s="127">
        <f t="shared" si="56"/>
        <v>1</v>
      </c>
    </row>
    <row r="2683" ht="14.5" customHeight="1" spans="11:29" x14ac:dyDescent="0.25">
      <c r="K2683" s="128"/>
      <c r="X2683" s="234">
        <v>2022</v>
      </c>
      <c r="Y2683" s="234">
        <v>4</v>
      </c>
      <c r="Z2683" s="234">
        <v>22</v>
      </c>
      <c r="AA2683" s="235">
        <v>0.7083333333321207</v>
      </c>
      <c r="AB2683" s="236">
        <v>1.4</v>
      </c>
      <c r="AC2683" s="127">
        <f t="shared" si="56"/>
        <v>1</v>
      </c>
    </row>
    <row r="2684" ht="14.5" customHeight="1" spans="11:29" x14ac:dyDescent="0.25">
      <c r="K2684" s="128"/>
      <c r="X2684" s="234">
        <v>2022</v>
      </c>
      <c r="Y2684" s="234">
        <v>4</v>
      </c>
      <c r="Z2684" s="234">
        <v>22</v>
      </c>
      <c r="AA2684" s="235">
        <v>0.75</v>
      </c>
      <c r="AB2684" s="236">
        <v>1.4</v>
      </c>
      <c r="AC2684" s="127">
        <f t="shared" si="56"/>
        <v>1</v>
      </c>
    </row>
    <row r="2685" ht="14.5" customHeight="1" spans="11:29" x14ac:dyDescent="0.25">
      <c r="K2685" s="128"/>
      <c r="X2685" s="234">
        <v>2022</v>
      </c>
      <c r="Y2685" s="234">
        <v>4</v>
      </c>
      <c r="Z2685" s="234">
        <v>22</v>
      </c>
      <c r="AA2685" s="235">
        <v>0.7916666666678793</v>
      </c>
      <c r="AB2685" s="236">
        <v>1.4</v>
      </c>
      <c r="AC2685" s="127">
        <f t="shared" si="56"/>
        <v>1</v>
      </c>
    </row>
    <row r="2686" ht="14.5" customHeight="1" spans="11:29" x14ac:dyDescent="0.25">
      <c r="K2686" s="128"/>
      <c r="X2686" s="234">
        <v>2022</v>
      </c>
      <c r="Y2686" s="234">
        <v>4</v>
      </c>
      <c r="Z2686" s="234">
        <v>22</v>
      </c>
      <c r="AA2686" s="235">
        <v>0.8333333333321207</v>
      </c>
      <c r="AB2686" s="236">
        <v>1.1</v>
      </c>
      <c r="AC2686" s="127">
        <f t="shared" si="56"/>
        <v>1</v>
      </c>
    </row>
    <row r="2687" ht="14.5" customHeight="1" spans="11:29" x14ac:dyDescent="0.25">
      <c r="K2687" s="128"/>
      <c r="X2687" s="234">
        <v>2022</v>
      </c>
      <c r="Y2687" s="234">
        <v>4</v>
      </c>
      <c r="Z2687" s="234">
        <v>22</v>
      </c>
      <c r="AA2687" s="235">
        <v>0.875</v>
      </c>
      <c r="AB2687" s="236">
        <v>1.2</v>
      </c>
      <c r="AC2687" s="127">
        <f t="shared" si="56"/>
        <v>1</v>
      </c>
    </row>
    <row r="2688" ht="14.5" customHeight="1" spans="11:29" x14ac:dyDescent="0.25">
      <c r="K2688" s="128"/>
      <c r="X2688" s="234">
        <v>2022</v>
      </c>
      <c r="Y2688" s="234">
        <v>4</v>
      </c>
      <c r="Z2688" s="234">
        <v>22</v>
      </c>
      <c r="AA2688" s="235">
        <v>0.9166666666678793</v>
      </c>
      <c r="AB2688" s="236">
        <v>1.2</v>
      </c>
      <c r="AC2688" s="127">
        <f t="shared" si="56"/>
        <v>1</v>
      </c>
    </row>
    <row r="2689" ht="14.5" customHeight="1" spans="11:29" x14ac:dyDescent="0.25">
      <c r="K2689" s="128"/>
      <c r="X2689" s="234">
        <v>2022</v>
      </c>
      <c r="Y2689" s="234">
        <v>4</v>
      </c>
      <c r="Z2689" s="234">
        <v>22</v>
      </c>
      <c r="AA2689" s="235">
        <v>0.9583333333321207</v>
      </c>
      <c r="AB2689" s="236">
        <v>1.1</v>
      </c>
      <c r="AC2689" s="127">
        <f t="shared" si="56"/>
        <v>1</v>
      </c>
    </row>
    <row r="2690" ht="14.5" customHeight="1" spans="11:29" x14ac:dyDescent="0.25">
      <c r="K2690" s="128"/>
      <c r="X2690" s="234">
        <v>2022</v>
      </c>
      <c r="Y2690" s="234">
        <v>4</v>
      </c>
      <c r="Z2690" s="234">
        <v>23</v>
      </c>
      <c r="AA2690" s="235">
        <v>0</v>
      </c>
      <c r="AB2690" s="236">
        <v>0</v>
      </c>
      <c r="AC2690" s="127">
        <f t="shared" si="56"/>
        <v>0</v>
      </c>
    </row>
    <row r="2691" ht="14.5" customHeight="1" spans="11:29" x14ac:dyDescent="0.25">
      <c r="K2691" s="128"/>
      <c r="X2691" s="234">
        <v>2022</v>
      </c>
      <c r="Y2691" s="234">
        <v>4</v>
      </c>
      <c r="Z2691" s="234">
        <v>23</v>
      </c>
      <c r="AA2691" s="235">
        <v>0.041666666667879326</v>
      </c>
      <c r="AB2691" s="236">
        <v>-0.8</v>
      </c>
      <c r="AC2691" s="127">
        <f t="shared" si="56"/>
        <v>-1</v>
      </c>
    </row>
    <row r="2692" ht="14.5" customHeight="1" spans="11:29" x14ac:dyDescent="0.25">
      <c r="K2692" s="128"/>
      <c r="X2692" s="234">
        <v>2022</v>
      </c>
      <c r="Y2692" s="234">
        <v>4</v>
      </c>
      <c r="Z2692" s="234">
        <v>23</v>
      </c>
      <c r="AA2692" s="235">
        <v>0.08333333333212067</v>
      </c>
      <c r="AB2692" s="236">
        <v>-1.4</v>
      </c>
      <c r="AC2692" s="127">
        <f t="shared" si="56"/>
        <v>-1</v>
      </c>
    </row>
    <row r="2693" ht="14.5" customHeight="1" spans="11:29" x14ac:dyDescent="0.25">
      <c r="K2693" s="128"/>
      <c r="X2693" s="234">
        <v>2022</v>
      </c>
      <c r="Y2693" s="234">
        <v>4</v>
      </c>
      <c r="Z2693" s="234">
        <v>23</v>
      </c>
      <c r="AA2693" s="235">
        <v>0.125</v>
      </c>
      <c r="AB2693" s="236">
        <v>-2.2</v>
      </c>
      <c r="AC2693" s="127">
        <f t="shared" si="56"/>
        <v>-2</v>
      </c>
    </row>
    <row r="2694" ht="14.5" customHeight="1" spans="11:29" x14ac:dyDescent="0.25">
      <c r="K2694" s="128"/>
      <c r="X2694" s="234">
        <v>2022</v>
      </c>
      <c r="Y2694" s="234">
        <v>4</v>
      </c>
      <c r="Z2694" s="234">
        <v>23</v>
      </c>
      <c r="AA2694" s="235">
        <v>0.16666666666787933</v>
      </c>
      <c r="AB2694" s="236">
        <v>-0.6</v>
      </c>
      <c r="AC2694" s="127">
        <f t="shared" si="56"/>
        <v>-1</v>
      </c>
    </row>
    <row r="2695" ht="14.5" customHeight="1" spans="11:29" x14ac:dyDescent="0.25">
      <c r="K2695" s="128"/>
      <c r="X2695" s="234">
        <v>2022</v>
      </c>
      <c r="Y2695" s="234">
        <v>4</v>
      </c>
      <c r="Z2695" s="234">
        <v>23</v>
      </c>
      <c r="AA2695" s="235">
        <v>0.20833333333212067</v>
      </c>
      <c r="AB2695" s="236">
        <v>-1.2</v>
      </c>
      <c r="AC2695" s="127">
        <f t="shared" si="56"/>
        <v>-1</v>
      </c>
    </row>
    <row r="2696" ht="14.5" customHeight="1" spans="11:29" x14ac:dyDescent="0.25">
      <c r="K2696" s="128"/>
      <c r="X2696" s="234">
        <v>2022</v>
      </c>
      <c r="Y2696" s="234">
        <v>4</v>
      </c>
      <c r="Z2696" s="234">
        <v>23</v>
      </c>
      <c r="AA2696" s="235">
        <v>0.25</v>
      </c>
      <c r="AB2696" s="236">
        <v>-2.3</v>
      </c>
      <c r="AC2696" s="127">
        <f t="shared" si="56"/>
        <v>-2</v>
      </c>
    </row>
    <row r="2697" ht="14.5" customHeight="1" spans="11:29" x14ac:dyDescent="0.25">
      <c r="K2697" s="128"/>
      <c r="X2697" s="234">
        <v>2022</v>
      </c>
      <c r="Y2697" s="234">
        <v>4</v>
      </c>
      <c r="Z2697" s="234">
        <v>23</v>
      </c>
      <c r="AA2697" s="235">
        <v>0.2916666666678793</v>
      </c>
      <c r="AB2697" s="236">
        <v>-0.3</v>
      </c>
      <c r="AC2697" s="127">
        <f t="shared" si="56"/>
        <v>0</v>
      </c>
    </row>
    <row r="2698" ht="14.5" customHeight="1" spans="11:29" x14ac:dyDescent="0.25">
      <c r="K2698" s="128"/>
      <c r="X2698" s="234">
        <v>2022</v>
      </c>
      <c r="Y2698" s="234">
        <v>4</v>
      </c>
      <c r="Z2698" s="234">
        <v>23</v>
      </c>
      <c r="AA2698" s="235">
        <v>0.3333333333321207</v>
      </c>
      <c r="AB2698" s="236">
        <v>1</v>
      </c>
      <c r="AC2698" s="127">
        <f t="shared" si="56"/>
        <v>1</v>
      </c>
    </row>
    <row r="2699" ht="14.5" customHeight="1" spans="11:29" x14ac:dyDescent="0.25">
      <c r="K2699" s="128"/>
      <c r="X2699" s="234">
        <v>2022</v>
      </c>
      <c r="Y2699" s="234">
        <v>4</v>
      </c>
      <c r="Z2699" s="234">
        <v>23</v>
      </c>
      <c r="AA2699" s="235">
        <v>0.375</v>
      </c>
      <c r="AB2699" s="236">
        <v>3.4</v>
      </c>
      <c r="AC2699" s="127">
        <f t="shared" ref="AC2699:AC2762" si="57">ROUND(AB2699,0)</f>
        <v>3</v>
      </c>
    </row>
    <row r="2700" ht="14.5" customHeight="1" spans="11:29" x14ac:dyDescent="0.25">
      <c r="K2700" s="128"/>
      <c r="X2700" s="234">
        <v>2022</v>
      </c>
      <c r="Y2700" s="234">
        <v>4</v>
      </c>
      <c r="Z2700" s="234">
        <v>23</v>
      </c>
      <c r="AA2700" s="235">
        <v>0.4166666666678793</v>
      </c>
      <c r="AB2700" s="236">
        <v>4.6</v>
      </c>
      <c r="AC2700" s="127">
        <f t="shared" si="57"/>
        <v>5</v>
      </c>
    </row>
    <row r="2701" ht="14.5" customHeight="1" spans="11:29" x14ac:dyDescent="0.25">
      <c r="K2701" s="128"/>
      <c r="X2701" s="234">
        <v>2022</v>
      </c>
      <c r="Y2701" s="234">
        <v>4</v>
      </c>
      <c r="Z2701" s="234">
        <v>23</v>
      </c>
      <c r="AA2701" s="235">
        <v>0.4583333333321207</v>
      </c>
      <c r="AB2701" s="236">
        <v>5.4</v>
      </c>
      <c r="AC2701" s="127">
        <f t="shared" si="57"/>
        <v>5</v>
      </c>
    </row>
    <row r="2702" ht="14.5" customHeight="1" spans="11:29" x14ac:dyDescent="0.25">
      <c r="K2702" s="128"/>
      <c r="X2702" s="234">
        <v>2022</v>
      </c>
      <c r="Y2702" s="234">
        <v>4</v>
      </c>
      <c r="Z2702" s="234">
        <v>23</v>
      </c>
      <c r="AA2702" s="235">
        <v>0.5</v>
      </c>
      <c r="AB2702" s="236">
        <v>6.4</v>
      </c>
      <c r="AC2702" s="127">
        <f t="shared" si="57"/>
        <v>6</v>
      </c>
    </row>
    <row r="2703" ht="14.5" customHeight="1" spans="11:29" x14ac:dyDescent="0.25">
      <c r="K2703" s="128"/>
      <c r="X2703" s="234">
        <v>2022</v>
      </c>
      <c r="Y2703" s="234">
        <v>4</v>
      </c>
      <c r="Z2703" s="234">
        <v>23</v>
      </c>
      <c r="AA2703" s="235">
        <v>0.5416666666678793</v>
      </c>
      <c r="AB2703" s="236">
        <v>7.1</v>
      </c>
      <c r="AC2703" s="127">
        <f t="shared" si="57"/>
        <v>7</v>
      </c>
    </row>
    <row r="2704" ht="14.5" customHeight="1" spans="11:29" x14ac:dyDescent="0.25">
      <c r="K2704" s="128"/>
      <c r="X2704" s="234">
        <v>2022</v>
      </c>
      <c r="Y2704" s="234">
        <v>4</v>
      </c>
      <c r="Z2704" s="234">
        <v>23</v>
      </c>
      <c r="AA2704" s="235">
        <v>0.5833333333321207</v>
      </c>
      <c r="AB2704" s="236">
        <v>7.9</v>
      </c>
      <c r="AC2704" s="127">
        <f t="shared" si="57"/>
        <v>8</v>
      </c>
    </row>
    <row r="2705" ht="14.5" customHeight="1" spans="11:29" x14ac:dyDescent="0.25">
      <c r="K2705" s="128"/>
      <c r="X2705" s="234">
        <v>2022</v>
      </c>
      <c r="Y2705" s="234">
        <v>4</v>
      </c>
      <c r="Z2705" s="234">
        <v>23</v>
      </c>
      <c r="AA2705" s="235">
        <v>0.625</v>
      </c>
      <c r="AB2705" s="236">
        <v>8.4</v>
      </c>
      <c r="AC2705" s="127">
        <f t="shared" si="57"/>
        <v>8</v>
      </c>
    </row>
    <row r="2706" ht="14.5" customHeight="1" spans="11:29" x14ac:dyDescent="0.25">
      <c r="K2706" s="128"/>
      <c r="X2706" s="234">
        <v>2022</v>
      </c>
      <c r="Y2706" s="234">
        <v>4</v>
      </c>
      <c r="Z2706" s="234">
        <v>23</v>
      </c>
      <c r="AA2706" s="235">
        <v>0.6666666666678793</v>
      </c>
      <c r="AB2706" s="236">
        <v>9.4</v>
      </c>
      <c r="AC2706" s="127">
        <f t="shared" si="57"/>
        <v>9</v>
      </c>
    </row>
    <row r="2707" ht="14.5" customHeight="1" spans="11:29" x14ac:dyDescent="0.25">
      <c r="K2707" s="128"/>
      <c r="X2707" s="234">
        <v>2022</v>
      </c>
      <c r="Y2707" s="234">
        <v>4</v>
      </c>
      <c r="Z2707" s="234">
        <v>23</v>
      </c>
      <c r="AA2707" s="235">
        <v>0.7083333333321207</v>
      </c>
      <c r="AB2707" s="236">
        <v>9.9</v>
      </c>
      <c r="AC2707" s="127">
        <f t="shared" si="57"/>
        <v>10</v>
      </c>
    </row>
    <row r="2708" ht="14.5" customHeight="1" spans="11:29" x14ac:dyDescent="0.25">
      <c r="K2708" s="128"/>
      <c r="X2708" s="234">
        <v>2022</v>
      </c>
      <c r="Y2708" s="234">
        <v>4</v>
      </c>
      <c r="Z2708" s="234">
        <v>23</v>
      </c>
      <c r="AA2708" s="235">
        <v>0.75</v>
      </c>
      <c r="AB2708" s="236">
        <v>9.7</v>
      </c>
      <c r="AC2708" s="127">
        <f t="shared" si="57"/>
        <v>10</v>
      </c>
    </row>
    <row r="2709" ht="14.5" customHeight="1" spans="11:29" x14ac:dyDescent="0.25">
      <c r="K2709" s="128"/>
      <c r="X2709" s="234">
        <v>2022</v>
      </c>
      <c r="Y2709" s="234">
        <v>4</v>
      </c>
      <c r="Z2709" s="234">
        <v>23</v>
      </c>
      <c r="AA2709" s="235">
        <v>0.7916666666678793</v>
      </c>
      <c r="AB2709" s="236">
        <v>8</v>
      </c>
      <c r="AC2709" s="127">
        <f t="shared" si="57"/>
        <v>8</v>
      </c>
    </row>
    <row r="2710" ht="14.5" customHeight="1" spans="11:29" x14ac:dyDescent="0.25">
      <c r="K2710" s="128"/>
      <c r="X2710" s="234">
        <v>2022</v>
      </c>
      <c r="Y2710" s="234">
        <v>4</v>
      </c>
      <c r="Z2710" s="234">
        <v>23</v>
      </c>
      <c r="AA2710" s="235">
        <v>0.8333333333321207</v>
      </c>
      <c r="AB2710" s="236">
        <v>5.2</v>
      </c>
      <c r="AC2710" s="127">
        <f t="shared" si="57"/>
        <v>5</v>
      </c>
    </row>
    <row r="2711" ht="14.5" customHeight="1" spans="11:29" x14ac:dyDescent="0.25">
      <c r="K2711" s="128"/>
      <c r="X2711" s="234">
        <v>2022</v>
      </c>
      <c r="Y2711" s="234">
        <v>4</v>
      </c>
      <c r="Z2711" s="234">
        <v>23</v>
      </c>
      <c r="AA2711" s="235">
        <v>0.875</v>
      </c>
      <c r="AB2711" s="236">
        <v>5</v>
      </c>
      <c r="AC2711" s="127">
        <f t="shared" si="57"/>
        <v>5</v>
      </c>
    </row>
    <row r="2712" ht="14.5" customHeight="1" spans="11:29" x14ac:dyDescent="0.25">
      <c r="K2712" s="128"/>
      <c r="X2712" s="234">
        <v>2022</v>
      </c>
      <c r="Y2712" s="234">
        <v>4</v>
      </c>
      <c r="Z2712" s="234">
        <v>23</v>
      </c>
      <c r="AA2712" s="235">
        <v>0.9166666666678793</v>
      </c>
      <c r="AB2712" s="236">
        <v>4.4</v>
      </c>
      <c r="AC2712" s="127">
        <f t="shared" si="57"/>
        <v>4</v>
      </c>
    </row>
    <row r="2713" ht="14.5" customHeight="1" spans="11:29" x14ac:dyDescent="0.25">
      <c r="K2713" s="128"/>
      <c r="X2713" s="234">
        <v>2022</v>
      </c>
      <c r="Y2713" s="234">
        <v>4</v>
      </c>
      <c r="Z2713" s="234">
        <v>23</v>
      </c>
      <c r="AA2713" s="235">
        <v>0.9583333333321207</v>
      </c>
      <c r="AB2713" s="236">
        <v>4.5</v>
      </c>
      <c r="AC2713" s="127">
        <f t="shared" si="57"/>
        <v>5</v>
      </c>
    </row>
    <row r="2714" ht="14.5" customHeight="1" spans="11:29" x14ac:dyDescent="0.25">
      <c r="K2714" s="128"/>
      <c r="X2714" s="234">
        <v>2022</v>
      </c>
      <c r="Y2714" s="234">
        <v>4</v>
      </c>
      <c r="Z2714" s="234">
        <v>24</v>
      </c>
      <c r="AA2714" s="235">
        <v>0</v>
      </c>
      <c r="AB2714" s="236">
        <v>4.8</v>
      </c>
      <c r="AC2714" s="127">
        <f t="shared" si="57"/>
        <v>5</v>
      </c>
    </row>
    <row r="2715" ht="14.5" customHeight="1" spans="11:29" x14ac:dyDescent="0.25">
      <c r="K2715" s="128"/>
      <c r="X2715" s="234">
        <v>2022</v>
      </c>
      <c r="Y2715" s="234">
        <v>4</v>
      </c>
      <c r="Z2715" s="234">
        <v>24</v>
      </c>
      <c r="AA2715" s="235">
        <v>0.041666666667879326</v>
      </c>
      <c r="AB2715" s="236">
        <v>3.1</v>
      </c>
      <c r="AC2715" s="127">
        <f t="shared" si="57"/>
        <v>3</v>
      </c>
    </row>
    <row r="2716" ht="14.5" customHeight="1" spans="11:29" x14ac:dyDescent="0.25">
      <c r="K2716" s="128"/>
      <c r="X2716" s="234">
        <v>2022</v>
      </c>
      <c r="Y2716" s="234">
        <v>4</v>
      </c>
      <c r="Z2716" s="234">
        <v>24</v>
      </c>
      <c r="AA2716" s="235">
        <v>0.08333333333212067</v>
      </c>
      <c r="AB2716" s="236">
        <v>1</v>
      </c>
      <c r="AC2716" s="127">
        <f t="shared" si="57"/>
        <v>1</v>
      </c>
    </row>
    <row r="2717" ht="14.5" customHeight="1" spans="11:29" x14ac:dyDescent="0.25">
      <c r="K2717" s="128"/>
      <c r="X2717" s="234">
        <v>2022</v>
      </c>
      <c r="Y2717" s="234">
        <v>4</v>
      </c>
      <c r="Z2717" s="234">
        <v>24</v>
      </c>
      <c r="AA2717" s="235">
        <v>0.125</v>
      </c>
      <c r="AB2717" s="236">
        <v>0.2</v>
      </c>
      <c r="AC2717" s="127">
        <f t="shared" si="57"/>
        <v>0</v>
      </c>
    </row>
    <row r="2718" ht="14.5" customHeight="1" spans="11:29" x14ac:dyDescent="0.25">
      <c r="K2718" s="128"/>
      <c r="X2718" s="234">
        <v>2022</v>
      </c>
      <c r="Y2718" s="234">
        <v>4</v>
      </c>
      <c r="Z2718" s="234">
        <v>24</v>
      </c>
      <c r="AA2718" s="235">
        <v>0.16666666666787933</v>
      </c>
      <c r="AB2718" s="236">
        <v>-1</v>
      </c>
      <c r="AC2718" s="127">
        <f t="shared" si="57"/>
        <v>-1</v>
      </c>
    </row>
    <row r="2719" ht="14.5" customHeight="1" spans="11:29" x14ac:dyDescent="0.25">
      <c r="K2719" s="128"/>
      <c r="X2719" s="234">
        <v>2022</v>
      </c>
      <c r="Y2719" s="234">
        <v>4</v>
      </c>
      <c r="Z2719" s="234">
        <v>24</v>
      </c>
      <c r="AA2719" s="235">
        <v>0.20833333333212067</v>
      </c>
      <c r="AB2719" s="236">
        <v>-2.8</v>
      </c>
      <c r="AC2719" s="127">
        <f t="shared" si="57"/>
        <v>-3</v>
      </c>
    </row>
    <row r="2720" ht="14.5" customHeight="1" spans="11:29" x14ac:dyDescent="0.25">
      <c r="K2720" s="128"/>
      <c r="X2720" s="234">
        <v>2022</v>
      </c>
      <c r="Y2720" s="234">
        <v>4</v>
      </c>
      <c r="Z2720" s="234">
        <v>24</v>
      </c>
      <c r="AA2720" s="235">
        <v>0.25</v>
      </c>
      <c r="AB2720" s="236">
        <v>-2</v>
      </c>
      <c r="AC2720" s="127">
        <f t="shared" si="57"/>
        <v>-2</v>
      </c>
    </row>
    <row r="2721" ht="14.5" customHeight="1" spans="11:29" x14ac:dyDescent="0.25">
      <c r="K2721" s="128"/>
      <c r="X2721" s="234">
        <v>2022</v>
      </c>
      <c r="Y2721" s="234">
        <v>4</v>
      </c>
      <c r="Z2721" s="234">
        <v>24</v>
      </c>
      <c r="AA2721" s="235">
        <v>0.2916666666678793</v>
      </c>
      <c r="AB2721" s="236">
        <v>0.6</v>
      </c>
      <c r="AC2721" s="127">
        <f t="shared" si="57"/>
        <v>1</v>
      </c>
    </row>
    <row r="2722" ht="14.5" customHeight="1" spans="11:29" x14ac:dyDescent="0.25">
      <c r="K2722" s="128"/>
      <c r="X2722" s="234">
        <v>2022</v>
      </c>
      <c r="Y2722" s="234">
        <v>4</v>
      </c>
      <c r="Z2722" s="234">
        <v>24</v>
      </c>
      <c r="AA2722" s="235">
        <v>0.3333333333321207</v>
      </c>
      <c r="AB2722" s="236">
        <v>3.6</v>
      </c>
      <c r="AC2722" s="127">
        <f t="shared" si="57"/>
        <v>4</v>
      </c>
    </row>
    <row r="2723" ht="14.5" customHeight="1" spans="11:29" x14ac:dyDescent="0.25">
      <c r="K2723" s="128"/>
      <c r="X2723" s="234">
        <v>2022</v>
      </c>
      <c r="Y2723" s="234">
        <v>4</v>
      </c>
      <c r="Z2723" s="234">
        <v>24</v>
      </c>
      <c r="AA2723" s="235">
        <v>0.375</v>
      </c>
      <c r="AB2723" s="236">
        <v>6.8</v>
      </c>
      <c r="AC2723" s="127">
        <f t="shared" si="57"/>
        <v>7</v>
      </c>
    </row>
    <row r="2724" ht="14.5" customHeight="1" spans="11:29" x14ac:dyDescent="0.25">
      <c r="K2724" s="128"/>
      <c r="X2724" s="234">
        <v>2022</v>
      </c>
      <c r="Y2724" s="234">
        <v>4</v>
      </c>
      <c r="Z2724" s="234">
        <v>24</v>
      </c>
      <c r="AA2724" s="235">
        <v>0.4166666666678793</v>
      </c>
      <c r="AB2724" s="236">
        <v>8.4</v>
      </c>
      <c r="AC2724" s="127">
        <f t="shared" si="57"/>
        <v>8</v>
      </c>
    </row>
    <row r="2725" ht="14.5" customHeight="1" spans="11:29" x14ac:dyDescent="0.25">
      <c r="K2725" s="128"/>
      <c r="X2725" s="234">
        <v>2022</v>
      </c>
      <c r="Y2725" s="234">
        <v>4</v>
      </c>
      <c r="Z2725" s="234">
        <v>24</v>
      </c>
      <c r="AA2725" s="235">
        <v>0.4583333333321207</v>
      </c>
      <c r="AB2725" s="236">
        <v>10.4</v>
      </c>
      <c r="AC2725" s="127">
        <f t="shared" si="57"/>
        <v>10</v>
      </c>
    </row>
    <row r="2726" ht="14.5" customHeight="1" spans="11:29" x14ac:dyDescent="0.25">
      <c r="K2726" s="128"/>
      <c r="X2726" s="234">
        <v>2022</v>
      </c>
      <c r="Y2726" s="234">
        <v>4</v>
      </c>
      <c r="Z2726" s="234">
        <v>24</v>
      </c>
      <c r="AA2726" s="235">
        <v>0.5</v>
      </c>
      <c r="AB2726" s="236">
        <v>11.2</v>
      </c>
      <c r="AC2726" s="127">
        <f t="shared" si="57"/>
        <v>11</v>
      </c>
    </row>
    <row r="2727" ht="14.5" customHeight="1" spans="11:29" x14ac:dyDescent="0.25">
      <c r="K2727" s="128"/>
      <c r="X2727" s="234">
        <v>2022</v>
      </c>
      <c r="Y2727" s="234">
        <v>4</v>
      </c>
      <c r="Z2727" s="234">
        <v>24</v>
      </c>
      <c r="AA2727" s="235">
        <v>0.5416666666678793</v>
      </c>
      <c r="AB2727" s="236">
        <v>11.6</v>
      </c>
      <c r="AC2727" s="127">
        <f t="shared" si="57"/>
        <v>12</v>
      </c>
    </row>
    <row r="2728" ht="14.5" customHeight="1" spans="11:29" x14ac:dyDescent="0.25">
      <c r="K2728" s="128"/>
      <c r="X2728" s="234">
        <v>2022</v>
      </c>
      <c r="Y2728" s="234">
        <v>4</v>
      </c>
      <c r="Z2728" s="234">
        <v>24</v>
      </c>
      <c r="AA2728" s="235">
        <v>0.5833333333321207</v>
      </c>
      <c r="AB2728" s="236">
        <v>13.2</v>
      </c>
      <c r="AC2728" s="127">
        <f t="shared" si="57"/>
        <v>13</v>
      </c>
    </row>
    <row r="2729" ht="14.5" customHeight="1" spans="11:29" x14ac:dyDescent="0.25">
      <c r="K2729" s="128"/>
      <c r="X2729" s="234">
        <v>2022</v>
      </c>
      <c r="Y2729" s="234">
        <v>4</v>
      </c>
      <c r="Z2729" s="234">
        <v>24</v>
      </c>
      <c r="AA2729" s="235">
        <v>0.625</v>
      </c>
      <c r="AB2729" s="236">
        <v>13.7</v>
      </c>
      <c r="AC2729" s="127">
        <f t="shared" si="57"/>
        <v>14</v>
      </c>
    </row>
    <row r="2730" ht="14.5" customHeight="1" spans="11:29" x14ac:dyDescent="0.25">
      <c r="K2730" s="128"/>
      <c r="X2730" s="234">
        <v>2022</v>
      </c>
      <c r="Y2730" s="234">
        <v>4</v>
      </c>
      <c r="Z2730" s="234">
        <v>24</v>
      </c>
      <c r="AA2730" s="235">
        <v>0.6666666666678793</v>
      </c>
      <c r="AB2730" s="236">
        <v>13.9</v>
      </c>
      <c r="AC2730" s="127">
        <f t="shared" si="57"/>
        <v>14</v>
      </c>
    </row>
    <row r="2731" ht="14.5" customHeight="1" spans="11:29" x14ac:dyDescent="0.25">
      <c r="K2731" s="128"/>
      <c r="X2731" s="234">
        <v>2022</v>
      </c>
      <c r="Y2731" s="234">
        <v>4</v>
      </c>
      <c r="Z2731" s="234">
        <v>24</v>
      </c>
      <c r="AA2731" s="235">
        <v>0.7083333333321207</v>
      </c>
      <c r="AB2731" s="236">
        <v>14</v>
      </c>
      <c r="AC2731" s="127">
        <f t="shared" si="57"/>
        <v>14</v>
      </c>
    </row>
    <row r="2732" ht="14.5" customHeight="1" spans="11:29" x14ac:dyDescent="0.25">
      <c r="K2732" s="128"/>
      <c r="X2732" s="234">
        <v>2022</v>
      </c>
      <c r="Y2732" s="234">
        <v>4</v>
      </c>
      <c r="Z2732" s="234">
        <v>24</v>
      </c>
      <c r="AA2732" s="235">
        <v>0.75</v>
      </c>
      <c r="AB2732" s="236">
        <v>13.4</v>
      </c>
      <c r="AC2732" s="127">
        <f t="shared" si="57"/>
        <v>13</v>
      </c>
    </row>
    <row r="2733" ht="14.5" customHeight="1" spans="11:29" x14ac:dyDescent="0.25">
      <c r="K2733" s="128"/>
      <c r="X2733" s="234">
        <v>2022</v>
      </c>
      <c r="Y2733" s="234">
        <v>4</v>
      </c>
      <c r="Z2733" s="234">
        <v>24</v>
      </c>
      <c r="AA2733" s="235">
        <v>0.7916666666678793</v>
      </c>
      <c r="AB2733" s="236">
        <v>11.8</v>
      </c>
      <c r="AC2733" s="127">
        <f t="shared" si="57"/>
        <v>12</v>
      </c>
    </row>
    <row r="2734" ht="14.5" customHeight="1" spans="11:29" x14ac:dyDescent="0.25">
      <c r="K2734" s="128"/>
      <c r="X2734" s="234">
        <v>2022</v>
      </c>
      <c r="Y2734" s="234">
        <v>4</v>
      </c>
      <c r="Z2734" s="234">
        <v>24</v>
      </c>
      <c r="AA2734" s="235">
        <v>0.8333333333321207</v>
      </c>
      <c r="AB2734" s="236">
        <v>8.6</v>
      </c>
      <c r="AC2734" s="127">
        <f t="shared" si="57"/>
        <v>9</v>
      </c>
    </row>
    <row r="2735" ht="14.5" customHeight="1" spans="11:29" x14ac:dyDescent="0.25">
      <c r="K2735" s="128"/>
      <c r="X2735" s="234">
        <v>2022</v>
      </c>
      <c r="Y2735" s="234">
        <v>4</v>
      </c>
      <c r="Z2735" s="234">
        <v>24</v>
      </c>
      <c r="AA2735" s="235">
        <v>0.875</v>
      </c>
      <c r="AB2735" s="236">
        <v>7.3</v>
      </c>
      <c r="AC2735" s="127">
        <f t="shared" si="57"/>
        <v>7</v>
      </c>
    </row>
    <row r="2736" ht="14.5" customHeight="1" spans="11:29" x14ac:dyDescent="0.25">
      <c r="K2736" s="128"/>
      <c r="X2736" s="234">
        <v>2022</v>
      </c>
      <c r="Y2736" s="234">
        <v>4</v>
      </c>
      <c r="Z2736" s="234">
        <v>24</v>
      </c>
      <c r="AA2736" s="235">
        <v>0.9166666666678793</v>
      </c>
      <c r="AB2736" s="236">
        <v>5.9</v>
      </c>
      <c r="AC2736" s="127">
        <f t="shared" si="57"/>
        <v>6</v>
      </c>
    </row>
    <row r="2737" ht="14.5" customHeight="1" spans="11:29" x14ac:dyDescent="0.25">
      <c r="K2737" s="128"/>
      <c r="X2737" s="234">
        <v>2022</v>
      </c>
      <c r="Y2737" s="234">
        <v>4</v>
      </c>
      <c r="Z2737" s="234">
        <v>24</v>
      </c>
      <c r="AA2737" s="235">
        <v>0.9583333333321207</v>
      </c>
      <c r="AB2737" s="236">
        <v>4.3</v>
      </c>
      <c r="AC2737" s="127">
        <f t="shared" si="57"/>
        <v>4</v>
      </c>
    </row>
    <row r="2738" ht="14.5" customHeight="1" spans="11:29" x14ac:dyDescent="0.25">
      <c r="K2738" s="128"/>
      <c r="X2738" s="234">
        <v>2022</v>
      </c>
      <c r="Y2738" s="234">
        <v>4</v>
      </c>
      <c r="Z2738" s="234">
        <v>25</v>
      </c>
      <c r="AA2738" s="235">
        <v>0</v>
      </c>
      <c r="AB2738" s="236">
        <v>3.5</v>
      </c>
      <c r="AC2738" s="127">
        <f t="shared" si="57"/>
        <v>4</v>
      </c>
    </row>
    <row r="2739" ht="14.5" customHeight="1" spans="11:29" x14ac:dyDescent="0.25">
      <c r="K2739" s="128"/>
      <c r="X2739" s="234">
        <v>2022</v>
      </c>
      <c r="Y2739" s="234">
        <v>4</v>
      </c>
      <c r="Z2739" s="234">
        <v>25</v>
      </c>
      <c r="AA2739" s="235">
        <v>0.041666666667879326</v>
      </c>
      <c r="AB2739" s="236">
        <v>2.6</v>
      </c>
      <c r="AC2739" s="127">
        <f t="shared" si="57"/>
        <v>3</v>
      </c>
    </row>
    <row r="2740" ht="14.5" customHeight="1" spans="11:29" x14ac:dyDescent="0.25">
      <c r="K2740" s="128"/>
      <c r="X2740" s="234">
        <v>2022</v>
      </c>
      <c r="Y2740" s="234">
        <v>4</v>
      </c>
      <c r="Z2740" s="234">
        <v>25</v>
      </c>
      <c r="AA2740" s="235">
        <v>0.08333333333212067</v>
      </c>
      <c r="AB2740" s="236">
        <v>1.6</v>
      </c>
      <c r="AC2740" s="127">
        <f t="shared" si="57"/>
        <v>2</v>
      </c>
    </row>
    <row r="2741" ht="14.5" customHeight="1" spans="11:29" x14ac:dyDescent="0.25">
      <c r="K2741" s="128"/>
      <c r="X2741" s="234">
        <v>2022</v>
      </c>
      <c r="Y2741" s="234">
        <v>4</v>
      </c>
      <c r="Z2741" s="234">
        <v>25</v>
      </c>
      <c r="AA2741" s="235">
        <v>0.125</v>
      </c>
      <c r="AB2741" s="236">
        <v>0.8</v>
      </c>
      <c r="AC2741" s="127">
        <f t="shared" si="57"/>
        <v>1</v>
      </c>
    </row>
    <row r="2742" ht="14.5" customHeight="1" spans="11:29" x14ac:dyDescent="0.25">
      <c r="K2742" s="128"/>
      <c r="X2742" s="234">
        <v>2022</v>
      </c>
      <c r="Y2742" s="234">
        <v>4</v>
      </c>
      <c r="Z2742" s="234">
        <v>25</v>
      </c>
      <c r="AA2742" s="235">
        <v>0.16666666666787933</v>
      </c>
      <c r="AB2742" s="236">
        <v>-0.6</v>
      </c>
      <c r="AC2742" s="127">
        <f t="shared" si="57"/>
        <v>-1</v>
      </c>
    </row>
    <row r="2743" ht="14.5" customHeight="1" spans="11:29" x14ac:dyDescent="0.25">
      <c r="K2743" s="128"/>
      <c r="X2743" s="234">
        <v>2022</v>
      </c>
      <c r="Y2743" s="234">
        <v>4</v>
      </c>
      <c r="Z2743" s="234">
        <v>25</v>
      </c>
      <c r="AA2743" s="235">
        <v>0.20833333333212067</v>
      </c>
      <c r="AB2743" s="236">
        <v>-0.7</v>
      </c>
      <c r="AC2743" s="127">
        <f t="shared" si="57"/>
        <v>-1</v>
      </c>
    </row>
    <row r="2744" ht="14.5" customHeight="1" spans="11:29" x14ac:dyDescent="0.25">
      <c r="K2744" s="128"/>
      <c r="X2744" s="234">
        <v>2022</v>
      </c>
      <c r="Y2744" s="234">
        <v>4</v>
      </c>
      <c r="Z2744" s="234">
        <v>25</v>
      </c>
      <c r="AA2744" s="235">
        <v>0.25</v>
      </c>
      <c r="AB2744" s="236">
        <v>-0.1</v>
      </c>
      <c r="AC2744" s="127">
        <f t="shared" si="57"/>
        <v>0</v>
      </c>
    </row>
    <row r="2745" ht="14.5" customHeight="1" spans="11:29" x14ac:dyDescent="0.25">
      <c r="K2745" s="128"/>
      <c r="X2745" s="234">
        <v>2022</v>
      </c>
      <c r="Y2745" s="234">
        <v>4</v>
      </c>
      <c r="Z2745" s="234">
        <v>25</v>
      </c>
      <c r="AA2745" s="235">
        <v>0.2916666666678793</v>
      </c>
      <c r="AB2745" s="236">
        <v>2.8</v>
      </c>
      <c r="AC2745" s="127">
        <f t="shared" si="57"/>
        <v>3</v>
      </c>
    </row>
    <row r="2746" ht="14.5" customHeight="1" spans="11:29" x14ac:dyDescent="0.25">
      <c r="K2746" s="128"/>
      <c r="X2746" s="234">
        <v>2022</v>
      </c>
      <c r="Y2746" s="234">
        <v>4</v>
      </c>
      <c r="Z2746" s="234">
        <v>25</v>
      </c>
      <c r="AA2746" s="235">
        <v>0.3333333333321207</v>
      </c>
      <c r="AB2746" s="236">
        <v>6</v>
      </c>
      <c r="AC2746" s="127">
        <f t="shared" si="57"/>
        <v>6</v>
      </c>
    </row>
    <row r="2747" ht="14.5" customHeight="1" spans="11:29" x14ac:dyDescent="0.25">
      <c r="K2747" s="128"/>
      <c r="X2747" s="234">
        <v>2022</v>
      </c>
      <c r="Y2747" s="234">
        <v>4</v>
      </c>
      <c r="Z2747" s="234">
        <v>25</v>
      </c>
      <c r="AA2747" s="235">
        <v>0.375</v>
      </c>
      <c r="AB2747" s="236">
        <v>9.3</v>
      </c>
      <c r="AC2747" s="127">
        <f t="shared" si="57"/>
        <v>9</v>
      </c>
    </row>
    <row r="2748" ht="14.5" customHeight="1" spans="11:29" x14ac:dyDescent="0.25">
      <c r="K2748" s="128"/>
      <c r="X2748" s="234">
        <v>2022</v>
      </c>
      <c r="Y2748" s="234">
        <v>4</v>
      </c>
      <c r="Z2748" s="234">
        <v>25</v>
      </c>
      <c r="AA2748" s="235">
        <v>0.4166666666678793</v>
      </c>
      <c r="AB2748" s="236">
        <v>11.2</v>
      </c>
      <c r="AC2748" s="127">
        <f t="shared" si="57"/>
        <v>11</v>
      </c>
    </row>
    <row r="2749" ht="14.5" customHeight="1" spans="11:29" x14ac:dyDescent="0.25">
      <c r="K2749" s="128"/>
      <c r="X2749" s="234">
        <v>2022</v>
      </c>
      <c r="Y2749" s="234">
        <v>4</v>
      </c>
      <c r="Z2749" s="234">
        <v>25</v>
      </c>
      <c r="AA2749" s="235">
        <v>0.4583333333321207</v>
      </c>
      <c r="AB2749" s="236">
        <v>13</v>
      </c>
      <c r="AC2749" s="127">
        <f t="shared" si="57"/>
        <v>13</v>
      </c>
    </row>
    <row r="2750" ht="14.5" customHeight="1" spans="11:29" x14ac:dyDescent="0.25">
      <c r="K2750" s="128"/>
      <c r="X2750" s="234">
        <v>2022</v>
      </c>
      <c r="Y2750" s="234">
        <v>4</v>
      </c>
      <c r="Z2750" s="234">
        <v>25</v>
      </c>
      <c r="AA2750" s="235">
        <v>0.5</v>
      </c>
      <c r="AB2750" s="236">
        <v>14.1</v>
      </c>
      <c r="AC2750" s="127">
        <f t="shared" si="57"/>
        <v>14</v>
      </c>
    </row>
    <row r="2751" ht="14.5" customHeight="1" spans="11:29" x14ac:dyDescent="0.25">
      <c r="K2751" s="128"/>
      <c r="X2751" s="234">
        <v>2022</v>
      </c>
      <c r="Y2751" s="234">
        <v>4</v>
      </c>
      <c r="Z2751" s="234">
        <v>25</v>
      </c>
      <c r="AA2751" s="235">
        <v>0.5416666666678793</v>
      </c>
      <c r="AB2751" s="236">
        <v>14.8</v>
      </c>
      <c r="AC2751" s="127">
        <f t="shared" si="57"/>
        <v>15</v>
      </c>
    </row>
    <row r="2752" ht="14.5" customHeight="1" spans="11:29" x14ac:dyDescent="0.25">
      <c r="K2752" s="128"/>
      <c r="X2752" s="234">
        <v>2022</v>
      </c>
      <c r="Y2752" s="234">
        <v>4</v>
      </c>
      <c r="Z2752" s="234">
        <v>25</v>
      </c>
      <c r="AA2752" s="235">
        <v>0.5833333333321207</v>
      </c>
      <c r="AB2752" s="236">
        <v>15.5</v>
      </c>
      <c r="AC2752" s="127">
        <f t="shared" si="57"/>
        <v>16</v>
      </c>
    </row>
    <row r="2753" ht="14.5" customHeight="1" spans="11:29" x14ac:dyDescent="0.25">
      <c r="K2753" s="128"/>
      <c r="X2753" s="234">
        <v>2022</v>
      </c>
      <c r="Y2753" s="234">
        <v>4</v>
      </c>
      <c r="Z2753" s="234">
        <v>25</v>
      </c>
      <c r="AA2753" s="235">
        <v>0.625</v>
      </c>
      <c r="AB2753" s="236">
        <v>16.3</v>
      </c>
      <c r="AC2753" s="127">
        <f t="shared" si="57"/>
        <v>16</v>
      </c>
    </row>
    <row r="2754" ht="14.5" customHeight="1" spans="11:29" x14ac:dyDescent="0.25">
      <c r="K2754" s="128"/>
      <c r="X2754" s="234">
        <v>2022</v>
      </c>
      <c r="Y2754" s="234">
        <v>4</v>
      </c>
      <c r="Z2754" s="234">
        <v>25</v>
      </c>
      <c r="AA2754" s="235">
        <v>0.6666666666678793</v>
      </c>
      <c r="AB2754" s="236">
        <v>15.8</v>
      </c>
      <c r="AC2754" s="127">
        <f t="shared" si="57"/>
        <v>16</v>
      </c>
    </row>
    <row r="2755" ht="14.5" customHeight="1" spans="11:29" x14ac:dyDescent="0.25">
      <c r="K2755" s="128"/>
      <c r="X2755" s="234">
        <v>2022</v>
      </c>
      <c r="Y2755" s="234">
        <v>4</v>
      </c>
      <c r="Z2755" s="234">
        <v>25</v>
      </c>
      <c r="AA2755" s="235">
        <v>0.7083333333321207</v>
      </c>
      <c r="AB2755" s="236">
        <v>16.6</v>
      </c>
      <c r="AC2755" s="127">
        <f t="shared" si="57"/>
        <v>17</v>
      </c>
    </row>
    <row r="2756" ht="14.5" customHeight="1" spans="11:29" x14ac:dyDescent="0.25">
      <c r="K2756" s="128"/>
      <c r="X2756" s="234">
        <v>2022</v>
      </c>
      <c r="Y2756" s="234">
        <v>4</v>
      </c>
      <c r="Z2756" s="234">
        <v>25</v>
      </c>
      <c r="AA2756" s="235">
        <v>0.75</v>
      </c>
      <c r="AB2756" s="236">
        <v>15.8</v>
      </c>
      <c r="AC2756" s="127">
        <f t="shared" si="57"/>
        <v>16</v>
      </c>
    </row>
    <row r="2757" ht="14.5" customHeight="1" spans="11:29" x14ac:dyDescent="0.25">
      <c r="K2757" s="128"/>
      <c r="X2757" s="234">
        <v>2022</v>
      </c>
      <c r="Y2757" s="234">
        <v>4</v>
      </c>
      <c r="Z2757" s="234">
        <v>25</v>
      </c>
      <c r="AA2757" s="235">
        <v>0.7916666666678793</v>
      </c>
      <c r="AB2757" s="236">
        <v>14.3</v>
      </c>
      <c r="AC2757" s="127">
        <f t="shared" si="57"/>
        <v>14</v>
      </c>
    </row>
    <row r="2758" ht="14.5" customHeight="1" spans="11:29" x14ac:dyDescent="0.25">
      <c r="K2758" s="128"/>
      <c r="X2758" s="234">
        <v>2022</v>
      </c>
      <c r="Y2758" s="234">
        <v>4</v>
      </c>
      <c r="Z2758" s="234">
        <v>25</v>
      </c>
      <c r="AA2758" s="235">
        <v>0.8333333333321207</v>
      </c>
      <c r="AB2758" s="236">
        <v>11</v>
      </c>
      <c r="AC2758" s="127">
        <f t="shared" si="57"/>
        <v>11</v>
      </c>
    </row>
    <row r="2759" ht="14.5" customHeight="1" spans="11:29" x14ac:dyDescent="0.25">
      <c r="K2759" s="128"/>
      <c r="X2759" s="234">
        <v>2022</v>
      </c>
      <c r="Y2759" s="234">
        <v>4</v>
      </c>
      <c r="Z2759" s="234">
        <v>25</v>
      </c>
      <c r="AA2759" s="235">
        <v>0.875</v>
      </c>
      <c r="AB2759" s="236">
        <v>9.6</v>
      </c>
      <c r="AC2759" s="127">
        <f t="shared" si="57"/>
        <v>10</v>
      </c>
    </row>
    <row r="2760" ht="14.5" customHeight="1" spans="11:29" x14ac:dyDescent="0.25">
      <c r="K2760" s="128"/>
      <c r="X2760" s="234">
        <v>2022</v>
      </c>
      <c r="Y2760" s="234">
        <v>4</v>
      </c>
      <c r="Z2760" s="234">
        <v>25</v>
      </c>
      <c r="AA2760" s="235">
        <v>0.9166666666678793</v>
      </c>
      <c r="AB2760" s="236">
        <v>9.4</v>
      </c>
      <c r="AC2760" s="127">
        <f t="shared" si="57"/>
        <v>9</v>
      </c>
    </row>
    <row r="2761" ht="14.5" customHeight="1" spans="11:29" x14ac:dyDescent="0.25">
      <c r="K2761" s="128"/>
      <c r="X2761" s="234">
        <v>2022</v>
      </c>
      <c r="Y2761" s="234">
        <v>4</v>
      </c>
      <c r="Z2761" s="234">
        <v>25</v>
      </c>
      <c r="AA2761" s="235">
        <v>0.9583333333321207</v>
      </c>
      <c r="AB2761" s="236">
        <v>8.9</v>
      </c>
      <c r="AC2761" s="127">
        <f t="shared" si="57"/>
        <v>9</v>
      </c>
    </row>
    <row r="2762" ht="14.5" customHeight="1" spans="11:29" x14ac:dyDescent="0.25">
      <c r="K2762" s="128"/>
      <c r="X2762" s="234">
        <v>2022</v>
      </c>
      <c r="Y2762" s="234">
        <v>4</v>
      </c>
      <c r="Z2762" s="234">
        <v>26</v>
      </c>
      <c r="AA2762" s="235">
        <v>0</v>
      </c>
      <c r="AB2762" s="236">
        <v>9.5</v>
      </c>
      <c r="AC2762" s="127">
        <f t="shared" si="57"/>
        <v>10</v>
      </c>
    </row>
    <row r="2763" ht="14.5" customHeight="1" spans="11:29" x14ac:dyDescent="0.25">
      <c r="K2763" s="128"/>
      <c r="X2763" s="234">
        <v>2022</v>
      </c>
      <c r="Y2763" s="234">
        <v>4</v>
      </c>
      <c r="Z2763" s="234">
        <v>26</v>
      </c>
      <c r="AA2763" s="235">
        <v>0.041666666667879326</v>
      </c>
      <c r="AB2763" s="236">
        <v>8.2</v>
      </c>
      <c r="AC2763" s="127">
        <f t="shared" ref="AC2763:AC2826" si="58">ROUND(AB2763,0)</f>
        <v>8</v>
      </c>
    </row>
    <row r="2764" ht="14.5" customHeight="1" spans="11:29" x14ac:dyDescent="0.25">
      <c r="K2764" s="128"/>
      <c r="X2764" s="234">
        <v>2022</v>
      </c>
      <c r="Y2764" s="234">
        <v>4</v>
      </c>
      <c r="Z2764" s="234">
        <v>26</v>
      </c>
      <c r="AA2764" s="235">
        <v>0.08333333333212067</v>
      </c>
      <c r="AB2764" s="236">
        <v>8.2</v>
      </c>
      <c r="AC2764" s="127">
        <f t="shared" si="58"/>
        <v>8</v>
      </c>
    </row>
    <row r="2765" ht="14.5" customHeight="1" spans="11:29" x14ac:dyDescent="0.25">
      <c r="K2765" s="128"/>
      <c r="X2765" s="234">
        <v>2022</v>
      </c>
      <c r="Y2765" s="234">
        <v>4</v>
      </c>
      <c r="Z2765" s="234">
        <v>26</v>
      </c>
      <c r="AA2765" s="235">
        <v>0.125</v>
      </c>
      <c r="AB2765" s="236">
        <v>5.9</v>
      </c>
      <c r="AC2765" s="127">
        <f t="shared" si="58"/>
        <v>6</v>
      </c>
    </row>
    <row r="2766" ht="14.5" customHeight="1" spans="11:29" x14ac:dyDescent="0.25">
      <c r="K2766" s="128"/>
      <c r="X2766" s="234">
        <v>2022</v>
      </c>
      <c r="Y2766" s="234">
        <v>4</v>
      </c>
      <c r="Z2766" s="234">
        <v>26</v>
      </c>
      <c r="AA2766" s="235">
        <v>0.16666666666787933</v>
      </c>
      <c r="AB2766" s="236">
        <v>6.1</v>
      </c>
      <c r="AC2766" s="127">
        <f t="shared" si="58"/>
        <v>6</v>
      </c>
    </row>
    <row r="2767" ht="14.5" customHeight="1" spans="11:29" x14ac:dyDescent="0.25">
      <c r="K2767" s="128"/>
      <c r="X2767" s="234">
        <v>2022</v>
      </c>
      <c r="Y2767" s="234">
        <v>4</v>
      </c>
      <c r="Z2767" s="234">
        <v>26</v>
      </c>
      <c r="AA2767" s="235">
        <v>0.20833333333212067</v>
      </c>
      <c r="AB2767" s="236">
        <v>5.8</v>
      </c>
      <c r="AC2767" s="127">
        <f t="shared" si="58"/>
        <v>6</v>
      </c>
    </row>
    <row r="2768" ht="14.5" customHeight="1" spans="11:29" x14ac:dyDescent="0.25">
      <c r="K2768" s="128"/>
      <c r="X2768" s="234">
        <v>2022</v>
      </c>
      <c r="Y2768" s="234">
        <v>4</v>
      </c>
      <c r="Z2768" s="234">
        <v>26</v>
      </c>
      <c r="AA2768" s="235">
        <v>0.25</v>
      </c>
      <c r="AB2768" s="236">
        <v>5.7</v>
      </c>
      <c r="AC2768" s="127">
        <f t="shared" si="58"/>
        <v>6</v>
      </c>
    </row>
    <row r="2769" ht="14.5" customHeight="1" spans="11:29" x14ac:dyDescent="0.25">
      <c r="K2769" s="128"/>
      <c r="X2769" s="234">
        <v>2022</v>
      </c>
      <c r="Y2769" s="234">
        <v>4</v>
      </c>
      <c r="Z2769" s="234">
        <v>26</v>
      </c>
      <c r="AA2769" s="235">
        <v>0.2916666666678793</v>
      </c>
      <c r="AB2769" s="236">
        <v>7</v>
      </c>
      <c r="AC2769" s="127">
        <f t="shared" si="58"/>
        <v>7</v>
      </c>
    </row>
    <row r="2770" ht="14.5" customHeight="1" spans="11:29" x14ac:dyDescent="0.25">
      <c r="K2770" s="128"/>
      <c r="X2770" s="234">
        <v>2022</v>
      </c>
      <c r="Y2770" s="234">
        <v>4</v>
      </c>
      <c r="Z2770" s="234">
        <v>26</v>
      </c>
      <c r="AA2770" s="235">
        <v>0.3333333333321207</v>
      </c>
      <c r="AB2770" s="236">
        <v>7.9</v>
      </c>
      <c r="AC2770" s="127">
        <f t="shared" si="58"/>
        <v>8</v>
      </c>
    </row>
    <row r="2771" ht="14.5" customHeight="1" spans="11:29" x14ac:dyDescent="0.25">
      <c r="K2771" s="128"/>
      <c r="X2771" s="234">
        <v>2022</v>
      </c>
      <c r="Y2771" s="234">
        <v>4</v>
      </c>
      <c r="Z2771" s="234">
        <v>26</v>
      </c>
      <c r="AA2771" s="235">
        <v>0.375</v>
      </c>
      <c r="AB2771" s="236">
        <v>10.3</v>
      </c>
      <c r="AC2771" s="127">
        <f t="shared" si="58"/>
        <v>10</v>
      </c>
    </row>
    <row r="2772" ht="14.5" customHeight="1" spans="11:29" x14ac:dyDescent="0.25">
      <c r="K2772" s="128"/>
      <c r="X2772" s="234">
        <v>2022</v>
      </c>
      <c r="Y2772" s="234">
        <v>4</v>
      </c>
      <c r="Z2772" s="234">
        <v>26</v>
      </c>
      <c r="AA2772" s="235">
        <v>0.4166666666678793</v>
      </c>
      <c r="AB2772" s="236">
        <v>12.4</v>
      </c>
      <c r="AC2772" s="127">
        <f t="shared" si="58"/>
        <v>12</v>
      </c>
    </row>
    <row r="2773" ht="14.5" customHeight="1" spans="11:29" x14ac:dyDescent="0.25">
      <c r="K2773" s="128"/>
      <c r="X2773" s="234">
        <v>2022</v>
      </c>
      <c r="Y2773" s="234">
        <v>4</v>
      </c>
      <c r="Z2773" s="234">
        <v>26</v>
      </c>
      <c r="AA2773" s="235">
        <v>0.4583333333321207</v>
      </c>
      <c r="AB2773" s="236">
        <v>12.9</v>
      </c>
      <c r="AC2773" s="127">
        <f t="shared" si="58"/>
        <v>13</v>
      </c>
    </row>
    <row r="2774" ht="14.5" customHeight="1" spans="11:29" x14ac:dyDescent="0.25">
      <c r="K2774" s="128"/>
      <c r="X2774" s="234">
        <v>2022</v>
      </c>
      <c r="Y2774" s="234">
        <v>4</v>
      </c>
      <c r="Z2774" s="234">
        <v>26</v>
      </c>
      <c r="AA2774" s="235">
        <v>0.5</v>
      </c>
      <c r="AB2774" s="236">
        <v>13.5</v>
      </c>
      <c r="AC2774" s="127">
        <f t="shared" si="58"/>
        <v>14</v>
      </c>
    </row>
    <row r="2775" ht="14.5" customHeight="1" spans="11:29" x14ac:dyDescent="0.25">
      <c r="K2775" s="128"/>
      <c r="X2775" s="234">
        <v>2022</v>
      </c>
      <c r="Y2775" s="234">
        <v>4</v>
      </c>
      <c r="Z2775" s="234">
        <v>26</v>
      </c>
      <c r="AA2775" s="235">
        <v>0.5416666666678793</v>
      </c>
      <c r="AB2775" s="236">
        <v>13.2</v>
      </c>
      <c r="AC2775" s="127">
        <f t="shared" si="58"/>
        <v>13</v>
      </c>
    </row>
    <row r="2776" ht="14.5" customHeight="1" spans="11:29" x14ac:dyDescent="0.25">
      <c r="K2776" s="128"/>
      <c r="X2776" s="234">
        <v>2022</v>
      </c>
      <c r="Y2776" s="234">
        <v>4</v>
      </c>
      <c r="Z2776" s="234">
        <v>26</v>
      </c>
      <c r="AA2776" s="235">
        <v>0.5833333333321207</v>
      </c>
      <c r="AB2776" s="236">
        <v>13.7</v>
      </c>
      <c r="AC2776" s="127">
        <f t="shared" si="58"/>
        <v>14</v>
      </c>
    </row>
    <row r="2777" ht="14.5" customHeight="1" spans="11:29" x14ac:dyDescent="0.25">
      <c r="K2777" s="128"/>
      <c r="X2777" s="234">
        <v>2022</v>
      </c>
      <c r="Y2777" s="234">
        <v>4</v>
      </c>
      <c r="Z2777" s="234">
        <v>26</v>
      </c>
      <c r="AA2777" s="235">
        <v>0.625</v>
      </c>
      <c r="AB2777" s="236">
        <v>12.9</v>
      </c>
      <c r="AC2777" s="127">
        <f t="shared" si="58"/>
        <v>13</v>
      </c>
    </row>
    <row r="2778" ht="14.5" customHeight="1" spans="11:29" x14ac:dyDescent="0.25">
      <c r="K2778" s="128"/>
      <c r="X2778" s="234">
        <v>2022</v>
      </c>
      <c r="Y2778" s="234">
        <v>4</v>
      </c>
      <c r="Z2778" s="234">
        <v>26</v>
      </c>
      <c r="AA2778" s="235">
        <v>0.6666666666678793</v>
      </c>
      <c r="AB2778" s="236">
        <v>12.8</v>
      </c>
      <c r="AC2778" s="127">
        <f t="shared" si="58"/>
        <v>13</v>
      </c>
    </row>
    <row r="2779" ht="14.5" customHeight="1" spans="11:29" x14ac:dyDescent="0.25">
      <c r="K2779" s="128"/>
      <c r="X2779" s="234">
        <v>2022</v>
      </c>
      <c r="Y2779" s="234">
        <v>4</v>
      </c>
      <c r="Z2779" s="234">
        <v>26</v>
      </c>
      <c r="AA2779" s="235">
        <v>0.7083333333321207</v>
      </c>
      <c r="AB2779" s="236">
        <v>11.1</v>
      </c>
      <c r="AC2779" s="127">
        <f t="shared" si="58"/>
        <v>11</v>
      </c>
    </row>
    <row r="2780" ht="14.5" customHeight="1" spans="11:29" x14ac:dyDescent="0.25">
      <c r="K2780" s="128"/>
      <c r="X2780" s="234">
        <v>2022</v>
      </c>
      <c r="Y2780" s="234">
        <v>4</v>
      </c>
      <c r="Z2780" s="234">
        <v>26</v>
      </c>
      <c r="AA2780" s="235">
        <v>0.75</v>
      </c>
      <c r="AB2780" s="236">
        <v>10.9</v>
      </c>
      <c r="AC2780" s="127">
        <f t="shared" si="58"/>
        <v>11</v>
      </c>
    </row>
    <row r="2781" ht="14.5" customHeight="1" spans="11:29" x14ac:dyDescent="0.25">
      <c r="K2781" s="128"/>
      <c r="X2781" s="234">
        <v>2022</v>
      </c>
      <c r="Y2781" s="234">
        <v>4</v>
      </c>
      <c r="Z2781" s="234">
        <v>26</v>
      </c>
      <c r="AA2781" s="235">
        <v>0.7916666666678793</v>
      </c>
      <c r="AB2781" s="236">
        <v>8</v>
      </c>
      <c r="AC2781" s="127">
        <f t="shared" si="58"/>
        <v>8</v>
      </c>
    </row>
    <row r="2782" ht="14.5" customHeight="1" spans="11:29" x14ac:dyDescent="0.25">
      <c r="K2782" s="128"/>
      <c r="X2782" s="234">
        <v>2022</v>
      </c>
      <c r="Y2782" s="234">
        <v>4</v>
      </c>
      <c r="Z2782" s="234">
        <v>26</v>
      </c>
      <c r="AA2782" s="235">
        <v>0.8333333333321207</v>
      </c>
      <c r="AB2782" s="236">
        <v>6.7</v>
      </c>
      <c r="AC2782" s="127">
        <f t="shared" si="58"/>
        <v>7</v>
      </c>
    </row>
    <row r="2783" ht="14.5" customHeight="1" spans="11:29" x14ac:dyDescent="0.25">
      <c r="K2783" s="128"/>
      <c r="X2783" s="234">
        <v>2022</v>
      </c>
      <c r="Y2783" s="234">
        <v>4</v>
      </c>
      <c r="Z2783" s="234">
        <v>26</v>
      </c>
      <c r="AA2783" s="235">
        <v>0.875</v>
      </c>
      <c r="AB2783" s="236">
        <v>6.4</v>
      </c>
      <c r="AC2783" s="127">
        <f t="shared" si="58"/>
        <v>6</v>
      </c>
    </row>
    <row r="2784" ht="14.5" customHeight="1" spans="11:29" x14ac:dyDescent="0.25">
      <c r="K2784" s="128"/>
      <c r="X2784" s="234">
        <v>2022</v>
      </c>
      <c r="Y2784" s="234">
        <v>4</v>
      </c>
      <c r="Z2784" s="234">
        <v>26</v>
      </c>
      <c r="AA2784" s="235">
        <v>0.9166666666678793</v>
      </c>
      <c r="AB2784" s="236">
        <v>5</v>
      </c>
      <c r="AC2784" s="127">
        <f t="shared" si="58"/>
        <v>5</v>
      </c>
    </row>
    <row r="2785" ht="14.5" customHeight="1" spans="11:29" x14ac:dyDescent="0.25">
      <c r="K2785" s="128"/>
      <c r="X2785" s="234">
        <v>2022</v>
      </c>
      <c r="Y2785" s="234">
        <v>4</v>
      </c>
      <c r="Z2785" s="234">
        <v>26</v>
      </c>
      <c r="AA2785" s="235">
        <v>0.9583333333321207</v>
      </c>
      <c r="AB2785" s="236">
        <v>3.6</v>
      </c>
      <c r="AC2785" s="127">
        <f t="shared" si="58"/>
        <v>4</v>
      </c>
    </row>
    <row r="2786" ht="14.5" customHeight="1" spans="11:29" x14ac:dyDescent="0.25">
      <c r="K2786" s="128"/>
      <c r="X2786" s="234">
        <v>2022</v>
      </c>
      <c r="Y2786" s="234">
        <v>4</v>
      </c>
      <c r="Z2786" s="234">
        <v>27</v>
      </c>
      <c r="AA2786" s="235">
        <v>0</v>
      </c>
      <c r="AB2786" s="236">
        <v>3.7</v>
      </c>
      <c r="AC2786" s="127">
        <f t="shared" si="58"/>
        <v>4</v>
      </c>
    </row>
    <row r="2787" ht="14.5" customHeight="1" spans="11:29" x14ac:dyDescent="0.25">
      <c r="K2787" s="128"/>
      <c r="X2787" s="234">
        <v>2022</v>
      </c>
      <c r="Y2787" s="234">
        <v>4</v>
      </c>
      <c r="Z2787" s="234">
        <v>27</v>
      </c>
      <c r="AA2787" s="235">
        <v>0.041666666667879326</v>
      </c>
      <c r="AB2787" s="236">
        <v>4.3</v>
      </c>
      <c r="AC2787" s="127">
        <f t="shared" si="58"/>
        <v>4</v>
      </c>
    </row>
    <row r="2788" ht="14.5" customHeight="1" spans="11:29" x14ac:dyDescent="0.25">
      <c r="K2788" s="128"/>
      <c r="X2788" s="234">
        <v>2022</v>
      </c>
      <c r="Y2788" s="234">
        <v>4</v>
      </c>
      <c r="Z2788" s="234">
        <v>27</v>
      </c>
      <c r="AA2788" s="235">
        <v>0.08333333333212067</v>
      </c>
      <c r="AB2788" s="236">
        <v>4.2</v>
      </c>
      <c r="AC2788" s="127">
        <f t="shared" si="58"/>
        <v>4</v>
      </c>
    </row>
    <row r="2789" ht="14.5" customHeight="1" spans="11:29" x14ac:dyDescent="0.25">
      <c r="K2789" s="128"/>
      <c r="X2789" s="234">
        <v>2022</v>
      </c>
      <c r="Y2789" s="234">
        <v>4</v>
      </c>
      <c r="Z2789" s="234">
        <v>27</v>
      </c>
      <c r="AA2789" s="235">
        <v>0.125</v>
      </c>
      <c r="AB2789" s="236">
        <v>3</v>
      </c>
      <c r="AC2789" s="127">
        <f t="shared" si="58"/>
        <v>3</v>
      </c>
    </row>
    <row r="2790" ht="14.5" customHeight="1" spans="11:29" x14ac:dyDescent="0.25">
      <c r="K2790" s="128"/>
      <c r="X2790" s="234">
        <v>2022</v>
      </c>
      <c r="Y2790" s="234">
        <v>4</v>
      </c>
      <c r="Z2790" s="234">
        <v>27</v>
      </c>
      <c r="AA2790" s="235">
        <v>0.16666666666787933</v>
      </c>
      <c r="AB2790" s="236">
        <v>1.2</v>
      </c>
      <c r="AC2790" s="127">
        <f t="shared" si="58"/>
        <v>1</v>
      </c>
    </row>
    <row r="2791" ht="14.5" customHeight="1" spans="11:29" x14ac:dyDescent="0.25">
      <c r="K2791" s="128"/>
      <c r="X2791" s="234">
        <v>2022</v>
      </c>
      <c r="Y2791" s="234">
        <v>4</v>
      </c>
      <c r="Z2791" s="234">
        <v>27</v>
      </c>
      <c r="AA2791" s="235">
        <v>0.20833333333212067</v>
      </c>
      <c r="AB2791" s="236">
        <v>0.9</v>
      </c>
      <c r="AC2791" s="127">
        <f t="shared" si="58"/>
        <v>1</v>
      </c>
    </row>
    <row r="2792" ht="14.5" customHeight="1" spans="11:29" x14ac:dyDescent="0.25">
      <c r="K2792" s="128"/>
      <c r="X2792" s="234">
        <v>2022</v>
      </c>
      <c r="Y2792" s="234">
        <v>4</v>
      </c>
      <c r="Z2792" s="234">
        <v>27</v>
      </c>
      <c r="AA2792" s="235">
        <v>0.25</v>
      </c>
      <c r="AB2792" s="236">
        <v>2.9</v>
      </c>
      <c r="AC2792" s="127">
        <f t="shared" si="58"/>
        <v>3</v>
      </c>
    </row>
    <row r="2793" ht="14.5" customHeight="1" spans="11:29" x14ac:dyDescent="0.25">
      <c r="K2793" s="128"/>
      <c r="X2793" s="234">
        <v>2022</v>
      </c>
      <c r="Y2793" s="234">
        <v>4</v>
      </c>
      <c r="Z2793" s="234">
        <v>27</v>
      </c>
      <c r="AA2793" s="235">
        <v>0.2916666666678793</v>
      </c>
      <c r="AB2793" s="236">
        <v>4.9</v>
      </c>
      <c r="AC2793" s="127">
        <f t="shared" si="58"/>
        <v>5</v>
      </c>
    </row>
    <row r="2794" ht="14.5" customHeight="1" spans="11:29" x14ac:dyDescent="0.25">
      <c r="K2794" s="128"/>
      <c r="X2794" s="234">
        <v>2022</v>
      </c>
      <c r="Y2794" s="234">
        <v>4</v>
      </c>
      <c r="Z2794" s="234">
        <v>27</v>
      </c>
      <c r="AA2794" s="235">
        <v>0.3333333333321207</v>
      </c>
      <c r="AB2794" s="236">
        <v>7.1</v>
      </c>
      <c r="AC2794" s="127">
        <f t="shared" si="58"/>
        <v>7</v>
      </c>
    </row>
    <row r="2795" ht="14.5" customHeight="1" spans="11:29" x14ac:dyDescent="0.25">
      <c r="K2795" s="128"/>
      <c r="X2795" s="234">
        <v>2022</v>
      </c>
      <c r="Y2795" s="234">
        <v>4</v>
      </c>
      <c r="Z2795" s="234">
        <v>27</v>
      </c>
      <c r="AA2795" s="235">
        <v>0.375</v>
      </c>
      <c r="AB2795" s="236">
        <v>8.5</v>
      </c>
      <c r="AC2795" s="127">
        <f t="shared" si="58"/>
        <v>9</v>
      </c>
    </row>
    <row r="2796" ht="14.5" customHeight="1" spans="11:29" x14ac:dyDescent="0.25">
      <c r="K2796" s="128"/>
      <c r="X2796" s="234">
        <v>2022</v>
      </c>
      <c r="Y2796" s="234">
        <v>4</v>
      </c>
      <c r="Z2796" s="234">
        <v>27</v>
      </c>
      <c r="AA2796" s="235">
        <v>0.4166666666678793</v>
      </c>
      <c r="AB2796" s="236">
        <v>9.8</v>
      </c>
      <c r="AC2796" s="127">
        <f t="shared" si="58"/>
        <v>10</v>
      </c>
    </row>
    <row r="2797" ht="14.5" customHeight="1" spans="11:29" x14ac:dyDescent="0.25">
      <c r="K2797" s="128"/>
      <c r="X2797" s="234">
        <v>2022</v>
      </c>
      <c r="Y2797" s="234">
        <v>4</v>
      </c>
      <c r="Z2797" s="234">
        <v>27</v>
      </c>
      <c r="AA2797" s="235">
        <v>0.4583333333321207</v>
      </c>
      <c r="AB2797" s="236">
        <v>10.4</v>
      </c>
      <c r="AC2797" s="127">
        <f t="shared" si="58"/>
        <v>10</v>
      </c>
    </row>
    <row r="2798" ht="14.5" customHeight="1" spans="11:29" x14ac:dyDescent="0.25">
      <c r="K2798" s="128"/>
      <c r="X2798" s="234">
        <v>2022</v>
      </c>
      <c r="Y2798" s="234">
        <v>4</v>
      </c>
      <c r="Z2798" s="234">
        <v>27</v>
      </c>
      <c r="AA2798" s="235">
        <v>0.5</v>
      </c>
      <c r="AB2798" s="236">
        <v>10.4</v>
      </c>
      <c r="AC2798" s="127">
        <f t="shared" si="58"/>
        <v>10</v>
      </c>
    </row>
    <row r="2799" ht="14.5" customHeight="1" spans="11:29" x14ac:dyDescent="0.25">
      <c r="K2799" s="128"/>
      <c r="X2799" s="234">
        <v>2022</v>
      </c>
      <c r="Y2799" s="234">
        <v>4</v>
      </c>
      <c r="Z2799" s="234">
        <v>27</v>
      </c>
      <c r="AA2799" s="235">
        <v>0.5416666666678793</v>
      </c>
      <c r="AB2799" s="236">
        <v>10.7</v>
      </c>
      <c r="AC2799" s="127">
        <f t="shared" si="58"/>
        <v>11</v>
      </c>
    </row>
    <row r="2800" ht="14.5" customHeight="1" spans="11:29" x14ac:dyDescent="0.25">
      <c r="K2800" s="128"/>
      <c r="X2800" s="234">
        <v>2022</v>
      </c>
      <c r="Y2800" s="234">
        <v>4</v>
      </c>
      <c r="Z2800" s="234">
        <v>27</v>
      </c>
      <c r="AA2800" s="235">
        <v>0.5833333333321207</v>
      </c>
      <c r="AB2800" s="236">
        <v>10.8</v>
      </c>
      <c r="AC2800" s="127">
        <f t="shared" si="58"/>
        <v>11</v>
      </c>
    </row>
    <row r="2801" ht="14.5" customHeight="1" spans="11:29" x14ac:dyDescent="0.25">
      <c r="K2801" s="128"/>
      <c r="X2801" s="234">
        <v>2022</v>
      </c>
      <c r="Y2801" s="234">
        <v>4</v>
      </c>
      <c r="Z2801" s="234">
        <v>27</v>
      </c>
      <c r="AA2801" s="235">
        <v>0.625</v>
      </c>
      <c r="AB2801" s="236">
        <v>11.4</v>
      </c>
      <c r="AC2801" s="127">
        <f t="shared" si="58"/>
        <v>11</v>
      </c>
    </row>
    <row r="2802" ht="14.5" customHeight="1" spans="11:29" x14ac:dyDescent="0.25">
      <c r="K2802" s="128"/>
      <c r="X2802" s="234">
        <v>2022</v>
      </c>
      <c r="Y2802" s="234">
        <v>4</v>
      </c>
      <c r="Z2802" s="234">
        <v>27</v>
      </c>
      <c r="AA2802" s="235">
        <v>0.6666666666678793</v>
      </c>
      <c r="AB2802" s="236">
        <v>11</v>
      </c>
      <c r="AC2802" s="127">
        <f t="shared" si="58"/>
        <v>11</v>
      </c>
    </row>
    <row r="2803" ht="14.5" customHeight="1" spans="11:29" x14ac:dyDescent="0.25">
      <c r="K2803" s="128"/>
      <c r="X2803" s="234">
        <v>2022</v>
      </c>
      <c r="Y2803" s="234">
        <v>4</v>
      </c>
      <c r="Z2803" s="234">
        <v>27</v>
      </c>
      <c r="AA2803" s="235">
        <v>0.7083333333321207</v>
      </c>
      <c r="AB2803" s="236">
        <v>11.1</v>
      </c>
      <c r="AC2803" s="127">
        <f t="shared" si="58"/>
        <v>11</v>
      </c>
    </row>
    <row r="2804" ht="14.5" customHeight="1" spans="11:29" x14ac:dyDescent="0.25">
      <c r="K2804" s="128"/>
      <c r="X2804" s="234">
        <v>2022</v>
      </c>
      <c r="Y2804" s="234">
        <v>4</v>
      </c>
      <c r="Z2804" s="234">
        <v>27</v>
      </c>
      <c r="AA2804" s="235">
        <v>0.75</v>
      </c>
      <c r="AB2804" s="236">
        <v>10.3</v>
      </c>
      <c r="AC2804" s="127">
        <f t="shared" si="58"/>
        <v>10</v>
      </c>
    </row>
    <row r="2805" ht="14.5" customHeight="1" spans="11:29" x14ac:dyDescent="0.25">
      <c r="K2805" s="128"/>
      <c r="X2805" s="234">
        <v>2022</v>
      </c>
      <c r="Y2805" s="234">
        <v>4</v>
      </c>
      <c r="Z2805" s="234">
        <v>27</v>
      </c>
      <c r="AA2805" s="235">
        <v>0.7916666666678793</v>
      </c>
      <c r="AB2805" s="236">
        <v>8.9</v>
      </c>
      <c r="AC2805" s="127">
        <f t="shared" si="58"/>
        <v>9</v>
      </c>
    </row>
    <row r="2806" ht="14.5" customHeight="1" spans="11:29" x14ac:dyDescent="0.25">
      <c r="K2806" s="128"/>
      <c r="X2806" s="234">
        <v>2022</v>
      </c>
      <c r="Y2806" s="234">
        <v>4</v>
      </c>
      <c r="Z2806" s="234">
        <v>27</v>
      </c>
      <c r="AA2806" s="235">
        <v>0.8333333333321207</v>
      </c>
      <c r="AB2806" s="236">
        <v>7.5</v>
      </c>
      <c r="AC2806" s="127">
        <f t="shared" si="58"/>
        <v>8</v>
      </c>
    </row>
    <row r="2807" ht="14.5" customHeight="1" spans="11:29" x14ac:dyDescent="0.25">
      <c r="K2807" s="128"/>
      <c r="X2807" s="234">
        <v>2022</v>
      </c>
      <c r="Y2807" s="234">
        <v>4</v>
      </c>
      <c r="Z2807" s="234">
        <v>27</v>
      </c>
      <c r="AA2807" s="235">
        <v>0.875</v>
      </c>
      <c r="AB2807" s="236">
        <v>6.3</v>
      </c>
      <c r="AC2807" s="127">
        <f t="shared" si="58"/>
        <v>6</v>
      </c>
    </row>
    <row r="2808" ht="14.5" customHeight="1" spans="11:29" x14ac:dyDescent="0.25">
      <c r="K2808" s="128"/>
      <c r="X2808" s="234">
        <v>2022</v>
      </c>
      <c r="Y2808" s="234">
        <v>4</v>
      </c>
      <c r="Z2808" s="234">
        <v>27</v>
      </c>
      <c r="AA2808" s="235">
        <v>0.9166666666678793</v>
      </c>
      <c r="AB2808" s="236">
        <v>4.1</v>
      </c>
      <c r="AC2808" s="127">
        <f t="shared" si="58"/>
        <v>4</v>
      </c>
    </row>
    <row r="2809" ht="14.5" customHeight="1" spans="11:29" x14ac:dyDescent="0.25">
      <c r="K2809" s="128"/>
      <c r="X2809" s="234">
        <v>2022</v>
      </c>
      <c r="Y2809" s="234">
        <v>4</v>
      </c>
      <c r="Z2809" s="234">
        <v>27</v>
      </c>
      <c r="AA2809" s="235">
        <v>0.9583333333321207</v>
      </c>
      <c r="AB2809" s="236">
        <v>3.8</v>
      </c>
      <c r="AC2809" s="127">
        <f t="shared" si="58"/>
        <v>4</v>
      </c>
    </row>
    <row r="2810" ht="14.5" customHeight="1" spans="11:29" x14ac:dyDescent="0.25">
      <c r="K2810" s="128"/>
      <c r="X2810" s="234">
        <v>2022</v>
      </c>
      <c r="Y2810" s="234">
        <v>4</v>
      </c>
      <c r="Z2810" s="234">
        <v>28</v>
      </c>
      <c r="AA2810" s="235">
        <v>0</v>
      </c>
      <c r="AB2810" s="236">
        <v>0.7</v>
      </c>
      <c r="AC2810" s="127">
        <f t="shared" si="58"/>
        <v>1</v>
      </c>
    </row>
    <row r="2811" ht="14.5" customHeight="1" spans="11:29" x14ac:dyDescent="0.25">
      <c r="K2811" s="128"/>
      <c r="X2811" s="234">
        <v>2022</v>
      </c>
      <c r="Y2811" s="234">
        <v>4</v>
      </c>
      <c r="Z2811" s="234">
        <v>28</v>
      </c>
      <c r="AA2811" s="235">
        <v>0.041666666667879326</v>
      </c>
      <c r="AB2811" s="236">
        <v>-0.7</v>
      </c>
      <c r="AC2811" s="127">
        <f t="shared" si="58"/>
        <v>-1</v>
      </c>
    </row>
    <row r="2812" ht="14.5" customHeight="1" spans="11:29" x14ac:dyDescent="0.25">
      <c r="K2812" s="128"/>
      <c r="X2812" s="234">
        <v>2022</v>
      </c>
      <c r="Y2812" s="234">
        <v>4</v>
      </c>
      <c r="Z2812" s="234">
        <v>28</v>
      </c>
      <c r="AA2812" s="235">
        <v>0.08333333333212067</v>
      </c>
      <c r="AB2812" s="236">
        <v>-1.8</v>
      </c>
      <c r="AC2812" s="127">
        <f t="shared" si="58"/>
        <v>-2</v>
      </c>
    </row>
    <row r="2813" ht="14.5" customHeight="1" spans="11:29" x14ac:dyDescent="0.25">
      <c r="K2813" s="128"/>
      <c r="X2813" s="234">
        <v>2022</v>
      </c>
      <c r="Y2813" s="234">
        <v>4</v>
      </c>
      <c r="Z2813" s="234">
        <v>28</v>
      </c>
      <c r="AA2813" s="235">
        <v>0.125</v>
      </c>
      <c r="AB2813" s="236">
        <v>-2.6</v>
      </c>
      <c r="AC2813" s="127">
        <f t="shared" si="58"/>
        <v>-3</v>
      </c>
    </row>
    <row r="2814" ht="14.5" customHeight="1" spans="11:29" x14ac:dyDescent="0.25">
      <c r="K2814" s="128"/>
      <c r="X2814" s="234">
        <v>2022</v>
      </c>
      <c r="Y2814" s="234">
        <v>4</v>
      </c>
      <c r="Z2814" s="234">
        <v>28</v>
      </c>
      <c r="AA2814" s="235">
        <v>0.16666666666787933</v>
      </c>
      <c r="AB2814" s="236">
        <v>-2.4</v>
      </c>
      <c r="AC2814" s="127">
        <f t="shared" si="58"/>
        <v>-2</v>
      </c>
    </row>
    <row r="2815" ht="14.5" customHeight="1" spans="11:29" x14ac:dyDescent="0.25">
      <c r="K2815" s="128"/>
      <c r="X2815" s="234">
        <v>2022</v>
      </c>
      <c r="Y2815" s="234">
        <v>4</v>
      </c>
      <c r="Z2815" s="234">
        <v>28</v>
      </c>
      <c r="AA2815" s="235">
        <v>0.20833333333212067</v>
      </c>
      <c r="AB2815" s="236">
        <v>-2.7</v>
      </c>
      <c r="AC2815" s="127">
        <f t="shared" si="58"/>
        <v>-3</v>
      </c>
    </row>
    <row r="2816" ht="14.5" customHeight="1" spans="11:29" x14ac:dyDescent="0.25">
      <c r="K2816" s="128"/>
      <c r="X2816" s="234">
        <v>2022</v>
      </c>
      <c r="Y2816" s="234">
        <v>4</v>
      </c>
      <c r="Z2816" s="234">
        <v>28</v>
      </c>
      <c r="AA2816" s="235">
        <v>0.25</v>
      </c>
      <c r="AB2816" s="236">
        <v>-1.7</v>
      </c>
      <c r="AC2816" s="127">
        <f t="shared" si="58"/>
        <v>-2</v>
      </c>
    </row>
    <row r="2817" ht="14.5" customHeight="1" spans="11:29" x14ac:dyDescent="0.25">
      <c r="K2817" s="128"/>
      <c r="X2817" s="234">
        <v>2022</v>
      </c>
      <c r="Y2817" s="234">
        <v>4</v>
      </c>
      <c r="Z2817" s="234">
        <v>28</v>
      </c>
      <c r="AA2817" s="235">
        <v>0.2916666666678793</v>
      </c>
      <c r="AB2817" s="236">
        <v>1.9</v>
      </c>
      <c r="AC2817" s="127">
        <f t="shared" si="58"/>
        <v>2</v>
      </c>
    </row>
    <row r="2818" ht="14.5" customHeight="1" spans="11:29" x14ac:dyDescent="0.25">
      <c r="K2818" s="128"/>
      <c r="X2818" s="234">
        <v>2022</v>
      </c>
      <c r="Y2818" s="234">
        <v>4</v>
      </c>
      <c r="Z2818" s="234">
        <v>28</v>
      </c>
      <c r="AA2818" s="235">
        <v>0.3333333333321207</v>
      </c>
      <c r="AB2818" s="236">
        <v>4.5</v>
      </c>
      <c r="AC2818" s="127">
        <f t="shared" si="58"/>
        <v>5</v>
      </c>
    </row>
    <row r="2819" ht="14.5" customHeight="1" spans="11:29" x14ac:dyDescent="0.25">
      <c r="K2819" s="128"/>
      <c r="X2819" s="234">
        <v>2022</v>
      </c>
      <c r="Y2819" s="234">
        <v>4</v>
      </c>
      <c r="Z2819" s="234">
        <v>28</v>
      </c>
      <c r="AA2819" s="235">
        <v>0.375</v>
      </c>
      <c r="AB2819" s="236">
        <v>5.9</v>
      </c>
      <c r="AC2819" s="127">
        <f t="shared" si="58"/>
        <v>6</v>
      </c>
    </row>
    <row r="2820" ht="14.5" customHeight="1" spans="11:29" x14ac:dyDescent="0.25">
      <c r="K2820" s="128"/>
      <c r="X2820" s="234">
        <v>2022</v>
      </c>
      <c r="Y2820" s="234">
        <v>4</v>
      </c>
      <c r="Z2820" s="234">
        <v>28</v>
      </c>
      <c r="AA2820" s="235">
        <v>0.4166666666678793</v>
      </c>
      <c r="AB2820" s="236">
        <v>6.1</v>
      </c>
      <c r="AC2820" s="127">
        <f t="shared" si="58"/>
        <v>6</v>
      </c>
    </row>
    <row r="2821" ht="14.5" customHeight="1" spans="11:29" x14ac:dyDescent="0.25">
      <c r="K2821" s="128"/>
      <c r="X2821" s="234">
        <v>2022</v>
      </c>
      <c r="Y2821" s="234">
        <v>4</v>
      </c>
      <c r="Z2821" s="234">
        <v>28</v>
      </c>
      <c r="AA2821" s="235">
        <v>0.4583333333321207</v>
      </c>
      <c r="AB2821" s="236">
        <v>7.8</v>
      </c>
      <c r="AC2821" s="127">
        <f t="shared" si="58"/>
        <v>8</v>
      </c>
    </row>
    <row r="2822" ht="14.5" customHeight="1" spans="11:29" x14ac:dyDescent="0.25">
      <c r="K2822" s="128"/>
      <c r="X2822" s="234">
        <v>2022</v>
      </c>
      <c r="Y2822" s="234">
        <v>4</v>
      </c>
      <c r="Z2822" s="234">
        <v>28</v>
      </c>
      <c r="AA2822" s="235">
        <v>0.5</v>
      </c>
      <c r="AB2822" s="236">
        <v>8.4</v>
      </c>
      <c r="AC2822" s="127">
        <f t="shared" si="58"/>
        <v>8</v>
      </c>
    </row>
    <row r="2823" ht="14.5" customHeight="1" spans="11:29" x14ac:dyDescent="0.25">
      <c r="K2823" s="128"/>
      <c r="X2823" s="234">
        <v>2022</v>
      </c>
      <c r="Y2823" s="234">
        <v>4</v>
      </c>
      <c r="Z2823" s="234">
        <v>28</v>
      </c>
      <c r="AA2823" s="235">
        <v>0.5416666666678793</v>
      </c>
      <c r="AB2823" s="236">
        <v>9.2</v>
      </c>
      <c r="AC2823" s="127">
        <f t="shared" si="58"/>
        <v>9</v>
      </c>
    </row>
    <row r="2824" ht="14.5" customHeight="1" spans="11:29" x14ac:dyDescent="0.25">
      <c r="K2824" s="128"/>
      <c r="X2824" s="234">
        <v>2022</v>
      </c>
      <c r="Y2824" s="234">
        <v>4</v>
      </c>
      <c r="Z2824" s="234">
        <v>28</v>
      </c>
      <c r="AA2824" s="235">
        <v>0.5833333333321207</v>
      </c>
      <c r="AB2824" s="236">
        <v>9.9</v>
      </c>
      <c r="AC2824" s="127">
        <f t="shared" si="58"/>
        <v>10</v>
      </c>
    </row>
    <row r="2825" ht="14.5" customHeight="1" spans="11:29" x14ac:dyDescent="0.25">
      <c r="K2825" s="128"/>
      <c r="X2825" s="234">
        <v>2022</v>
      </c>
      <c r="Y2825" s="234">
        <v>4</v>
      </c>
      <c r="Z2825" s="234">
        <v>28</v>
      </c>
      <c r="AA2825" s="235">
        <v>0.625</v>
      </c>
      <c r="AB2825" s="236">
        <v>11</v>
      </c>
      <c r="AC2825" s="127">
        <f t="shared" si="58"/>
        <v>11</v>
      </c>
    </row>
    <row r="2826" ht="14.5" customHeight="1" spans="11:29" x14ac:dyDescent="0.25">
      <c r="K2826" s="128"/>
      <c r="X2826" s="234">
        <v>2022</v>
      </c>
      <c r="Y2826" s="234">
        <v>4</v>
      </c>
      <c r="Z2826" s="234">
        <v>28</v>
      </c>
      <c r="AA2826" s="235">
        <v>0.6666666666678793</v>
      </c>
      <c r="AB2826" s="236">
        <v>10.3</v>
      </c>
      <c r="AC2826" s="127">
        <f t="shared" si="58"/>
        <v>10</v>
      </c>
    </row>
    <row r="2827" ht="14.5" customHeight="1" spans="11:29" x14ac:dyDescent="0.25">
      <c r="K2827" s="128"/>
      <c r="X2827" s="234">
        <v>2022</v>
      </c>
      <c r="Y2827" s="234">
        <v>4</v>
      </c>
      <c r="Z2827" s="234">
        <v>28</v>
      </c>
      <c r="AA2827" s="235">
        <v>0.7083333333321207</v>
      </c>
      <c r="AB2827" s="236">
        <v>10.1</v>
      </c>
      <c r="AC2827" s="127">
        <f t="shared" ref="AC2827:AC2890" si="59">ROUND(AB2827,0)</f>
        <v>10</v>
      </c>
    </row>
    <row r="2828" ht="14.5" customHeight="1" spans="11:29" x14ac:dyDescent="0.25">
      <c r="K2828" s="128"/>
      <c r="X2828" s="234">
        <v>2022</v>
      </c>
      <c r="Y2828" s="234">
        <v>4</v>
      </c>
      <c r="Z2828" s="234">
        <v>28</v>
      </c>
      <c r="AA2828" s="235">
        <v>0.75</v>
      </c>
      <c r="AB2828" s="236">
        <v>9.6</v>
      </c>
      <c r="AC2828" s="127">
        <f t="shared" si="59"/>
        <v>10</v>
      </c>
    </row>
    <row r="2829" ht="14.5" customHeight="1" spans="11:29" x14ac:dyDescent="0.25">
      <c r="K2829" s="128"/>
      <c r="X2829" s="234">
        <v>2022</v>
      </c>
      <c r="Y2829" s="234">
        <v>4</v>
      </c>
      <c r="Z2829" s="234">
        <v>28</v>
      </c>
      <c r="AA2829" s="235">
        <v>0.7916666666678793</v>
      </c>
      <c r="AB2829" s="236">
        <v>9.4</v>
      </c>
      <c r="AC2829" s="127">
        <f t="shared" si="59"/>
        <v>9</v>
      </c>
    </row>
    <row r="2830" ht="14.5" customHeight="1" spans="11:29" x14ac:dyDescent="0.25">
      <c r="K2830" s="128"/>
      <c r="X2830" s="234">
        <v>2022</v>
      </c>
      <c r="Y2830" s="234">
        <v>4</v>
      </c>
      <c r="Z2830" s="234">
        <v>28</v>
      </c>
      <c r="AA2830" s="235">
        <v>0.8333333333321207</v>
      </c>
      <c r="AB2830" s="236">
        <v>8.2</v>
      </c>
      <c r="AC2830" s="127">
        <f t="shared" si="59"/>
        <v>8</v>
      </c>
    </row>
    <row r="2831" ht="14.5" customHeight="1" spans="11:29" x14ac:dyDescent="0.25">
      <c r="K2831" s="128"/>
      <c r="X2831" s="234">
        <v>2022</v>
      </c>
      <c r="Y2831" s="234">
        <v>4</v>
      </c>
      <c r="Z2831" s="234">
        <v>28</v>
      </c>
      <c r="AA2831" s="235">
        <v>0.875</v>
      </c>
      <c r="AB2831" s="236">
        <v>7.6</v>
      </c>
      <c r="AC2831" s="127">
        <f t="shared" si="59"/>
        <v>8</v>
      </c>
    </row>
    <row r="2832" ht="14.5" customHeight="1" spans="11:29" x14ac:dyDescent="0.25">
      <c r="K2832" s="128"/>
      <c r="X2832" s="234">
        <v>2022</v>
      </c>
      <c r="Y2832" s="234">
        <v>4</v>
      </c>
      <c r="Z2832" s="234">
        <v>28</v>
      </c>
      <c r="AA2832" s="235">
        <v>0.9166666666678793</v>
      </c>
      <c r="AB2832" s="236">
        <v>6.8</v>
      </c>
      <c r="AC2832" s="127">
        <f t="shared" si="59"/>
        <v>7</v>
      </c>
    </row>
    <row r="2833" ht="14.5" customHeight="1" spans="11:29" x14ac:dyDescent="0.25">
      <c r="K2833" s="128"/>
      <c r="X2833" s="234">
        <v>2022</v>
      </c>
      <c r="Y2833" s="234">
        <v>4</v>
      </c>
      <c r="Z2833" s="234">
        <v>28</v>
      </c>
      <c r="AA2833" s="235">
        <v>0.9583333333321207</v>
      </c>
      <c r="AB2833" s="236">
        <v>6.1</v>
      </c>
      <c r="AC2833" s="127">
        <f t="shared" si="59"/>
        <v>6</v>
      </c>
    </row>
    <row r="2834" ht="14.5" customHeight="1" spans="11:29" x14ac:dyDescent="0.25">
      <c r="K2834" s="128"/>
      <c r="X2834" s="234">
        <v>2022</v>
      </c>
      <c r="Y2834" s="234">
        <v>4</v>
      </c>
      <c r="Z2834" s="234">
        <v>29</v>
      </c>
      <c r="AA2834" s="235">
        <v>0</v>
      </c>
      <c r="AB2834" s="236">
        <v>5</v>
      </c>
      <c r="AC2834" s="127">
        <f t="shared" si="59"/>
        <v>5</v>
      </c>
    </row>
    <row r="2835" ht="14.5" customHeight="1" spans="11:29" x14ac:dyDescent="0.25">
      <c r="K2835" s="128"/>
      <c r="X2835" s="234">
        <v>2022</v>
      </c>
      <c r="Y2835" s="234">
        <v>4</v>
      </c>
      <c r="Z2835" s="234">
        <v>29</v>
      </c>
      <c r="AA2835" s="235">
        <v>0.041666666667879326</v>
      </c>
      <c r="AB2835" s="236">
        <v>3.6</v>
      </c>
      <c r="AC2835" s="127">
        <f t="shared" si="59"/>
        <v>4</v>
      </c>
    </row>
    <row r="2836" ht="14.5" customHeight="1" spans="11:29" x14ac:dyDescent="0.25">
      <c r="K2836" s="128"/>
      <c r="X2836" s="234">
        <v>2022</v>
      </c>
      <c r="Y2836" s="234">
        <v>4</v>
      </c>
      <c r="Z2836" s="234">
        <v>29</v>
      </c>
      <c r="AA2836" s="235">
        <v>0.08333333333212067</v>
      </c>
      <c r="AB2836" s="236">
        <v>1.5</v>
      </c>
      <c r="AC2836" s="127">
        <f t="shared" si="59"/>
        <v>2</v>
      </c>
    </row>
    <row r="2837" ht="14.5" customHeight="1" spans="11:29" x14ac:dyDescent="0.25">
      <c r="K2837" s="128"/>
      <c r="X2837" s="234">
        <v>2022</v>
      </c>
      <c r="Y2837" s="234">
        <v>4</v>
      </c>
      <c r="Z2837" s="234">
        <v>29</v>
      </c>
      <c r="AA2837" s="235">
        <v>0.125</v>
      </c>
      <c r="AB2837" s="236">
        <v>2.1</v>
      </c>
      <c r="AC2837" s="127">
        <f t="shared" si="59"/>
        <v>2</v>
      </c>
    </row>
    <row r="2838" ht="14.5" customHeight="1" spans="11:29" x14ac:dyDescent="0.25">
      <c r="K2838" s="128"/>
      <c r="X2838" s="234">
        <v>2022</v>
      </c>
      <c r="Y2838" s="234">
        <v>4</v>
      </c>
      <c r="Z2838" s="234">
        <v>29</v>
      </c>
      <c r="AA2838" s="235">
        <v>0.16666666666787933</v>
      </c>
      <c r="AB2838" s="236">
        <v>1</v>
      </c>
      <c r="AC2838" s="127">
        <f t="shared" si="59"/>
        <v>1</v>
      </c>
    </row>
    <row r="2839" ht="14.5" customHeight="1" spans="11:29" x14ac:dyDescent="0.25">
      <c r="K2839" s="128"/>
      <c r="X2839" s="234">
        <v>2022</v>
      </c>
      <c r="Y2839" s="234">
        <v>4</v>
      </c>
      <c r="Z2839" s="234">
        <v>29</v>
      </c>
      <c r="AA2839" s="235">
        <v>0.20833333333212067</v>
      </c>
      <c r="AB2839" s="236">
        <v>0.6</v>
      </c>
      <c r="AC2839" s="127">
        <f t="shared" si="59"/>
        <v>1</v>
      </c>
    </row>
    <row r="2840" ht="14.5" customHeight="1" spans="11:29" x14ac:dyDescent="0.25">
      <c r="K2840" s="128"/>
      <c r="X2840" s="234">
        <v>2022</v>
      </c>
      <c r="Y2840" s="234">
        <v>4</v>
      </c>
      <c r="Z2840" s="234">
        <v>29</v>
      </c>
      <c r="AA2840" s="235">
        <v>0.25</v>
      </c>
      <c r="AB2840" s="236">
        <v>0</v>
      </c>
      <c r="AC2840" s="127">
        <f t="shared" si="59"/>
        <v>0</v>
      </c>
    </row>
    <row r="2841" ht="14.5" customHeight="1" spans="11:29" x14ac:dyDescent="0.25">
      <c r="K2841" s="128"/>
      <c r="X2841" s="234">
        <v>2022</v>
      </c>
      <c r="Y2841" s="234">
        <v>4</v>
      </c>
      <c r="Z2841" s="234">
        <v>29</v>
      </c>
      <c r="AA2841" s="235">
        <v>0.2916666666678793</v>
      </c>
      <c r="AB2841" s="236">
        <v>2.1</v>
      </c>
      <c r="AC2841" s="127">
        <f t="shared" si="59"/>
        <v>2</v>
      </c>
    </row>
    <row r="2842" ht="14.5" customHeight="1" spans="11:29" x14ac:dyDescent="0.25">
      <c r="K2842" s="128"/>
      <c r="X2842" s="234">
        <v>2022</v>
      </c>
      <c r="Y2842" s="234">
        <v>4</v>
      </c>
      <c r="Z2842" s="234">
        <v>29</v>
      </c>
      <c r="AA2842" s="235">
        <v>0.3333333333321207</v>
      </c>
      <c r="AB2842" s="236">
        <v>3.6</v>
      </c>
      <c r="AC2842" s="127">
        <f t="shared" si="59"/>
        <v>4</v>
      </c>
    </row>
    <row r="2843" ht="14.5" customHeight="1" spans="11:29" x14ac:dyDescent="0.25">
      <c r="K2843" s="128"/>
      <c r="X2843" s="234">
        <v>2022</v>
      </c>
      <c r="Y2843" s="234">
        <v>4</v>
      </c>
      <c r="Z2843" s="234">
        <v>29</v>
      </c>
      <c r="AA2843" s="235">
        <v>0.375</v>
      </c>
      <c r="AB2843" s="236">
        <v>4.8</v>
      </c>
      <c r="AC2843" s="127">
        <f t="shared" si="59"/>
        <v>5</v>
      </c>
    </row>
    <row r="2844" ht="14.5" customHeight="1" spans="11:29" x14ac:dyDescent="0.25">
      <c r="K2844" s="128"/>
      <c r="X2844" s="234">
        <v>2022</v>
      </c>
      <c r="Y2844" s="234">
        <v>4</v>
      </c>
      <c r="Z2844" s="234">
        <v>29</v>
      </c>
      <c r="AA2844" s="235">
        <v>0.4166666666678793</v>
      </c>
      <c r="AB2844" s="236">
        <v>6.7</v>
      </c>
      <c r="AC2844" s="127">
        <f t="shared" si="59"/>
        <v>7</v>
      </c>
    </row>
    <row r="2845" ht="14.5" customHeight="1" spans="11:29" x14ac:dyDescent="0.25">
      <c r="K2845" s="128"/>
      <c r="X2845" s="234">
        <v>2022</v>
      </c>
      <c r="Y2845" s="234">
        <v>4</v>
      </c>
      <c r="Z2845" s="234">
        <v>29</v>
      </c>
      <c r="AA2845" s="235">
        <v>0.4583333333321207</v>
      </c>
      <c r="AB2845" s="236">
        <v>7.9</v>
      </c>
      <c r="AC2845" s="127">
        <f t="shared" si="59"/>
        <v>8</v>
      </c>
    </row>
    <row r="2846" ht="14.5" customHeight="1" spans="11:29" x14ac:dyDescent="0.25">
      <c r="K2846" s="128"/>
      <c r="X2846" s="234">
        <v>2022</v>
      </c>
      <c r="Y2846" s="234">
        <v>4</v>
      </c>
      <c r="Z2846" s="234">
        <v>29</v>
      </c>
      <c r="AA2846" s="235">
        <v>0.5</v>
      </c>
      <c r="AB2846" s="236">
        <v>9.7</v>
      </c>
      <c r="AC2846" s="127">
        <f t="shared" si="59"/>
        <v>10</v>
      </c>
    </row>
    <row r="2847" ht="14.5" customHeight="1" spans="11:29" x14ac:dyDescent="0.25">
      <c r="K2847" s="128"/>
      <c r="X2847" s="234">
        <v>2022</v>
      </c>
      <c r="Y2847" s="234">
        <v>4</v>
      </c>
      <c r="Z2847" s="234">
        <v>29</v>
      </c>
      <c r="AA2847" s="235">
        <v>0.5416666666678793</v>
      </c>
      <c r="AB2847" s="236">
        <v>9.5</v>
      </c>
      <c r="AC2847" s="127">
        <f t="shared" si="59"/>
        <v>10</v>
      </c>
    </row>
    <row r="2848" ht="14.5" customHeight="1" spans="11:29" x14ac:dyDescent="0.25">
      <c r="K2848" s="128"/>
      <c r="X2848" s="234">
        <v>2022</v>
      </c>
      <c r="Y2848" s="234">
        <v>4</v>
      </c>
      <c r="Z2848" s="234">
        <v>29</v>
      </c>
      <c r="AA2848" s="235">
        <v>0.5833333333321207</v>
      </c>
      <c r="AB2848" s="236">
        <v>11.1</v>
      </c>
      <c r="AC2848" s="127">
        <f t="shared" si="59"/>
        <v>11</v>
      </c>
    </row>
    <row r="2849" ht="14.5" customHeight="1" spans="11:29" x14ac:dyDescent="0.25">
      <c r="K2849" s="128"/>
      <c r="X2849" s="234">
        <v>2022</v>
      </c>
      <c r="Y2849" s="234">
        <v>4</v>
      </c>
      <c r="Z2849" s="234">
        <v>29</v>
      </c>
      <c r="AA2849" s="235">
        <v>0.625</v>
      </c>
      <c r="AB2849" s="236">
        <v>11.3</v>
      </c>
      <c r="AC2849" s="127">
        <f t="shared" si="59"/>
        <v>11</v>
      </c>
    </row>
    <row r="2850" ht="14.5" customHeight="1" spans="11:29" x14ac:dyDescent="0.25">
      <c r="K2850" s="128"/>
      <c r="X2850" s="234">
        <v>2022</v>
      </c>
      <c r="Y2850" s="234">
        <v>4</v>
      </c>
      <c r="Z2850" s="234">
        <v>29</v>
      </c>
      <c r="AA2850" s="235">
        <v>0.6666666666678793</v>
      </c>
      <c r="AB2850" s="236">
        <v>11.3</v>
      </c>
      <c r="AC2850" s="127">
        <f t="shared" si="59"/>
        <v>11</v>
      </c>
    </row>
    <row r="2851" ht="14.5" customHeight="1" spans="11:29" x14ac:dyDescent="0.25">
      <c r="K2851" s="128"/>
      <c r="X2851" s="234">
        <v>2022</v>
      </c>
      <c r="Y2851" s="234">
        <v>4</v>
      </c>
      <c r="Z2851" s="234">
        <v>29</v>
      </c>
      <c r="AA2851" s="235">
        <v>0.7083333333321207</v>
      </c>
      <c r="AB2851" s="236">
        <v>11.2</v>
      </c>
      <c r="AC2851" s="127">
        <f t="shared" si="59"/>
        <v>11</v>
      </c>
    </row>
    <row r="2852" ht="14.5" customHeight="1" spans="11:29" x14ac:dyDescent="0.25">
      <c r="K2852" s="128"/>
      <c r="X2852" s="234">
        <v>2022</v>
      </c>
      <c r="Y2852" s="234">
        <v>4</v>
      </c>
      <c r="Z2852" s="234">
        <v>29</v>
      </c>
      <c r="AA2852" s="235">
        <v>0.75</v>
      </c>
      <c r="AB2852" s="236">
        <v>11.1</v>
      </c>
      <c r="AC2852" s="127">
        <f t="shared" si="59"/>
        <v>11</v>
      </c>
    </row>
    <row r="2853" ht="14.5" customHeight="1" spans="11:29" x14ac:dyDescent="0.25">
      <c r="K2853" s="128"/>
      <c r="X2853" s="234">
        <v>2022</v>
      </c>
      <c r="Y2853" s="234">
        <v>4</v>
      </c>
      <c r="Z2853" s="234">
        <v>29</v>
      </c>
      <c r="AA2853" s="235">
        <v>0.7916666666678793</v>
      </c>
      <c r="AB2853" s="236">
        <v>8.1</v>
      </c>
      <c r="AC2853" s="127">
        <f t="shared" si="59"/>
        <v>8</v>
      </c>
    </row>
    <row r="2854" ht="14.5" customHeight="1" spans="11:29" x14ac:dyDescent="0.25">
      <c r="K2854" s="128"/>
      <c r="X2854" s="234">
        <v>2022</v>
      </c>
      <c r="Y2854" s="234">
        <v>4</v>
      </c>
      <c r="Z2854" s="234">
        <v>29</v>
      </c>
      <c r="AA2854" s="235">
        <v>0.8333333333321207</v>
      </c>
      <c r="AB2854" s="236">
        <v>5.6</v>
      </c>
      <c r="AC2854" s="127">
        <f t="shared" si="59"/>
        <v>6</v>
      </c>
    </row>
    <row r="2855" ht="14.5" customHeight="1" spans="11:29" x14ac:dyDescent="0.25">
      <c r="K2855" s="128"/>
      <c r="X2855" s="234">
        <v>2022</v>
      </c>
      <c r="Y2855" s="234">
        <v>4</v>
      </c>
      <c r="Z2855" s="234">
        <v>29</v>
      </c>
      <c r="AA2855" s="235">
        <v>0.875</v>
      </c>
      <c r="AB2855" s="236">
        <v>4.4</v>
      </c>
      <c r="AC2855" s="127">
        <f t="shared" si="59"/>
        <v>4</v>
      </c>
    </row>
    <row r="2856" ht="14.5" customHeight="1" spans="11:29" x14ac:dyDescent="0.25">
      <c r="K2856" s="128"/>
      <c r="X2856" s="234">
        <v>2022</v>
      </c>
      <c r="Y2856" s="234">
        <v>4</v>
      </c>
      <c r="Z2856" s="234">
        <v>29</v>
      </c>
      <c r="AA2856" s="235">
        <v>0.9166666666678793</v>
      </c>
      <c r="AB2856" s="236">
        <v>3.4</v>
      </c>
      <c r="AC2856" s="127">
        <f t="shared" si="59"/>
        <v>3</v>
      </c>
    </row>
    <row r="2857" ht="14.5" customHeight="1" spans="11:29" x14ac:dyDescent="0.25">
      <c r="K2857" s="128"/>
      <c r="X2857" s="234">
        <v>2022</v>
      </c>
      <c r="Y2857" s="234">
        <v>4</v>
      </c>
      <c r="Z2857" s="234">
        <v>29</v>
      </c>
      <c r="AA2857" s="235">
        <v>0.9583333333321207</v>
      </c>
      <c r="AB2857" s="236">
        <v>3.9</v>
      </c>
      <c r="AC2857" s="127">
        <f t="shared" si="59"/>
        <v>4</v>
      </c>
    </row>
    <row r="2858" ht="14.5" customHeight="1" spans="11:29" x14ac:dyDescent="0.25">
      <c r="K2858" s="128"/>
      <c r="X2858" s="234">
        <v>2022</v>
      </c>
      <c r="Y2858" s="234">
        <v>4</v>
      </c>
      <c r="Z2858" s="234">
        <v>30</v>
      </c>
      <c r="AA2858" s="235">
        <v>0</v>
      </c>
      <c r="AB2858" s="236">
        <v>4.4</v>
      </c>
      <c r="AC2858" s="127">
        <f t="shared" si="59"/>
        <v>4</v>
      </c>
    </row>
    <row r="2859" ht="14.5" customHeight="1" spans="11:29" x14ac:dyDescent="0.25">
      <c r="K2859" s="128"/>
      <c r="X2859" s="234">
        <v>2022</v>
      </c>
      <c r="Y2859" s="234">
        <v>4</v>
      </c>
      <c r="Z2859" s="234">
        <v>30</v>
      </c>
      <c r="AA2859" s="235">
        <v>0.041666666667879326</v>
      </c>
      <c r="AB2859" s="236">
        <v>3.6</v>
      </c>
      <c r="AC2859" s="127">
        <f t="shared" si="59"/>
        <v>4</v>
      </c>
    </row>
    <row r="2860" ht="14.5" customHeight="1" spans="11:29" x14ac:dyDescent="0.25">
      <c r="K2860" s="128"/>
      <c r="X2860" s="234">
        <v>2022</v>
      </c>
      <c r="Y2860" s="234">
        <v>4</v>
      </c>
      <c r="Z2860" s="234">
        <v>30</v>
      </c>
      <c r="AA2860" s="235">
        <v>0.08333333333212067</v>
      </c>
      <c r="AB2860" s="236">
        <v>1</v>
      </c>
      <c r="AC2860" s="127">
        <f t="shared" si="59"/>
        <v>1</v>
      </c>
    </row>
    <row r="2861" ht="14.5" customHeight="1" spans="11:29" x14ac:dyDescent="0.25">
      <c r="K2861" s="128"/>
      <c r="X2861" s="234">
        <v>2022</v>
      </c>
      <c r="Y2861" s="234">
        <v>4</v>
      </c>
      <c r="Z2861" s="234">
        <v>30</v>
      </c>
      <c r="AA2861" s="235">
        <v>0.125</v>
      </c>
      <c r="AB2861" s="236">
        <v>0.7</v>
      </c>
      <c r="AC2861" s="127">
        <f t="shared" si="59"/>
        <v>1</v>
      </c>
    </row>
    <row r="2862" ht="14.5" customHeight="1" spans="11:29" x14ac:dyDescent="0.25">
      <c r="K2862" s="128"/>
      <c r="X2862" s="234">
        <v>2022</v>
      </c>
      <c r="Y2862" s="234">
        <v>4</v>
      </c>
      <c r="Z2862" s="234">
        <v>30</v>
      </c>
      <c r="AA2862" s="235">
        <v>0.16666666666787933</v>
      </c>
      <c r="AB2862" s="236">
        <v>0.6</v>
      </c>
      <c r="AC2862" s="127">
        <f t="shared" si="59"/>
        <v>1</v>
      </c>
    </row>
    <row r="2863" ht="14.5" customHeight="1" spans="11:29" x14ac:dyDescent="0.25">
      <c r="K2863" s="128"/>
      <c r="X2863" s="234">
        <v>2022</v>
      </c>
      <c r="Y2863" s="234">
        <v>4</v>
      </c>
      <c r="Z2863" s="234">
        <v>30</v>
      </c>
      <c r="AA2863" s="235">
        <v>0.20833333333212067</v>
      </c>
      <c r="AB2863" s="236">
        <v>-1.3</v>
      </c>
      <c r="AC2863" s="127">
        <f t="shared" si="59"/>
        <v>-1</v>
      </c>
    </row>
    <row r="2864" ht="14.5" customHeight="1" spans="11:29" x14ac:dyDescent="0.25">
      <c r="K2864" s="128"/>
      <c r="X2864" s="234">
        <v>2022</v>
      </c>
      <c r="Y2864" s="234">
        <v>4</v>
      </c>
      <c r="Z2864" s="234">
        <v>30</v>
      </c>
      <c r="AA2864" s="235">
        <v>0.25</v>
      </c>
      <c r="AB2864" s="236">
        <v>-0.7</v>
      </c>
      <c r="AC2864" s="127">
        <f t="shared" si="59"/>
        <v>-1</v>
      </c>
    </row>
    <row r="2865" ht="14.5" customHeight="1" spans="11:29" x14ac:dyDescent="0.25">
      <c r="K2865" s="128"/>
      <c r="X2865" s="234">
        <v>2022</v>
      </c>
      <c r="Y2865" s="234">
        <v>4</v>
      </c>
      <c r="Z2865" s="234">
        <v>30</v>
      </c>
      <c r="AA2865" s="235">
        <v>0.2916666666678793</v>
      </c>
      <c r="AB2865" s="236">
        <v>1.3</v>
      </c>
      <c r="AC2865" s="127">
        <f t="shared" si="59"/>
        <v>1</v>
      </c>
    </row>
    <row r="2866" ht="14.5" customHeight="1" spans="11:29" x14ac:dyDescent="0.25">
      <c r="K2866" s="128"/>
      <c r="X2866" s="234">
        <v>2022</v>
      </c>
      <c r="Y2866" s="234">
        <v>4</v>
      </c>
      <c r="Z2866" s="234">
        <v>30</v>
      </c>
      <c r="AA2866" s="235">
        <v>0.3333333333321207</v>
      </c>
      <c r="AB2866" s="236">
        <v>3.6</v>
      </c>
      <c r="AC2866" s="127">
        <f t="shared" si="59"/>
        <v>4</v>
      </c>
    </row>
    <row r="2867" ht="14.5" customHeight="1" spans="11:29" x14ac:dyDescent="0.25">
      <c r="K2867" s="128"/>
      <c r="X2867" s="234">
        <v>2022</v>
      </c>
      <c r="Y2867" s="234">
        <v>4</v>
      </c>
      <c r="Z2867" s="234">
        <v>30</v>
      </c>
      <c r="AA2867" s="235">
        <v>0.375</v>
      </c>
      <c r="AB2867" s="236">
        <v>5.1</v>
      </c>
      <c r="AC2867" s="127">
        <f t="shared" si="59"/>
        <v>5</v>
      </c>
    </row>
    <row r="2868" ht="14.5" customHeight="1" spans="11:29" x14ac:dyDescent="0.25">
      <c r="K2868" s="128"/>
      <c r="X2868" s="234">
        <v>2022</v>
      </c>
      <c r="Y2868" s="234">
        <v>4</v>
      </c>
      <c r="Z2868" s="234">
        <v>30</v>
      </c>
      <c r="AA2868" s="235">
        <v>0.4166666666678793</v>
      </c>
      <c r="AB2868" s="236">
        <v>7.7</v>
      </c>
      <c r="AC2868" s="127">
        <f t="shared" si="59"/>
        <v>8</v>
      </c>
    </row>
    <row r="2869" ht="14.5" customHeight="1" spans="11:29" x14ac:dyDescent="0.25">
      <c r="K2869" s="128"/>
      <c r="X2869" s="234">
        <v>2022</v>
      </c>
      <c r="Y2869" s="234">
        <v>4</v>
      </c>
      <c r="Z2869" s="234">
        <v>30</v>
      </c>
      <c r="AA2869" s="235">
        <v>0.4583333333321207</v>
      </c>
      <c r="AB2869" s="236">
        <v>9.6</v>
      </c>
      <c r="AC2869" s="127">
        <f t="shared" si="59"/>
        <v>10</v>
      </c>
    </row>
    <row r="2870" ht="14.5" customHeight="1" spans="11:29" x14ac:dyDescent="0.25">
      <c r="K2870" s="128"/>
      <c r="X2870" s="234">
        <v>2022</v>
      </c>
      <c r="Y2870" s="234">
        <v>4</v>
      </c>
      <c r="Z2870" s="234">
        <v>30</v>
      </c>
      <c r="AA2870" s="235">
        <v>0.5</v>
      </c>
      <c r="AB2870" s="236">
        <v>10.9</v>
      </c>
      <c r="AC2870" s="127">
        <f t="shared" si="59"/>
        <v>11</v>
      </c>
    </row>
    <row r="2871" ht="14.5" customHeight="1" spans="11:29" x14ac:dyDescent="0.25">
      <c r="K2871" s="128"/>
      <c r="X2871" s="234">
        <v>2022</v>
      </c>
      <c r="Y2871" s="234">
        <v>4</v>
      </c>
      <c r="Z2871" s="234">
        <v>30</v>
      </c>
      <c r="AA2871" s="235">
        <v>0.5416666666678793</v>
      </c>
      <c r="AB2871" s="236">
        <v>12.8</v>
      </c>
      <c r="AC2871" s="127">
        <f t="shared" si="59"/>
        <v>13</v>
      </c>
    </row>
    <row r="2872" ht="14.5" customHeight="1" spans="11:29" x14ac:dyDescent="0.25">
      <c r="K2872" s="128"/>
      <c r="X2872" s="234">
        <v>2022</v>
      </c>
      <c r="Y2872" s="234">
        <v>4</v>
      </c>
      <c r="Z2872" s="234">
        <v>30</v>
      </c>
      <c r="AA2872" s="235">
        <v>0.5833333333321207</v>
      </c>
      <c r="AB2872" s="236">
        <v>13</v>
      </c>
      <c r="AC2872" s="127">
        <f t="shared" si="59"/>
        <v>13</v>
      </c>
    </row>
    <row r="2873" ht="14.5" customHeight="1" spans="11:29" x14ac:dyDescent="0.25">
      <c r="K2873" s="128"/>
      <c r="X2873" s="234">
        <v>2022</v>
      </c>
      <c r="Y2873" s="234">
        <v>4</v>
      </c>
      <c r="Z2873" s="234">
        <v>30</v>
      </c>
      <c r="AA2873" s="235">
        <v>0.625</v>
      </c>
      <c r="AB2873" s="236">
        <v>12.6</v>
      </c>
      <c r="AC2873" s="127">
        <f t="shared" si="59"/>
        <v>13</v>
      </c>
    </row>
    <row r="2874" ht="14.5" customHeight="1" spans="11:29" x14ac:dyDescent="0.25">
      <c r="K2874" s="128"/>
      <c r="X2874" s="234">
        <v>2022</v>
      </c>
      <c r="Y2874" s="234">
        <v>4</v>
      </c>
      <c r="Z2874" s="234">
        <v>30</v>
      </c>
      <c r="AA2874" s="235">
        <v>0.6666666666678793</v>
      </c>
      <c r="AB2874" s="236">
        <v>12.1</v>
      </c>
      <c r="AC2874" s="127">
        <f t="shared" si="59"/>
        <v>12</v>
      </c>
    </row>
    <row r="2875" ht="14.5" customHeight="1" spans="11:29" x14ac:dyDescent="0.25">
      <c r="K2875" s="128"/>
      <c r="X2875" s="234">
        <v>2022</v>
      </c>
      <c r="Y2875" s="234">
        <v>4</v>
      </c>
      <c r="Z2875" s="234">
        <v>30</v>
      </c>
      <c r="AA2875" s="235">
        <v>0.7083333333321207</v>
      </c>
      <c r="AB2875" s="236">
        <v>12.3</v>
      </c>
      <c r="AC2875" s="127">
        <f t="shared" si="59"/>
        <v>12</v>
      </c>
    </row>
    <row r="2876" ht="14.5" customHeight="1" spans="11:29" x14ac:dyDescent="0.25">
      <c r="K2876" s="128"/>
      <c r="X2876" s="234">
        <v>2022</v>
      </c>
      <c r="Y2876" s="234">
        <v>4</v>
      </c>
      <c r="Z2876" s="234">
        <v>30</v>
      </c>
      <c r="AA2876" s="235">
        <v>0.75</v>
      </c>
      <c r="AB2876" s="236">
        <v>11.5</v>
      </c>
      <c r="AC2876" s="127">
        <f t="shared" si="59"/>
        <v>12</v>
      </c>
    </row>
    <row r="2877" ht="14.5" customHeight="1" spans="11:29" x14ac:dyDescent="0.25">
      <c r="K2877" s="128"/>
      <c r="X2877" s="234">
        <v>2022</v>
      </c>
      <c r="Y2877" s="234">
        <v>4</v>
      </c>
      <c r="Z2877" s="234">
        <v>30</v>
      </c>
      <c r="AA2877" s="235">
        <v>0.7916666666678793</v>
      </c>
      <c r="AB2877" s="236">
        <v>11.1</v>
      </c>
      <c r="AC2877" s="127">
        <f t="shared" si="59"/>
        <v>11</v>
      </c>
    </row>
    <row r="2878" ht="14.5" customHeight="1" spans="11:29" x14ac:dyDescent="0.25">
      <c r="K2878" s="128"/>
      <c r="X2878" s="234">
        <v>2022</v>
      </c>
      <c r="Y2878" s="234">
        <v>4</v>
      </c>
      <c r="Z2878" s="234">
        <v>30</v>
      </c>
      <c r="AA2878" s="235">
        <v>0.8333333333321207</v>
      </c>
      <c r="AB2878" s="236">
        <v>10.8</v>
      </c>
      <c r="AC2878" s="127">
        <f t="shared" si="59"/>
        <v>11</v>
      </c>
    </row>
    <row r="2879" ht="14.5" customHeight="1" spans="11:29" x14ac:dyDescent="0.25">
      <c r="K2879" s="128"/>
      <c r="X2879" s="234">
        <v>2022</v>
      </c>
      <c r="Y2879" s="234">
        <v>4</v>
      </c>
      <c r="Z2879" s="234">
        <v>30</v>
      </c>
      <c r="AA2879" s="235">
        <v>0.875</v>
      </c>
      <c r="AB2879" s="236">
        <v>9.7</v>
      </c>
      <c r="AC2879" s="127">
        <f t="shared" si="59"/>
        <v>10</v>
      </c>
    </row>
    <row r="2880" ht="14.5" customHeight="1" spans="11:29" x14ac:dyDescent="0.25">
      <c r="K2880" s="128"/>
      <c r="X2880" s="234">
        <v>2022</v>
      </c>
      <c r="Y2880" s="234">
        <v>4</v>
      </c>
      <c r="Z2880" s="234">
        <v>30</v>
      </c>
      <c r="AA2880" s="235">
        <v>0.9166666666678793</v>
      </c>
      <c r="AB2880" s="236">
        <v>10.1</v>
      </c>
      <c r="AC2880" s="127">
        <f t="shared" si="59"/>
        <v>10</v>
      </c>
    </row>
    <row r="2881" ht="14.5" customHeight="1" spans="11:29" x14ac:dyDescent="0.25">
      <c r="K2881" s="128"/>
      <c r="X2881" s="234">
        <v>2022</v>
      </c>
      <c r="Y2881" s="234">
        <v>4</v>
      </c>
      <c r="Z2881" s="234">
        <v>30</v>
      </c>
      <c r="AA2881" s="235">
        <v>0.9583333333321207</v>
      </c>
      <c r="AB2881" s="236">
        <v>9.5</v>
      </c>
      <c r="AC2881" s="127">
        <f t="shared" si="59"/>
        <v>10</v>
      </c>
    </row>
    <row r="2882" ht="14.5" customHeight="1" spans="11:29" x14ac:dyDescent="0.25">
      <c r="K2882" s="128"/>
      <c r="X2882" s="234">
        <v>2022</v>
      </c>
      <c r="Y2882" s="234">
        <v>5</v>
      </c>
      <c r="Z2882" s="234">
        <v>1</v>
      </c>
      <c r="AA2882" s="235">
        <v>0</v>
      </c>
      <c r="AB2882" s="236">
        <v>8.9</v>
      </c>
      <c r="AC2882" s="127">
        <f t="shared" si="59"/>
        <v>9</v>
      </c>
    </row>
    <row r="2883" ht="14.5" customHeight="1" spans="11:29" x14ac:dyDescent="0.25">
      <c r="K2883" s="128"/>
      <c r="X2883" s="234">
        <v>2022</v>
      </c>
      <c r="Y2883" s="234">
        <v>5</v>
      </c>
      <c r="Z2883" s="234">
        <v>1</v>
      </c>
      <c r="AA2883" s="235">
        <v>0.041666666667879326</v>
      </c>
      <c r="AB2883" s="236">
        <v>7.5</v>
      </c>
      <c r="AC2883" s="127">
        <f t="shared" si="59"/>
        <v>8</v>
      </c>
    </row>
    <row r="2884" ht="14.5" customHeight="1" spans="11:29" x14ac:dyDescent="0.25">
      <c r="K2884" s="128"/>
      <c r="X2884" s="234">
        <v>2022</v>
      </c>
      <c r="Y2884" s="234">
        <v>5</v>
      </c>
      <c r="Z2884" s="234">
        <v>1</v>
      </c>
      <c r="AA2884" s="235">
        <v>0.08333333333212067</v>
      </c>
      <c r="AB2884" s="236">
        <v>6.4</v>
      </c>
      <c r="AC2884" s="127">
        <f t="shared" si="59"/>
        <v>6</v>
      </c>
    </row>
    <row r="2885" ht="14.5" customHeight="1" spans="11:29" x14ac:dyDescent="0.25">
      <c r="K2885" s="128"/>
      <c r="X2885" s="234">
        <v>2022</v>
      </c>
      <c r="Y2885" s="234">
        <v>5</v>
      </c>
      <c r="Z2885" s="234">
        <v>1</v>
      </c>
      <c r="AA2885" s="235">
        <v>0.125</v>
      </c>
      <c r="AB2885" s="236">
        <v>5.5</v>
      </c>
      <c r="AC2885" s="127">
        <f t="shared" si="59"/>
        <v>6</v>
      </c>
    </row>
    <row r="2886" ht="14.5" customHeight="1" spans="11:29" x14ac:dyDescent="0.25">
      <c r="K2886" s="128"/>
      <c r="X2886" s="234">
        <v>2022</v>
      </c>
      <c r="Y2886" s="234">
        <v>5</v>
      </c>
      <c r="Z2886" s="234">
        <v>1</v>
      </c>
      <c r="AA2886" s="235">
        <v>0.16666666666787933</v>
      </c>
      <c r="AB2886" s="236">
        <v>3.7</v>
      </c>
      <c r="AC2886" s="127">
        <f t="shared" si="59"/>
        <v>4</v>
      </c>
    </row>
    <row r="2887" ht="14.5" customHeight="1" spans="11:29" x14ac:dyDescent="0.25">
      <c r="K2887" s="128"/>
      <c r="X2887" s="234">
        <v>2022</v>
      </c>
      <c r="Y2887" s="234">
        <v>5</v>
      </c>
      <c r="Z2887" s="234">
        <v>1</v>
      </c>
      <c r="AA2887" s="235">
        <v>0.20833333333212067</v>
      </c>
      <c r="AB2887" s="236">
        <v>3.6</v>
      </c>
      <c r="AC2887" s="127">
        <f t="shared" si="59"/>
        <v>4</v>
      </c>
    </row>
    <row r="2888" ht="14.5" customHeight="1" spans="11:29" x14ac:dyDescent="0.25">
      <c r="K2888" s="128"/>
      <c r="X2888" s="234">
        <v>2022</v>
      </c>
      <c r="Y2888" s="234">
        <v>5</v>
      </c>
      <c r="Z2888" s="234">
        <v>1</v>
      </c>
      <c r="AA2888" s="235">
        <v>0.25</v>
      </c>
      <c r="AB2888" s="236">
        <v>4.3</v>
      </c>
      <c r="AC2888" s="127">
        <f t="shared" si="59"/>
        <v>4</v>
      </c>
    </row>
    <row r="2889" ht="14.5" customHeight="1" spans="11:29" x14ac:dyDescent="0.25">
      <c r="K2889" s="128"/>
      <c r="X2889" s="234">
        <v>2022</v>
      </c>
      <c r="Y2889" s="234">
        <v>5</v>
      </c>
      <c r="Z2889" s="234">
        <v>1</v>
      </c>
      <c r="AA2889" s="235">
        <v>0.2916666666678793</v>
      </c>
      <c r="AB2889" s="236">
        <v>5.2</v>
      </c>
      <c r="AC2889" s="127">
        <f t="shared" si="59"/>
        <v>5</v>
      </c>
    </row>
    <row r="2890" ht="14.5" customHeight="1" spans="11:29" x14ac:dyDescent="0.25">
      <c r="K2890" s="128"/>
      <c r="X2890" s="234">
        <v>2022</v>
      </c>
      <c r="Y2890" s="234">
        <v>5</v>
      </c>
      <c r="Z2890" s="234">
        <v>1</v>
      </c>
      <c r="AA2890" s="235">
        <v>0.3333333333321207</v>
      </c>
      <c r="AB2890" s="236">
        <v>7.7</v>
      </c>
      <c r="AC2890" s="127">
        <f t="shared" si="59"/>
        <v>8</v>
      </c>
    </row>
    <row r="2891" ht="14.5" customHeight="1" spans="11:29" x14ac:dyDescent="0.25">
      <c r="K2891" s="128"/>
      <c r="X2891" s="234">
        <v>2022</v>
      </c>
      <c r="Y2891" s="234">
        <v>5</v>
      </c>
      <c r="Z2891" s="234">
        <v>1</v>
      </c>
      <c r="AA2891" s="235">
        <v>0.375</v>
      </c>
      <c r="AB2891" s="236">
        <v>9.3</v>
      </c>
      <c r="AC2891" s="127">
        <f t="shared" ref="AC2891:AC2954" si="60">ROUND(AB2891,0)</f>
        <v>9</v>
      </c>
    </row>
    <row r="2892" ht="14.5" customHeight="1" spans="11:29" x14ac:dyDescent="0.25">
      <c r="K2892" s="128"/>
      <c r="X2892" s="234">
        <v>2022</v>
      </c>
      <c r="Y2892" s="234">
        <v>5</v>
      </c>
      <c r="Z2892" s="234">
        <v>1</v>
      </c>
      <c r="AA2892" s="235">
        <v>0.4166666666678793</v>
      </c>
      <c r="AB2892" s="236">
        <v>10.6</v>
      </c>
      <c r="AC2892" s="127">
        <f t="shared" si="60"/>
        <v>11</v>
      </c>
    </row>
    <row r="2893" ht="14.5" customHeight="1" spans="11:29" x14ac:dyDescent="0.25">
      <c r="K2893" s="128"/>
      <c r="X2893" s="234">
        <v>2022</v>
      </c>
      <c r="Y2893" s="234">
        <v>5</v>
      </c>
      <c r="Z2893" s="234">
        <v>1</v>
      </c>
      <c r="AA2893" s="235">
        <v>0.4583333333321207</v>
      </c>
      <c r="AB2893" s="236">
        <v>12.1</v>
      </c>
      <c r="AC2893" s="127">
        <f t="shared" si="60"/>
        <v>12</v>
      </c>
    </row>
    <row r="2894" ht="14.5" customHeight="1" spans="11:29" x14ac:dyDescent="0.25">
      <c r="K2894" s="128"/>
      <c r="X2894" s="234">
        <v>2022</v>
      </c>
      <c r="Y2894" s="234">
        <v>5</v>
      </c>
      <c r="Z2894" s="234">
        <v>1</v>
      </c>
      <c r="AA2894" s="235">
        <v>0.5</v>
      </c>
      <c r="AB2894" s="236">
        <v>12.8</v>
      </c>
      <c r="AC2894" s="127">
        <f t="shared" si="60"/>
        <v>13</v>
      </c>
    </row>
    <row r="2895" ht="14.5" customHeight="1" spans="11:29" x14ac:dyDescent="0.25">
      <c r="K2895" s="128"/>
      <c r="X2895" s="234">
        <v>2022</v>
      </c>
      <c r="Y2895" s="234">
        <v>5</v>
      </c>
      <c r="Z2895" s="234">
        <v>1</v>
      </c>
      <c r="AA2895" s="235">
        <v>0.5416666666678793</v>
      </c>
      <c r="AB2895" s="236">
        <v>13.8</v>
      </c>
      <c r="AC2895" s="127">
        <f t="shared" si="60"/>
        <v>14</v>
      </c>
    </row>
    <row r="2896" ht="14.5" customHeight="1" spans="11:29" x14ac:dyDescent="0.25">
      <c r="K2896" s="128"/>
      <c r="X2896" s="234">
        <v>2022</v>
      </c>
      <c r="Y2896" s="234">
        <v>5</v>
      </c>
      <c r="Z2896" s="234">
        <v>1</v>
      </c>
      <c r="AA2896" s="235">
        <v>0.5833333333321207</v>
      </c>
      <c r="AB2896" s="236">
        <v>12.3</v>
      </c>
      <c r="AC2896" s="127">
        <f t="shared" si="60"/>
        <v>12</v>
      </c>
    </row>
    <row r="2897" ht="14.5" customHeight="1" spans="11:29" x14ac:dyDescent="0.25">
      <c r="K2897" s="128"/>
      <c r="X2897" s="234">
        <v>2022</v>
      </c>
      <c r="Y2897" s="234">
        <v>5</v>
      </c>
      <c r="Z2897" s="234">
        <v>1</v>
      </c>
      <c r="AA2897" s="235">
        <v>0.625</v>
      </c>
      <c r="AB2897" s="236">
        <v>14.5</v>
      </c>
      <c r="AC2897" s="127">
        <f t="shared" si="60"/>
        <v>15</v>
      </c>
    </row>
    <row r="2898" ht="14.5" customHeight="1" spans="11:29" x14ac:dyDescent="0.25">
      <c r="K2898" s="128"/>
      <c r="X2898" s="234">
        <v>2022</v>
      </c>
      <c r="Y2898" s="234">
        <v>5</v>
      </c>
      <c r="Z2898" s="234">
        <v>1</v>
      </c>
      <c r="AA2898" s="235">
        <v>0.6666666666678793</v>
      </c>
      <c r="AB2898" s="236">
        <v>13.5</v>
      </c>
      <c r="AC2898" s="127">
        <f t="shared" si="60"/>
        <v>14</v>
      </c>
    </row>
    <row r="2899" ht="14.5" customHeight="1" spans="11:29" x14ac:dyDescent="0.25">
      <c r="K2899" s="128"/>
      <c r="X2899" s="234">
        <v>2022</v>
      </c>
      <c r="Y2899" s="234">
        <v>5</v>
      </c>
      <c r="Z2899" s="234">
        <v>1</v>
      </c>
      <c r="AA2899" s="235">
        <v>0.7083333333321207</v>
      </c>
      <c r="AB2899" s="236">
        <v>13</v>
      </c>
      <c r="AC2899" s="127">
        <f t="shared" si="60"/>
        <v>13</v>
      </c>
    </row>
    <row r="2900" ht="14.5" customHeight="1" spans="11:29" x14ac:dyDescent="0.25">
      <c r="K2900" s="128"/>
      <c r="X2900" s="234">
        <v>2022</v>
      </c>
      <c r="Y2900" s="234">
        <v>5</v>
      </c>
      <c r="Z2900" s="234">
        <v>1</v>
      </c>
      <c r="AA2900" s="235">
        <v>0.75</v>
      </c>
      <c r="AB2900" s="236">
        <v>12.4</v>
      </c>
      <c r="AC2900" s="127">
        <f t="shared" si="60"/>
        <v>12</v>
      </c>
    </row>
    <row r="2901" ht="14.5" customHeight="1" spans="11:29" x14ac:dyDescent="0.25">
      <c r="K2901" s="128"/>
      <c r="X2901" s="234">
        <v>2022</v>
      </c>
      <c r="Y2901" s="234">
        <v>5</v>
      </c>
      <c r="Z2901" s="234">
        <v>1</v>
      </c>
      <c r="AA2901" s="235">
        <v>0.7916666666678793</v>
      </c>
      <c r="AB2901" s="236">
        <v>11.8</v>
      </c>
      <c r="AC2901" s="127">
        <f t="shared" si="60"/>
        <v>12</v>
      </c>
    </row>
    <row r="2902" ht="14.5" customHeight="1" spans="11:29" x14ac:dyDescent="0.25">
      <c r="K2902" s="128"/>
      <c r="X2902" s="234">
        <v>2022</v>
      </c>
      <c r="Y2902" s="234">
        <v>5</v>
      </c>
      <c r="Z2902" s="234">
        <v>1</v>
      </c>
      <c r="AA2902" s="235">
        <v>0.8333333333321207</v>
      </c>
      <c r="AB2902" s="236">
        <v>10.9</v>
      </c>
      <c r="AC2902" s="127">
        <f t="shared" si="60"/>
        <v>11</v>
      </c>
    </row>
    <row r="2903" ht="14.5" customHeight="1" spans="11:29" x14ac:dyDescent="0.25">
      <c r="K2903" s="128"/>
      <c r="X2903" s="234">
        <v>2022</v>
      </c>
      <c r="Y2903" s="234">
        <v>5</v>
      </c>
      <c r="Z2903" s="234">
        <v>1</v>
      </c>
      <c r="AA2903" s="235">
        <v>0.875</v>
      </c>
      <c r="AB2903" s="236">
        <v>9.7</v>
      </c>
      <c r="AC2903" s="127">
        <f t="shared" si="60"/>
        <v>10</v>
      </c>
    </row>
    <row r="2904" ht="14.5" customHeight="1" spans="11:29" x14ac:dyDescent="0.25">
      <c r="K2904" s="128"/>
      <c r="X2904" s="234">
        <v>2022</v>
      </c>
      <c r="Y2904" s="234">
        <v>5</v>
      </c>
      <c r="Z2904" s="234">
        <v>1</v>
      </c>
      <c r="AA2904" s="235">
        <v>0.9166666666678793</v>
      </c>
      <c r="AB2904" s="236">
        <v>9.7</v>
      </c>
      <c r="AC2904" s="127">
        <f t="shared" si="60"/>
        <v>10</v>
      </c>
    </row>
    <row r="2905" ht="14.5" customHeight="1" spans="11:29" x14ac:dyDescent="0.25">
      <c r="K2905" s="128"/>
      <c r="X2905" s="234">
        <v>2022</v>
      </c>
      <c r="Y2905" s="234">
        <v>5</v>
      </c>
      <c r="Z2905" s="234">
        <v>1</v>
      </c>
      <c r="AA2905" s="235">
        <v>0.9583333333321207</v>
      </c>
      <c r="AB2905" s="236">
        <v>8.4</v>
      </c>
      <c r="AC2905" s="127">
        <f t="shared" si="60"/>
        <v>8</v>
      </c>
    </row>
    <row r="2906" ht="14.5" customHeight="1" spans="11:29" x14ac:dyDescent="0.25">
      <c r="K2906" s="128"/>
      <c r="X2906" s="234">
        <v>2022</v>
      </c>
      <c r="Y2906" s="234">
        <v>5</v>
      </c>
      <c r="Z2906" s="234">
        <v>2</v>
      </c>
      <c r="AA2906" s="235">
        <v>0</v>
      </c>
      <c r="AB2906" s="236">
        <v>5.9</v>
      </c>
      <c r="AC2906" s="127">
        <f t="shared" si="60"/>
        <v>6</v>
      </c>
    </row>
    <row r="2907" ht="14.5" customHeight="1" spans="11:29" x14ac:dyDescent="0.25">
      <c r="K2907" s="128"/>
      <c r="X2907" s="234">
        <v>2022</v>
      </c>
      <c r="Y2907" s="234">
        <v>5</v>
      </c>
      <c r="Z2907" s="234">
        <v>2</v>
      </c>
      <c r="AA2907" s="235">
        <v>0.041666666667879326</v>
      </c>
      <c r="AB2907" s="236">
        <v>4.3</v>
      </c>
      <c r="AC2907" s="127">
        <f t="shared" si="60"/>
        <v>4</v>
      </c>
    </row>
    <row r="2908" ht="14.5" customHeight="1" spans="11:29" x14ac:dyDescent="0.25">
      <c r="K2908" s="128"/>
      <c r="X2908" s="234">
        <v>2022</v>
      </c>
      <c r="Y2908" s="234">
        <v>5</v>
      </c>
      <c r="Z2908" s="234">
        <v>2</v>
      </c>
      <c r="AA2908" s="235">
        <v>0.08333333333212067</v>
      </c>
      <c r="AB2908" s="236">
        <v>2.1</v>
      </c>
      <c r="AC2908" s="127">
        <f t="shared" si="60"/>
        <v>2</v>
      </c>
    </row>
    <row r="2909" ht="14.5" customHeight="1" spans="11:29" x14ac:dyDescent="0.25">
      <c r="K2909" s="128"/>
      <c r="X2909" s="234">
        <v>2022</v>
      </c>
      <c r="Y2909" s="234">
        <v>5</v>
      </c>
      <c r="Z2909" s="234">
        <v>2</v>
      </c>
      <c r="AA2909" s="235">
        <v>0.125</v>
      </c>
      <c r="AB2909" s="236">
        <v>2.1</v>
      </c>
      <c r="AC2909" s="127">
        <f t="shared" si="60"/>
        <v>2</v>
      </c>
    </row>
    <row r="2910" ht="14.5" customHeight="1" spans="11:29" x14ac:dyDescent="0.25">
      <c r="K2910" s="128"/>
      <c r="X2910" s="234">
        <v>2022</v>
      </c>
      <c r="Y2910" s="234">
        <v>5</v>
      </c>
      <c r="Z2910" s="234">
        <v>2</v>
      </c>
      <c r="AA2910" s="235">
        <v>0.16666666666787933</v>
      </c>
      <c r="AB2910" s="236">
        <v>0.5</v>
      </c>
      <c r="AC2910" s="127">
        <f t="shared" si="60"/>
        <v>1</v>
      </c>
    </row>
    <row r="2911" ht="14.5" customHeight="1" spans="11:29" x14ac:dyDescent="0.25">
      <c r="K2911" s="128"/>
      <c r="X2911" s="234">
        <v>2022</v>
      </c>
      <c r="Y2911" s="234">
        <v>5</v>
      </c>
      <c r="Z2911" s="234">
        <v>2</v>
      </c>
      <c r="AA2911" s="235">
        <v>0.20833333333212067</v>
      </c>
      <c r="AB2911" s="236">
        <v>0.5</v>
      </c>
      <c r="AC2911" s="127">
        <f t="shared" si="60"/>
        <v>1</v>
      </c>
    </row>
    <row r="2912" ht="14.5" customHeight="1" spans="11:29" x14ac:dyDescent="0.25">
      <c r="K2912" s="128"/>
      <c r="X2912" s="234">
        <v>2022</v>
      </c>
      <c r="Y2912" s="234">
        <v>5</v>
      </c>
      <c r="Z2912" s="234">
        <v>2</v>
      </c>
      <c r="AA2912" s="235">
        <v>0.25</v>
      </c>
      <c r="AB2912" s="236">
        <v>3.4</v>
      </c>
      <c r="AC2912" s="127">
        <f t="shared" si="60"/>
        <v>3</v>
      </c>
    </row>
    <row r="2913" ht="14.5" customHeight="1" spans="11:29" x14ac:dyDescent="0.25">
      <c r="K2913" s="128"/>
      <c r="X2913" s="234">
        <v>2022</v>
      </c>
      <c r="Y2913" s="234">
        <v>5</v>
      </c>
      <c r="Z2913" s="234">
        <v>2</v>
      </c>
      <c r="AA2913" s="235">
        <v>0.2916666666678793</v>
      </c>
      <c r="AB2913" s="236">
        <v>5.1</v>
      </c>
      <c r="AC2913" s="127">
        <f t="shared" si="60"/>
        <v>5</v>
      </c>
    </row>
    <row r="2914" ht="14.5" customHeight="1" spans="11:29" x14ac:dyDescent="0.25">
      <c r="K2914" s="128"/>
      <c r="X2914" s="234">
        <v>2022</v>
      </c>
      <c r="Y2914" s="234">
        <v>5</v>
      </c>
      <c r="Z2914" s="234">
        <v>2</v>
      </c>
      <c r="AA2914" s="235">
        <v>0.3333333333321207</v>
      </c>
      <c r="AB2914" s="236">
        <v>8.3</v>
      </c>
      <c r="AC2914" s="127">
        <f t="shared" si="60"/>
        <v>8</v>
      </c>
    </row>
    <row r="2915" ht="14.5" customHeight="1" spans="11:29" x14ac:dyDescent="0.25">
      <c r="K2915" s="128"/>
      <c r="X2915" s="234">
        <v>2022</v>
      </c>
      <c r="Y2915" s="234">
        <v>5</v>
      </c>
      <c r="Z2915" s="234">
        <v>2</v>
      </c>
      <c r="AA2915" s="235">
        <v>0.375</v>
      </c>
      <c r="AB2915" s="236">
        <v>10</v>
      </c>
      <c r="AC2915" s="127">
        <f t="shared" si="60"/>
        <v>10</v>
      </c>
    </row>
    <row r="2916" ht="14.5" customHeight="1" spans="11:29" x14ac:dyDescent="0.25">
      <c r="K2916" s="128"/>
      <c r="X2916" s="234">
        <v>2022</v>
      </c>
      <c r="Y2916" s="234">
        <v>5</v>
      </c>
      <c r="Z2916" s="234">
        <v>2</v>
      </c>
      <c r="AA2916" s="235">
        <v>0.4166666666678793</v>
      </c>
      <c r="AB2916" s="236">
        <v>11.5</v>
      </c>
      <c r="AC2916" s="127">
        <f t="shared" si="60"/>
        <v>12</v>
      </c>
    </row>
    <row r="2917" ht="14.5" customHeight="1" spans="11:29" x14ac:dyDescent="0.25">
      <c r="K2917" s="128"/>
      <c r="X2917" s="234">
        <v>2022</v>
      </c>
      <c r="Y2917" s="234">
        <v>5</v>
      </c>
      <c r="Z2917" s="234">
        <v>2</v>
      </c>
      <c r="AA2917" s="235">
        <v>0.4583333333321207</v>
      </c>
      <c r="AB2917" s="236">
        <v>12.9</v>
      </c>
      <c r="AC2917" s="127">
        <f t="shared" si="60"/>
        <v>13</v>
      </c>
    </row>
    <row r="2918" ht="14.5" customHeight="1" spans="11:29" x14ac:dyDescent="0.25">
      <c r="K2918" s="128"/>
      <c r="X2918" s="234">
        <v>2022</v>
      </c>
      <c r="Y2918" s="234">
        <v>5</v>
      </c>
      <c r="Z2918" s="234">
        <v>2</v>
      </c>
      <c r="AA2918" s="235">
        <v>0.5</v>
      </c>
      <c r="AB2918" s="236">
        <v>14</v>
      </c>
      <c r="AC2918" s="127">
        <f t="shared" si="60"/>
        <v>14</v>
      </c>
    </row>
    <row r="2919" ht="14.5" customHeight="1" spans="11:29" x14ac:dyDescent="0.25">
      <c r="K2919" s="128"/>
      <c r="X2919" s="234">
        <v>2022</v>
      </c>
      <c r="Y2919" s="234">
        <v>5</v>
      </c>
      <c r="Z2919" s="234">
        <v>2</v>
      </c>
      <c r="AA2919" s="235">
        <v>0.5416666666678793</v>
      </c>
      <c r="AB2919" s="236">
        <v>13.7</v>
      </c>
      <c r="AC2919" s="127">
        <f t="shared" si="60"/>
        <v>14</v>
      </c>
    </row>
    <row r="2920" ht="14.5" customHeight="1" spans="11:29" x14ac:dyDescent="0.25">
      <c r="K2920" s="128"/>
      <c r="X2920" s="234">
        <v>2022</v>
      </c>
      <c r="Y2920" s="234">
        <v>5</v>
      </c>
      <c r="Z2920" s="234">
        <v>2</v>
      </c>
      <c r="AA2920" s="235">
        <v>0.5833333333321207</v>
      </c>
      <c r="AB2920" s="236">
        <v>14</v>
      </c>
      <c r="AC2920" s="127">
        <f t="shared" si="60"/>
        <v>14</v>
      </c>
    </row>
    <row r="2921" ht="14.5" customHeight="1" spans="11:29" x14ac:dyDescent="0.25">
      <c r="K2921" s="128"/>
      <c r="X2921" s="234">
        <v>2022</v>
      </c>
      <c r="Y2921" s="234">
        <v>5</v>
      </c>
      <c r="Z2921" s="234">
        <v>2</v>
      </c>
      <c r="AA2921" s="235">
        <v>0.625</v>
      </c>
      <c r="AB2921" s="236">
        <v>15.1</v>
      </c>
      <c r="AC2921" s="127">
        <f t="shared" si="60"/>
        <v>15</v>
      </c>
    </row>
    <row r="2922" ht="14.5" customHeight="1" spans="11:29" x14ac:dyDescent="0.25">
      <c r="K2922" s="128"/>
      <c r="X2922" s="234">
        <v>2022</v>
      </c>
      <c r="Y2922" s="234">
        <v>5</v>
      </c>
      <c r="Z2922" s="234">
        <v>2</v>
      </c>
      <c r="AA2922" s="235">
        <v>0.6666666666678793</v>
      </c>
      <c r="AB2922" s="236">
        <v>15.6</v>
      </c>
      <c r="AC2922" s="127">
        <f t="shared" si="60"/>
        <v>16</v>
      </c>
    </row>
    <row r="2923" ht="14.5" customHeight="1" spans="11:29" x14ac:dyDescent="0.25">
      <c r="K2923" s="128"/>
      <c r="X2923" s="234">
        <v>2022</v>
      </c>
      <c r="Y2923" s="234">
        <v>5</v>
      </c>
      <c r="Z2923" s="234">
        <v>2</v>
      </c>
      <c r="AA2923" s="235">
        <v>0.7083333333321207</v>
      </c>
      <c r="AB2923" s="236">
        <v>15</v>
      </c>
      <c r="AC2923" s="127">
        <f t="shared" si="60"/>
        <v>15</v>
      </c>
    </row>
    <row r="2924" ht="14.5" customHeight="1" spans="11:29" x14ac:dyDescent="0.25">
      <c r="K2924" s="128"/>
      <c r="X2924" s="234">
        <v>2022</v>
      </c>
      <c r="Y2924" s="234">
        <v>5</v>
      </c>
      <c r="Z2924" s="234">
        <v>2</v>
      </c>
      <c r="AA2924" s="235">
        <v>0.75</v>
      </c>
      <c r="AB2924" s="236">
        <v>14.6</v>
      </c>
      <c r="AC2924" s="127">
        <f t="shared" si="60"/>
        <v>15</v>
      </c>
    </row>
    <row r="2925" ht="14.5" customHeight="1" spans="11:29" x14ac:dyDescent="0.25">
      <c r="K2925" s="128"/>
      <c r="X2925" s="234">
        <v>2022</v>
      </c>
      <c r="Y2925" s="234">
        <v>5</v>
      </c>
      <c r="Z2925" s="234">
        <v>2</v>
      </c>
      <c r="AA2925" s="235">
        <v>0.7916666666678793</v>
      </c>
      <c r="AB2925" s="236">
        <v>14.1</v>
      </c>
      <c r="AC2925" s="127">
        <f t="shared" si="60"/>
        <v>14</v>
      </c>
    </row>
    <row r="2926" ht="14.5" customHeight="1" spans="11:29" x14ac:dyDescent="0.25">
      <c r="K2926" s="128"/>
      <c r="X2926" s="234">
        <v>2022</v>
      </c>
      <c r="Y2926" s="234">
        <v>5</v>
      </c>
      <c r="Z2926" s="234">
        <v>2</v>
      </c>
      <c r="AA2926" s="235">
        <v>0.8333333333321207</v>
      </c>
      <c r="AB2926" s="236">
        <v>11.9</v>
      </c>
      <c r="AC2926" s="127">
        <f t="shared" si="60"/>
        <v>12</v>
      </c>
    </row>
    <row r="2927" ht="14.5" customHeight="1" spans="11:29" x14ac:dyDescent="0.25">
      <c r="K2927" s="128"/>
      <c r="X2927" s="234">
        <v>2022</v>
      </c>
      <c r="Y2927" s="234">
        <v>5</v>
      </c>
      <c r="Z2927" s="234">
        <v>2</v>
      </c>
      <c r="AA2927" s="235">
        <v>0.875</v>
      </c>
      <c r="AB2927" s="236">
        <v>10.7</v>
      </c>
      <c r="AC2927" s="127">
        <f t="shared" si="60"/>
        <v>11</v>
      </c>
    </row>
    <row r="2928" ht="14.5" customHeight="1" spans="11:29" x14ac:dyDescent="0.25">
      <c r="K2928" s="128"/>
      <c r="X2928" s="234">
        <v>2022</v>
      </c>
      <c r="Y2928" s="234">
        <v>5</v>
      </c>
      <c r="Z2928" s="234">
        <v>2</v>
      </c>
      <c r="AA2928" s="235">
        <v>0.9166666666678793</v>
      </c>
      <c r="AB2928" s="236">
        <v>8.8</v>
      </c>
      <c r="AC2928" s="127">
        <f t="shared" si="60"/>
        <v>9</v>
      </c>
    </row>
    <row r="2929" ht="14.5" customHeight="1" spans="11:29" x14ac:dyDescent="0.25">
      <c r="K2929" s="128"/>
      <c r="X2929" s="234">
        <v>2022</v>
      </c>
      <c r="Y2929" s="234">
        <v>5</v>
      </c>
      <c r="Z2929" s="234">
        <v>2</v>
      </c>
      <c r="AA2929" s="235">
        <v>0.9583333333321207</v>
      </c>
      <c r="AB2929" s="236">
        <v>7.5</v>
      </c>
      <c r="AC2929" s="127">
        <f t="shared" si="60"/>
        <v>8</v>
      </c>
    </row>
    <row r="2930" ht="14.5" customHeight="1" spans="11:29" x14ac:dyDescent="0.25">
      <c r="K2930" s="128"/>
      <c r="X2930" s="234">
        <v>2022</v>
      </c>
      <c r="Y2930" s="234">
        <v>5</v>
      </c>
      <c r="Z2930" s="234">
        <v>3</v>
      </c>
      <c r="AA2930" s="235">
        <v>0</v>
      </c>
      <c r="AB2930" s="236">
        <v>6.4</v>
      </c>
      <c r="AC2930" s="127">
        <f t="shared" si="60"/>
        <v>6</v>
      </c>
    </row>
    <row r="2931" ht="14.5" customHeight="1" spans="11:29" x14ac:dyDescent="0.25">
      <c r="K2931" s="128"/>
      <c r="X2931" s="234">
        <v>2022</v>
      </c>
      <c r="Y2931" s="234">
        <v>5</v>
      </c>
      <c r="Z2931" s="234">
        <v>3</v>
      </c>
      <c r="AA2931" s="235">
        <v>0.041666666667879326</v>
      </c>
      <c r="AB2931" s="236">
        <v>4.8</v>
      </c>
      <c r="AC2931" s="127">
        <f t="shared" si="60"/>
        <v>5</v>
      </c>
    </row>
    <row r="2932" ht="14.5" customHeight="1" spans="11:29" x14ac:dyDescent="0.25">
      <c r="K2932" s="128"/>
      <c r="X2932" s="234">
        <v>2022</v>
      </c>
      <c r="Y2932" s="234">
        <v>5</v>
      </c>
      <c r="Z2932" s="234">
        <v>3</v>
      </c>
      <c r="AA2932" s="235">
        <v>0.08333333333212067</v>
      </c>
      <c r="AB2932" s="236">
        <v>3.3</v>
      </c>
      <c r="AC2932" s="127">
        <f t="shared" si="60"/>
        <v>3</v>
      </c>
    </row>
    <row r="2933" ht="14.5" customHeight="1" spans="11:29" x14ac:dyDescent="0.25">
      <c r="K2933" s="128"/>
      <c r="X2933" s="234">
        <v>2022</v>
      </c>
      <c r="Y2933" s="234">
        <v>5</v>
      </c>
      <c r="Z2933" s="234">
        <v>3</v>
      </c>
      <c r="AA2933" s="235">
        <v>0.125</v>
      </c>
      <c r="AB2933" s="236">
        <v>3.2</v>
      </c>
      <c r="AC2933" s="127">
        <f t="shared" si="60"/>
        <v>3</v>
      </c>
    </row>
    <row r="2934" ht="14.5" customHeight="1" spans="11:29" x14ac:dyDescent="0.25">
      <c r="K2934" s="128"/>
      <c r="X2934" s="234">
        <v>2022</v>
      </c>
      <c r="Y2934" s="234">
        <v>5</v>
      </c>
      <c r="Z2934" s="234">
        <v>3</v>
      </c>
      <c r="AA2934" s="235">
        <v>0.16666666666787933</v>
      </c>
      <c r="AB2934" s="236">
        <v>3</v>
      </c>
      <c r="AC2934" s="127">
        <f t="shared" si="60"/>
        <v>3</v>
      </c>
    </row>
    <row r="2935" ht="14.5" customHeight="1" spans="11:29" x14ac:dyDescent="0.25">
      <c r="K2935" s="128"/>
      <c r="X2935" s="234">
        <v>2022</v>
      </c>
      <c r="Y2935" s="234">
        <v>5</v>
      </c>
      <c r="Z2935" s="234">
        <v>3</v>
      </c>
      <c r="AA2935" s="235">
        <v>0.20833333333212067</v>
      </c>
      <c r="AB2935" s="236">
        <v>2.7</v>
      </c>
      <c r="AC2935" s="127">
        <f t="shared" si="60"/>
        <v>3</v>
      </c>
    </row>
    <row r="2936" ht="14.5" customHeight="1" spans="11:29" x14ac:dyDescent="0.25">
      <c r="K2936" s="128"/>
      <c r="X2936" s="234">
        <v>2022</v>
      </c>
      <c r="Y2936" s="234">
        <v>5</v>
      </c>
      <c r="Z2936" s="234">
        <v>3</v>
      </c>
      <c r="AA2936" s="235">
        <v>0.25</v>
      </c>
      <c r="AB2936" s="236">
        <v>3.6</v>
      </c>
      <c r="AC2936" s="127">
        <f t="shared" si="60"/>
        <v>4</v>
      </c>
    </row>
    <row r="2937" ht="14.5" customHeight="1" spans="11:29" x14ac:dyDescent="0.25">
      <c r="K2937" s="128"/>
      <c r="X2937" s="234">
        <v>2022</v>
      </c>
      <c r="Y2937" s="234">
        <v>5</v>
      </c>
      <c r="Z2937" s="234">
        <v>3</v>
      </c>
      <c r="AA2937" s="235">
        <v>0.2916666666678793</v>
      </c>
      <c r="AB2937" s="236">
        <v>6.4</v>
      </c>
      <c r="AC2937" s="127">
        <f t="shared" si="60"/>
        <v>6</v>
      </c>
    </row>
    <row r="2938" ht="14.5" customHeight="1" spans="11:29" x14ac:dyDescent="0.25">
      <c r="K2938" s="128"/>
      <c r="X2938" s="234">
        <v>2022</v>
      </c>
      <c r="Y2938" s="234">
        <v>5</v>
      </c>
      <c r="Z2938" s="234">
        <v>3</v>
      </c>
      <c r="AA2938" s="235">
        <v>0.3333333333321207</v>
      </c>
      <c r="AB2938" s="236">
        <v>7.9</v>
      </c>
      <c r="AC2938" s="127">
        <f t="shared" si="60"/>
        <v>8</v>
      </c>
    </row>
    <row r="2939" ht="14.5" customHeight="1" spans="11:29" x14ac:dyDescent="0.25">
      <c r="K2939" s="128"/>
      <c r="X2939" s="234">
        <v>2022</v>
      </c>
      <c r="Y2939" s="234">
        <v>5</v>
      </c>
      <c r="Z2939" s="234">
        <v>3</v>
      </c>
      <c r="AA2939" s="235">
        <v>0.375</v>
      </c>
      <c r="AB2939" s="236">
        <v>10.3</v>
      </c>
      <c r="AC2939" s="127">
        <f t="shared" si="60"/>
        <v>10</v>
      </c>
    </row>
    <row r="2940" ht="14.5" customHeight="1" spans="11:29" x14ac:dyDescent="0.25">
      <c r="K2940" s="128"/>
      <c r="X2940" s="234">
        <v>2022</v>
      </c>
      <c r="Y2940" s="234">
        <v>5</v>
      </c>
      <c r="Z2940" s="234">
        <v>3</v>
      </c>
      <c r="AA2940" s="235">
        <v>0.4166666666678793</v>
      </c>
      <c r="AB2940" s="236">
        <v>12.6</v>
      </c>
      <c r="AC2940" s="127">
        <f t="shared" si="60"/>
        <v>13</v>
      </c>
    </row>
    <row r="2941" ht="14.5" customHeight="1" spans="11:29" x14ac:dyDescent="0.25">
      <c r="K2941" s="128"/>
      <c r="X2941" s="234">
        <v>2022</v>
      </c>
      <c r="Y2941" s="234">
        <v>5</v>
      </c>
      <c r="Z2941" s="234">
        <v>3</v>
      </c>
      <c r="AA2941" s="235">
        <v>0.4583333333321207</v>
      </c>
      <c r="AB2941" s="236">
        <v>14</v>
      </c>
      <c r="AC2941" s="127">
        <f t="shared" si="60"/>
        <v>14</v>
      </c>
    </row>
    <row r="2942" ht="14.5" customHeight="1" spans="11:29" x14ac:dyDescent="0.25">
      <c r="K2942" s="128"/>
      <c r="X2942" s="234">
        <v>2022</v>
      </c>
      <c r="Y2942" s="234">
        <v>5</v>
      </c>
      <c r="Z2942" s="234">
        <v>3</v>
      </c>
      <c r="AA2942" s="235">
        <v>0.5</v>
      </c>
      <c r="AB2942" s="236">
        <v>15.8</v>
      </c>
      <c r="AC2942" s="127">
        <f t="shared" si="60"/>
        <v>16</v>
      </c>
    </row>
    <row r="2943" ht="14.5" customHeight="1" spans="11:29" x14ac:dyDescent="0.25">
      <c r="K2943" s="128"/>
      <c r="X2943" s="234">
        <v>2022</v>
      </c>
      <c r="Y2943" s="234">
        <v>5</v>
      </c>
      <c r="Z2943" s="234">
        <v>3</v>
      </c>
      <c r="AA2943" s="235">
        <v>0.5416666666678793</v>
      </c>
      <c r="AB2943" s="236">
        <v>16.5</v>
      </c>
      <c r="AC2943" s="127">
        <f t="shared" si="60"/>
        <v>17</v>
      </c>
    </row>
    <row r="2944" ht="14.5" customHeight="1" spans="11:29" x14ac:dyDescent="0.25">
      <c r="K2944" s="128"/>
      <c r="X2944" s="234">
        <v>2022</v>
      </c>
      <c r="Y2944" s="234">
        <v>5</v>
      </c>
      <c r="Z2944" s="234">
        <v>3</v>
      </c>
      <c r="AA2944" s="235">
        <v>0.5833333333321207</v>
      </c>
      <c r="AB2944" s="236">
        <v>16.9</v>
      </c>
      <c r="AC2944" s="127">
        <f t="shared" si="60"/>
        <v>17</v>
      </c>
    </row>
    <row r="2945" ht="14.5" customHeight="1" spans="11:29" x14ac:dyDescent="0.25">
      <c r="K2945" s="128"/>
      <c r="X2945" s="234">
        <v>2022</v>
      </c>
      <c r="Y2945" s="234">
        <v>5</v>
      </c>
      <c r="Z2945" s="234">
        <v>3</v>
      </c>
      <c r="AA2945" s="235">
        <v>0.625</v>
      </c>
      <c r="AB2945" s="236">
        <v>16.8</v>
      </c>
      <c r="AC2945" s="127">
        <f t="shared" si="60"/>
        <v>17</v>
      </c>
    </row>
    <row r="2946" ht="14.5" customHeight="1" spans="11:29" x14ac:dyDescent="0.25">
      <c r="K2946" s="128"/>
      <c r="X2946" s="234">
        <v>2022</v>
      </c>
      <c r="Y2946" s="234">
        <v>5</v>
      </c>
      <c r="Z2946" s="234">
        <v>3</v>
      </c>
      <c r="AA2946" s="235">
        <v>0.6666666666678793</v>
      </c>
      <c r="AB2946" s="236">
        <v>18.4</v>
      </c>
      <c r="AC2946" s="127">
        <f t="shared" si="60"/>
        <v>18</v>
      </c>
    </row>
    <row r="2947" ht="14.5" customHeight="1" spans="11:29" x14ac:dyDescent="0.25">
      <c r="K2947" s="128"/>
      <c r="X2947" s="234">
        <v>2022</v>
      </c>
      <c r="Y2947" s="234">
        <v>5</v>
      </c>
      <c r="Z2947" s="234">
        <v>3</v>
      </c>
      <c r="AA2947" s="235">
        <v>0.7083333333321207</v>
      </c>
      <c r="AB2947" s="236">
        <v>17.6</v>
      </c>
      <c r="AC2947" s="127">
        <f t="shared" si="60"/>
        <v>18</v>
      </c>
    </row>
    <row r="2948" ht="14.5" customHeight="1" spans="11:29" x14ac:dyDescent="0.25">
      <c r="K2948" s="128"/>
      <c r="X2948" s="234">
        <v>2022</v>
      </c>
      <c r="Y2948" s="234">
        <v>5</v>
      </c>
      <c r="Z2948" s="234">
        <v>3</v>
      </c>
      <c r="AA2948" s="235">
        <v>0.75</v>
      </c>
      <c r="AB2948" s="236">
        <v>17.7</v>
      </c>
      <c r="AC2948" s="127">
        <f t="shared" si="60"/>
        <v>18</v>
      </c>
    </row>
    <row r="2949" ht="14.5" customHeight="1" spans="11:29" x14ac:dyDescent="0.25">
      <c r="K2949" s="128"/>
      <c r="X2949" s="234">
        <v>2022</v>
      </c>
      <c r="Y2949" s="234">
        <v>5</v>
      </c>
      <c r="Z2949" s="234">
        <v>3</v>
      </c>
      <c r="AA2949" s="235">
        <v>0.7916666666678793</v>
      </c>
      <c r="AB2949" s="236">
        <v>16.6</v>
      </c>
      <c r="AC2949" s="127">
        <f t="shared" si="60"/>
        <v>17</v>
      </c>
    </row>
    <row r="2950" ht="14.5" customHeight="1" spans="11:29" x14ac:dyDescent="0.25">
      <c r="K2950" s="128"/>
      <c r="X2950" s="234">
        <v>2022</v>
      </c>
      <c r="Y2950" s="234">
        <v>5</v>
      </c>
      <c r="Z2950" s="234">
        <v>3</v>
      </c>
      <c r="AA2950" s="235">
        <v>0.8333333333321207</v>
      </c>
      <c r="AB2950" s="236">
        <v>14.3</v>
      </c>
      <c r="AC2950" s="127">
        <f t="shared" si="60"/>
        <v>14</v>
      </c>
    </row>
    <row r="2951" ht="14.5" customHeight="1" spans="11:29" x14ac:dyDescent="0.25">
      <c r="K2951" s="128"/>
      <c r="X2951" s="234">
        <v>2022</v>
      </c>
      <c r="Y2951" s="234">
        <v>5</v>
      </c>
      <c r="Z2951" s="234">
        <v>3</v>
      </c>
      <c r="AA2951" s="235">
        <v>0.875</v>
      </c>
      <c r="AB2951" s="236">
        <v>13.7</v>
      </c>
      <c r="AC2951" s="127">
        <f t="shared" si="60"/>
        <v>14</v>
      </c>
    </row>
    <row r="2952" ht="14.5" customHeight="1" spans="11:29" x14ac:dyDescent="0.25">
      <c r="K2952" s="128"/>
      <c r="X2952" s="234">
        <v>2022</v>
      </c>
      <c r="Y2952" s="234">
        <v>5</v>
      </c>
      <c r="Z2952" s="234">
        <v>3</v>
      </c>
      <c r="AA2952" s="235">
        <v>0.9166666666678793</v>
      </c>
      <c r="AB2952" s="236">
        <v>13.7</v>
      </c>
      <c r="AC2952" s="127">
        <f t="shared" si="60"/>
        <v>14</v>
      </c>
    </row>
    <row r="2953" ht="14.5" customHeight="1" spans="11:29" x14ac:dyDescent="0.25">
      <c r="K2953" s="128"/>
      <c r="X2953" s="234">
        <v>2022</v>
      </c>
      <c r="Y2953" s="234">
        <v>5</v>
      </c>
      <c r="Z2953" s="234">
        <v>3</v>
      </c>
      <c r="AA2953" s="235">
        <v>0.9583333333321207</v>
      </c>
      <c r="AB2953" s="236">
        <v>10.3</v>
      </c>
      <c r="AC2953" s="127">
        <f t="shared" si="60"/>
        <v>10</v>
      </c>
    </row>
    <row r="2954" ht="14.5" customHeight="1" spans="11:29" x14ac:dyDescent="0.25">
      <c r="K2954" s="128"/>
      <c r="X2954" s="234">
        <v>2022</v>
      </c>
      <c r="Y2954" s="234">
        <v>5</v>
      </c>
      <c r="Z2954" s="234">
        <v>4</v>
      </c>
      <c r="AA2954" s="235">
        <v>0</v>
      </c>
      <c r="AB2954" s="236">
        <v>10.6</v>
      </c>
      <c r="AC2954" s="127">
        <f t="shared" si="60"/>
        <v>11</v>
      </c>
    </row>
    <row r="2955" ht="14.5" customHeight="1" spans="11:29" x14ac:dyDescent="0.25">
      <c r="K2955" s="128"/>
      <c r="X2955" s="234">
        <v>2022</v>
      </c>
      <c r="Y2955" s="234">
        <v>5</v>
      </c>
      <c r="Z2955" s="234">
        <v>4</v>
      </c>
      <c r="AA2955" s="235">
        <v>0.041666666667879326</v>
      </c>
      <c r="AB2955" s="236">
        <v>12.9</v>
      </c>
      <c r="AC2955" s="127">
        <f t="shared" ref="AC2955:AC3018" si="61">ROUND(AB2955,0)</f>
        <v>13</v>
      </c>
    </row>
    <row r="2956" ht="14.5" customHeight="1" spans="11:29" x14ac:dyDescent="0.25">
      <c r="K2956" s="128"/>
      <c r="X2956" s="234">
        <v>2022</v>
      </c>
      <c r="Y2956" s="234">
        <v>5</v>
      </c>
      <c r="Z2956" s="234">
        <v>4</v>
      </c>
      <c r="AA2956" s="235">
        <v>0.08333333333212067</v>
      </c>
      <c r="AB2956" s="236">
        <v>11.1</v>
      </c>
      <c r="AC2956" s="127">
        <f t="shared" si="61"/>
        <v>11</v>
      </c>
    </row>
    <row r="2957" ht="14.5" customHeight="1" spans="11:29" x14ac:dyDescent="0.25">
      <c r="K2957" s="128"/>
      <c r="X2957" s="234">
        <v>2022</v>
      </c>
      <c r="Y2957" s="234">
        <v>5</v>
      </c>
      <c r="Z2957" s="234">
        <v>4</v>
      </c>
      <c r="AA2957" s="235">
        <v>0.125</v>
      </c>
      <c r="AB2957" s="236">
        <v>10.3</v>
      </c>
      <c r="AC2957" s="127">
        <f t="shared" si="61"/>
        <v>10</v>
      </c>
    </row>
    <row r="2958" ht="14.5" customHeight="1" spans="11:29" x14ac:dyDescent="0.25">
      <c r="K2958" s="128"/>
      <c r="X2958" s="234">
        <v>2022</v>
      </c>
      <c r="Y2958" s="234">
        <v>5</v>
      </c>
      <c r="Z2958" s="234">
        <v>4</v>
      </c>
      <c r="AA2958" s="235">
        <v>0.16666666666787933</v>
      </c>
      <c r="AB2958" s="236">
        <v>8.2</v>
      </c>
      <c r="AC2958" s="127">
        <f t="shared" si="61"/>
        <v>8</v>
      </c>
    </row>
    <row r="2959" ht="14.5" customHeight="1" spans="11:29" x14ac:dyDescent="0.25">
      <c r="K2959" s="128"/>
      <c r="X2959" s="234">
        <v>2022</v>
      </c>
      <c r="Y2959" s="234">
        <v>5</v>
      </c>
      <c r="Z2959" s="234">
        <v>4</v>
      </c>
      <c r="AA2959" s="235">
        <v>0.20833333333212067</v>
      </c>
      <c r="AB2959" s="236">
        <v>8.8</v>
      </c>
      <c r="AC2959" s="127">
        <f t="shared" si="61"/>
        <v>9</v>
      </c>
    </row>
    <row r="2960" ht="14.5" customHeight="1" spans="11:29" x14ac:dyDescent="0.25">
      <c r="K2960" s="128"/>
      <c r="X2960" s="234">
        <v>2022</v>
      </c>
      <c r="Y2960" s="234">
        <v>5</v>
      </c>
      <c r="Z2960" s="234">
        <v>4</v>
      </c>
      <c r="AA2960" s="235">
        <v>0.25</v>
      </c>
      <c r="AB2960" s="236">
        <v>9.1</v>
      </c>
      <c r="AC2960" s="127">
        <f t="shared" si="61"/>
        <v>9</v>
      </c>
    </row>
    <row r="2961" ht="14.5" customHeight="1" spans="11:29" x14ac:dyDescent="0.25">
      <c r="K2961" s="128"/>
      <c r="X2961" s="234">
        <v>2022</v>
      </c>
      <c r="Y2961" s="234">
        <v>5</v>
      </c>
      <c r="Z2961" s="234">
        <v>4</v>
      </c>
      <c r="AA2961" s="235">
        <v>0.2916666666678793</v>
      </c>
      <c r="AB2961" s="236">
        <v>10</v>
      </c>
      <c r="AC2961" s="127">
        <f t="shared" si="61"/>
        <v>10</v>
      </c>
    </row>
    <row r="2962" ht="14.5" customHeight="1" spans="11:29" x14ac:dyDescent="0.25">
      <c r="K2962" s="128"/>
      <c r="X2962" s="234">
        <v>2022</v>
      </c>
      <c r="Y2962" s="234">
        <v>5</v>
      </c>
      <c r="Z2962" s="234">
        <v>4</v>
      </c>
      <c r="AA2962" s="235">
        <v>0.3333333333321207</v>
      </c>
      <c r="AB2962" s="236">
        <v>11</v>
      </c>
      <c r="AC2962" s="127">
        <f t="shared" si="61"/>
        <v>11</v>
      </c>
    </row>
    <row r="2963" ht="14.5" customHeight="1" spans="11:29" x14ac:dyDescent="0.25">
      <c r="K2963" s="128"/>
      <c r="X2963" s="234">
        <v>2022</v>
      </c>
      <c r="Y2963" s="234">
        <v>5</v>
      </c>
      <c r="Z2963" s="234">
        <v>4</v>
      </c>
      <c r="AA2963" s="235">
        <v>0.375</v>
      </c>
      <c r="AB2963" s="236">
        <v>11.6</v>
      </c>
      <c r="AC2963" s="127">
        <f t="shared" si="61"/>
        <v>12</v>
      </c>
    </row>
    <row r="2964" ht="14.5" customHeight="1" spans="11:29" x14ac:dyDescent="0.25">
      <c r="K2964" s="128"/>
      <c r="X2964" s="234">
        <v>2022</v>
      </c>
      <c r="Y2964" s="234">
        <v>5</v>
      </c>
      <c r="Z2964" s="234">
        <v>4</v>
      </c>
      <c r="AA2964" s="235">
        <v>0.4166666666678793</v>
      </c>
      <c r="AB2964" s="236">
        <v>12.4</v>
      </c>
      <c r="AC2964" s="127">
        <f t="shared" si="61"/>
        <v>12</v>
      </c>
    </row>
    <row r="2965" ht="14.5" customHeight="1" spans="11:29" x14ac:dyDescent="0.25">
      <c r="K2965" s="128"/>
      <c r="X2965" s="234">
        <v>2022</v>
      </c>
      <c r="Y2965" s="234">
        <v>5</v>
      </c>
      <c r="Z2965" s="234">
        <v>4</v>
      </c>
      <c r="AA2965" s="235">
        <v>0.4583333333321207</v>
      </c>
      <c r="AB2965" s="236">
        <v>14</v>
      </c>
      <c r="AC2965" s="127">
        <f t="shared" si="61"/>
        <v>14</v>
      </c>
    </row>
    <row r="2966" ht="14.5" customHeight="1" spans="11:29" x14ac:dyDescent="0.25">
      <c r="K2966" s="128"/>
      <c r="X2966" s="234">
        <v>2022</v>
      </c>
      <c r="Y2966" s="234">
        <v>5</v>
      </c>
      <c r="Z2966" s="234">
        <v>4</v>
      </c>
      <c r="AA2966" s="235">
        <v>0.5</v>
      </c>
      <c r="AB2966" s="236">
        <v>14.9</v>
      </c>
      <c r="AC2966" s="127">
        <f t="shared" si="61"/>
        <v>15</v>
      </c>
    </row>
    <row r="2967" ht="14.5" customHeight="1" spans="11:29" x14ac:dyDescent="0.25">
      <c r="K2967" s="128"/>
      <c r="X2967" s="234">
        <v>2022</v>
      </c>
      <c r="Y2967" s="234">
        <v>5</v>
      </c>
      <c r="Z2967" s="234">
        <v>4</v>
      </c>
      <c r="AA2967" s="235">
        <v>0.5416666666678793</v>
      </c>
      <c r="AB2967" s="236">
        <v>15.3</v>
      </c>
      <c r="AC2967" s="127">
        <f t="shared" si="61"/>
        <v>15</v>
      </c>
    </row>
    <row r="2968" ht="14.5" customHeight="1" spans="11:29" x14ac:dyDescent="0.25">
      <c r="K2968" s="128"/>
      <c r="X2968" s="234">
        <v>2022</v>
      </c>
      <c r="Y2968" s="234">
        <v>5</v>
      </c>
      <c r="Z2968" s="234">
        <v>4</v>
      </c>
      <c r="AA2968" s="235">
        <v>0.5833333333321207</v>
      </c>
      <c r="AB2968" s="236">
        <v>16.3</v>
      </c>
      <c r="AC2968" s="127">
        <f t="shared" si="61"/>
        <v>16</v>
      </c>
    </row>
    <row r="2969" ht="14.5" customHeight="1" spans="11:29" x14ac:dyDescent="0.25">
      <c r="K2969" s="128"/>
      <c r="X2969" s="234">
        <v>2022</v>
      </c>
      <c r="Y2969" s="234">
        <v>5</v>
      </c>
      <c r="Z2969" s="234">
        <v>4</v>
      </c>
      <c r="AA2969" s="235">
        <v>0.625</v>
      </c>
      <c r="AB2969" s="236">
        <v>19.5</v>
      </c>
      <c r="AC2969" s="127">
        <f t="shared" si="61"/>
        <v>20</v>
      </c>
    </row>
    <row r="2970" ht="14.5" customHeight="1" spans="11:29" x14ac:dyDescent="0.25">
      <c r="K2970" s="128"/>
      <c r="X2970" s="234">
        <v>2022</v>
      </c>
      <c r="Y2970" s="234">
        <v>5</v>
      </c>
      <c r="Z2970" s="234">
        <v>4</v>
      </c>
      <c r="AA2970" s="235">
        <v>0.6666666666678793</v>
      </c>
      <c r="AB2970" s="236">
        <v>18.9</v>
      </c>
      <c r="AC2970" s="127">
        <f t="shared" si="61"/>
        <v>19</v>
      </c>
    </row>
    <row r="2971" ht="14.5" customHeight="1" spans="11:29" x14ac:dyDescent="0.25">
      <c r="K2971" s="128"/>
      <c r="X2971" s="234">
        <v>2022</v>
      </c>
      <c r="Y2971" s="234">
        <v>5</v>
      </c>
      <c r="Z2971" s="234">
        <v>4</v>
      </c>
      <c r="AA2971" s="235">
        <v>0.7083333333321207</v>
      </c>
      <c r="AB2971" s="236">
        <v>19</v>
      </c>
      <c r="AC2971" s="127">
        <f t="shared" si="61"/>
        <v>19</v>
      </c>
    </row>
    <row r="2972" ht="14.5" customHeight="1" spans="11:29" x14ac:dyDescent="0.25">
      <c r="K2972" s="128"/>
      <c r="X2972" s="234">
        <v>2022</v>
      </c>
      <c r="Y2972" s="234">
        <v>5</v>
      </c>
      <c r="Z2972" s="234">
        <v>4</v>
      </c>
      <c r="AA2972" s="235">
        <v>0.75</v>
      </c>
      <c r="AB2972" s="236">
        <v>17.6</v>
      </c>
      <c r="AC2972" s="127">
        <f t="shared" si="61"/>
        <v>18</v>
      </c>
    </row>
    <row r="2973" ht="14.5" customHeight="1" spans="11:29" x14ac:dyDescent="0.25">
      <c r="K2973" s="128"/>
      <c r="X2973" s="234">
        <v>2022</v>
      </c>
      <c r="Y2973" s="234">
        <v>5</v>
      </c>
      <c r="Z2973" s="234">
        <v>4</v>
      </c>
      <c r="AA2973" s="235">
        <v>0.7916666666678793</v>
      </c>
      <c r="AB2973" s="236">
        <v>16.3</v>
      </c>
      <c r="AC2973" s="127">
        <f t="shared" si="61"/>
        <v>16</v>
      </c>
    </row>
    <row r="2974" ht="14.5" customHeight="1" spans="11:29" x14ac:dyDescent="0.25">
      <c r="K2974" s="128"/>
      <c r="X2974" s="234">
        <v>2022</v>
      </c>
      <c r="Y2974" s="234">
        <v>5</v>
      </c>
      <c r="Z2974" s="234">
        <v>4</v>
      </c>
      <c r="AA2974" s="235">
        <v>0.8333333333321207</v>
      </c>
      <c r="AB2974" s="236">
        <v>14.4</v>
      </c>
      <c r="AC2974" s="127">
        <f t="shared" si="61"/>
        <v>14</v>
      </c>
    </row>
    <row r="2975" ht="14.5" customHeight="1" spans="11:29" x14ac:dyDescent="0.25">
      <c r="K2975" s="128"/>
      <c r="X2975" s="234">
        <v>2022</v>
      </c>
      <c r="Y2975" s="234">
        <v>5</v>
      </c>
      <c r="Z2975" s="234">
        <v>4</v>
      </c>
      <c r="AA2975" s="235">
        <v>0.875</v>
      </c>
      <c r="AB2975" s="236">
        <v>12.7</v>
      </c>
      <c r="AC2975" s="127">
        <f t="shared" si="61"/>
        <v>13</v>
      </c>
    </row>
    <row r="2976" ht="14.5" customHeight="1" spans="11:29" x14ac:dyDescent="0.25">
      <c r="K2976" s="128"/>
      <c r="X2976" s="234">
        <v>2022</v>
      </c>
      <c r="Y2976" s="234">
        <v>5</v>
      </c>
      <c r="Z2976" s="234">
        <v>4</v>
      </c>
      <c r="AA2976" s="235">
        <v>0.9166666666678793</v>
      </c>
      <c r="AB2976" s="236">
        <v>11.6</v>
      </c>
      <c r="AC2976" s="127">
        <f t="shared" si="61"/>
        <v>12</v>
      </c>
    </row>
    <row r="2977" ht="14.5" customHeight="1" spans="11:29" x14ac:dyDescent="0.25">
      <c r="K2977" s="128"/>
      <c r="X2977" s="234">
        <v>2022</v>
      </c>
      <c r="Y2977" s="234">
        <v>5</v>
      </c>
      <c r="Z2977" s="234">
        <v>4</v>
      </c>
      <c r="AA2977" s="235">
        <v>0.9583333333321207</v>
      </c>
      <c r="AB2977" s="236">
        <v>11.2</v>
      </c>
      <c r="AC2977" s="127">
        <f t="shared" si="61"/>
        <v>11</v>
      </c>
    </row>
    <row r="2978" ht="14.5" customHeight="1" spans="11:29" x14ac:dyDescent="0.25">
      <c r="K2978" s="128"/>
      <c r="X2978" s="234">
        <v>2022</v>
      </c>
      <c r="Y2978" s="234">
        <v>5</v>
      </c>
      <c r="Z2978" s="234">
        <v>5</v>
      </c>
      <c r="AA2978" s="235">
        <v>0</v>
      </c>
      <c r="AB2978" s="236">
        <v>8.5</v>
      </c>
      <c r="AC2978" s="127">
        <f t="shared" si="61"/>
        <v>9</v>
      </c>
    </row>
    <row r="2979" ht="14.5" customHeight="1" spans="11:29" x14ac:dyDescent="0.25">
      <c r="K2979" s="128"/>
      <c r="X2979" s="234">
        <v>2022</v>
      </c>
      <c r="Y2979" s="234">
        <v>5</v>
      </c>
      <c r="Z2979" s="234">
        <v>5</v>
      </c>
      <c r="AA2979" s="235">
        <v>0.041666666667879326</v>
      </c>
      <c r="AB2979" s="236">
        <v>8.1</v>
      </c>
      <c r="AC2979" s="127">
        <f t="shared" si="61"/>
        <v>8</v>
      </c>
    </row>
    <row r="2980" ht="14.5" customHeight="1" spans="11:29" x14ac:dyDescent="0.25">
      <c r="K2980" s="128"/>
      <c r="X2980" s="234">
        <v>2022</v>
      </c>
      <c r="Y2980" s="234">
        <v>5</v>
      </c>
      <c r="Z2980" s="234">
        <v>5</v>
      </c>
      <c r="AA2980" s="235">
        <v>0.08333333333212067</v>
      </c>
      <c r="AB2980" s="236">
        <v>11.6</v>
      </c>
      <c r="AC2980" s="127">
        <f t="shared" si="61"/>
        <v>12</v>
      </c>
    </row>
    <row r="2981" ht="14.5" customHeight="1" spans="11:29" x14ac:dyDescent="0.25">
      <c r="K2981" s="128"/>
      <c r="X2981" s="234">
        <v>2022</v>
      </c>
      <c r="Y2981" s="234">
        <v>5</v>
      </c>
      <c r="Z2981" s="234">
        <v>5</v>
      </c>
      <c r="AA2981" s="235">
        <v>0.125</v>
      </c>
      <c r="AB2981" s="236">
        <v>11.3</v>
      </c>
      <c r="AC2981" s="127">
        <f t="shared" si="61"/>
        <v>11</v>
      </c>
    </row>
    <row r="2982" ht="14.5" customHeight="1" spans="11:29" x14ac:dyDescent="0.25">
      <c r="K2982" s="128"/>
      <c r="X2982" s="234">
        <v>2022</v>
      </c>
      <c r="Y2982" s="234">
        <v>5</v>
      </c>
      <c r="Z2982" s="234">
        <v>5</v>
      </c>
      <c r="AA2982" s="235">
        <v>0.16666666666787933</v>
      </c>
      <c r="AB2982" s="236">
        <v>9.6</v>
      </c>
      <c r="AC2982" s="127">
        <f t="shared" si="61"/>
        <v>10</v>
      </c>
    </row>
    <row r="2983" ht="14.5" customHeight="1" spans="11:29" x14ac:dyDescent="0.25">
      <c r="K2983" s="128"/>
      <c r="X2983" s="234">
        <v>2022</v>
      </c>
      <c r="Y2983" s="234">
        <v>5</v>
      </c>
      <c r="Z2983" s="234">
        <v>5</v>
      </c>
      <c r="AA2983" s="235">
        <v>0.20833333333212067</v>
      </c>
      <c r="AB2983" s="236">
        <v>9.2</v>
      </c>
      <c r="AC2983" s="127">
        <f t="shared" si="61"/>
        <v>9</v>
      </c>
    </row>
    <row r="2984" ht="14.5" customHeight="1" spans="11:29" x14ac:dyDescent="0.25">
      <c r="K2984" s="128"/>
      <c r="X2984" s="234">
        <v>2022</v>
      </c>
      <c r="Y2984" s="234">
        <v>5</v>
      </c>
      <c r="Z2984" s="234">
        <v>5</v>
      </c>
      <c r="AA2984" s="235">
        <v>0.25</v>
      </c>
      <c r="AB2984" s="236">
        <v>9</v>
      </c>
      <c r="AC2984" s="127">
        <f t="shared" si="61"/>
        <v>9</v>
      </c>
    </row>
    <row r="2985" ht="14.5" customHeight="1" spans="11:29" x14ac:dyDescent="0.25">
      <c r="K2985" s="128"/>
      <c r="X2985" s="234">
        <v>2022</v>
      </c>
      <c r="Y2985" s="234">
        <v>5</v>
      </c>
      <c r="Z2985" s="234">
        <v>5</v>
      </c>
      <c r="AA2985" s="235">
        <v>0.2916666666678793</v>
      </c>
      <c r="AB2985" s="236">
        <v>10.2</v>
      </c>
      <c r="AC2985" s="127">
        <f t="shared" si="61"/>
        <v>10</v>
      </c>
    </row>
    <row r="2986" ht="14.5" customHeight="1" spans="11:29" x14ac:dyDescent="0.25">
      <c r="K2986" s="128"/>
      <c r="X2986" s="234">
        <v>2022</v>
      </c>
      <c r="Y2986" s="234">
        <v>5</v>
      </c>
      <c r="Z2986" s="234">
        <v>5</v>
      </c>
      <c r="AA2986" s="235">
        <v>0.3333333333321207</v>
      </c>
      <c r="AB2986" s="236">
        <v>9.8</v>
      </c>
      <c r="AC2986" s="127">
        <f t="shared" si="61"/>
        <v>10</v>
      </c>
    </row>
    <row r="2987" ht="14.5" customHeight="1" spans="11:29" x14ac:dyDescent="0.25">
      <c r="K2987" s="128"/>
      <c r="X2987" s="234">
        <v>2022</v>
      </c>
      <c r="Y2987" s="234">
        <v>5</v>
      </c>
      <c r="Z2987" s="234">
        <v>5</v>
      </c>
      <c r="AA2987" s="235">
        <v>0.375</v>
      </c>
      <c r="AB2987" s="236">
        <v>11.4</v>
      </c>
      <c r="AC2987" s="127">
        <f t="shared" si="61"/>
        <v>11</v>
      </c>
    </row>
    <row r="2988" ht="14.5" customHeight="1" spans="11:29" x14ac:dyDescent="0.25">
      <c r="K2988" s="128"/>
      <c r="X2988" s="234">
        <v>2022</v>
      </c>
      <c r="Y2988" s="234">
        <v>5</v>
      </c>
      <c r="Z2988" s="234">
        <v>5</v>
      </c>
      <c r="AA2988" s="235">
        <v>0.4166666666678793</v>
      </c>
      <c r="AB2988" s="236">
        <v>13.4</v>
      </c>
      <c r="AC2988" s="127">
        <f t="shared" si="61"/>
        <v>13</v>
      </c>
    </row>
    <row r="2989" ht="14.5" customHeight="1" spans="11:29" x14ac:dyDescent="0.25">
      <c r="K2989" s="128"/>
      <c r="X2989" s="234">
        <v>2022</v>
      </c>
      <c r="Y2989" s="234">
        <v>5</v>
      </c>
      <c r="Z2989" s="234">
        <v>5</v>
      </c>
      <c r="AA2989" s="235">
        <v>0.4583333333321207</v>
      </c>
      <c r="AB2989" s="236">
        <v>15.4</v>
      </c>
      <c r="AC2989" s="127">
        <f t="shared" si="61"/>
        <v>15</v>
      </c>
    </row>
    <row r="2990" ht="14.5" customHeight="1" spans="11:29" x14ac:dyDescent="0.25">
      <c r="K2990" s="128"/>
      <c r="X2990" s="234">
        <v>2022</v>
      </c>
      <c r="Y2990" s="234">
        <v>5</v>
      </c>
      <c r="Z2990" s="234">
        <v>5</v>
      </c>
      <c r="AA2990" s="235">
        <v>0.5</v>
      </c>
      <c r="AB2990" s="236">
        <v>17.1</v>
      </c>
      <c r="AC2990" s="127">
        <f t="shared" si="61"/>
        <v>17</v>
      </c>
    </row>
    <row r="2991" ht="14.5" customHeight="1" spans="11:29" x14ac:dyDescent="0.25">
      <c r="K2991" s="128"/>
      <c r="X2991" s="234">
        <v>2022</v>
      </c>
      <c r="Y2991" s="234">
        <v>5</v>
      </c>
      <c r="Z2991" s="234">
        <v>5</v>
      </c>
      <c r="AA2991" s="235">
        <v>0.5416666666678793</v>
      </c>
      <c r="AB2991" s="236">
        <v>19</v>
      </c>
      <c r="AC2991" s="127">
        <f t="shared" si="61"/>
        <v>19</v>
      </c>
    </row>
    <row r="2992" ht="14.5" customHeight="1" spans="11:29" x14ac:dyDescent="0.25">
      <c r="K2992" s="128"/>
      <c r="X2992" s="234">
        <v>2022</v>
      </c>
      <c r="Y2992" s="234">
        <v>5</v>
      </c>
      <c r="Z2992" s="234">
        <v>5</v>
      </c>
      <c r="AA2992" s="235">
        <v>0.5833333333321207</v>
      </c>
      <c r="AB2992" s="236">
        <v>19.5</v>
      </c>
      <c r="AC2992" s="127">
        <f t="shared" si="61"/>
        <v>20</v>
      </c>
    </row>
    <row r="2993" ht="14.5" customHeight="1" spans="11:29" x14ac:dyDescent="0.25">
      <c r="K2993" s="128"/>
      <c r="X2993" s="234">
        <v>2022</v>
      </c>
      <c r="Y2993" s="234">
        <v>5</v>
      </c>
      <c r="Z2993" s="234">
        <v>5</v>
      </c>
      <c r="AA2993" s="235">
        <v>0.625</v>
      </c>
      <c r="AB2993" s="236">
        <v>19.2</v>
      </c>
      <c r="AC2993" s="127">
        <f t="shared" si="61"/>
        <v>19</v>
      </c>
    </row>
    <row r="2994" ht="14.5" customHeight="1" spans="11:29" x14ac:dyDescent="0.25">
      <c r="K2994" s="128"/>
      <c r="X2994" s="234">
        <v>2022</v>
      </c>
      <c r="Y2994" s="234">
        <v>5</v>
      </c>
      <c r="Z2994" s="234">
        <v>5</v>
      </c>
      <c r="AA2994" s="235">
        <v>0.6666666666678793</v>
      </c>
      <c r="AB2994" s="236">
        <v>18.2</v>
      </c>
      <c r="AC2994" s="127">
        <f t="shared" si="61"/>
        <v>18</v>
      </c>
    </row>
    <row r="2995" ht="14.5" customHeight="1" spans="11:29" x14ac:dyDescent="0.25">
      <c r="K2995" s="128"/>
      <c r="X2995" s="234">
        <v>2022</v>
      </c>
      <c r="Y2995" s="234">
        <v>5</v>
      </c>
      <c r="Z2995" s="234">
        <v>5</v>
      </c>
      <c r="AA2995" s="235">
        <v>0.7083333333321207</v>
      </c>
      <c r="AB2995" s="236">
        <v>17.7</v>
      </c>
      <c r="AC2995" s="127">
        <f t="shared" si="61"/>
        <v>18</v>
      </c>
    </row>
    <row r="2996" ht="14.5" customHeight="1" spans="11:29" x14ac:dyDescent="0.25">
      <c r="K2996" s="128"/>
      <c r="X2996" s="234">
        <v>2022</v>
      </c>
      <c r="Y2996" s="234">
        <v>5</v>
      </c>
      <c r="Z2996" s="234">
        <v>5</v>
      </c>
      <c r="AA2996" s="235">
        <v>0.75</v>
      </c>
      <c r="AB2996" s="236">
        <v>17.2</v>
      </c>
      <c r="AC2996" s="127">
        <f t="shared" si="61"/>
        <v>17</v>
      </c>
    </row>
    <row r="2997" ht="14.5" customHeight="1" spans="11:29" x14ac:dyDescent="0.25">
      <c r="K2997" s="128"/>
      <c r="X2997" s="234">
        <v>2022</v>
      </c>
      <c r="Y2997" s="234">
        <v>5</v>
      </c>
      <c r="Z2997" s="234">
        <v>5</v>
      </c>
      <c r="AA2997" s="235">
        <v>0.7916666666678793</v>
      </c>
      <c r="AB2997" s="236">
        <v>15.3</v>
      </c>
      <c r="AC2997" s="127">
        <f t="shared" si="61"/>
        <v>15</v>
      </c>
    </row>
    <row r="2998" ht="14.5" customHeight="1" spans="11:29" x14ac:dyDescent="0.25">
      <c r="K2998" s="128"/>
      <c r="X2998" s="234">
        <v>2022</v>
      </c>
      <c r="Y2998" s="234">
        <v>5</v>
      </c>
      <c r="Z2998" s="234">
        <v>5</v>
      </c>
      <c r="AA2998" s="235">
        <v>0.8333333333321207</v>
      </c>
      <c r="AB2998" s="236">
        <v>13.2</v>
      </c>
      <c r="AC2998" s="127">
        <f t="shared" si="61"/>
        <v>13</v>
      </c>
    </row>
    <row r="2999" ht="14.5" customHeight="1" spans="11:29" x14ac:dyDescent="0.25">
      <c r="K2999" s="128"/>
      <c r="X2999" s="234">
        <v>2022</v>
      </c>
      <c r="Y2999" s="234">
        <v>5</v>
      </c>
      <c r="Z2999" s="234">
        <v>5</v>
      </c>
      <c r="AA2999" s="235">
        <v>0.875</v>
      </c>
      <c r="AB2999" s="236">
        <v>11.3</v>
      </c>
      <c r="AC2999" s="127">
        <f t="shared" si="61"/>
        <v>11</v>
      </c>
    </row>
    <row r="3000" ht="14.5" customHeight="1" spans="11:29" x14ac:dyDescent="0.25">
      <c r="K3000" s="128"/>
      <c r="X3000" s="234">
        <v>2022</v>
      </c>
      <c r="Y3000" s="234">
        <v>5</v>
      </c>
      <c r="Z3000" s="234">
        <v>5</v>
      </c>
      <c r="AA3000" s="235">
        <v>0.9166666666678793</v>
      </c>
      <c r="AB3000" s="236">
        <v>11.8</v>
      </c>
      <c r="AC3000" s="127">
        <f t="shared" si="61"/>
        <v>12</v>
      </c>
    </row>
    <row r="3001" ht="14.5" customHeight="1" spans="11:29" x14ac:dyDescent="0.25">
      <c r="K3001" s="128"/>
      <c r="X3001" s="234">
        <v>2022</v>
      </c>
      <c r="Y3001" s="234">
        <v>5</v>
      </c>
      <c r="Z3001" s="234">
        <v>5</v>
      </c>
      <c r="AA3001" s="235">
        <v>0.9583333333321207</v>
      </c>
      <c r="AB3001" s="236">
        <v>10.7</v>
      </c>
      <c r="AC3001" s="127">
        <f t="shared" si="61"/>
        <v>11</v>
      </c>
    </row>
    <row r="3002" ht="14.5" customHeight="1" spans="11:29" x14ac:dyDescent="0.25">
      <c r="K3002" s="128"/>
      <c r="X3002" s="234">
        <v>2022</v>
      </c>
      <c r="Y3002" s="234">
        <v>5</v>
      </c>
      <c r="Z3002" s="234">
        <v>6</v>
      </c>
      <c r="AA3002" s="235">
        <v>0</v>
      </c>
      <c r="AB3002" s="236">
        <v>10.3</v>
      </c>
      <c r="AC3002" s="127">
        <f t="shared" si="61"/>
        <v>10</v>
      </c>
    </row>
    <row r="3003" ht="14.5" customHeight="1" spans="11:29" x14ac:dyDescent="0.25">
      <c r="K3003" s="128"/>
      <c r="X3003" s="234">
        <v>2022</v>
      </c>
      <c r="Y3003" s="234">
        <v>5</v>
      </c>
      <c r="Z3003" s="234">
        <v>6</v>
      </c>
      <c r="AA3003" s="235">
        <v>0.041666666667879326</v>
      </c>
      <c r="AB3003" s="236">
        <v>9.6</v>
      </c>
      <c r="AC3003" s="127">
        <f t="shared" si="61"/>
        <v>10</v>
      </c>
    </row>
    <row r="3004" ht="14.5" customHeight="1" spans="11:29" x14ac:dyDescent="0.25">
      <c r="K3004" s="128"/>
      <c r="X3004" s="234">
        <v>2022</v>
      </c>
      <c r="Y3004" s="234">
        <v>5</v>
      </c>
      <c r="Z3004" s="234">
        <v>6</v>
      </c>
      <c r="AA3004" s="235">
        <v>0.08333333333212067</v>
      </c>
      <c r="AB3004" s="236">
        <v>8.2</v>
      </c>
      <c r="AC3004" s="127">
        <f t="shared" si="61"/>
        <v>8</v>
      </c>
    </row>
    <row r="3005" ht="14.5" customHeight="1" spans="11:29" x14ac:dyDescent="0.25">
      <c r="K3005" s="128"/>
      <c r="X3005" s="234">
        <v>2022</v>
      </c>
      <c r="Y3005" s="234">
        <v>5</v>
      </c>
      <c r="Z3005" s="234">
        <v>6</v>
      </c>
      <c r="AA3005" s="235">
        <v>0.125</v>
      </c>
      <c r="AB3005" s="236">
        <v>7</v>
      </c>
      <c r="AC3005" s="127">
        <f t="shared" si="61"/>
        <v>7</v>
      </c>
    </row>
    <row r="3006" ht="14.5" customHeight="1" spans="11:29" x14ac:dyDescent="0.25">
      <c r="K3006" s="128"/>
      <c r="X3006" s="234">
        <v>2022</v>
      </c>
      <c r="Y3006" s="234">
        <v>5</v>
      </c>
      <c r="Z3006" s="234">
        <v>6</v>
      </c>
      <c r="AA3006" s="235">
        <v>0.16666666666787933</v>
      </c>
      <c r="AB3006" s="236">
        <v>8.2</v>
      </c>
      <c r="AC3006" s="127">
        <f t="shared" si="61"/>
        <v>8</v>
      </c>
    </row>
    <row r="3007" ht="14.5" customHeight="1" spans="11:29" x14ac:dyDescent="0.25">
      <c r="K3007" s="128"/>
      <c r="X3007" s="234">
        <v>2022</v>
      </c>
      <c r="Y3007" s="234">
        <v>5</v>
      </c>
      <c r="Z3007" s="234">
        <v>6</v>
      </c>
      <c r="AA3007" s="235">
        <v>0.20833333333212067</v>
      </c>
      <c r="AB3007" s="236">
        <v>10.3</v>
      </c>
      <c r="AC3007" s="127">
        <f t="shared" si="61"/>
        <v>10</v>
      </c>
    </row>
    <row r="3008" ht="14.5" customHeight="1" spans="11:29" x14ac:dyDescent="0.25">
      <c r="K3008" s="128"/>
      <c r="X3008" s="234">
        <v>2022</v>
      </c>
      <c r="Y3008" s="234">
        <v>5</v>
      </c>
      <c r="Z3008" s="234">
        <v>6</v>
      </c>
      <c r="AA3008" s="235">
        <v>0.25</v>
      </c>
      <c r="AB3008" s="236">
        <v>10.4</v>
      </c>
      <c r="AC3008" s="127">
        <f t="shared" si="61"/>
        <v>10</v>
      </c>
    </row>
    <row r="3009" ht="14.5" customHeight="1" spans="11:29" x14ac:dyDescent="0.25">
      <c r="K3009" s="128"/>
      <c r="X3009" s="234">
        <v>2022</v>
      </c>
      <c r="Y3009" s="234">
        <v>5</v>
      </c>
      <c r="Z3009" s="234">
        <v>6</v>
      </c>
      <c r="AA3009" s="235">
        <v>0.2916666666678793</v>
      </c>
      <c r="AB3009" s="236">
        <v>10.8</v>
      </c>
      <c r="AC3009" s="127">
        <f t="shared" si="61"/>
        <v>11</v>
      </c>
    </row>
    <row r="3010" ht="14.5" customHeight="1" spans="11:29" x14ac:dyDescent="0.25">
      <c r="K3010" s="128"/>
      <c r="X3010" s="234">
        <v>2022</v>
      </c>
      <c r="Y3010" s="234">
        <v>5</v>
      </c>
      <c r="Z3010" s="234">
        <v>6</v>
      </c>
      <c r="AA3010" s="235">
        <v>0.3333333333321207</v>
      </c>
      <c r="AB3010" s="236">
        <v>12.2</v>
      </c>
      <c r="AC3010" s="127">
        <f t="shared" si="61"/>
        <v>12</v>
      </c>
    </row>
    <row r="3011" ht="14.5" customHeight="1" spans="11:29" x14ac:dyDescent="0.25">
      <c r="K3011" s="128"/>
      <c r="X3011" s="234">
        <v>2022</v>
      </c>
      <c r="Y3011" s="234">
        <v>5</v>
      </c>
      <c r="Z3011" s="234">
        <v>6</v>
      </c>
      <c r="AA3011" s="235">
        <v>0.375</v>
      </c>
      <c r="AB3011" s="236">
        <v>13.1</v>
      </c>
      <c r="AC3011" s="127">
        <f t="shared" si="61"/>
        <v>13</v>
      </c>
    </row>
    <row r="3012" ht="14.5" customHeight="1" spans="11:29" x14ac:dyDescent="0.25">
      <c r="K3012" s="128"/>
      <c r="X3012" s="234">
        <v>2022</v>
      </c>
      <c r="Y3012" s="234">
        <v>5</v>
      </c>
      <c r="Z3012" s="234">
        <v>6</v>
      </c>
      <c r="AA3012" s="235">
        <v>0.4166666666678793</v>
      </c>
      <c r="AB3012" s="236">
        <v>13.9</v>
      </c>
      <c r="AC3012" s="127">
        <f t="shared" si="61"/>
        <v>14</v>
      </c>
    </row>
    <row r="3013" ht="14.5" customHeight="1" spans="11:29" x14ac:dyDescent="0.25">
      <c r="K3013" s="128"/>
      <c r="X3013" s="234">
        <v>2022</v>
      </c>
      <c r="Y3013" s="234">
        <v>5</v>
      </c>
      <c r="Z3013" s="234">
        <v>6</v>
      </c>
      <c r="AA3013" s="235">
        <v>0.4583333333321207</v>
      </c>
      <c r="AB3013" s="236">
        <v>15</v>
      </c>
      <c r="AC3013" s="127">
        <f t="shared" si="61"/>
        <v>15</v>
      </c>
    </row>
    <row r="3014" ht="14.5" customHeight="1" spans="11:29" x14ac:dyDescent="0.25">
      <c r="K3014" s="128"/>
      <c r="X3014" s="234">
        <v>2022</v>
      </c>
      <c r="Y3014" s="234">
        <v>5</v>
      </c>
      <c r="Z3014" s="234">
        <v>6</v>
      </c>
      <c r="AA3014" s="235">
        <v>0.5</v>
      </c>
      <c r="AB3014" s="236">
        <v>15.3</v>
      </c>
      <c r="AC3014" s="127">
        <f t="shared" si="61"/>
        <v>15</v>
      </c>
    </row>
    <row r="3015" ht="14.5" customHeight="1" spans="11:29" x14ac:dyDescent="0.25">
      <c r="K3015" s="128"/>
      <c r="X3015" s="234">
        <v>2022</v>
      </c>
      <c r="Y3015" s="234">
        <v>5</v>
      </c>
      <c r="Z3015" s="234">
        <v>6</v>
      </c>
      <c r="AA3015" s="235">
        <v>0.5416666666678793</v>
      </c>
      <c r="AB3015" s="236">
        <v>15.5</v>
      </c>
      <c r="AC3015" s="127">
        <f t="shared" si="61"/>
        <v>16</v>
      </c>
    </row>
    <row r="3016" ht="14.5" customHeight="1" spans="11:29" x14ac:dyDescent="0.25">
      <c r="K3016" s="128"/>
      <c r="X3016" s="234">
        <v>2022</v>
      </c>
      <c r="Y3016" s="234">
        <v>5</v>
      </c>
      <c r="Z3016" s="234">
        <v>6</v>
      </c>
      <c r="AA3016" s="235">
        <v>0.5833333333321207</v>
      </c>
      <c r="AB3016" s="236">
        <v>15.6</v>
      </c>
      <c r="AC3016" s="127">
        <f t="shared" si="61"/>
        <v>16</v>
      </c>
    </row>
    <row r="3017" ht="14.5" customHeight="1" spans="11:29" x14ac:dyDescent="0.25">
      <c r="K3017" s="128"/>
      <c r="X3017" s="234">
        <v>2022</v>
      </c>
      <c r="Y3017" s="234">
        <v>5</v>
      </c>
      <c r="Z3017" s="234">
        <v>6</v>
      </c>
      <c r="AA3017" s="235">
        <v>0.625</v>
      </c>
      <c r="AB3017" s="236">
        <v>16.4</v>
      </c>
      <c r="AC3017" s="127">
        <f t="shared" si="61"/>
        <v>16</v>
      </c>
    </row>
    <row r="3018" ht="14.5" customHeight="1" spans="11:29" x14ac:dyDescent="0.25">
      <c r="K3018" s="128"/>
      <c r="X3018" s="234">
        <v>2022</v>
      </c>
      <c r="Y3018" s="234">
        <v>5</v>
      </c>
      <c r="Z3018" s="234">
        <v>6</v>
      </c>
      <c r="AA3018" s="235">
        <v>0.6666666666678793</v>
      </c>
      <c r="AB3018" s="236">
        <v>16.2</v>
      </c>
      <c r="AC3018" s="127">
        <f t="shared" si="61"/>
        <v>16</v>
      </c>
    </row>
    <row r="3019" ht="14.5" customHeight="1" spans="11:29" x14ac:dyDescent="0.25">
      <c r="K3019" s="128"/>
      <c r="X3019" s="234">
        <v>2022</v>
      </c>
      <c r="Y3019" s="234">
        <v>5</v>
      </c>
      <c r="Z3019" s="234">
        <v>6</v>
      </c>
      <c r="AA3019" s="235">
        <v>0.7083333333321207</v>
      </c>
      <c r="AB3019" s="236">
        <v>15.8</v>
      </c>
      <c r="AC3019" s="127">
        <f t="shared" ref="AC3019:AC3082" si="62">ROUND(AB3019,0)</f>
        <v>16</v>
      </c>
    </row>
    <row r="3020" ht="14.5" customHeight="1" spans="11:29" x14ac:dyDescent="0.25">
      <c r="K3020" s="128"/>
      <c r="X3020" s="234">
        <v>2022</v>
      </c>
      <c r="Y3020" s="234">
        <v>5</v>
      </c>
      <c r="Z3020" s="234">
        <v>6</v>
      </c>
      <c r="AA3020" s="235">
        <v>0.75</v>
      </c>
      <c r="AB3020" s="236">
        <v>14.8</v>
      </c>
      <c r="AC3020" s="127">
        <f t="shared" si="62"/>
        <v>15</v>
      </c>
    </row>
    <row r="3021" ht="14.5" customHeight="1" spans="11:29" x14ac:dyDescent="0.25">
      <c r="K3021" s="128"/>
      <c r="X3021" s="234">
        <v>2022</v>
      </c>
      <c r="Y3021" s="234">
        <v>5</v>
      </c>
      <c r="Z3021" s="234">
        <v>6</v>
      </c>
      <c r="AA3021" s="235">
        <v>0.7916666666678793</v>
      </c>
      <c r="AB3021" s="236">
        <v>13.4</v>
      </c>
      <c r="AC3021" s="127">
        <f t="shared" si="62"/>
        <v>13</v>
      </c>
    </row>
    <row r="3022" ht="14.5" customHeight="1" spans="11:29" x14ac:dyDescent="0.25">
      <c r="K3022" s="128"/>
      <c r="X3022" s="234">
        <v>2022</v>
      </c>
      <c r="Y3022" s="234">
        <v>5</v>
      </c>
      <c r="Z3022" s="234">
        <v>6</v>
      </c>
      <c r="AA3022" s="235">
        <v>0.8333333333321207</v>
      </c>
      <c r="AB3022" s="236">
        <v>11.8</v>
      </c>
      <c r="AC3022" s="127">
        <f t="shared" si="62"/>
        <v>12</v>
      </c>
    </row>
    <row r="3023" ht="14.5" customHeight="1" spans="11:29" x14ac:dyDescent="0.25">
      <c r="K3023" s="128"/>
      <c r="X3023" s="234">
        <v>2022</v>
      </c>
      <c r="Y3023" s="234">
        <v>5</v>
      </c>
      <c r="Z3023" s="234">
        <v>6</v>
      </c>
      <c r="AA3023" s="235">
        <v>0.875</v>
      </c>
      <c r="AB3023" s="236">
        <v>10.9</v>
      </c>
      <c r="AC3023" s="127">
        <f t="shared" si="62"/>
        <v>11</v>
      </c>
    </row>
    <row r="3024" ht="14.5" customHeight="1" spans="11:29" x14ac:dyDescent="0.25">
      <c r="K3024" s="128"/>
      <c r="X3024" s="234">
        <v>2022</v>
      </c>
      <c r="Y3024" s="234">
        <v>5</v>
      </c>
      <c r="Z3024" s="234">
        <v>6</v>
      </c>
      <c r="AA3024" s="235">
        <v>0.9166666666678793</v>
      </c>
      <c r="AB3024" s="236">
        <v>9.3</v>
      </c>
      <c r="AC3024" s="127">
        <f t="shared" si="62"/>
        <v>9</v>
      </c>
    </row>
    <row r="3025" ht="14.5" customHeight="1" spans="11:29" x14ac:dyDescent="0.25">
      <c r="K3025" s="128"/>
      <c r="X3025" s="234">
        <v>2022</v>
      </c>
      <c r="Y3025" s="234">
        <v>5</v>
      </c>
      <c r="Z3025" s="234">
        <v>6</v>
      </c>
      <c r="AA3025" s="235">
        <v>0.9583333333321207</v>
      </c>
      <c r="AB3025" s="236">
        <v>9.3</v>
      </c>
      <c r="AC3025" s="127">
        <f t="shared" si="62"/>
        <v>9</v>
      </c>
    </row>
    <row r="3026" ht="14.5" customHeight="1" spans="11:29" x14ac:dyDescent="0.25">
      <c r="K3026" s="128"/>
      <c r="X3026" s="234">
        <v>2022</v>
      </c>
      <c r="Y3026" s="234">
        <v>5</v>
      </c>
      <c r="Z3026" s="234">
        <v>7</v>
      </c>
      <c r="AA3026" s="235">
        <v>0</v>
      </c>
      <c r="AB3026" s="236">
        <v>6.4</v>
      </c>
      <c r="AC3026" s="127">
        <f t="shared" si="62"/>
        <v>6</v>
      </c>
    </row>
    <row r="3027" ht="14.5" customHeight="1" spans="11:29" x14ac:dyDescent="0.25">
      <c r="K3027" s="128"/>
      <c r="X3027" s="234">
        <v>2022</v>
      </c>
      <c r="Y3027" s="234">
        <v>5</v>
      </c>
      <c r="Z3027" s="234">
        <v>7</v>
      </c>
      <c r="AA3027" s="235">
        <v>0.041666666667879326</v>
      </c>
      <c r="AB3027" s="236">
        <v>4.3</v>
      </c>
      <c r="AC3027" s="127">
        <f t="shared" si="62"/>
        <v>4</v>
      </c>
    </row>
    <row r="3028" ht="14.5" customHeight="1" spans="11:29" x14ac:dyDescent="0.25">
      <c r="K3028" s="128"/>
      <c r="X3028" s="234">
        <v>2022</v>
      </c>
      <c r="Y3028" s="234">
        <v>5</v>
      </c>
      <c r="Z3028" s="234">
        <v>7</v>
      </c>
      <c r="AA3028" s="235">
        <v>0.08333333333212067</v>
      </c>
      <c r="AB3028" s="236">
        <v>4.7</v>
      </c>
      <c r="AC3028" s="127">
        <f t="shared" si="62"/>
        <v>5</v>
      </c>
    </row>
    <row r="3029" ht="14.5" customHeight="1" spans="11:29" x14ac:dyDescent="0.25">
      <c r="K3029" s="128"/>
      <c r="X3029" s="234">
        <v>2022</v>
      </c>
      <c r="Y3029" s="234">
        <v>5</v>
      </c>
      <c r="Z3029" s="234">
        <v>7</v>
      </c>
      <c r="AA3029" s="235">
        <v>0.125</v>
      </c>
      <c r="AB3029" s="236">
        <v>5.3</v>
      </c>
      <c r="AC3029" s="127">
        <f t="shared" si="62"/>
        <v>5</v>
      </c>
    </row>
    <row r="3030" ht="14.5" customHeight="1" spans="11:29" x14ac:dyDescent="0.25">
      <c r="K3030" s="128"/>
      <c r="X3030" s="234">
        <v>2022</v>
      </c>
      <c r="Y3030" s="234">
        <v>5</v>
      </c>
      <c r="Z3030" s="234">
        <v>7</v>
      </c>
      <c r="AA3030" s="235">
        <v>0.16666666666787933</v>
      </c>
      <c r="AB3030" s="236">
        <v>4.8</v>
      </c>
      <c r="AC3030" s="127">
        <f t="shared" si="62"/>
        <v>5</v>
      </c>
    </row>
    <row r="3031" ht="14.5" customHeight="1" spans="11:29" x14ac:dyDescent="0.25">
      <c r="K3031" s="128"/>
      <c r="X3031" s="234">
        <v>2022</v>
      </c>
      <c r="Y3031" s="234">
        <v>5</v>
      </c>
      <c r="Z3031" s="234">
        <v>7</v>
      </c>
      <c r="AA3031" s="235">
        <v>0.20833333333212067</v>
      </c>
      <c r="AB3031" s="236">
        <v>5.7</v>
      </c>
      <c r="AC3031" s="127">
        <f t="shared" si="62"/>
        <v>6</v>
      </c>
    </row>
    <row r="3032" ht="14.5" customHeight="1" spans="11:29" x14ac:dyDescent="0.25">
      <c r="K3032" s="128"/>
      <c r="X3032" s="234">
        <v>2022</v>
      </c>
      <c r="Y3032" s="234">
        <v>5</v>
      </c>
      <c r="Z3032" s="234">
        <v>7</v>
      </c>
      <c r="AA3032" s="235">
        <v>0.25</v>
      </c>
      <c r="AB3032" s="236">
        <v>6.6</v>
      </c>
      <c r="AC3032" s="127">
        <f t="shared" si="62"/>
        <v>7</v>
      </c>
    </row>
    <row r="3033" ht="14.5" customHeight="1" spans="11:29" x14ac:dyDescent="0.25">
      <c r="K3033" s="128"/>
      <c r="X3033" s="234">
        <v>2022</v>
      </c>
      <c r="Y3033" s="234">
        <v>5</v>
      </c>
      <c r="Z3033" s="234">
        <v>7</v>
      </c>
      <c r="AA3033" s="235">
        <v>0.2916666666678793</v>
      </c>
      <c r="AB3033" s="236">
        <v>6.1</v>
      </c>
      <c r="AC3033" s="127">
        <f t="shared" si="62"/>
        <v>6</v>
      </c>
    </row>
    <row r="3034" ht="14.5" customHeight="1" spans="11:29" x14ac:dyDescent="0.25">
      <c r="K3034" s="128"/>
      <c r="X3034" s="234">
        <v>2022</v>
      </c>
      <c r="Y3034" s="234">
        <v>5</v>
      </c>
      <c r="Z3034" s="234">
        <v>7</v>
      </c>
      <c r="AA3034" s="235">
        <v>0.3333333333321207</v>
      </c>
      <c r="AB3034" s="236">
        <v>7.1</v>
      </c>
      <c r="AC3034" s="127">
        <f t="shared" si="62"/>
        <v>7</v>
      </c>
    </row>
    <row r="3035" ht="14.5" customHeight="1" spans="11:29" x14ac:dyDescent="0.25">
      <c r="K3035" s="128"/>
      <c r="X3035" s="234">
        <v>2022</v>
      </c>
      <c r="Y3035" s="234">
        <v>5</v>
      </c>
      <c r="Z3035" s="234">
        <v>7</v>
      </c>
      <c r="AA3035" s="235">
        <v>0.375</v>
      </c>
      <c r="AB3035" s="236">
        <v>8.5</v>
      </c>
      <c r="AC3035" s="127">
        <f t="shared" si="62"/>
        <v>9</v>
      </c>
    </row>
    <row r="3036" ht="14.5" customHeight="1" spans="11:29" x14ac:dyDescent="0.25">
      <c r="K3036" s="128"/>
      <c r="X3036" s="234">
        <v>2022</v>
      </c>
      <c r="Y3036" s="234">
        <v>5</v>
      </c>
      <c r="Z3036" s="234">
        <v>7</v>
      </c>
      <c r="AA3036" s="235">
        <v>0.4166666666678793</v>
      </c>
      <c r="AB3036" s="236">
        <v>10.6</v>
      </c>
      <c r="AC3036" s="127">
        <f t="shared" si="62"/>
        <v>11</v>
      </c>
    </row>
    <row r="3037" ht="14.5" customHeight="1" spans="11:29" x14ac:dyDescent="0.25">
      <c r="K3037" s="128"/>
      <c r="X3037" s="234">
        <v>2022</v>
      </c>
      <c r="Y3037" s="234">
        <v>5</v>
      </c>
      <c r="Z3037" s="234">
        <v>7</v>
      </c>
      <c r="AA3037" s="235">
        <v>0.4583333333321207</v>
      </c>
      <c r="AB3037" s="236">
        <v>12.4</v>
      </c>
      <c r="AC3037" s="127">
        <f t="shared" si="62"/>
        <v>12</v>
      </c>
    </row>
    <row r="3038" ht="14.5" customHeight="1" spans="11:29" x14ac:dyDescent="0.25">
      <c r="K3038" s="128"/>
      <c r="X3038" s="234">
        <v>2022</v>
      </c>
      <c r="Y3038" s="234">
        <v>5</v>
      </c>
      <c r="Z3038" s="234">
        <v>7</v>
      </c>
      <c r="AA3038" s="235">
        <v>0.5</v>
      </c>
      <c r="AB3038" s="236">
        <v>12.1</v>
      </c>
      <c r="AC3038" s="127">
        <f t="shared" si="62"/>
        <v>12</v>
      </c>
    </row>
    <row r="3039" ht="14.5" customHeight="1" spans="11:29" x14ac:dyDescent="0.25">
      <c r="K3039" s="128"/>
      <c r="X3039" s="234">
        <v>2022</v>
      </c>
      <c r="Y3039" s="234">
        <v>5</v>
      </c>
      <c r="Z3039" s="234">
        <v>7</v>
      </c>
      <c r="AA3039" s="235">
        <v>0.5416666666678793</v>
      </c>
      <c r="AB3039" s="236">
        <v>13.7</v>
      </c>
      <c r="AC3039" s="127">
        <f t="shared" si="62"/>
        <v>14</v>
      </c>
    </row>
    <row r="3040" ht="14.5" customHeight="1" spans="11:29" x14ac:dyDescent="0.25">
      <c r="K3040" s="128"/>
      <c r="X3040" s="234">
        <v>2022</v>
      </c>
      <c r="Y3040" s="234">
        <v>5</v>
      </c>
      <c r="Z3040" s="234">
        <v>7</v>
      </c>
      <c r="AA3040" s="235">
        <v>0.5833333333321207</v>
      </c>
      <c r="AB3040" s="236">
        <v>14</v>
      </c>
      <c r="AC3040" s="127">
        <f t="shared" si="62"/>
        <v>14</v>
      </c>
    </row>
    <row r="3041" ht="14.5" customHeight="1" spans="11:29" x14ac:dyDescent="0.25">
      <c r="K3041" s="128"/>
      <c r="X3041" s="234">
        <v>2022</v>
      </c>
      <c r="Y3041" s="234">
        <v>5</v>
      </c>
      <c r="Z3041" s="234">
        <v>7</v>
      </c>
      <c r="AA3041" s="235">
        <v>0.625</v>
      </c>
      <c r="AB3041" s="236">
        <v>13.3</v>
      </c>
      <c r="AC3041" s="127">
        <f t="shared" si="62"/>
        <v>13</v>
      </c>
    </row>
    <row r="3042" ht="14.5" customHeight="1" spans="11:29" x14ac:dyDescent="0.25">
      <c r="K3042" s="128"/>
      <c r="X3042" s="234">
        <v>2022</v>
      </c>
      <c r="Y3042" s="234">
        <v>5</v>
      </c>
      <c r="Z3042" s="234">
        <v>7</v>
      </c>
      <c r="AA3042" s="235">
        <v>0.6666666666678793</v>
      </c>
      <c r="AB3042" s="236">
        <v>11.2</v>
      </c>
      <c r="AC3042" s="127">
        <f t="shared" si="62"/>
        <v>11</v>
      </c>
    </row>
    <row r="3043" ht="14.5" customHeight="1" spans="11:29" x14ac:dyDescent="0.25">
      <c r="K3043" s="128"/>
      <c r="X3043" s="234">
        <v>2022</v>
      </c>
      <c r="Y3043" s="234">
        <v>5</v>
      </c>
      <c r="Z3043" s="234">
        <v>7</v>
      </c>
      <c r="AA3043" s="235">
        <v>0.7083333333321207</v>
      </c>
      <c r="AB3043" s="236">
        <v>10.1</v>
      </c>
      <c r="AC3043" s="127">
        <f t="shared" si="62"/>
        <v>10</v>
      </c>
    </row>
    <row r="3044" ht="14.5" customHeight="1" spans="11:29" x14ac:dyDescent="0.25">
      <c r="K3044" s="128"/>
      <c r="X3044" s="234">
        <v>2022</v>
      </c>
      <c r="Y3044" s="234">
        <v>5</v>
      </c>
      <c r="Z3044" s="234">
        <v>7</v>
      </c>
      <c r="AA3044" s="235">
        <v>0.75</v>
      </c>
      <c r="AB3044" s="236">
        <v>9.5</v>
      </c>
      <c r="AC3044" s="127">
        <f t="shared" si="62"/>
        <v>10</v>
      </c>
    </row>
    <row r="3045" ht="14.5" customHeight="1" spans="11:29" x14ac:dyDescent="0.25">
      <c r="K3045" s="128"/>
      <c r="X3045" s="234">
        <v>2022</v>
      </c>
      <c r="Y3045" s="234">
        <v>5</v>
      </c>
      <c r="Z3045" s="234">
        <v>7</v>
      </c>
      <c r="AA3045" s="235">
        <v>0.7916666666678793</v>
      </c>
      <c r="AB3045" s="236">
        <v>7.6</v>
      </c>
      <c r="AC3045" s="127">
        <f t="shared" si="62"/>
        <v>8</v>
      </c>
    </row>
    <row r="3046" ht="14.5" customHeight="1" spans="11:29" x14ac:dyDescent="0.25">
      <c r="K3046" s="128"/>
      <c r="X3046" s="234">
        <v>2022</v>
      </c>
      <c r="Y3046" s="234">
        <v>5</v>
      </c>
      <c r="Z3046" s="234">
        <v>7</v>
      </c>
      <c r="AA3046" s="235">
        <v>0.8333333333321207</v>
      </c>
      <c r="AB3046" s="236">
        <v>6.5</v>
      </c>
      <c r="AC3046" s="127">
        <f t="shared" si="62"/>
        <v>7</v>
      </c>
    </row>
    <row r="3047" ht="14.5" customHeight="1" spans="11:29" x14ac:dyDescent="0.25">
      <c r="K3047" s="128"/>
      <c r="X3047" s="234">
        <v>2022</v>
      </c>
      <c r="Y3047" s="234">
        <v>5</v>
      </c>
      <c r="Z3047" s="234">
        <v>7</v>
      </c>
      <c r="AA3047" s="235">
        <v>0.875</v>
      </c>
      <c r="AB3047" s="236">
        <v>7.1</v>
      </c>
      <c r="AC3047" s="127">
        <f t="shared" si="62"/>
        <v>7</v>
      </c>
    </row>
    <row r="3048" ht="14.5" customHeight="1" spans="11:29" x14ac:dyDescent="0.25">
      <c r="K3048" s="128"/>
      <c r="X3048" s="234">
        <v>2022</v>
      </c>
      <c r="Y3048" s="234">
        <v>5</v>
      </c>
      <c r="Z3048" s="234">
        <v>7</v>
      </c>
      <c r="AA3048" s="235">
        <v>0.9166666666678793</v>
      </c>
      <c r="AB3048" s="236">
        <v>4.6</v>
      </c>
      <c r="AC3048" s="127">
        <f t="shared" si="62"/>
        <v>5</v>
      </c>
    </row>
    <row r="3049" ht="14.5" customHeight="1" spans="11:29" x14ac:dyDescent="0.25">
      <c r="K3049" s="128"/>
      <c r="X3049" s="234">
        <v>2022</v>
      </c>
      <c r="Y3049" s="234">
        <v>5</v>
      </c>
      <c r="Z3049" s="234">
        <v>7</v>
      </c>
      <c r="AA3049" s="235">
        <v>0.9583333333321207</v>
      </c>
      <c r="AB3049" s="236">
        <v>4.8</v>
      </c>
      <c r="AC3049" s="127">
        <f t="shared" si="62"/>
        <v>5</v>
      </c>
    </row>
    <row r="3050" ht="14.5" customHeight="1" spans="11:29" x14ac:dyDescent="0.25">
      <c r="K3050" s="128"/>
      <c r="X3050" s="234">
        <v>2022</v>
      </c>
      <c r="Y3050" s="234">
        <v>5</v>
      </c>
      <c r="Z3050" s="234">
        <v>8</v>
      </c>
      <c r="AA3050" s="235">
        <v>0</v>
      </c>
      <c r="AB3050" s="236">
        <v>4.5</v>
      </c>
      <c r="AC3050" s="127">
        <f t="shared" si="62"/>
        <v>5</v>
      </c>
    </row>
    <row r="3051" ht="14.5" customHeight="1" spans="11:29" x14ac:dyDescent="0.25">
      <c r="K3051" s="128"/>
      <c r="X3051" s="234">
        <v>2022</v>
      </c>
      <c r="Y3051" s="234">
        <v>5</v>
      </c>
      <c r="Z3051" s="234">
        <v>8</v>
      </c>
      <c r="AA3051" s="235">
        <v>0.041666666667879326</v>
      </c>
      <c r="AB3051" s="236">
        <v>2.5</v>
      </c>
      <c r="AC3051" s="127">
        <f t="shared" si="62"/>
        <v>3</v>
      </c>
    </row>
    <row r="3052" ht="14.5" customHeight="1" spans="11:29" x14ac:dyDescent="0.25">
      <c r="K3052" s="128"/>
      <c r="X3052" s="234">
        <v>2022</v>
      </c>
      <c r="Y3052" s="234">
        <v>5</v>
      </c>
      <c r="Z3052" s="234">
        <v>8</v>
      </c>
      <c r="AA3052" s="235">
        <v>0.08333333333212067</v>
      </c>
      <c r="AB3052" s="236">
        <v>2</v>
      </c>
      <c r="AC3052" s="127">
        <f t="shared" si="62"/>
        <v>2</v>
      </c>
    </row>
    <row r="3053" ht="14.5" customHeight="1" spans="11:29" x14ac:dyDescent="0.25">
      <c r="K3053" s="128"/>
      <c r="X3053" s="234">
        <v>2022</v>
      </c>
      <c r="Y3053" s="234">
        <v>5</v>
      </c>
      <c r="Z3053" s="234">
        <v>8</v>
      </c>
      <c r="AA3053" s="235">
        <v>0.125</v>
      </c>
      <c r="AB3053" s="236">
        <v>1.4</v>
      </c>
      <c r="AC3053" s="127">
        <f t="shared" si="62"/>
        <v>1</v>
      </c>
    </row>
    <row r="3054" ht="14.5" customHeight="1" spans="11:29" x14ac:dyDescent="0.25">
      <c r="K3054" s="128"/>
      <c r="X3054" s="234">
        <v>2022</v>
      </c>
      <c r="Y3054" s="234">
        <v>5</v>
      </c>
      <c r="Z3054" s="234">
        <v>8</v>
      </c>
      <c r="AA3054" s="235">
        <v>0.16666666666787933</v>
      </c>
      <c r="AB3054" s="236">
        <v>0.3</v>
      </c>
      <c r="AC3054" s="127">
        <f t="shared" si="62"/>
        <v>0</v>
      </c>
    </row>
    <row r="3055" ht="14.5" customHeight="1" spans="11:29" x14ac:dyDescent="0.25">
      <c r="K3055" s="128"/>
      <c r="X3055" s="234">
        <v>2022</v>
      </c>
      <c r="Y3055" s="234">
        <v>5</v>
      </c>
      <c r="Z3055" s="234">
        <v>8</v>
      </c>
      <c r="AA3055" s="235">
        <v>0.20833333333212067</v>
      </c>
      <c r="AB3055" s="236">
        <v>0.3</v>
      </c>
      <c r="AC3055" s="127">
        <f t="shared" si="62"/>
        <v>0</v>
      </c>
    </row>
    <row r="3056" ht="14.5" customHeight="1" spans="11:29" x14ac:dyDescent="0.25">
      <c r="K3056" s="128"/>
      <c r="X3056" s="234">
        <v>2022</v>
      </c>
      <c r="Y3056" s="234">
        <v>5</v>
      </c>
      <c r="Z3056" s="234">
        <v>8</v>
      </c>
      <c r="AA3056" s="235">
        <v>0.25</v>
      </c>
      <c r="AB3056" s="236">
        <v>1.4</v>
      </c>
      <c r="AC3056" s="127">
        <f t="shared" si="62"/>
        <v>1</v>
      </c>
    </row>
    <row r="3057" ht="14.5" customHeight="1" spans="11:29" x14ac:dyDescent="0.25">
      <c r="K3057" s="128"/>
      <c r="X3057" s="234">
        <v>2022</v>
      </c>
      <c r="Y3057" s="234">
        <v>5</v>
      </c>
      <c r="Z3057" s="234">
        <v>8</v>
      </c>
      <c r="AA3057" s="235">
        <v>0.2916666666678793</v>
      </c>
      <c r="AB3057" s="236">
        <v>3.7</v>
      </c>
      <c r="AC3057" s="127">
        <f t="shared" si="62"/>
        <v>4</v>
      </c>
    </row>
    <row r="3058" ht="14.5" customHeight="1" spans="11:29" x14ac:dyDescent="0.25">
      <c r="K3058" s="128"/>
      <c r="X3058" s="234">
        <v>2022</v>
      </c>
      <c r="Y3058" s="234">
        <v>5</v>
      </c>
      <c r="Z3058" s="234">
        <v>8</v>
      </c>
      <c r="AA3058" s="235">
        <v>0.3333333333321207</v>
      </c>
      <c r="AB3058" s="236">
        <v>4.5</v>
      </c>
      <c r="AC3058" s="127">
        <f t="shared" si="62"/>
        <v>5</v>
      </c>
    </row>
    <row r="3059" ht="14.5" customHeight="1" spans="11:29" x14ac:dyDescent="0.25">
      <c r="K3059" s="128"/>
      <c r="X3059" s="234">
        <v>2022</v>
      </c>
      <c r="Y3059" s="234">
        <v>5</v>
      </c>
      <c r="Z3059" s="234">
        <v>8</v>
      </c>
      <c r="AA3059" s="235">
        <v>0.375</v>
      </c>
      <c r="AB3059" s="236">
        <v>5</v>
      </c>
      <c r="AC3059" s="127">
        <f t="shared" si="62"/>
        <v>5</v>
      </c>
    </row>
    <row r="3060" ht="14.5" customHeight="1" spans="11:29" x14ac:dyDescent="0.25">
      <c r="K3060" s="128"/>
      <c r="X3060" s="234">
        <v>2022</v>
      </c>
      <c r="Y3060" s="234">
        <v>5</v>
      </c>
      <c r="Z3060" s="234">
        <v>8</v>
      </c>
      <c r="AA3060" s="235">
        <v>0.4166666666678793</v>
      </c>
      <c r="AB3060" s="236">
        <v>7</v>
      </c>
      <c r="AC3060" s="127">
        <f t="shared" si="62"/>
        <v>7</v>
      </c>
    </row>
    <row r="3061" ht="14.5" customHeight="1" spans="11:29" x14ac:dyDescent="0.25">
      <c r="K3061" s="128"/>
      <c r="X3061" s="234">
        <v>2022</v>
      </c>
      <c r="Y3061" s="234">
        <v>5</v>
      </c>
      <c r="Z3061" s="234">
        <v>8</v>
      </c>
      <c r="AA3061" s="235">
        <v>0.4583333333321207</v>
      </c>
      <c r="AB3061" s="236">
        <v>8.5</v>
      </c>
      <c r="AC3061" s="127">
        <f t="shared" si="62"/>
        <v>9</v>
      </c>
    </row>
    <row r="3062" ht="14.5" customHeight="1" spans="11:29" x14ac:dyDescent="0.25">
      <c r="K3062" s="128"/>
      <c r="X3062" s="234">
        <v>2022</v>
      </c>
      <c r="Y3062" s="234">
        <v>5</v>
      </c>
      <c r="Z3062" s="234">
        <v>8</v>
      </c>
      <c r="AA3062" s="235">
        <v>0.5</v>
      </c>
      <c r="AB3062" s="236">
        <v>8.4</v>
      </c>
      <c r="AC3062" s="127">
        <f t="shared" si="62"/>
        <v>8</v>
      </c>
    </row>
    <row r="3063" ht="14.5" customHeight="1" spans="11:29" x14ac:dyDescent="0.25">
      <c r="K3063" s="128"/>
      <c r="X3063" s="234">
        <v>2022</v>
      </c>
      <c r="Y3063" s="234">
        <v>5</v>
      </c>
      <c r="Z3063" s="234">
        <v>8</v>
      </c>
      <c r="AA3063" s="235">
        <v>0.5416666666678793</v>
      </c>
      <c r="AB3063" s="236">
        <v>8.9</v>
      </c>
      <c r="AC3063" s="127">
        <f t="shared" si="62"/>
        <v>9</v>
      </c>
    </row>
    <row r="3064" ht="14.5" customHeight="1" spans="11:29" x14ac:dyDescent="0.25">
      <c r="K3064" s="128"/>
      <c r="X3064" s="234">
        <v>2022</v>
      </c>
      <c r="Y3064" s="234">
        <v>5</v>
      </c>
      <c r="Z3064" s="234">
        <v>8</v>
      </c>
      <c r="AA3064" s="235">
        <v>0.5833333333321207</v>
      </c>
      <c r="AB3064" s="236">
        <v>7</v>
      </c>
      <c r="AC3064" s="127">
        <f t="shared" si="62"/>
        <v>7</v>
      </c>
    </row>
    <row r="3065" ht="14.5" customHeight="1" spans="11:29" x14ac:dyDescent="0.25">
      <c r="K3065" s="128"/>
      <c r="X3065" s="234">
        <v>2022</v>
      </c>
      <c r="Y3065" s="234">
        <v>5</v>
      </c>
      <c r="Z3065" s="234">
        <v>8</v>
      </c>
      <c r="AA3065" s="235">
        <v>0.625</v>
      </c>
      <c r="AB3065" s="236">
        <v>7.5</v>
      </c>
      <c r="AC3065" s="127">
        <f t="shared" si="62"/>
        <v>8</v>
      </c>
    </row>
    <row r="3066" ht="14.5" customHeight="1" spans="11:29" x14ac:dyDescent="0.25">
      <c r="K3066" s="128"/>
      <c r="X3066" s="234">
        <v>2022</v>
      </c>
      <c r="Y3066" s="234">
        <v>5</v>
      </c>
      <c r="Z3066" s="234">
        <v>8</v>
      </c>
      <c r="AA3066" s="235">
        <v>0.6666666666678793</v>
      </c>
      <c r="AB3066" s="236">
        <v>6.9</v>
      </c>
      <c r="AC3066" s="127">
        <f t="shared" si="62"/>
        <v>7</v>
      </c>
    </row>
    <row r="3067" ht="14.5" customHeight="1" spans="11:29" x14ac:dyDescent="0.25">
      <c r="K3067" s="128"/>
      <c r="X3067" s="234">
        <v>2022</v>
      </c>
      <c r="Y3067" s="234">
        <v>5</v>
      </c>
      <c r="Z3067" s="234">
        <v>8</v>
      </c>
      <c r="AA3067" s="235">
        <v>0.7083333333321207</v>
      </c>
      <c r="AB3067" s="236">
        <v>9</v>
      </c>
      <c r="AC3067" s="127">
        <f t="shared" si="62"/>
        <v>9</v>
      </c>
    </row>
    <row r="3068" ht="14.5" customHeight="1" spans="11:29" x14ac:dyDescent="0.25">
      <c r="K3068" s="128"/>
      <c r="X3068" s="234">
        <v>2022</v>
      </c>
      <c r="Y3068" s="234">
        <v>5</v>
      </c>
      <c r="Z3068" s="234">
        <v>8</v>
      </c>
      <c r="AA3068" s="235">
        <v>0.75</v>
      </c>
      <c r="AB3068" s="236">
        <v>8.1</v>
      </c>
      <c r="AC3068" s="127">
        <f t="shared" si="62"/>
        <v>8</v>
      </c>
    </row>
    <row r="3069" ht="14.5" customHeight="1" spans="11:29" x14ac:dyDescent="0.25">
      <c r="K3069" s="128"/>
      <c r="X3069" s="234">
        <v>2022</v>
      </c>
      <c r="Y3069" s="234">
        <v>5</v>
      </c>
      <c r="Z3069" s="234">
        <v>8</v>
      </c>
      <c r="AA3069" s="235">
        <v>0.7916666666678793</v>
      </c>
      <c r="AB3069" s="236">
        <v>6.9</v>
      </c>
      <c r="AC3069" s="127">
        <f t="shared" si="62"/>
        <v>7</v>
      </c>
    </row>
    <row r="3070" ht="14.5" customHeight="1" spans="11:29" x14ac:dyDescent="0.25">
      <c r="K3070" s="128"/>
      <c r="X3070" s="234">
        <v>2022</v>
      </c>
      <c r="Y3070" s="234">
        <v>5</v>
      </c>
      <c r="Z3070" s="234">
        <v>8</v>
      </c>
      <c r="AA3070" s="235">
        <v>0.8333333333321207</v>
      </c>
      <c r="AB3070" s="236">
        <v>5.4</v>
      </c>
      <c r="AC3070" s="127">
        <f t="shared" si="62"/>
        <v>5</v>
      </c>
    </row>
    <row r="3071" ht="14.5" customHeight="1" spans="11:29" x14ac:dyDescent="0.25">
      <c r="K3071" s="128"/>
      <c r="X3071" s="234">
        <v>2022</v>
      </c>
      <c r="Y3071" s="234">
        <v>5</v>
      </c>
      <c r="Z3071" s="234">
        <v>8</v>
      </c>
      <c r="AA3071" s="235">
        <v>0.875</v>
      </c>
      <c r="AB3071" s="236">
        <v>2.5</v>
      </c>
      <c r="AC3071" s="127">
        <f t="shared" si="62"/>
        <v>3</v>
      </c>
    </row>
    <row r="3072" ht="14.5" customHeight="1" spans="11:29" x14ac:dyDescent="0.25">
      <c r="K3072" s="128"/>
      <c r="X3072" s="234">
        <v>2022</v>
      </c>
      <c r="Y3072" s="234">
        <v>5</v>
      </c>
      <c r="Z3072" s="234">
        <v>8</v>
      </c>
      <c r="AA3072" s="235">
        <v>0.9166666666678793</v>
      </c>
      <c r="AB3072" s="236">
        <v>0.6</v>
      </c>
      <c r="AC3072" s="127">
        <f t="shared" si="62"/>
        <v>1</v>
      </c>
    </row>
    <row r="3073" ht="14.5" customHeight="1" spans="11:29" x14ac:dyDescent="0.25">
      <c r="K3073" s="128"/>
      <c r="X3073" s="234">
        <v>2022</v>
      </c>
      <c r="Y3073" s="234">
        <v>5</v>
      </c>
      <c r="Z3073" s="234">
        <v>8</v>
      </c>
      <c r="AA3073" s="235">
        <v>0.9583333333321207</v>
      </c>
      <c r="AB3073" s="236">
        <v>0.8</v>
      </c>
      <c r="AC3073" s="127">
        <f t="shared" si="62"/>
        <v>1</v>
      </c>
    </row>
    <row r="3074" ht="14.5" customHeight="1" spans="11:29" x14ac:dyDescent="0.25">
      <c r="K3074" s="128"/>
      <c r="X3074" s="234">
        <v>2022</v>
      </c>
      <c r="Y3074" s="234">
        <v>5</v>
      </c>
      <c r="Z3074" s="234">
        <v>9</v>
      </c>
      <c r="AA3074" s="235">
        <v>0</v>
      </c>
      <c r="AB3074" s="236">
        <v>1.1</v>
      </c>
      <c r="AC3074" s="127">
        <f t="shared" si="62"/>
        <v>1</v>
      </c>
    </row>
    <row r="3075" ht="14.5" customHeight="1" spans="11:29" x14ac:dyDescent="0.25">
      <c r="K3075" s="128"/>
      <c r="X3075" s="234">
        <v>2022</v>
      </c>
      <c r="Y3075" s="234">
        <v>5</v>
      </c>
      <c r="Z3075" s="234">
        <v>9</v>
      </c>
      <c r="AA3075" s="235">
        <v>0.041666666667879326</v>
      </c>
      <c r="AB3075" s="236">
        <v>1.4</v>
      </c>
      <c r="AC3075" s="127">
        <f t="shared" si="62"/>
        <v>1</v>
      </c>
    </row>
    <row r="3076" ht="14.5" customHeight="1" spans="11:29" x14ac:dyDescent="0.25">
      <c r="K3076" s="128"/>
      <c r="X3076" s="234">
        <v>2022</v>
      </c>
      <c r="Y3076" s="234">
        <v>5</v>
      </c>
      <c r="Z3076" s="234">
        <v>9</v>
      </c>
      <c r="AA3076" s="235">
        <v>0.08333333333212067</v>
      </c>
      <c r="AB3076" s="236">
        <v>1.4</v>
      </c>
      <c r="AC3076" s="127">
        <f t="shared" si="62"/>
        <v>1</v>
      </c>
    </row>
    <row r="3077" ht="14.5" customHeight="1" spans="11:29" x14ac:dyDescent="0.25">
      <c r="K3077" s="128"/>
      <c r="X3077" s="234">
        <v>2022</v>
      </c>
      <c r="Y3077" s="234">
        <v>5</v>
      </c>
      <c r="Z3077" s="234">
        <v>9</v>
      </c>
      <c r="AA3077" s="235">
        <v>0.125</v>
      </c>
      <c r="AB3077" s="236">
        <v>1.1</v>
      </c>
      <c r="AC3077" s="127">
        <f t="shared" si="62"/>
        <v>1</v>
      </c>
    </row>
    <row r="3078" ht="14.5" customHeight="1" spans="11:29" x14ac:dyDescent="0.25">
      <c r="K3078" s="128"/>
      <c r="X3078" s="234">
        <v>2022</v>
      </c>
      <c r="Y3078" s="234">
        <v>5</v>
      </c>
      <c r="Z3078" s="234">
        <v>9</v>
      </c>
      <c r="AA3078" s="235">
        <v>0.16666666666787933</v>
      </c>
      <c r="AB3078" s="236">
        <v>1</v>
      </c>
      <c r="AC3078" s="127">
        <f t="shared" si="62"/>
        <v>1</v>
      </c>
    </row>
    <row r="3079" ht="14.5" customHeight="1" spans="11:29" x14ac:dyDescent="0.25">
      <c r="K3079" s="128"/>
      <c r="X3079" s="234">
        <v>2022</v>
      </c>
      <c r="Y3079" s="234">
        <v>5</v>
      </c>
      <c r="Z3079" s="234">
        <v>9</v>
      </c>
      <c r="AA3079" s="235">
        <v>0.20833333333212067</v>
      </c>
      <c r="AB3079" s="236">
        <v>0.9</v>
      </c>
      <c r="AC3079" s="127">
        <f t="shared" si="62"/>
        <v>1</v>
      </c>
    </row>
    <row r="3080" ht="14.5" customHeight="1" spans="11:29" x14ac:dyDescent="0.25">
      <c r="K3080" s="128"/>
      <c r="X3080" s="234">
        <v>2022</v>
      </c>
      <c r="Y3080" s="234">
        <v>5</v>
      </c>
      <c r="Z3080" s="234">
        <v>9</v>
      </c>
      <c r="AA3080" s="235">
        <v>0.25</v>
      </c>
      <c r="AB3080" s="236">
        <v>0.9</v>
      </c>
      <c r="AC3080" s="127">
        <f t="shared" si="62"/>
        <v>1</v>
      </c>
    </row>
    <row r="3081" ht="14.5" customHeight="1" spans="11:29" x14ac:dyDescent="0.25">
      <c r="K3081" s="128"/>
      <c r="X3081" s="234">
        <v>2022</v>
      </c>
      <c r="Y3081" s="234">
        <v>5</v>
      </c>
      <c r="Z3081" s="234">
        <v>9</v>
      </c>
      <c r="AA3081" s="235">
        <v>0.2916666666678793</v>
      </c>
      <c r="AB3081" s="236">
        <v>1</v>
      </c>
      <c r="AC3081" s="127">
        <f t="shared" si="62"/>
        <v>1</v>
      </c>
    </row>
    <row r="3082" ht="14.5" customHeight="1" spans="11:29" x14ac:dyDescent="0.25">
      <c r="K3082" s="128"/>
      <c r="X3082" s="234">
        <v>2022</v>
      </c>
      <c r="Y3082" s="234">
        <v>5</v>
      </c>
      <c r="Z3082" s="234">
        <v>9</v>
      </c>
      <c r="AA3082" s="235">
        <v>0.3333333333321207</v>
      </c>
      <c r="AB3082" s="236">
        <v>1.6</v>
      </c>
      <c r="AC3082" s="127">
        <f t="shared" si="62"/>
        <v>2</v>
      </c>
    </row>
    <row r="3083" ht="14.5" customHeight="1" spans="11:29" x14ac:dyDescent="0.25">
      <c r="K3083" s="128"/>
      <c r="X3083" s="234">
        <v>2022</v>
      </c>
      <c r="Y3083" s="234">
        <v>5</v>
      </c>
      <c r="Z3083" s="234">
        <v>9</v>
      </c>
      <c r="AA3083" s="235">
        <v>0.375</v>
      </c>
      <c r="AB3083" s="236">
        <v>1.1</v>
      </c>
      <c r="AC3083" s="127">
        <f t="shared" ref="AC3083:AC3146" si="63">ROUND(AB3083,0)</f>
        <v>1</v>
      </c>
    </row>
    <row r="3084" ht="14.5" customHeight="1" spans="11:29" x14ac:dyDescent="0.25">
      <c r="K3084" s="128"/>
      <c r="X3084" s="234">
        <v>2022</v>
      </c>
      <c r="Y3084" s="234">
        <v>5</v>
      </c>
      <c r="Z3084" s="234">
        <v>9</v>
      </c>
      <c r="AA3084" s="235">
        <v>0.4166666666678793</v>
      </c>
      <c r="AB3084" s="236">
        <v>2.6</v>
      </c>
      <c r="AC3084" s="127">
        <f t="shared" si="63"/>
        <v>3</v>
      </c>
    </row>
    <row r="3085" ht="14.5" customHeight="1" spans="11:29" x14ac:dyDescent="0.25">
      <c r="K3085" s="128"/>
      <c r="X3085" s="234">
        <v>2022</v>
      </c>
      <c r="Y3085" s="234">
        <v>5</v>
      </c>
      <c r="Z3085" s="234">
        <v>9</v>
      </c>
      <c r="AA3085" s="235">
        <v>0.4583333333321207</v>
      </c>
      <c r="AB3085" s="236">
        <v>3.6</v>
      </c>
      <c r="AC3085" s="127">
        <f t="shared" si="63"/>
        <v>4</v>
      </c>
    </row>
    <row r="3086" ht="14.5" customHeight="1" spans="11:29" x14ac:dyDescent="0.25">
      <c r="K3086" s="128"/>
      <c r="X3086" s="234">
        <v>2022</v>
      </c>
      <c r="Y3086" s="234">
        <v>5</v>
      </c>
      <c r="Z3086" s="234">
        <v>9</v>
      </c>
      <c r="AA3086" s="235">
        <v>0.5</v>
      </c>
      <c r="AB3086" s="236">
        <v>5.3</v>
      </c>
      <c r="AC3086" s="127">
        <f t="shared" si="63"/>
        <v>5</v>
      </c>
    </row>
    <row r="3087" ht="14.5" customHeight="1" spans="11:29" x14ac:dyDescent="0.25">
      <c r="K3087" s="128"/>
      <c r="X3087" s="234">
        <v>2022</v>
      </c>
      <c r="Y3087" s="234">
        <v>5</v>
      </c>
      <c r="Z3087" s="234">
        <v>9</v>
      </c>
      <c r="AA3087" s="235">
        <v>0.5416666666678793</v>
      </c>
      <c r="AB3087" s="236">
        <v>5.2</v>
      </c>
      <c r="AC3087" s="127">
        <f t="shared" si="63"/>
        <v>5</v>
      </c>
    </row>
    <row r="3088" ht="14.5" customHeight="1" spans="11:29" x14ac:dyDescent="0.25">
      <c r="K3088" s="128"/>
      <c r="X3088" s="234">
        <v>2022</v>
      </c>
      <c r="Y3088" s="234">
        <v>5</v>
      </c>
      <c r="Z3088" s="234">
        <v>9</v>
      </c>
      <c r="AA3088" s="235">
        <v>0.5833333333321207</v>
      </c>
      <c r="AB3088" s="236">
        <v>6.8</v>
      </c>
      <c r="AC3088" s="127">
        <f t="shared" si="63"/>
        <v>7</v>
      </c>
    </row>
    <row r="3089" ht="14.5" customHeight="1" spans="11:29" x14ac:dyDescent="0.25">
      <c r="K3089" s="128"/>
      <c r="X3089" s="234">
        <v>2022</v>
      </c>
      <c r="Y3089" s="234">
        <v>5</v>
      </c>
      <c r="Z3089" s="234">
        <v>9</v>
      </c>
      <c r="AA3089" s="235">
        <v>0.625</v>
      </c>
      <c r="AB3089" s="236">
        <v>6.9</v>
      </c>
      <c r="AC3089" s="127">
        <f t="shared" si="63"/>
        <v>7</v>
      </c>
    </row>
    <row r="3090" ht="14.5" customHeight="1" spans="11:29" x14ac:dyDescent="0.25">
      <c r="K3090" s="128"/>
      <c r="X3090" s="234">
        <v>2022</v>
      </c>
      <c r="Y3090" s="234">
        <v>5</v>
      </c>
      <c r="Z3090" s="234">
        <v>9</v>
      </c>
      <c r="AA3090" s="235">
        <v>0.6666666666678793</v>
      </c>
      <c r="AB3090" s="236">
        <v>7.5</v>
      </c>
      <c r="AC3090" s="127">
        <f t="shared" si="63"/>
        <v>8</v>
      </c>
    </row>
    <row r="3091" ht="14.5" customHeight="1" spans="11:29" x14ac:dyDescent="0.25">
      <c r="K3091" s="128"/>
      <c r="X3091" s="234">
        <v>2022</v>
      </c>
      <c r="Y3091" s="234">
        <v>5</v>
      </c>
      <c r="Z3091" s="234">
        <v>9</v>
      </c>
      <c r="AA3091" s="235">
        <v>0.7083333333321207</v>
      </c>
      <c r="AB3091" s="236">
        <v>8</v>
      </c>
      <c r="AC3091" s="127">
        <f t="shared" si="63"/>
        <v>8</v>
      </c>
    </row>
    <row r="3092" ht="14.5" customHeight="1" spans="11:29" x14ac:dyDescent="0.25">
      <c r="K3092" s="128"/>
      <c r="X3092" s="234">
        <v>2022</v>
      </c>
      <c r="Y3092" s="234">
        <v>5</v>
      </c>
      <c r="Z3092" s="234">
        <v>9</v>
      </c>
      <c r="AA3092" s="235">
        <v>0.75</v>
      </c>
      <c r="AB3092" s="236">
        <v>7.6</v>
      </c>
      <c r="AC3092" s="127">
        <f t="shared" si="63"/>
        <v>8</v>
      </c>
    </row>
    <row r="3093" ht="14.5" customHeight="1" spans="11:29" x14ac:dyDescent="0.25">
      <c r="K3093" s="128"/>
      <c r="X3093" s="234">
        <v>2022</v>
      </c>
      <c r="Y3093" s="234">
        <v>5</v>
      </c>
      <c r="Z3093" s="234">
        <v>9</v>
      </c>
      <c r="AA3093" s="235">
        <v>0.7916666666678793</v>
      </c>
      <c r="AB3093" s="236">
        <v>6.7</v>
      </c>
      <c r="AC3093" s="127">
        <f t="shared" si="63"/>
        <v>7</v>
      </c>
    </row>
    <row r="3094" ht="14.5" customHeight="1" spans="11:29" x14ac:dyDescent="0.25">
      <c r="K3094" s="128"/>
      <c r="X3094" s="234">
        <v>2022</v>
      </c>
      <c r="Y3094" s="234">
        <v>5</v>
      </c>
      <c r="Z3094" s="234">
        <v>9</v>
      </c>
      <c r="AA3094" s="235">
        <v>0.8333333333321207</v>
      </c>
      <c r="AB3094" s="236">
        <v>5.1</v>
      </c>
      <c r="AC3094" s="127">
        <f t="shared" si="63"/>
        <v>5</v>
      </c>
    </row>
    <row r="3095" ht="14.5" customHeight="1" spans="11:29" x14ac:dyDescent="0.25">
      <c r="K3095" s="128"/>
      <c r="X3095" s="234">
        <v>2022</v>
      </c>
      <c r="Y3095" s="234">
        <v>5</v>
      </c>
      <c r="Z3095" s="234">
        <v>9</v>
      </c>
      <c r="AA3095" s="235">
        <v>0.875</v>
      </c>
      <c r="AB3095" s="236">
        <v>4.6</v>
      </c>
      <c r="AC3095" s="127">
        <f t="shared" si="63"/>
        <v>5</v>
      </c>
    </row>
    <row r="3096" ht="14.5" customHeight="1" spans="11:29" x14ac:dyDescent="0.25">
      <c r="K3096" s="128"/>
      <c r="X3096" s="234">
        <v>2022</v>
      </c>
      <c r="Y3096" s="234">
        <v>5</v>
      </c>
      <c r="Z3096" s="234">
        <v>9</v>
      </c>
      <c r="AA3096" s="235">
        <v>0.9166666666678793</v>
      </c>
      <c r="AB3096" s="236">
        <v>3.9</v>
      </c>
      <c r="AC3096" s="127">
        <f t="shared" si="63"/>
        <v>4</v>
      </c>
    </row>
    <row r="3097" ht="14.5" customHeight="1" spans="11:29" x14ac:dyDescent="0.25">
      <c r="K3097" s="128"/>
      <c r="X3097" s="234">
        <v>2022</v>
      </c>
      <c r="Y3097" s="234">
        <v>5</v>
      </c>
      <c r="Z3097" s="234">
        <v>9</v>
      </c>
      <c r="AA3097" s="235">
        <v>0.9583333333321207</v>
      </c>
      <c r="AB3097" s="236">
        <v>3.3</v>
      </c>
      <c r="AC3097" s="127">
        <f t="shared" si="63"/>
        <v>3</v>
      </c>
    </row>
    <row r="3098" ht="14.5" customHeight="1" spans="11:29" x14ac:dyDescent="0.25">
      <c r="K3098" s="128"/>
      <c r="X3098" s="234">
        <v>2022</v>
      </c>
      <c r="Y3098" s="234">
        <v>5</v>
      </c>
      <c r="Z3098" s="234">
        <v>10</v>
      </c>
      <c r="AA3098" s="235">
        <v>0</v>
      </c>
      <c r="AB3098" s="236">
        <v>1.8</v>
      </c>
      <c r="AC3098" s="127">
        <f t="shared" si="63"/>
        <v>2</v>
      </c>
    </row>
    <row r="3099" ht="14.5" customHeight="1" spans="11:29" x14ac:dyDescent="0.25">
      <c r="K3099" s="128"/>
      <c r="X3099" s="234">
        <v>2022</v>
      </c>
      <c r="Y3099" s="234">
        <v>5</v>
      </c>
      <c r="Z3099" s="234">
        <v>10</v>
      </c>
      <c r="AA3099" s="235">
        <v>0.041666666667879326</v>
      </c>
      <c r="AB3099" s="236">
        <v>1.2</v>
      </c>
      <c r="AC3099" s="127">
        <f t="shared" si="63"/>
        <v>1</v>
      </c>
    </row>
    <row r="3100" ht="14.5" customHeight="1" spans="11:29" x14ac:dyDescent="0.25">
      <c r="K3100" s="128"/>
      <c r="X3100" s="234">
        <v>2022</v>
      </c>
      <c r="Y3100" s="234">
        <v>5</v>
      </c>
      <c r="Z3100" s="234">
        <v>10</v>
      </c>
      <c r="AA3100" s="235">
        <v>0.08333333333212067</v>
      </c>
      <c r="AB3100" s="236">
        <v>1.2</v>
      </c>
      <c r="AC3100" s="127">
        <f t="shared" si="63"/>
        <v>1</v>
      </c>
    </row>
    <row r="3101" ht="14.5" customHeight="1" spans="11:29" x14ac:dyDescent="0.25">
      <c r="K3101" s="128"/>
      <c r="X3101" s="234">
        <v>2022</v>
      </c>
      <c r="Y3101" s="234">
        <v>5</v>
      </c>
      <c r="Z3101" s="234">
        <v>10</v>
      </c>
      <c r="AA3101" s="235">
        <v>0.125</v>
      </c>
      <c r="AB3101" s="236">
        <v>0.9</v>
      </c>
      <c r="AC3101" s="127">
        <f t="shared" si="63"/>
        <v>1</v>
      </c>
    </row>
    <row r="3102" ht="14.5" customHeight="1" spans="11:29" x14ac:dyDescent="0.25">
      <c r="K3102" s="128"/>
      <c r="X3102" s="234">
        <v>2022</v>
      </c>
      <c r="Y3102" s="234">
        <v>5</v>
      </c>
      <c r="Z3102" s="234">
        <v>10</v>
      </c>
      <c r="AA3102" s="235">
        <v>0.16666666666787933</v>
      </c>
      <c r="AB3102" s="236">
        <v>0.8</v>
      </c>
      <c r="AC3102" s="127">
        <f t="shared" si="63"/>
        <v>1</v>
      </c>
    </row>
    <row r="3103" ht="14.5" customHeight="1" spans="11:29" x14ac:dyDescent="0.25">
      <c r="K3103" s="128"/>
      <c r="X3103" s="234">
        <v>2022</v>
      </c>
      <c r="Y3103" s="234">
        <v>5</v>
      </c>
      <c r="Z3103" s="234">
        <v>10</v>
      </c>
      <c r="AA3103" s="235">
        <v>0.20833333333212067</v>
      </c>
      <c r="AB3103" s="236">
        <v>-0.1</v>
      </c>
      <c r="AC3103" s="127">
        <f t="shared" si="63"/>
        <v>0</v>
      </c>
    </row>
    <row r="3104" ht="14.5" customHeight="1" spans="11:29" x14ac:dyDescent="0.25">
      <c r="K3104" s="128"/>
      <c r="X3104" s="234">
        <v>2022</v>
      </c>
      <c r="Y3104" s="234">
        <v>5</v>
      </c>
      <c r="Z3104" s="234">
        <v>10</v>
      </c>
      <c r="AA3104" s="235">
        <v>0.25</v>
      </c>
      <c r="AB3104" s="236">
        <v>0.1</v>
      </c>
      <c r="AC3104" s="127">
        <f t="shared" si="63"/>
        <v>0</v>
      </c>
    </row>
    <row r="3105" ht="14.5" customHeight="1" spans="11:29" x14ac:dyDescent="0.25">
      <c r="K3105" s="128"/>
      <c r="X3105" s="234">
        <v>2022</v>
      </c>
      <c r="Y3105" s="234">
        <v>5</v>
      </c>
      <c r="Z3105" s="234">
        <v>10</v>
      </c>
      <c r="AA3105" s="235">
        <v>0.2916666666678793</v>
      </c>
      <c r="AB3105" s="236">
        <v>0.5</v>
      </c>
      <c r="AC3105" s="127">
        <f t="shared" si="63"/>
        <v>1</v>
      </c>
    </row>
    <row r="3106" ht="14.5" customHeight="1" spans="11:29" x14ac:dyDescent="0.25">
      <c r="K3106" s="128"/>
      <c r="X3106" s="234">
        <v>2022</v>
      </c>
      <c r="Y3106" s="234">
        <v>5</v>
      </c>
      <c r="Z3106" s="234">
        <v>10</v>
      </c>
      <c r="AA3106" s="235">
        <v>0.3333333333321207</v>
      </c>
      <c r="AB3106" s="236">
        <v>0.9</v>
      </c>
      <c r="AC3106" s="127">
        <f t="shared" si="63"/>
        <v>1</v>
      </c>
    </row>
    <row r="3107" ht="14.5" customHeight="1" spans="11:29" x14ac:dyDescent="0.25">
      <c r="K3107" s="128"/>
      <c r="X3107" s="234">
        <v>2022</v>
      </c>
      <c r="Y3107" s="234">
        <v>5</v>
      </c>
      <c r="Z3107" s="234">
        <v>10</v>
      </c>
      <c r="AA3107" s="235">
        <v>0.375</v>
      </c>
      <c r="AB3107" s="236">
        <v>1.7</v>
      </c>
      <c r="AC3107" s="127">
        <f t="shared" si="63"/>
        <v>2</v>
      </c>
    </row>
    <row r="3108" ht="14.5" customHeight="1" spans="11:29" x14ac:dyDescent="0.25">
      <c r="K3108" s="128"/>
      <c r="X3108" s="234">
        <v>2022</v>
      </c>
      <c r="Y3108" s="234">
        <v>5</v>
      </c>
      <c r="Z3108" s="234">
        <v>10</v>
      </c>
      <c r="AA3108" s="235">
        <v>0.4166666666678793</v>
      </c>
      <c r="AB3108" s="236">
        <v>3</v>
      </c>
      <c r="AC3108" s="127">
        <f t="shared" si="63"/>
        <v>3</v>
      </c>
    </row>
    <row r="3109" ht="14.5" customHeight="1" spans="11:29" x14ac:dyDescent="0.25">
      <c r="K3109" s="128"/>
      <c r="X3109" s="234">
        <v>2022</v>
      </c>
      <c r="Y3109" s="234">
        <v>5</v>
      </c>
      <c r="Z3109" s="234">
        <v>10</v>
      </c>
      <c r="AA3109" s="235">
        <v>0.4583333333321207</v>
      </c>
      <c r="AB3109" s="236">
        <v>5.4</v>
      </c>
      <c r="AC3109" s="127">
        <f t="shared" si="63"/>
        <v>5</v>
      </c>
    </row>
    <row r="3110" ht="14.5" customHeight="1" spans="11:29" x14ac:dyDescent="0.25">
      <c r="K3110" s="128"/>
      <c r="X3110" s="234">
        <v>2022</v>
      </c>
      <c r="Y3110" s="234">
        <v>5</v>
      </c>
      <c r="Z3110" s="234">
        <v>10</v>
      </c>
      <c r="AA3110" s="235">
        <v>0.5</v>
      </c>
      <c r="AB3110" s="236">
        <v>7.8</v>
      </c>
      <c r="AC3110" s="127">
        <f t="shared" si="63"/>
        <v>8</v>
      </c>
    </row>
    <row r="3111" ht="14.5" customHeight="1" spans="11:29" x14ac:dyDescent="0.25">
      <c r="K3111" s="128"/>
      <c r="X3111" s="234">
        <v>2022</v>
      </c>
      <c r="Y3111" s="234">
        <v>5</v>
      </c>
      <c r="Z3111" s="234">
        <v>10</v>
      </c>
      <c r="AA3111" s="235">
        <v>0.5416666666678793</v>
      </c>
      <c r="AB3111" s="236">
        <v>9.2</v>
      </c>
      <c r="AC3111" s="127">
        <f t="shared" si="63"/>
        <v>9</v>
      </c>
    </row>
    <row r="3112" ht="14.5" customHeight="1" spans="11:29" x14ac:dyDescent="0.25">
      <c r="K3112" s="128"/>
      <c r="X3112" s="234">
        <v>2022</v>
      </c>
      <c r="Y3112" s="234">
        <v>5</v>
      </c>
      <c r="Z3112" s="234">
        <v>10</v>
      </c>
      <c r="AA3112" s="235">
        <v>0.5833333333321207</v>
      </c>
      <c r="AB3112" s="236">
        <v>5.3</v>
      </c>
      <c r="AC3112" s="127">
        <f t="shared" si="63"/>
        <v>5</v>
      </c>
    </row>
    <row r="3113" ht="14.5" customHeight="1" spans="11:29" x14ac:dyDescent="0.25">
      <c r="K3113" s="128"/>
      <c r="X3113" s="234">
        <v>2022</v>
      </c>
      <c r="Y3113" s="234">
        <v>5</v>
      </c>
      <c r="Z3113" s="234">
        <v>10</v>
      </c>
      <c r="AA3113" s="235">
        <v>0.625</v>
      </c>
      <c r="AB3113" s="236">
        <v>6.2</v>
      </c>
      <c r="AC3113" s="127">
        <f t="shared" si="63"/>
        <v>6</v>
      </c>
    </row>
    <row r="3114" ht="14.5" customHeight="1" spans="11:29" x14ac:dyDescent="0.25">
      <c r="K3114" s="128"/>
      <c r="X3114" s="234">
        <v>2022</v>
      </c>
      <c r="Y3114" s="234">
        <v>5</v>
      </c>
      <c r="Z3114" s="234">
        <v>10</v>
      </c>
      <c r="AA3114" s="235">
        <v>0.6666666666678793</v>
      </c>
      <c r="AB3114" s="236">
        <v>3.4</v>
      </c>
      <c r="AC3114" s="127">
        <f t="shared" si="63"/>
        <v>3</v>
      </c>
    </row>
    <row r="3115" ht="14.5" customHeight="1" spans="11:29" x14ac:dyDescent="0.25">
      <c r="K3115" s="128"/>
      <c r="X3115" s="234">
        <v>2022</v>
      </c>
      <c r="Y3115" s="234">
        <v>5</v>
      </c>
      <c r="Z3115" s="234">
        <v>10</v>
      </c>
      <c r="AA3115" s="235">
        <v>0.7083333333321207</v>
      </c>
      <c r="AB3115" s="236">
        <v>6.2</v>
      </c>
      <c r="AC3115" s="127">
        <f t="shared" si="63"/>
        <v>6</v>
      </c>
    </row>
    <row r="3116" ht="14.5" customHeight="1" spans="11:29" x14ac:dyDescent="0.25">
      <c r="K3116" s="128"/>
      <c r="X3116" s="234">
        <v>2022</v>
      </c>
      <c r="Y3116" s="234">
        <v>5</v>
      </c>
      <c r="Z3116" s="234">
        <v>10</v>
      </c>
      <c r="AA3116" s="235">
        <v>0.75</v>
      </c>
      <c r="AB3116" s="236">
        <v>6.8</v>
      </c>
      <c r="AC3116" s="127">
        <f t="shared" si="63"/>
        <v>7</v>
      </c>
    </row>
    <row r="3117" ht="14.5" customHeight="1" spans="11:29" x14ac:dyDescent="0.25">
      <c r="K3117" s="128"/>
      <c r="X3117" s="234">
        <v>2022</v>
      </c>
      <c r="Y3117" s="234">
        <v>5</v>
      </c>
      <c r="Z3117" s="234">
        <v>10</v>
      </c>
      <c r="AA3117" s="235">
        <v>0.7916666666678793</v>
      </c>
      <c r="AB3117" s="236">
        <v>6.3</v>
      </c>
      <c r="AC3117" s="127">
        <f t="shared" si="63"/>
        <v>6</v>
      </c>
    </row>
    <row r="3118" ht="14.5" customHeight="1" spans="11:29" x14ac:dyDescent="0.25">
      <c r="K3118" s="128"/>
      <c r="X3118" s="234">
        <v>2022</v>
      </c>
      <c r="Y3118" s="234">
        <v>5</v>
      </c>
      <c r="Z3118" s="234">
        <v>10</v>
      </c>
      <c r="AA3118" s="235">
        <v>0.8333333333321207</v>
      </c>
      <c r="AB3118" s="236">
        <v>5.7</v>
      </c>
      <c r="AC3118" s="127">
        <f t="shared" si="63"/>
        <v>6</v>
      </c>
    </row>
    <row r="3119" ht="14.5" customHeight="1" spans="11:29" x14ac:dyDescent="0.25">
      <c r="K3119" s="128"/>
      <c r="X3119" s="234">
        <v>2022</v>
      </c>
      <c r="Y3119" s="234">
        <v>5</v>
      </c>
      <c r="Z3119" s="234">
        <v>10</v>
      </c>
      <c r="AA3119" s="235">
        <v>0.875</v>
      </c>
      <c r="AB3119" s="236">
        <v>5.5</v>
      </c>
      <c r="AC3119" s="127">
        <f t="shared" si="63"/>
        <v>6</v>
      </c>
    </row>
    <row r="3120" ht="14.5" customHeight="1" spans="11:29" x14ac:dyDescent="0.25">
      <c r="K3120" s="128"/>
      <c r="X3120" s="234">
        <v>2022</v>
      </c>
      <c r="Y3120" s="234">
        <v>5</v>
      </c>
      <c r="Z3120" s="234">
        <v>10</v>
      </c>
      <c r="AA3120" s="235">
        <v>0.9166666666678793</v>
      </c>
      <c r="AB3120" s="236">
        <v>3.6</v>
      </c>
      <c r="AC3120" s="127">
        <f t="shared" si="63"/>
        <v>4</v>
      </c>
    </row>
    <row r="3121" ht="14.5" customHeight="1" spans="11:29" x14ac:dyDescent="0.25">
      <c r="K3121" s="128"/>
      <c r="X3121" s="234">
        <v>2022</v>
      </c>
      <c r="Y3121" s="234">
        <v>5</v>
      </c>
      <c r="Z3121" s="234">
        <v>10</v>
      </c>
      <c r="AA3121" s="235">
        <v>0.9583333333321207</v>
      </c>
      <c r="AB3121" s="236">
        <v>3.3</v>
      </c>
      <c r="AC3121" s="127">
        <f t="shared" si="63"/>
        <v>3</v>
      </c>
    </row>
    <row r="3122" ht="14.5" customHeight="1" spans="11:29" x14ac:dyDescent="0.25">
      <c r="K3122" s="128"/>
      <c r="X3122" s="234">
        <v>2022</v>
      </c>
      <c r="Y3122" s="234">
        <v>5</v>
      </c>
      <c r="Z3122" s="234">
        <v>11</v>
      </c>
      <c r="AA3122" s="235">
        <v>0</v>
      </c>
      <c r="AB3122" s="236">
        <v>2.7</v>
      </c>
      <c r="AC3122" s="127">
        <f t="shared" si="63"/>
        <v>3</v>
      </c>
    </row>
    <row r="3123" ht="14.5" customHeight="1" spans="11:29" x14ac:dyDescent="0.25">
      <c r="K3123" s="128"/>
      <c r="X3123" s="234">
        <v>2022</v>
      </c>
      <c r="Y3123" s="234">
        <v>5</v>
      </c>
      <c r="Z3123" s="234">
        <v>11</v>
      </c>
      <c r="AA3123" s="235">
        <v>0.041666666667879326</v>
      </c>
      <c r="AB3123" s="236">
        <v>2</v>
      </c>
      <c r="AC3123" s="127">
        <f t="shared" si="63"/>
        <v>2</v>
      </c>
    </row>
    <row r="3124" ht="14.5" customHeight="1" spans="11:29" x14ac:dyDescent="0.25">
      <c r="K3124" s="128"/>
      <c r="X3124" s="234">
        <v>2022</v>
      </c>
      <c r="Y3124" s="234">
        <v>5</v>
      </c>
      <c r="Z3124" s="234">
        <v>11</v>
      </c>
      <c r="AA3124" s="235">
        <v>0.08333333333212067</v>
      </c>
      <c r="AB3124" s="236">
        <v>1.4</v>
      </c>
      <c r="AC3124" s="127">
        <f t="shared" si="63"/>
        <v>1</v>
      </c>
    </row>
    <row r="3125" ht="14.5" customHeight="1" spans="11:29" x14ac:dyDescent="0.25">
      <c r="K3125" s="128"/>
      <c r="X3125" s="234">
        <v>2022</v>
      </c>
      <c r="Y3125" s="234">
        <v>5</v>
      </c>
      <c r="Z3125" s="234">
        <v>11</v>
      </c>
      <c r="AA3125" s="235">
        <v>0.125</v>
      </c>
      <c r="AB3125" s="236">
        <v>0.3</v>
      </c>
      <c r="AC3125" s="127">
        <f t="shared" si="63"/>
        <v>0</v>
      </c>
    </row>
    <row r="3126" ht="14.5" customHeight="1" spans="11:29" x14ac:dyDescent="0.25">
      <c r="K3126" s="128"/>
      <c r="X3126" s="234">
        <v>2022</v>
      </c>
      <c r="Y3126" s="234">
        <v>5</v>
      </c>
      <c r="Z3126" s="234">
        <v>11</v>
      </c>
      <c r="AA3126" s="235">
        <v>0.16666666666787933</v>
      </c>
      <c r="AB3126" s="236">
        <v>0</v>
      </c>
      <c r="AC3126" s="127">
        <f t="shared" si="63"/>
        <v>0</v>
      </c>
    </row>
    <row r="3127" ht="14.5" customHeight="1" spans="11:29" x14ac:dyDescent="0.25">
      <c r="K3127" s="128"/>
      <c r="X3127" s="234">
        <v>2022</v>
      </c>
      <c r="Y3127" s="234">
        <v>5</v>
      </c>
      <c r="Z3127" s="234">
        <v>11</v>
      </c>
      <c r="AA3127" s="235">
        <v>0.20833333333212067</v>
      </c>
      <c r="AB3127" s="236">
        <v>1.5</v>
      </c>
      <c r="AC3127" s="127">
        <f t="shared" si="63"/>
        <v>2</v>
      </c>
    </row>
    <row r="3128" ht="14.5" customHeight="1" spans="11:29" x14ac:dyDescent="0.25">
      <c r="K3128" s="128"/>
      <c r="X3128" s="234">
        <v>2022</v>
      </c>
      <c r="Y3128" s="234">
        <v>5</v>
      </c>
      <c r="Z3128" s="234">
        <v>11</v>
      </c>
      <c r="AA3128" s="235">
        <v>0.25</v>
      </c>
      <c r="AB3128" s="236">
        <v>2.3</v>
      </c>
      <c r="AC3128" s="127">
        <f t="shared" si="63"/>
        <v>2</v>
      </c>
    </row>
    <row r="3129" ht="14.5" customHeight="1" spans="11:29" x14ac:dyDescent="0.25">
      <c r="K3129" s="128"/>
      <c r="X3129" s="234">
        <v>2022</v>
      </c>
      <c r="Y3129" s="234">
        <v>5</v>
      </c>
      <c r="Z3129" s="234">
        <v>11</v>
      </c>
      <c r="AA3129" s="235">
        <v>0.2916666666678793</v>
      </c>
      <c r="AB3129" s="236">
        <v>4.2</v>
      </c>
      <c r="AC3129" s="127">
        <f t="shared" si="63"/>
        <v>4</v>
      </c>
    </row>
    <row r="3130" ht="14.5" customHeight="1" spans="11:29" x14ac:dyDescent="0.25">
      <c r="K3130" s="128"/>
      <c r="X3130" s="234">
        <v>2022</v>
      </c>
      <c r="Y3130" s="234">
        <v>5</v>
      </c>
      <c r="Z3130" s="234">
        <v>11</v>
      </c>
      <c r="AA3130" s="235">
        <v>0.3333333333321207</v>
      </c>
      <c r="AB3130" s="236">
        <v>6.2</v>
      </c>
      <c r="AC3130" s="127">
        <f t="shared" si="63"/>
        <v>6</v>
      </c>
    </row>
    <row r="3131" ht="14.5" customHeight="1" spans="11:29" x14ac:dyDescent="0.25">
      <c r="K3131" s="128"/>
      <c r="X3131" s="234">
        <v>2022</v>
      </c>
      <c r="Y3131" s="234">
        <v>5</v>
      </c>
      <c r="Z3131" s="234">
        <v>11</v>
      </c>
      <c r="AA3131" s="235">
        <v>0.375</v>
      </c>
      <c r="AB3131" s="236">
        <v>8.7</v>
      </c>
      <c r="AC3131" s="127">
        <f t="shared" si="63"/>
        <v>9</v>
      </c>
    </row>
    <row r="3132" ht="14.5" customHeight="1" spans="11:29" x14ac:dyDescent="0.25">
      <c r="K3132" s="128"/>
      <c r="X3132" s="234">
        <v>2022</v>
      </c>
      <c r="Y3132" s="234">
        <v>5</v>
      </c>
      <c r="Z3132" s="234">
        <v>11</v>
      </c>
      <c r="AA3132" s="235">
        <v>0.4166666666678793</v>
      </c>
      <c r="AB3132" s="236">
        <v>10.2</v>
      </c>
      <c r="AC3132" s="127">
        <f t="shared" si="63"/>
        <v>10</v>
      </c>
    </row>
    <row r="3133" ht="14.5" customHeight="1" spans="11:29" x14ac:dyDescent="0.25">
      <c r="K3133" s="128"/>
      <c r="X3133" s="234">
        <v>2022</v>
      </c>
      <c r="Y3133" s="234">
        <v>5</v>
      </c>
      <c r="Z3133" s="234">
        <v>11</v>
      </c>
      <c r="AA3133" s="235">
        <v>0.4583333333321207</v>
      </c>
      <c r="AB3133" s="236">
        <v>11.2</v>
      </c>
      <c r="AC3133" s="127">
        <f t="shared" si="63"/>
        <v>11</v>
      </c>
    </row>
    <row r="3134" ht="14.5" customHeight="1" spans="11:29" x14ac:dyDescent="0.25">
      <c r="K3134" s="128"/>
      <c r="X3134" s="234">
        <v>2022</v>
      </c>
      <c r="Y3134" s="234">
        <v>5</v>
      </c>
      <c r="Z3134" s="234">
        <v>11</v>
      </c>
      <c r="AA3134" s="235">
        <v>0.5</v>
      </c>
      <c r="AB3134" s="236">
        <v>12.3</v>
      </c>
      <c r="AC3134" s="127">
        <f t="shared" si="63"/>
        <v>12</v>
      </c>
    </row>
    <row r="3135" ht="14.5" customHeight="1" spans="11:29" x14ac:dyDescent="0.25">
      <c r="K3135" s="128"/>
      <c r="X3135" s="234">
        <v>2022</v>
      </c>
      <c r="Y3135" s="234">
        <v>5</v>
      </c>
      <c r="Z3135" s="234">
        <v>11</v>
      </c>
      <c r="AA3135" s="235">
        <v>0.5416666666678793</v>
      </c>
      <c r="AB3135" s="236">
        <v>11.5</v>
      </c>
      <c r="AC3135" s="127">
        <f t="shared" si="63"/>
        <v>12</v>
      </c>
    </row>
    <row r="3136" ht="14.5" customHeight="1" spans="11:29" x14ac:dyDescent="0.25">
      <c r="K3136" s="128"/>
      <c r="X3136" s="234">
        <v>2022</v>
      </c>
      <c r="Y3136" s="234">
        <v>5</v>
      </c>
      <c r="Z3136" s="234">
        <v>11</v>
      </c>
      <c r="AA3136" s="235">
        <v>0.5833333333321207</v>
      </c>
      <c r="AB3136" s="236">
        <v>11.9</v>
      </c>
      <c r="AC3136" s="127">
        <f t="shared" si="63"/>
        <v>12</v>
      </c>
    </row>
    <row r="3137" ht="14.5" customHeight="1" spans="11:29" x14ac:dyDescent="0.25">
      <c r="K3137" s="128"/>
      <c r="X3137" s="234">
        <v>2022</v>
      </c>
      <c r="Y3137" s="234">
        <v>5</v>
      </c>
      <c r="Z3137" s="234">
        <v>11</v>
      </c>
      <c r="AA3137" s="235">
        <v>0.625</v>
      </c>
      <c r="AB3137" s="236">
        <v>12.2</v>
      </c>
      <c r="AC3137" s="127">
        <f t="shared" si="63"/>
        <v>12</v>
      </c>
    </row>
    <row r="3138" ht="14.5" customHeight="1" spans="11:29" x14ac:dyDescent="0.25">
      <c r="K3138" s="128"/>
      <c r="X3138" s="234">
        <v>2022</v>
      </c>
      <c r="Y3138" s="234">
        <v>5</v>
      </c>
      <c r="Z3138" s="234">
        <v>11</v>
      </c>
      <c r="AA3138" s="235">
        <v>0.6666666666678793</v>
      </c>
      <c r="AB3138" s="236">
        <v>12.5</v>
      </c>
      <c r="AC3138" s="127">
        <f t="shared" si="63"/>
        <v>13</v>
      </c>
    </row>
    <row r="3139" ht="14.5" customHeight="1" spans="11:29" x14ac:dyDescent="0.25">
      <c r="K3139" s="128"/>
      <c r="X3139" s="234">
        <v>2022</v>
      </c>
      <c r="Y3139" s="234">
        <v>5</v>
      </c>
      <c r="Z3139" s="234">
        <v>11</v>
      </c>
      <c r="AA3139" s="235">
        <v>0.7083333333321207</v>
      </c>
      <c r="AB3139" s="236">
        <v>12.5</v>
      </c>
      <c r="AC3139" s="127">
        <f t="shared" si="63"/>
        <v>13</v>
      </c>
    </row>
    <row r="3140" ht="14.5" customHeight="1" spans="11:29" x14ac:dyDescent="0.25">
      <c r="K3140" s="128"/>
      <c r="X3140" s="234">
        <v>2022</v>
      </c>
      <c r="Y3140" s="234">
        <v>5</v>
      </c>
      <c r="Z3140" s="234">
        <v>11</v>
      </c>
      <c r="AA3140" s="235">
        <v>0.75</v>
      </c>
      <c r="AB3140" s="236">
        <v>13.4</v>
      </c>
      <c r="AC3140" s="127">
        <f t="shared" si="63"/>
        <v>13</v>
      </c>
    </row>
    <row r="3141" ht="14.5" customHeight="1" spans="11:29" x14ac:dyDescent="0.25">
      <c r="K3141" s="128"/>
      <c r="X3141" s="234">
        <v>2022</v>
      </c>
      <c r="Y3141" s="234">
        <v>5</v>
      </c>
      <c r="Z3141" s="234">
        <v>11</v>
      </c>
      <c r="AA3141" s="235">
        <v>0.7916666666678793</v>
      </c>
      <c r="AB3141" s="236">
        <v>11.6</v>
      </c>
      <c r="AC3141" s="127">
        <f t="shared" si="63"/>
        <v>12</v>
      </c>
    </row>
    <row r="3142" ht="14.5" customHeight="1" spans="11:29" x14ac:dyDescent="0.25">
      <c r="K3142" s="128"/>
      <c r="X3142" s="234">
        <v>2022</v>
      </c>
      <c r="Y3142" s="234">
        <v>5</v>
      </c>
      <c r="Z3142" s="234">
        <v>11</v>
      </c>
      <c r="AA3142" s="235">
        <v>0.8333333333321207</v>
      </c>
      <c r="AB3142" s="236">
        <v>9.8</v>
      </c>
      <c r="AC3142" s="127">
        <f t="shared" si="63"/>
        <v>10</v>
      </c>
    </row>
    <row r="3143" ht="14.5" customHeight="1" spans="11:29" x14ac:dyDescent="0.25">
      <c r="K3143" s="128"/>
      <c r="X3143" s="234">
        <v>2022</v>
      </c>
      <c r="Y3143" s="234">
        <v>5</v>
      </c>
      <c r="Z3143" s="234">
        <v>11</v>
      </c>
      <c r="AA3143" s="235">
        <v>0.875</v>
      </c>
      <c r="AB3143" s="236">
        <v>7.9</v>
      </c>
      <c r="AC3143" s="127">
        <f t="shared" si="63"/>
        <v>8</v>
      </c>
    </row>
    <row r="3144" ht="14.5" customHeight="1" spans="11:29" x14ac:dyDescent="0.25">
      <c r="K3144" s="128"/>
      <c r="X3144" s="234">
        <v>2022</v>
      </c>
      <c r="Y3144" s="234">
        <v>5</v>
      </c>
      <c r="Z3144" s="234">
        <v>11</v>
      </c>
      <c r="AA3144" s="235">
        <v>0.9166666666678793</v>
      </c>
      <c r="AB3144" s="236">
        <v>6.1</v>
      </c>
      <c r="AC3144" s="127">
        <f t="shared" si="63"/>
        <v>6</v>
      </c>
    </row>
    <row r="3145" ht="14.5" customHeight="1" spans="11:29" x14ac:dyDescent="0.25">
      <c r="K3145" s="128"/>
      <c r="X3145" s="234">
        <v>2022</v>
      </c>
      <c r="Y3145" s="234">
        <v>5</v>
      </c>
      <c r="Z3145" s="234">
        <v>11</v>
      </c>
      <c r="AA3145" s="235">
        <v>0.9583333333321207</v>
      </c>
      <c r="AB3145" s="236">
        <v>6.1</v>
      </c>
      <c r="AC3145" s="127">
        <f t="shared" si="63"/>
        <v>6</v>
      </c>
    </row>
    <row r="3146" ht="14.5" customHeight="1" spans="11:29" x14ac:dyDescent="0.25">
      <c r="K3146" s="128"/>
      <c r="X3146" s="234">
        <v>2022</v>
      </c>
      <c r="Y3146" s="234">
        <v>5</v>
      </c>
      <c r="Z3146" s="234">
        <v>12</v>
      </c>
      <c r="AA3146" s="235">
        <v>0</v>
      </c>
      <c r="AB3146" s="236">
        <v>3.3</v>
      </c>
      <c r="AC3146" s="127">
        <f t="shared" si="63"/>
        <v>3</v>
      </c>
    </row>
    <row r="3147" ht="14.5" customHeight="1" spans="11:29" x14ac:dyDescent="0.25">
      <c r="K3147" s="128"/>
      <c r="X3147" s="234">
        <v>2022</v>
      </c>
      <c r="Y3147" s="234">
        <v>5</v>
      </c>
      <c r="Z3147" s="234">
        <v>12</v>
      </c>
      <c r="AA3147" s="235">
        <v>0.041666666667879326</v>
      </c>
      <c r="AB3147" s="236">
        <v>2.3</v>
      </c>
      <c r="AC3147" s="127">
        <f t="shared" ref="AC3147:AC3210" si="64">ROUND(AB3147,0)</f>
        <v>2</v>
      </c>
    </row>
    <row r="3148" ht="14.5" customHeight="1" spans="11:29" x14ac:dyDescent="0.25">
      <c r="K3148" s="128"/>
      <c r="X3148" s="234">
        <v>2022</v>
      </c>
      <c r="Y3148" s="234">
        <v>5</v>
      </c>
      <c r="Z3148" s="234">
        <v>12</v>
      </c>
      <c r="AA3148" s="235">
        <v>0.08333333333212067</v>
      </c>
      <c r="AB3148" s="236">
        <v>0.5</v>
      </c>
      <c r="AC3148" s="127">
        <f t="shared" si="64"/>
        <v>1</v>
      </c>
    </row>
    <row r="3149" ht="14.5" customHeight="1" spans="11:29" x14ac:dyDescent="0.25">
      <c r="K3149" s="128"/>
      <c r="X3149" s="234">
        <v>2022</v>
      </c>
      <c r="Y3149" s="234">
        <v>5</v>
      </c>
      <c r="Z3149" s="234">
        <v>12</v>
      </c>
      <c r="AA3149" s="235">
        <v>0.125</v>
      </c>
      <c r="AB3149" s="236">
        <v>-0.5</v>
      </c>
      <c r="AC3149" s="127">
        <f t="shared" si="64"/>
        <v>-1</v>
      </c>
    </row>
    <row r="3150" ht="14.5" customHeight="1" spans="11:29" x14ac:dyDescent="0.25">
      <c r="K3150" s="128"/>
      <c r="X3150" s="234">
        <v>2022</v>
      </c>
      <c r="Y3150" s="234">
        <v>5</v>
      </c>
      <c r="Z3150" s="234">
        <v>12</v>
      </c>
      <c r="AA3150" s="235">
        <v>0.16666666666787933</v>
      </c>
      <c r="AB3150" s="236">
        <v>-1.2</v>
      </c>
      <c r="AC3150" s="127">
        <f t="shared" si="64"/>
        <v>-1</v>
      </c>
    </row>
    <row r="3151" ht="14.5" customHeight="1" spans="11:29" x14ac:dyDescent="0.25">
      <c r="K3151" s="128"/>
      <c r="X3151" s="234">
        <v>2022</v>
      </c>
      <c r="Y3151" s="234">
        <v>5</v>
      </c>
      <c r="Z3151" s="234">
        <v>12</v>
      </c>
      <c r="AA3151" s="235">
        <v>0.20833333333212067</v>
      </c>
      <c r="AB3151" s="236">
        <v>-1.3</v>
      </c>
      <c r="AC3151" s="127">
        <f t="shared" si="64"/>
        <v>-1</v>
      </c>
    </row>
    <row r="3152" ht="14.5" customHeight="1" spans="11:29" x14ac:dyDescent="0.25">
      <c r="K3152" s="128"/>
      <c r="X3152" s="234">
        <v>2022</v>
      </c>
      <c r="Y3152" s="234">
        <v>5</v>
      </c>
      <c r="Z3152" s="234">
        <v>12</v>
      </c>
      <c r="AA3152" s="235">
        <v>0.25</v>
      </c>
      <c r="AB3152" s="236">
        <v>0.8</v>
      </c>
      <c r="AC3152" s="127">
        <f t="shared" si="64"/>
        <v>1</v>
      </c>
    </row>
    <row r="3153" ht="14.5" customHeight="1" spans="11:29" x14ac:dyDescent="0.25">
      <c r="K3153" s="128"/>
      <c r="X3153" s="234">
        <v>2022</v>
      </c>
      <c r="Y3153" s="234">
        <v>5</v>
      </c>
      <c r="Z3153" s="234">
        <v>12</v>
      </c>
      <c r="AA3153" s="235">
        <v>0.2916666666678793</v>
      </c>
      <c r="AB3153" s="236">
        <v>4.7</v>
      </c>
      <c r="AC3153" s="127">
        <f t="shared" si="64"/>
        <v>5</v>
      </c>
    </row>
    <row r="3154" ht="14.5" customHeight="1" spans="11:29" x14ac:dyDescent="0.25">
      <c r="K3154" s="128"/>
      <c r="X3154" s="234">
        <v>2022</v>
      </c>
      <c r="Y3154" s="234">
        <v>5</v>
      </c>
      <c r="Z3154" s="234">
        <v>12</v>
      </c>
      <c r="AA3154" s="235">
        <v>0.3333333333321207</v>
      </c>
      <c r="AB3154" s="236">
        <v>8</v>
      </c>
      <c r="AC3154" s="127">
        <f t="shared" si="64"/>
        <v>8</v>
      </c>
    </row>
    <row r="3155" ht="14.5" customHeight="1" spans="11:29" x14ac:dyDescent="0.25">
      <c r="K3155" s="128"/>
      <c r="X3155" s="234">
        <v>2022</v>
      </c>
      <c r="Y3155" s="234">
        <v>5</v>
      </c>
      <c r="Z3155" s="234">
        <v>12</v>
      </c>
      <c r="AA3155" s="235">
        <v>0.375</v>
      </c>
      <c r="AB3155" s="236">
        <v>11.3</v>
      </c>
      <c r="AC3155" s="127">
        <f t="shared" si="64"/>
        <v>11</v>
      </c>
    </row>
    <row r="3156" ht="14.5" customHeight="1" spans="11:29" x14ac:dyDescent="0.25">
      <c r="K3156" s="128"/>
      <c r="X3156" s="234">
        <v>2022</v>
      </c>
      <c r="Y3156" s="234">
        <v>5</v>
      </c>
      <c r="Z3156" s="234">
        <v>12</v>
      </c>
      <c r="AA3156" s="235">
        <v>0.4166666666678793</v>
      </c>
      <c r="AB3156" s="236">
        <v>12.3</v>
      </c>
      <c r="AC3156" s="127">
        <f t="shared" si="64"/>
        <v>12</v>
      </c>
    </row>
    <row r="3157" ht="14.5" customHeight="1" spans="11:29" x14ac:dyDescent="0.25">
      <c r="K3157" s="128"/>
      <c r="X3157" s="234">
        <v>2022</v>
      </c>
      <c r="Y3157" s="234">
        <v>5</v>
      </c>
      <c r="Z3157" s="234">
        <v>12</v>
      </c>
      <c r="AA3157" s="235">
        <v>0.4583333333321207</v>
      </c>
      <c r="AB3157" s="236">
        <v>13.2</v>
      </c>
      <c r="AC3157" s="127">
        <f t="shared" si="64"/>
        <v>13</v>
      </c>
    </row>
    <row r="3158" ht="14.5" customHeight="1" spans="11:29" x14ac:dyDescent="0.25">
      <c r="K3158" s="128"/>
      <c r="X3158" s="234">
        <v>2022</v>
      </c>
      <c r="Y3158" s="234">
        <v>5</v>
      </c>
      <c r="Z3158" s="234">
        <v>12</v>
      </c>
      <c r="AA3158" s="235">
        <v>0.5</v>
      </c>
      <c r="AB3158" s="236">
        <v>14.3</v>
      </c>
      <c r="AC3158" s="127">
        <f t="shared" si="64"/>
        <v>14</v>
      </c>
    </row>
    <row r="3159" ht="14.5" customHeight="1" spans="11:29" x14ac:dyDescent="0.25">
      <c r="K3159" s="128"/>
      <c r="X3159" s="234">
        <v>2022</v>
      </c>
      <c r="Y3159" s="234">
        <v>5</v>
      </c>
      <c r="Z3159" s="234">
        <v>12</v>
      </c>
      <c r="AA3159" s="235">
        <v>0.5416666666678793</v>
      </c>
      <c r="AB3159" s="236">
        <v>14.2</v>
      </c>
      <c r="AC3159" s="127">
        <f t="shared" si="64"/>
        <v>14</v>
      </c>
    </row>
    <row r="3160" ht="14.5" customHeight="1" spans="11:29" x14ac:dyDescent="0.25">
      <c r="K3160" s="128"/>
      <c r="X3160" s="234">
        <v>2022</v>
      </c>
      <c r="Y3160" s="234">
        <v>5</v>
      </c>
      <c r="Z3160" s="234">
        <v>12</v>
      </c>
      <c r="AA3160" s="235">
        <v>0.5833333333321207</v>
      </c>
      <c r="AB3160" s="236">
        <v>14</v>
      </c>
      <c r="AC3160" s="127">
        <f t="shared" si="64"/>
        <v>14</v>
      </c>
    </row>
    <row r="3161" ht="14.5" customHeight="1" spans="11:29" x14ac:dyDescent="0.25">
      <c r="K3161" s="128"/>
      <c r="X3161" s="234">
        <v>2022</v>
      </c>
      <c r="Y3161" s="234">
        <v>5</v>
      </c>
      <c r="Z3161" s="234">
        <v>12</v>
      </c>
      <c r="AA3161" s="235">
        <v>0.625</v>
      </c>
      <c r="AB3161" s="236">
        <v>15.5</v>
      </c>
      <c r="AC3161" s="127">
        <f t="shared" si="64"/>
        <v>16</v>
      </c>
    </row>
    <row r="3162" ht="14.5" customHeight="1" spans="11:29" x14ac:dyDescent="0.25">
      <c r="K3162" s="128"/>
      <c r="X3162" s="234">
        <v>2022</v>
      </c>
      <c r="Y3162" s="234">
        <v>5</v>
      </c>
      <c r="Z3162" s="234">
        <v>12</v>
      </c>
      <c r="AA3162" s="235">
        <v>0.6666666666678793</v>
      </c>
      <c r="AB3162" s="236">
        <v>15.5</v>
      </c>
      <c r="AC3162" s="127">
        <f t="shared" si="64"/>
        <v>16</v>
      </c>
    </row>
    <row r="3163" ht="14.5" customHeight="1" spans="11:29" x14ac:dyDescent="0.25">
      <c r="K3163" s="128"/>
      <c r="X3163" s="234">
        <v>2022</v>
      </c>
      <c r="Y3163" s="234">
        <v>5</v>
      </c>
      <c r="Z3163" s="234">
        <v>12</v>
      </c>
      <c r="AA3163" s="235">
        <v>0.7083333333321207</v>
      </c>
      <c r="AB3163" s="236">
        <v>13.3</v>
      </c>
      <c r="AC3163" s="127">
        <f t="shared" si="64"/>
        <v>13</v>
      </c>
    </row>
    <row r="3164" ht="14.5" customHeight="1" spans="11:29" x14ac:dyDescent="0.25">
      <c r="K3164" s="128"/>
      <c r="X3164" s="234">
        <v>2022</v>
      </c>
      <c r="Y3164" s="234">
        <v>5</v>
      </c>
      <c r="Z3164" s="234">
        <v>12</v>
      </c>
      <c r="AA3164" s="235">
        <v>0.75</v>
      </c>
      <c r="AB3164" s="236">
        <v>13.6</v>
      </c>
      <c r="AC3164" s="127">
        <f t="shared" si="64"/>
        <v>14</v>
      </c>
    </row>
    <row r="3165" ht="14.5" customHeight="1" spans="11:29" x14ac:dyDescent="0.25">
      <c r="K3165" s="128"/>
      <c r="X3165" s="234">
        <v>2022</v>
      </c>
      <c r="Y3165" s="234">
        <v>5</v>
      </c>
      <c r="Z3165" s="234">
        <v>12</v>
      </c>
      <c r="AA3165" s="235">
        <v>0.7916666666678793</v>
      </c>
      <c r="AB3165" s="236">
        <v>12.8</v>
      </c>
      <c r="AC3165" s="127">
        <f t="shared" si="64"/>
        <v>13</v>
      </c>
    </row>
    <row r="3166" ht="14.5" customHeight="1" spans="11:29" x14ac:dyDescent="0.25">
      <c r="K3166" s="128"/>
      <c r="X3166" s="234">
        <v>2022</v>
      </c>
      <c r="Y3166" s="234">
        <v>5</v>
      </c>
      <c r="Z3166" s="234">
        <v>12</v>
      </c>
      <c r="AA3166" s="235">
        <v>0.8333333333321207</v>
      </c>
      <c r="AB3166" s="236">
        <v>11.6</v>
      </c>
      <c r="AC3166" s="127">
        <f t="shared" si="64"/>
        <v>12</v>
      </c>
    </row>
    <row r="3167" ht="14.5" customHeight="1" spans="11:29" x14ac:dyDescent="0.25">
      <c r="K3167" s="128"/>
      <c r="X3167" s="234">
        <v>2022</v>
      </c>
      <c r="Y3167" s="234">
        <v>5</v>
      </c>
      <c r="Z3167" s="234">
        <v>12</v>
      </c>
      <c r="AA3167" s="235">
        <v>0.875</v>
      </c>
      <c r="AB3167" s="236">
        <v>9.7</v>
      </c>
      <c r="AC3167" s="127">
        <f t="shared" si="64"/>
        <v>10</v>
      </c>
    </row>
    <row r="3168" ht="14.5" customHeight="1" spans="11:29" x14ac:dyDescent="0.25">
      <c r="K3168" s="128"/>
      <c r="X3168" s="234">
        <v>2022</v>
      </c>
      <c r="Y3168" s="234">
        <v>5</v>
      </c>
      <c r="Z3168" s="234">
        <v>12</v>
      </c>
      <c r="AA3168" s="235">
        <v>0.9166666666678793</v>
      </c>
      <c r="AB3168" s="236">
        <v>6.4</v>
      </c>
      <c r="AC3168" s="127">
        <f t="shared" si="64"/>
        <v>6</v>
      </c>
    </row>
    <row r="3169" ht="14.5" customHeight="1" spans="11:29" x14ac:dyDescent="0.25">
      <c r="K3169" s="128"/>
      <c r="X3169" s="234">
        <v>2022</v>
      </c>
      <c r="Y3169" s="234">
        <v>5</v>
      </c>
      <c r="Z3169" s="234">
        <v>12</v>
      </c>
      <c r="AA3169" s="235">
        <v>0.9583333333321207</v>
      </c>
      <c r="AB3169" s="236">
        <v>3</v>
      </c>
      <c r="AC3169" s="127">
        <f t="shared" si="64"/>
        <v>3</v>
      </c>
    </row>
    <row r="3170" ht="14.5" customHeight="1" spans="11:29" x14ac:dyDescent="0.25">
      <c r="K3170" s="128"/>
      <c r="X3170" s="234">
        <v>2022</v>
      </c>
      <c r="Y3170" s="234">
        <v>5</v>
      </c>
      <c r="Z3170" s="234">
        <v>13</v>
      </c>
      <c r="AA3170" s="235">
        <v>0</v>
      </c>
      <c r="AB3170" s="236">
        <v>1.8</v>
      </c>
      <c r="AC3170" s="127">
        <f t="shared" si="64"/>
        <v>2</v>
      </c>
    </row>
    <row r="3171" ht="14.5" customHeight="1" spans="11:29" x14ac:dyDescent="0.25">
      <c r="K3171" s="128"/>
      <c r="X3171" s="234">
        <v>2022</v>
      </c>
      <c r="Y3171" s="234">
        <v>5</v>
      </c>
      <c r="Z3171" s="234">
        <v>13</v>
      </c>
      <c r="AA3171" s="235">
        <v>0.041666666667879326</v>
      </c>
      <c r="AB3171" s="236">
        <v>2.4</v>
      </c>
      <c r="AC3171" s="127">
        <f t="shared" si="64"/>
        <v>2</v>
      </c>
    </row>
    <row r="3172" ht="14.5" customHeight="1" spans="11:29" x14ac:dyDescent="0.25">
      <c r="K3172" s="128"/>
      <c r="X3172" s="234">
        <v>2022</v>
      </c>
      <c r="Y3172" s="234">
        <v>5</v>
      </c>
      <c r="Z3172" s="234">
        <v>13</v>
      </c>
      <c r="AA3172" s="235">
        <v>0.08333333333212067</v>
      </c>
      <c r="AB3172" s="236">
        <v>1.5</v>
      </c>
      <c r="AC3172" s="127">
        <f t="shared" si="64"/>
        <v>2</v>
      </c>
    </row>
    <row r="3173" ht="14.5" customHeight="1" spans="11:29" x14ac:dyDescent="0.25">
      <c r="K3173" s="128"/>
      <c r="X3173" s="234">
        <v>2022</v>
      </c>
      <c r="Y3173" s="234">
        <v>5</v>
      </c>
      <c r="Z3173" s="234">
        <v>13</v>
      </c>
      <c r="AA3173" s="235">
        <v>0.125</v>
      </c>
      <c r="AB3173" s="236">
        <v>1.1</v>
      </c>
      <c r="AC3173" s="127">
        <f t="shared" si="64"/>
        <v>1</v>
      </c>
    </row>
    <row r="3174" ht="14.5" customHeight="1" spans="11:29" x14ac:dyDescent="0.25">
      <c r="K3174" s="128"/>
      <c r="X3174" s="234">
        <v>2022</v>
      </c>
      <c r="Y3174" s="234">
        <v>5</v>
      </c>
      <c r="Z3174" s="234">
        <v>13</v>
      </c>
      <c r="AA3174" s="235">
        <v>0.16666666666787933</v>
      </c>
      <c r="AB3174" s="236">
        <v>-0.2</v>
      </c>
      <c r="AC3174" s="127">
        <f t="shared" si="64"/>
        <v>0</v>
      </c>
    </row>
    <row r="3175" ht="14.5" customHeight="1" spans="11:29" x14ac:dyDescent="0.25">
      <c r="K3175" s="128"/>
      <c r="X3175" s="234">
        <v>2022</v>
      </c>
      <c r="Y3175" s="234">
        <v>5</v>
      </c>
      <c r="Z3175" s="234">
        <v>13</v>
      </c>
      <c r="AA3175" s="235">
        <v>0.20833333333212067</v>
      </c>
      <c r="AB3175" s="236">
        <v>-0.1</v>
      </c>
      <c r="AC3175" s="127">
        <f t="shared" si="64"/>
        <v>0</v>
      </c>
    </row>
    <row r="3176" ht="14.5" customHeight="1" spans="11:29" x14ac:dyDescent="0.25">
      <c r="K3176" s="128"/>
      <c r="X3176" s="234">
        <v>2022</v>
      </c>
      <c r="Y3176" s="234">
        <v>5</v>
      </c>
      <c r="Z3176" s="234">
        <v>13</v>
      </c>
      <c r="AA3176" s="235">
        <v>0.25</v>
      </c>
      <c r="AB3176" s="236">
        <v>1.1</v>
      </c>
      <c r="AC3176" s="127">
        <f t="shared" si="64"/>
        <v>1</v>
      </c>
    </row>
    <row r="3177" ht="14.5" customHeight="1" spans="11:29" x14ac:dyDescent="0.25">
      <c r="K3177" s="128"/>
      <c r="X3177" s="234">
        <v>2022</v>
      </c>
      <c r="Y3177" s="234">
        <v>5</v>
      </c>
      <c r="Z3177" s="234">
        <v>13</v>
      </c>
      <c r="AA3177" s="235">
        <v>0.2916666666678793</v>
      </c>
      <c r="AB3177" s="236">
        <v>7.4</v>
      </c>
      <c r="AC3177" s="127">
        <f t="shared" si="64"/>
        <v>7</v>
      </c>
    </row>
    <row r="3178" ht="14.5" customHeight="1" spans="11:29" x14ac:dyDescent="0.25">
      <c r="K3178" s="128"/>
      <c r="X3178" s="234">
        <v>2022</v>
      </c>
      <c r="Y3178" s="234">
        <v>5</v>
      </c>
      <c r="Z3178" s="234">
        <v>13</v>
      </c>
      <c r="AA3178" s="235">
        <v>0.3333333333321207</v>
      </c>
      <c r="AB3178" s="236">
        <v>9.3</v>
      </c>
      <c r="AC3178" s="127">
        <f t="shared" si="64"/>
        <v>9</v>
      </c>
    </row>
    <row r="3179" ht="14.5" customHeight="1" spans="11:29" x14ac:dyDescent="0.25">
      <c r="K3179" s="128"/>
      <c r="X3179" s="234">
        <v>2022</v>
      </c>
      <c r="Y3179" s="234">
        <v>5</v>
      </c>
      <c r="Z3179" s="234">
        <v>13</v>
      </c>
      <c r="AA3179" s="235">
        <v>0.375</v>
      </c>
      <c r="AB3179" s="236">
        <v>10.2</v>
      </c>
      <c r="AC3179" s="127">
        <f t="shared" si="64"/>
        <v>10</v>
      </c>
    </row>
    <row r="3180" ht="14.5" customHeight="1" spans="11:29" x14ac:dyDescent="0.25">
      <c r="K3180" s="128"/>
      <c r="X3180" s="234">
        <v>2022</v>
      </c>
      <c r="Y3180" s="234">
        <v>5</v>
      </c>
      <c r="Z3180" s="234">
        <v>13</v>
      </c>
      <c r="AA3180" s="235">
        <v>0.4166666666678793</v>
      </c>
      <c r="AB3180" s="236">
        <v>9.7</v>
      </c>
      <c r="AC3180" s="127">
        <f t="shared" si="64"/>
        <v>10</v>
      </c>
    </row>
    <row r="3181" ht="14.5" customHeight="1" spans="11:29" x14ac:dyDescent="0.25">
      <c r="K3181" s="128"/>
      <c r="X3181" s="234">
        <v>2022</v>
      </c>
      <c r="Y3181" s="234">
        <v>5</v>
      </c>
      <c r="Z3181" s="234">
        <v>13</v>
      </c>
      <c r="AA3181" s="235">
        <v>0.4583333333321207</v>
      </c>
      <c r="AB3181" s="236">
        <v>12.8</v>
      </c>
      <c r="AC3181" s="127">
        <f t="shared" si="64"/>
        <v>13</v>
      </c>
    </row>
    <row r="3182" ht="14.5" customHeight="1" spans="11:29" x14ac:dyDescent="0.25">
      <c r="K3182" s="128"/>
      <c r="X3182" s="234">
        <v>2022</v>
      </c>
      <c r="Y3182" s="234">
        <v>5</v>
      </c>
      <c r="Z3182" s="234">
        <v>13</v>
      </c>
      <c r="AA3182" s="235">
        <v>0.5</v>
      </c>
      <c r="AB3182" s="236">
        <v>11.9</v>
      </c>
      <c r="AC3182" s="127">
        <f t="shared" si="64"/>
        <v>12</v>
      </c>
    </row>
    <row r="3183" ht="14.5" customHeight="1" spans="11:29" x14ac:dyDescent="0.25">
      <c r="K3183" s="128"/>
      <c r="X3183" s="234">
        <v>2022</v>
      </c>
      <c r="Y3183" s="234">
        <v>5</v>
      </c>
      <c r="Z3183" s="234">
        <v>13</v>
      </c>
      <c r="AA3183" s="235">
        <v>0.5416666666678793</v>
      </c>
      <c r="AB3183" s="236">
        <v>12.3</v>
      </c>
      <c r="AC3183" s="127">
        <f t="shared" si="64"/>
        <v>12</v>
      </c>
    </row>
    <row r="3184" ht="14.5" customHeight="1" spans="11:29" x14ac:dyDescent="0.25">
      <c r="K3184" s="128"/>
      <c r="X3184" s="234">
        <v>2022</v>
      </c>
      <c r="Y3184" s="234">
        <v>5</v>
      </c>
      <c r="Z3184" s="234">
        <v>13</v>
      </c>
      <c r="AA3184" s="235">
        <v>0.5833333333321207</v>
      </c>
      <c r="AB3184" s="236">
        <v>12.8</v>
      </c>
      <c r="AC3184" s="127">
        <f t="shared" si="64"/>
        <v>13</v>
      </c>
    </row>
    <row r="3185" ht="14.5" customHeight="1" spans="11:29" x14ac:dyDescent="0.25">
      <c r="K3185" s="128"/>
      <c r="X3185" s="234">
        <v>2022</v>
      </c>
      <c r="Y3185" s="234">
        <v>5</v>
      </c>
      <c r="Z3185" s="234">
        <v>13</v>
      </c>
      <c r="AA3185" s="235">
        <v>0.625</v>
      </c>
      <c r="AB3185" s="236">
        <v>13.2</v>
      </c>
      <c r="AC3185" s="127">
        <f t="shared" si="64"/>
        <v>13</v>
      </c>
    </row>
    <row r="3186" ht="14.5" customHeight="1" spans="11:29" x14ac:dyDescent="0.25">
      <c r="K3186" s="128"/>
      <c r="X3186" s="234">
        <v>2022</v>
      </c>
      <c r="Y3186" s="234">
        <v>5</v>
      </c>
      <c r="Z3186" s="234">
        <v>13</v>
      </c>
      <c r="AA3186" s="235">
        <v>0.6666666666678793</v>
      </c>
      <c r="AB3186" s="236">
        <v>13.4</v>
      </c>
      <c r="AC3186" s="127">
        <f t="shared" si="64"/>
        <v>13</v>
      </c>
    </row>
    <row r="3187" ht="14.5" customHeight="1" spans="11:29" x14ac:dyDescent="0.25">
      <c r="K3187" s="128"/>
      <c r="X3187" s="234">
        <v>2022</v>
      </c>
      <c r="Y3187" s="234">
        <v>5</v>
      </c>
      <c r="Z3187" s="234">
        <v>13</v>
      </c>
      <c r="AA3187" s="235">
        <v>0.7083333333321207</v>
      </c>
      <c r="AB3187" s="236">
        <v>11.1</v>
      </c>
      <c r="AC3187" s="127">
        <f t="shared" si="64"/>
        <v>11</v>
      </c>
    </row>
    <row r="3188" ht="14.5" customHeight="1" spans="11:29" x14ac:dyDescent="0.25">
      <c r="K3188" s="128"/>
      <c r="X3188" s="234">
        <v>2022</v>
      </c>
      <c r="Y3188" s="234">
        <v>5</v>
      </c>
      <c r="Z3188" s="234">
        <v>13</v>
      </c>
      <c r="AA3188" s="235">
        <v>0.75</v>
      </c>
      <c r="AB3188" s="236">
        <v>9.5</v>
      </c>
      <c r="AC3188" s="127">
        <f t="shared" si="64"/>
        <v>10</v>
      </c>
    </row>
    <row r="3189" ht="14.5" customHeight="1" spans="11:29" x14ac:dyDescent="0.25">
      <c r="K3189" s="128"/>
      <c r="X3189" s="234">
        <v>2022</v>
      </c>
      <c r="Y3189" s="234">
        <v>5</v>
      </c>
      <c r="Z3189" s="234">
        <v>13</v>
      </c>
      <c r="AA3189" s="235">
        <v>0.7916666666678793</v>
      </c>
      <c r="AB3189" s="236">
        <v>8.5</v>
      </c>
      <c r="AC3189" s="127">
        <f t="shared" si="64"/>
        <v>9</v>
      </c>
    </row>
    <row r="3190" ht="14.5" customHeight="1" spans="11:29" x14ac:dyDescent="0.25">
      <c r="K3190" s="128"/>
      <c r="X3190" s="234">
        <v>2022</v>
      </c>
      <c r="Y3190" s="234">
        <v>5</v>
      </c>
      <c r="Z3190" s="234">
        <v>13</v>
      </c>
      <c r="AA3190" s="235">
        <v>0.8333333333321207</v>
      </c>
      <c r="AB3190" s="236">
        <v>6.7</v>
      </c>
      <c r="AC3190" s="127">
        <f t="shared" si="64"/>
        <v>7</v>
      </c>
    </row>
    <row r="3191" ht="14.5" customHeight="1" spans="11:29" x14ac:dyDescent="0.25">
      <c r="K3191" s="128"/>
      <c r="X3191" s="234">
        <v>2022</v>
      </c>
      <c r="Y3191" s="234">
        <v>5</v>
      </c>
      <c r="Z3191" s="234">
        <v>13</v>
      </c>
      <c r="AA3191" s="235">
        <v>0.875</v>
      </c>
      <c r="AB3191" s="236">
        <v>5.6</v>
      </c>
      <c r="AC3191" s="127">
        <f t="shared" si="64"/>
        <v>6</v>
      </c>
    </row>
    <row r="3192" ht="14.5" customHeight="1" spans="11:29" x14ac:dyDescent="0.25">
      <c r="K3192" s="128"/>
      <c r="X3192" s="234">
        <v>2022</v>
      </c>
      <c r="Y3192" s="234">
        <v>5</v>
      </c>
      <c r="Z3192" s="234">
        <v>13</v>
      </c>
      <c r="AA3192" s="235">
        <v>0.9166666666678793</v>
      </c>
      <c r="AB3192" s="236">
        <v>5.5</v>
      </c>
      <c r="AC3192" s="127">
        <f t="shared" si="64"/>
        <v>6</v>
      </c>
    </row>
    <row r="3193" ht="14.5" customHeight="1" spans="11:29" x14ac:dyDescent="0.25">
      <c r="K3193" s="128"/>
      <c r="X3193" s="234">
        <v>2022</v>
      </c>
      <c r="Y3193" s="234">
        <v>5</v>
      </c>
      <c r="Z3193" s="234">
        <v>13</v>
      </c>
      <c r="AA3193" s="235">
        <v>0.9583333333321207</v>
      </c>
      <c r="AB3193" s="236">
        <v>6.8</v>
      </c>
      <c r="AC3193" s="127">
        <f t="shared" si="64"/>
        <v>7</v>
      </c>
    </row>
    <row r="3194" ht="14.5" customHeight="1" spans="11:29" x14ac:dyDescent="0.25">
      <c r="K3194" s="128"/>
      <c r="X3194" s="234">
        <v>2022</v>
      </c>
      <c r="Y3194" s="234">
        <v>5</v>
      </c>
      <c r="Z3194" s="234">
        <v>14</v>
      </c>
      <c r="AA3194" s="235">
        <v>0</v>
      </c>
      <c r="AB3194" s="236">
        <v>6.7</v>
      </c>
      <c r="AC3194" s="127">
        <f t="shared" si="64"/>
        <v>7</v>
      </c>
    </row>
    <row r="3195" ht="14.5" customHeight="1" spans="11:29" x14ac:dyDescent="0.25">
      <c r="K3195" s="128"/>
      <c r="X3195" s="234">
        <v>2022</v>
      </c>
      <c r="Y3195" s="234">
        <v>5</v>
      </c>
      <c r="Z3195" s="234">
        <v>14</v>
      </c>
      <c r="AA3195" s="235">
        <v>0.041666666667879326</v>
      </c>
      <c r="AB3195" s="236">
        <v>7.2</v>
      </c>
      <c r="AC3195" s="127">
        <f t="shared" si="64"/>
        <v>7</v>
      </c>
    </row>
    <row r="3196" ht="14.5" customHeight="1" spans="11:29" x14ac:dyDescent="0.25">
      <c r="K3196" s="128"/>
      <c r="X3196" s="234">
        <v>2022</v>
      </c>
      <c r="Y3196" s="234">
        <v>5</v>
      </c>
      <c r="Z3196" s="234">
        <v>14</v>
      </c>
      <c r="AA3196" s="235">
        <v>0.08333333333212067</v>
      </c>
      <c r="AB3196" s="236">
        <v>6.9</v>
      </c>
      <c r="AC3196" s="127">
        <f t="shared" si="64"/>
        <v>7</v>
      </c>
    </row>
    <row r="3197" ht="14.5" customHeight="1" spans="11:29" x14ac:dyDescent="0.25">
      <c r="K3197" s="128"/>
      <c r="X3197" s="234">
        <v>2022</v>
      </c>
      <c r="Y3197" s="234">
        <v>5</v>
      </c>
      <c r="Z3197" s="234">
        <v>14</v>
      </c>
      <c r="AA3197" s="235">
        <v>0.125</v>
      </c>
      <c r="AB3197" s="236">
        <v>6.2</v>
      </c>
      <c r="AC3197" s="127">
        <f t="shared" si="64"/>
        <v>6</v>
      </c>
    </row>
    <row r="3198" ht="14.5" customHeight="1" spans="11:29" x14ac:dyDescent="0.25">
      <c r="K3198" s="128"/>
      <c r="X3198" s="234">
        <v>2022</v>
      </c>
      <c r="Y3198" s="234">
        <v>5</v>
      </c>
      <c r="Z3198" s="234">
        <v>14</v>
      </c>
      <c r="AA3198" s="235">
        <v>0.16666666666787933</v>
      </c>
      <c r="AB3198" s="236">
        <v>5.4</v>
      </c>
      <c r="AC3198" s="127">
        <f t="shared" si="64"/>
        <v>5</v>
      </c>
    </row>
    <row r="3199" ht="14.5" customHeight="1" spans="11:29" x14ac:dyDescent="0.25">
      <c r="K3199" s="128"/>
      <c r="X3199" s="234">
        <v>2022</v>
      </c>
      <c r="Y3199" s="234">
        <v>5</v>
      </c>
      <c r="Z3199" s="234">
        <v>14</v>
      </c>
      <c r="AA3199" s="235">
        <v>0.20833333333212067</v>
      </c>
      <c r="AB3199" s="236">
        <v>4.8</v>
      </c>
      <c r="AC3199" s="127">
        <f t="shared" si="64"/>
        <v>5</v>
      </c>
    </row>
    <row r="3200" ht="14.5" customHeight="1" spans="11:29" x14ac:dyDescent="0.25">
      <c r="K3200" s="128"/>
      <c r="X3200" s="234">
        <v>2022</v>
      </c>
      <c r="Y3200" s="234">
        <v>5</v>
      </c>
      <c r="Z3200" s="234">
        <v>14</v>
      </c>
      <c r="AA3200" s="235">
        <v>0.25</v>
      </c>
      <c r="AB3200" s="236">
        <v>3.7</v>
      </c>
      <c r="AC3200" s="127">
        <f t="shared" si="64"/>
        <v>4</v>
      </c>
    </row>
    <row r="3201" ht="14.5" customHeight="1" spans="11:29" x14ac:dyDescent="0.25">
      <c r="K3201" s="128"/>
      <c r="X3201" s="234">
        <v>2022</v>
      </c>
      <c r="Y3201" s="234">
        <v>5</v>
      </c>
      <c r="Z3201" s="234">
        <v>14</v>
      </c>
      <c r="AA3201" s="235">
        <v>0.2916666666678793</v>
      </c>
      <c r="AB3201" s="236">
        <v>5.5</v>
      </c>
      <c r="AC3201" s="127">
        <f t="shared" si="64"/>
        <v>6</v>
      </c>
    </row>
    <row r="3202" ht="14.5" customHeight="1" spans="11:29" x14ac:dyDescent="0.25">
      <c r="K3202" s="128"/>
      <c r="X3202" s="234">
        <v>2022</v>
      </c>
      <c r="Y3202" s="234">
        <v>5</v>
      </c>
      <c r="Z3202" s="234">
        <v>14</v>
      </c>
      <c r="AA3202" s="235">
        <v>0.3333333333321207</v>
      </c>
      <c r="AB3202" s="236">
        <v>8</v>
      </c>
      <c r="AC3202" s="127">
        <f t="shared" si="64"/>
        <v>8</v>
      </c>
    </row>
    <row r="3203" ht="14.5" customHeight="1" spans="11:29" x14ac:dyDescent="0.25">
      <c r="K3203" s="128"/>
      <c r="X3203" s="234">
        <v>2022</v>
      </c>
      <c r="Y3203" s="234">
        <v>5</v>
      </c>
      <c r="Z3203" s="234">
        <v>14</v>
      </c>
      <c r="AA3203" s="235">
        <v>0.375</v>
      </c>
      <c r="AB3203" s="236">
        <v>9.4</v>
      </c>
      <c r="AC3203" s="127">
        <f t="shared" si="64"/>
        <v>9</v>
      </c>
    </row>
    <row r="3204" ht="14.5" customHeight="1" spans="11:29" x14ac:dyDescent="0.25">
      <c r="K3204" s="128"/>
      <c r="X3204" s="234">
        <v>2022</v>
      </c>
      <c r="Y3204" s="234">
        <v>5</v>
      </c>
      <c r="Z3204" s="234">
        <v>14</v>
      </c>
      <c r="AA3204" s="235">
        <v>0.4166666666678793</v>
      </c>
      <c r="AB3204" s="236">
        <v>9.2</v>
      </c>
      <c r="AC3204" s="127">
        <f t="shared" si="64"/>
        <v>9</v>
      </c>
    </row>
    <row r="3205" ht="14.5" customHeight="1" spans="11:29" x14ac:dyDescent="0.25">
      <c r="K3205" s="128"/>
      <c r="X3205" s="234">
        <v>2022</v>
      </c>
      <c r="Y3205" s="234">
        <v>5</v>
      </c>
      <c r="Z3205" s="234">
        <v>14</v>
      </c>
      <c r="AA3205" s="235">
        <v>0.4583333333321207</v>
      </c>
      <c r="AB3205" s="236">
        <v>10.2</v>
      </c>
      <c r="AC3205" s="127">
        <f t="shared" si="64"/>
        <v>10</v>
      </c>
    </row>
    <row r="3206" ht="14.5" customHeight="1" spans="11:29" x14ac:dyDescent="0.25">
      <c r="K3206" s="128"/>
      <c r="X3206" s="234">
        <v>2022</v>
      </c>
      <c r="Y3206" s="234">
        <v>5</v>
      </c>
      <c r="Z3206" s="234">
        <v>14</v>
      </c>
      <c r="AA3206" s="235">
        <v>0.5</v>
      </c>
      <c r="AB3206" s="236">
        <v>11.2</v>
      </c>
      <c r="AC3206" s="127">
        <f t="shared" si="64"/>
        <v>11</v>
      </c>
    </row>
    <row r="3207" ht="14.5" customHeight="1" spans="11:29" x14ac:dyDescent="0.25">
      <c r="K3207" s="128"/>
      <c r="X3207" s="234">
        <v>2022</v>
      </c>
      <c r="Y3207" s="234">
        <v>5</v>
      </c>
      <c r="Z3207" s="234">
        <v>14</v>
      </c>
      <c r="AA3207" s="235">
        <v>0.5416666666678793</v>
      </c>
      <c r="AB3207" s="236">
        <v>11.7</v>
      </c>
      <c r="AC3207" s="127">
        <f t="shared" si="64"/>
        <v>12</v>
      </c>
    </row>
    <row r="3208" ht="14.5" customHeight="1" spans="11:29" x14ac:dyDescent="0.25">
      <c r="K3208" s="128"/>
      <c r="X3208" s="234">
        <v>2022</v>
      </c>
      <c r="Y3208" s="234">
        <v>5</v>
      </c>
      <c r="Z3208" s="234">
        <v>14</v>
      </c>
      <c r="AA3208" s="235">
        <v>0.5833333333321207</v>
      </c>
      <c r="AB3208" s="236">
        <v>13.5</v>
      </c>
      <c r="AC3208" s="127">
        <f t="shared" si="64"/>
        <v>14</v>
      </c>
    </row>
    <row r="3209" ht="14.5" customHeight="1" spans="11:29" x14ac:dyDescent="0.25">
      <c r="K3209" s="128"/>
      <c r="X3209" s="234">
        <v>2022</v>
      </c>
      <c r="Y3209" s="234">
        <v>5</v>
      </c>
      <c r="Z3209" s="234">
        <v>14</v>
      </c>
      <c r="AA3209" s="235">
        <v>0.625</v>
      </c>
      <c r="AB3209" s="236">
        <v>14.1</v>
      </c>
      <c r="AC3209" s="127">
        <f t="shared" si="64"/>
        <v>14</v>
      </c>
    </row>
    <row r="3210" ht="14.5" customHeight="1" spans="11:29" x14ac:dyDescent="0.25">
      <c r="K3210" s="128"/>
      <c r="X3210" s="234">
        <v>2022</v>
      </c>
      <c r="Y3210" s="234">
        <v>5</v>
      </c>
      <c r="Z3210" s="234">
        <v>14</v>
      </c>
      <c r="AA3210" s="235">
        <v>0.6666666666678793</v>
      </c>
      <c r="AB3210" s="236">
        <v>15.6</v>
      </c>
      <c r="AC3210" s="127">
        <f t="shared" si="64"/>
        <v>16</v>
      </c>
    </row>
    <row r="3211" ht="14.5" customHeight="1" spans="11:29" x14ac:dyDescent="0.25">
      <c r="K3211" s="128"/>
      <c r="X3211" s="234">
        <v>2022</v>
      </c>
      <c r="Y3211" s="234">
        <v>5</v>
      </c>
      <c r="Z3211" s="234">
        <v>14</v>
      </c>
      <c r="AA3211" s="235">
        <v>0.7083333333321207</v>
      </c>
      <c r="AB3211" s="236">
        <v>15.4</v>
      </c>
      <c r="AC3211" s="127">
        <f t="shared" ref="AC3211:AC3274" si="65">ROUND(AB3211,0)</f>
        <v>15</v>
      </c>
    </row>
    <row r="3212" ht="14.5" customHeight="1" spans="11:29" x14ac:dyDescent="0.25">
      <c r="K3212" s="128"/>
      <c r="X3212" s="234">
        <v>2022</v>
      </c>
      <c r="Y3212" s="234">
        <v>5</v>
      </c>
      <c r="Z3212" s="234">
        <v>14</v>
      </c>
      <c r="AA3212" s="235">
        <v>0.75</v>
      </c>
      <c r="AB3212" s="236">
        <v>15.5</v>
      </c>
      <c r="AC3212" s="127">
        <f t="shared" si="65"/>
        <v>16</v>
      </c>
    </row>
    <row r="3213" ht="14.5" customHeight="1" spans="11:29" x14ac:dyDescent="0.25">
      <c r="K3213" s="128"/>
      <c r="X3213" s="234">
        <v>2022</v>
      </c>
      <c r="Y3213" s="234">
        <v>5</v>
      </c>
      <c r="Z3213" s="234">
        <v>14</v>
      </c>
      <c r="AA3213" s="235">
        <v>0.7916666666678793</v>
      </c>
      <c r="AB3213" s="236">
        <v>14.3</v>
      </c>
      <c r="AC3213" s="127">
        <f t="shared" si="65"/>
        <v>14</v>
      </c>
    </row>
    <row r="3214" ht="14.5" customHeight="1" spans="11:29" x14ac:dyDescent="0.25">
      <c r="K3214" s="128"/>
      <c r="X3214" s="234">
        <v>2022</v>
      </c>
      <c r="Y3214" s="234">
        <v>5</v>
      </c>
      <c r="Z3214" s="234">
        <v>14</v>
      </c>
      <c r="AA3214" s="235">
        <v>0.8333333333321207</v>
      </c>
      <c r="AB3214" s="236">
        <v>12.5</v>
      </c>
      <c r="AC3214" s="127">
        <f t="shared" si="65"/>
        <v>13</v>
      </c>
    </row>
    <row r="3215" ht="14.5" customHeight="1" spans="11:29" x14ac:dyDescent="0.25">
      <c r="K3215" s="128"/>
      <c r="X3215" s="234">
        <v>2022</v>
      </c>
      <c r="Y3215" s="234">
        <v>5</v>
      </c>
      <c r="Z3215" s="234">
        <v>14</v>
      </c>
      <c r="AA3215" s="235">
        <v>0.875</v>
      </c>
      <c r="AB3215" s="236">
        <v>10.9</v>
      </c>
      <c r="AC3215" s="127">
        <f t="shared" si="65"/>
        <v>11</v>
      </c>
    </row>
    <row r="3216" ht="14.5" customHeight="1" spans="11:29" x14ac:dyDescent="0.25">
      <c r="K3216" s="128"/>
      <c r="X3216" s="234">
        <v>2022</v>
      </c>
      <c r="Y3216" s="234">
        <v>5</v>
      </c>
      <c r="Z3216" s="234">
        <v>14</v>
      </c>
      <c r="AA3216" s="235">
        <v>0.9166666666678793</v>
      </c>
      <c r="AB3216" s="236">
        <v>9.7</v>
      </c>
      <c r="AC3216" s="127">
        <f t="shared" si="65"/>
        <v>10</v>
      </c>
    </row>
    <row r="3217" ht="14.5" customHeight="1" spans="11:29" x14ac:dyDescent="0.25">
      <c r="K3217" s="128"/>
      <c r="X3217" s="234">
        <v>2022</v>
      </c>
      <c r="Y3217" s="234">
        <v>5</v>
      </c>
      <c r="Z3217" s="234">
        <v>14</v>
      </c>
      <c r="AA3217" s="235">
        <v>0.9583333333321207</v>
      </c>
      <c r="AB3217" s="236">
        <v>9.3</v>
      </c>
      <c r="AC3217" s="127">
        <f t="shared" si="65"/>
        <v>9</v>
      </c>
    </row>
    <row r="3218" ht="14.5" customHeight="1" spans="11:29" x14ac:dyDescent="0.25">
      <c r="K3218" s="128"/>
      <c r="X3218" s="234">
        <v>2022</v>
      </c>
      <c r="Y3218" s="234">
        <v>5</v>
      </c>
      <c r="Z3218" s="234">
        <v>15</v>
      </c>
      <c r="AA3218" s="235">
        <v>0</v>
      </c>
      <c r="AB3218" s="236">
        <v>7.1</v>
      </c>
      <c r="AC3218" s="127">
        <f t="shared" si="65"/>
        <v>7</v>
      </c>
    </row>
    <row r="3219" ht="14.5" customHeight="1" spans="11:29" x14ac:dyDescent="0.25">
      <c r="K3219" s="128"/>
      <c r="X3219" s="234">
        <v>2022</v>
      </c>
      <c r="Y3219" s="234">
        <v>5</v>
      </c>
      <c r="Z3219" s="234">
        <v>15</v>
      </c>
      <c r="AA3219" s="235">
        <v>0.041666666667879326</v>
      </c>
      <c r="AB3219" s="236">
        <v>5.7</v>
      </c>
      <c r="AC3219" s="127">
        <f t="shared" si="65"/>
        <v>6</v>
      </c>
    </row>
    <row r="3220" ht="14.5" customHeight="1" spans="11:29" x14ac:dyDescent="0.25">
      <c r="K3220" s="128"/>
      <c r="X3220" s="234">
        <v>2022</v>
      </c>
      <c r="Y3220" s="234">
        <v>5</v>
      </c>
      <c r="Z3220" s="234">
        <v>15</v>
      </c>
      <c r="AA3220" s="235">
        <v>0.08333333333212067</v>
      </c>
      <c r="AB3220" s="236">
        <v>3.2</v>
      </c>
      <c r="AC3220" s="127">
        <f t="shared" si="65"/>
        <v>3</v>
      </c>
    </row>
    <row r="3221" ht="14.5" customHeight="1" spans="11:29" x14ac:dyDescent="0.25">
      <c r="K3221" s="128"/>
      <c r="X3221" s="234">
        <v>2022</v>
      </c>
      <c r="Y3221" s="234">
        <v>5</v>
      </c>
      <c r="Z3221" s="234">
        <v>15</v>
      </c>
      <c r="AA3221" s="235">
        <v>0.125</v>
      </c>
      <c r="AB3221" s="236">
        <v>0.6</v>
      </c>
      <c r="AC3221" s="127">
        <f t="shared" si="65"/>
        <v>1</v>
      </c>
    </row>
    <row r="3222" ht="14.5" customHeight="1" spans="11:29" x14ac:dyDescent="0.25">
      <c r="K3222" s="128"/>
      <c r="X3222" s="234">
        <v>2022</v>
      </c>
      <c r="Y3222" s="234">
        <v>5</v>
      </c>
      <c r="Z3222" s="234">
        <v>15</v>
      </c>
      <c r="AA3222" s="235">
        <v>0.16666666666787933</v>
      </c>
      <c r="AB3222" s="236">
        <v>3.2</v>
      </c>
      <c r="AC3222" s="127">
        <f t="shared" si="65"/>
        <v>3</v>
      </c>
    </row>
    <row r="3223" ht="14.5" customHeight="1" spans="11:29" x14ac:dyDescent="0.25">
      <c r="K3223" s="128"/>
      <c r="X3223" s="234">
        <v>2022</v>
      </c>
      <c r="Y3223" s="234">
        <v>5</v>
      </c>
      <c r="Z3223" s="234">
        <v>15</v>
      </c>
      <c r="AA3223" s="235">
        <v>0.20833333333212067</v>
      </c>
      <c r="AB3223" s="236">
        <v>2.2</v>
      </c>
      <c r="AC3223" s="127">
        <f t="shared" si="65"/>
        <v>2</v>
      </c>
    </row>
    <row r="3224" ht="14.5" customHeight="1" spans="11:29" x14ac:dyDescent="0.25">
      <c r="K3224" s="128"/>
      <c r="X3224" s="234">
        <v>2022</v>
      </c>
      <c r="Y3224" s="234">
        <v>5</v>
      </c>
      <c r="Z3224" s="234">
        <v>15</v>
      </c>
      <c r="AA3224" s="235">
        <v>0.25</v>
      </c>
      <c r="AB3224" s="236">
        <v>5.9</v>
      </c>
      <c r="AC3224" s="127">
        <f t="shared" si="65"/>
        <v>6</v>
      </c>
    </row>
    <row r="3225" ht="14.5" customHeight="1" spans="11:29" x14ac:dyDescent="0.25">
      <c r="K3225" s="128"/>
      <c r="X3225" s="234">
        <v>2022</v>
      </c>
      <c r="Y3225" s="234">
        <v>5</v>
      </c>
      <c r="Z3225" s="234">
        <v>15</v>
      </c>
      <c r="AA3225" s="235">
        <v>0.2916666666678793</v>
      </c>
      <c r="AB3225" s="236">
        <v>10</v>
      </c>
      <c r="AC3225" s="127">
        <f t="shared" si="65"/>
        <v>10</v>
      </c>
    </row>
    <row r="3226" ht="14.5" customHeight="1" spans="11:29" x14ac:dyDescent="0.25">
      <c r="K3226" s="128"/>
      <c r="X3226" s="234">
        <v>2022</v>
      </c>
      <c r="Y3226" s="234">
        <v>5</v>
      </c>
      <c r="Z3226" s="234">
        <v>15</v>
      </c>
      <c r="AA3226" s="235">
        <v>0.3333333333321207</v>
      </c>
      <c r="AB3226" s="236">
        <v>12</v>
      </c>
      <c r="AC3226" s="127">
        <f t="shared" si="65"/>
        <v>12</v>
      </c>
    </row>
    <row r="3227" ht="14.5" customHeight="1" spans="11:29" x14ac:dyDescent="0.25">
      <c r="K3227" s="128"/>
      <c r="X3227" s="234">
        <v>2022</v>
      </c>
      <c r="Y3227" s="234">
        <v>5</v>
      </c>
      <c r="Z3227" s="234">
        <v>15</v>
      </c>
      <c r="AA3227" s="235">
        <v>0.375</v>
      </c>
      <c r="AB3227" s="236">
        <v>13.2</v>
      </c>
      <c r="AC3227" s="127">
        <f t="shared" si="65"/>
        <v>13</v>
      </c>
    </row>
    <row r="3228" ht="14.5" customHeight="1" spans="11:29" x14ac:dyDescent="0.25">
      <c r="K3228" s="128"/>
      <c r="X3228" s="234">
        <v>2022</v>
      </c>
      <c r="Y3228" s="234">
        <v>5</v>
      </c>
      <c r="Z3228" s="234">
        <v>15</v>
      </c>
      <c r="AA3228" s="235">
        <v>0.4166666666678793</v>
      </c>
      <c r="AB3228" s="236">
        <v>14</v>
      </c>
      <c r="AC3228" s="127">
        <f t="shared" si="65"/>
        <v>14</v>
      </c>
    </row>
    <row r="3229" ht="14.5" customHeight="1" spans="11:29" x14ac:dyDescent="0.25">
      <c r="K3229" s="128"/>
      <c r="X3229" s="234">
        <v>2022</v>
      </c>
      <c r="Y3229" s="234">
        <v>5</v>
      </c>
      <c r="Z3229" s="234">
        <v>15</v>
      </c>
      <c r="AA3229" s="235">
        <v>0.4583333333321207</v>
      </c>
      <c r="AB3229" s="236">
        <v>15.1</v>
      </c>
      <c r="AC3229" s="127">
        <f t="shared" si="65"/>
        <v>15</v>
      </c>
    </row>
    <row r="3230" ht="14.5" customHeight="1" spans="11:29" x14ac:dyDescent="0.25">
      <c r="K3230" s="128"/>
      <c r="X3230" s="234">
        <v>2022</v>
      </c>
      <c r="Y3230" s="234">
        <v>5</v>
      </c>
      <c r="Z3230" s="234">
        <v>15</v>
      </c>
      <c r="AA3230" s="235">
        <v>0.5</v>
      </c>
      <c r="AB3230" s="236">
        <v>16.6</v>
      </c>
      <c r="AC3230" s="127">
        <f t="shared" si="65"/>
        <v>17</v>
      </c>
    </row>
    <row r="3231" ht="14.5" customHeight="1" spans="11:29" x14ac:dyDescent="0.25">
      <c r="K3231" s="128"/>
      <c r="X3231" s="234">
        <v>2022</v>
      </c>
      <c r="Y3231" s="234">
        <v>5</v>
      </c>
      <c r="Z3231" s="234">
        <v>15</v>
      </c>
      <c r="AA3231" s="235">
        <v>0.5416666666678793</v>
      </c>
      <c r="AB3231" s="236">
        <v>15.9</v>
      </c>
      <c r="AC3231" s="127">
        <f t="shared" si="65"/>
        <v>16</v>
      </c>
    </row>
    <row r="3232" ht="14.5" customHeight="1" spans="11:29" x14ac:dyDescent="0.25">
      <c r="K3232" s="128"/>
      <c r="X3232" s="234">
        <v>2022</v>
      </c>
      <c r="Y3232" s="234">
        <v>5</v>
      </c>
      <c r="Z3232" s="234">
        <v>15</v>
      </c>
      <c r="AA3232" s="235">
        <v>0.5833333333321207</v>
      </c>
      <c r="AB3232" s="236">
        <v>16.7</v>
      </c>
      <c r="AC3232" s="127">
        <f t="shared" si="65"/>
        <v>17</v>
      </c>
    </row>
    <row r="3233" ht="14.5" customHeight="1" spans="11:29" x14ac:dyDescent="0.25">
      <c r="K3233" s="128"/>
      <c r="X3233" s="234">
        <v>2022</v>
      </c>
      <c r="Y3233" s="234">
        <v>5</v>
      </c>
      <c r="Z3233" s="234">
        <v>15</v>
      </c>
      <c r="AA3233" s="235">
        <v>0.625</v>
      </c>
      <c r="AB3233" s="236">
        <v>17.3</v>
      </c>
      <c r="AC3233" s="127">
        <f t="shared" si="65"/>
        <v>17</v>
      </c>
    </row>
    <row r="3234" ht="14.5" customHeight="1" spans="11:29" x14ac:dyDescent="0.25">
      <c r="K3234" s="128"/>
      <c r="X3234" s="234">
        <v>2022</v>
      </c>
      <c r="Y3234" s="234">
        <v>5</v>
      </c>
      <c r="Z3234" s="234">
        <v>15</v>
      </c>
      <c r="AA3234" s="235">
        <v>0.6666666666678793</v>
      </c>
      <c r="AB3234" s="236">
        <v>17.3</v>
      </c>
      <c r="AC3234" s="127">
        <f t="shared" si="65"/>
        <v>17</v>
      </c>
    </row>
    <row r="3235" ht="14.5" customHeight="1" spans="11:29" x14ac:dyDescent="0.25">
      <c r="K3235" s="128"/>
      <c r="X3235" s="234">
        <v>2022</v>
      </c>
      <c r="Y3235" s="234">
        <v>5</v>
      </c>
      <c r="Z3235" s="234">
        <v>15</v>
      </c>
      <c r="AA3235" s="235">
        <v>0.7083333333321207</v>
      </c>
      <c r="AB3235" s="236">
        <v>17.4</v>
      </c>
      <c r="AC3235" s="127">
        <f t="shared" si="65"/>
        <v>17</v>
      </c>
    </row>
    <row r="3236" ht="14.5" customHeight="1" spans="11:29" x14ac:dyDescent="0.25">
      <c r="K3236" s="128"/>
      <c r="X3236" s="234">
        <v>2022</v>
      </c>
      <c r="Y3236" s="234">
        <v>5</v>
      </c>
      <c r="Z3236" s="234">
        <v>15</v>
      </c>
      <c r="AA3236" s="235">
        <v>0.75</v>
      </c>
      <c r="AB3236" s="236">
        <v>17.4</v>
      </c>
      <c r="AC3236" s="127">
        <f t="shared" si="65"/>
        <v>17</v>
      </c>
    </row>
    <row r="3237" ht="14.5" customHeight="1" spans="11:29" x14ac:dyDescent="0.25">
      <c r="K3237" s="128"/>
      <c r="X3237" s="234">
        <v>2022</v>
      </c>
      <c r="Y3237" s="234">
        <v>5</v>
      </c>
      <c r="Z3237" s="234">
        <v>15</v>
      </c>
      <c r="AA3237" s="235">
        <v>0.7916666666678793</v>
      </c>
      <c r="AB3237" s="236">
        <v>16.3</v>
      </c>
      <c r="AC3237" s="127">
        <f t="shared" si="65"/>
        <v>16</v>
      </c>
    </row>
    <row r="3238" ht="14.5" customHeight="1" spans="11:29" x14ac:dyDescent="0.25">
      <c r="K3238" s="128"/>
      <c r="X3238" s="234">
        <v>2022</v>
      </c>
      <c r="Y3238" s="234">
        <v>5</v>
      </c>
      <c r="Z3238" s="234">
        <v>15</v>
      </c>
      <c r="AA3238" s="235">
        <v>0.8333333333321207</v>
      </c>
      <c r="AB3238" s="236">
        <v>15</v>
      </c>
      <c r="AC3238" s="127">
        <f t="shared" si="65"/>
        <v>15</v>
      </c>
    </row>
    <row r="3239" ht="14.5" customHeight="1" spans="11:29" x14ac:dyDescent="0.25">
      <c r="K3239" s="128"/>
      <c r="X3239" s="234">
        <v>2022</v>
      </c>
      <c r="Y3239" s="234">
        <v>5</v>
      </c>
      <c r="Z3239" s="234">
        <v>15</v>
      </c>
      <c r="AA3239" s="235">
        <v>0.875</v>
      </c>
      <c r="AB3239" s="236">
        <v>15.7</v>
      </c>
      <c r="AC3239" s="127">
        <f t="shared" si="65"/>
        <v>16</v>
      </c>
    </row>
    <row r="3240" ht="14.5" customHeight="1" spans="11:29" x14ac:dyDescent="0.25">
      <c r="K3240" s="128"/>
      <c r="X3240" s="234">
        <v>2022</v>
      </c>
      <c r="Y3240" s="234">
        <v>5</v>
      </c>
      <c r="Z3240" s="234">
        <v>15</v>
      </c>
      <c r="AA3240" s="235">
        <v>0.9166666666678793</v>
      </c>
      <c r="AB3240" s="236">
        <v>14.9</v>
      </c>
      <c r="AC3240" s="127">
        <f t="shared" si="65"/>
        <v>15</v>
      </c>
    </row>
    <row r="3241" ht="14.5" customHeight="1" spans="11:29" x14ac:dyDescent="0.25">
      <c r="K3241" s="128"/>
      <c r="X3241" s="234">
        <v>2022</v>
      </c>
      <c r="Y3241" s="234">
        <v>5</v>
      </c>
      <c r="Z3241" s="234">
        <v>15</v>
      </c>
      <c r="AA3241" s="235">
        <v>0.9583333333321207</v>
      </c>
      <c r="AB3241" s="236">
        <v>12.6</v>
      </c>
      <c r="AC3241" s="127">
        <f t="shared" si="65"/>
        <v>13</v>
      </c>
    </row>
    <row r="3242" ht="14.5" customHeight="1" spans="11:29" x14ac:dyDescent="0.25">
      <c r="K3242" s="128"/>
      <c r="X3242" s="234">
        <v>2022</v>
      </c>
      <c r="Y3242" s="234">
        <v>5</v>
      </c>
      <c r="Z3242" s="234">
        <v>16</v>
      </c>
      <c r="AA3242" s="235">
        <v>0</v>
      </c>
      <c r="AB3242" s="236">
        <v>10.7</v>
      </c>
      <c r="AC3242" s="127">
        <f t="shared" si="65"/>
        <v>11</v>
      </c>
    </row>
    <row r="3243" ht="14.5" customHeight="1" spans="11:29" x14ac:dyDescent="0.25">
      <c r="K3243" s="128"/>
      <c r="X3243" s="234">
        <v>2022</v>
      </c>
      <c r="Y3243" s="234">
        <v>5</v>
      </c>
      <c r="Z3243" s="234">
        <v>16</v>
      </c>
      <c r="AA3243" s="235">
        <v>0.041666666667879326</v>
      </c>
      <c r="AB3243" s="236">
        <v>11</v>
      </c>
      <c r="AC3243" s="127">
        <f t="shared" si="65"/>
        <v>11</v>
      </c>
    </row>
    <row r="3244" ht="14.5" customHeight="1" spans="11:29" x14ac:dyDescent="0.25">
      <c r="K3244" s="128"/>
      <c r="X3244" s="234">
        <v>2022</v>
      </c>
      <c r="Y3244" s="234">
        <v>5</v>
      </c>
      <c r="Z3244" s="234">
        <v>16</v>
      </c>
      <c r="AA3244" s="235">
        <v>0.08333333333212067</v>
      </c>
      <c r="AB3244" s="236">
        <v>9.4</v>
      </c>
      <c r="AC3244" s="127">
        <f t="shared" si="65"/>
        <v>9</v>
      </c>
    </row>
    <row r="3245" ht="14.5" customHeight="1" spans="11:29" x14ac:dyDescent="0.25">
      <c r="K3245" s="128"/>
      <c r="X3245" s="234">
        <v>2022</v>
      </c>
      <c r="Y3245" s="234">
        <v>5</v>
      </c>
      <c r="Z3245" s="234">
        <v>16</v>
      </c>
      <c r="AA3245" s="235">
        <v>0.125</v>
      </c>
      <c r="AB3245" s="236">
        <v>8.5</v>
      </c>
      <c r="AC3245" s="127">
        <f t="shared" si="65"/>
        <v>9</v>
      </c>
    </row>
    <row r="3246" ht="14.5" customHeight="1" spans="11:29" x14ac:dyDescent="0.25">
      <c r="K3246" s="128"/>
      <c r="X3246" s="234">
        <v>2022</v>
      </c>
      <c r="Y3246" s="234">
        <v>5</v>
      </c>
      <c r="Z3246" s="234">
        <v>16</v>
      </c>
      <c r="AA3246" s="235">
        <v>0.16666666666787933</v>
      </c>
      <c r="AB3246" s="236">
        <v>8.7</v>
      </c>
      <c r="AC3246" s="127">
        <f t="shared" si="65"/>
        <v>9</v>
      </c>
    </row>
    <row r="3247" ht="14.5" customHeight="1" spans="11:29" x14ac:dyDescent="0.25">
      <c r="K3247" s="128"/>
      <c r="X3247" s="234">
        <v>2022</v>
      </c>
      <c r="Y3247" s="234">
        <v>5</v>
      </c>
      <c r="Z3247" s="234">
        <v>16</v>
      </c>
      <c r="AA3247" s="235">
        <v>0.20833333333212067</v>
      </c>
      <c r="AB3247" s="236">
        <v>7.6</v>
      </c>
      <c r="AC3247" s="127">
        <f t="shared" si="65"/>
        <v>8</v>
      </c>
    </row>
    <row r="3248" ht="14.5" customHeight="1" spans="11:29" x14ac:dyDescent="0.25">
      <c r="K3248" s="128"/>
      <c r="X3248" s="234">
        <v>2022</v>
      </c>
      <c r="Y3248" s="234">
        <v>5</v>
      </c>
      <c r="Z3248" s="234">
        <v>16</v>
      </c>
      <c r="AA3248" s="235">
        <v>0.25</v>
      </c>
      <c r="AB3248" s="236">
        <v>10.1</v>
      </c>
      <c r="AC3248" s="127">
        <f t="shared" si="65"/>
        <v>10</v>
      </c>
    </row>
    <row r="3249" ht="14.5" customHeight="1" spans="11:29" x14ac:dyDescent="0.25">
      <c r="K3249" s="128"/>
      <c r="X3249" s="234">
        <v>2022</v>
      </c>
      <c r="Y3249" s="234">
        <v>5</v>
      </c>
      <c r="Z3249" s="234">
        <v>16</v>
      </c>
      <c r="AA3249" s="235">
        <v>0.2916666666678793</v>
      </c>
      <c r="AB3249" s="236">
        <v>12.9</v>
      </c>
      <c r="AC3249" s="127">
        <f t="shared" si="65"/>
        <v>13</v>
      </c>
    </row>
    <row r="3250" ht="14.5" customHeight="1" spans="11:29" x14ac:dyDescent="0.25">
      <c r="K3250" s="128"/>
      <c r="X3250" s="234">
        <v>2022</v>
      </c>
      <c r="Y3250" s="234">
        <v>5</v>
      </c>
      <c r="Z3250" s="234">
        <v>16</v>
      </c>
      <c r="AA3250" s="235">
        <v>0.3333333333321207</v>
      </c>
      <c r="AB3250" s="236">
        <v>14.9</v>
      </c>
      <c r="AC3250" s="127">
        <f t="shared" si="65"/>
        <v>15</v>
      </c>
    </row>
    <row r="3251" ht="14.5" customHeight="1" spans="11:29" x14ac:dyDescent="0.25">
      <c r="K3251" s="128"/>
      <c r="X3251" s="234">
        <v>2022</v>
      </c>
      <c r="Y3251" s="234">
        <v>5</v>
      </c>
      <c r="Z3251" s="234">
        <v>16</v>
      </c>
      <c r="AA3251" s="235">
        <v>0.375</v>
      </c>
      <c r="AB3251" s="236">
        <v>16.4</v>
      </c>
      <c r="AC3251" s="127">
        <f t="shared" si="65"/>
        <v>16</v>
      </c>
    </row>
    <row r="3252" ht="14.5" customHeight="1" spans="11:29" x14ac:dyDescent="0.25">
      <c r="K3252" s="128"/>
      <c r="X3252" s="234">
        <v>2022</v>
      </c>
      <c r="Y3252" s="234">
        <v>5</v>
      </c>
      <c r="Z3252" s="234">
        <v>16</v>
      </c>
      <c r="AA3252" s="235">
        <v>0.4166666666678793</v>
      </c>
      <c r="AB3252" s="236">
        <v>17.8</v>
      </c>
      <c r="AC3252" s="127">
        <f t="shared" si="65"/>
        <v>18</v>
      </c>
    </row>
    <row r="3253" ht="14.5" customHeight="1" spans="11:29" x14ac:dyDescent="0.25">
      <c r="K3253" s="128"/>
      <c r="X3253" s="234">
        <v>2022</v>
      </c>
      <c r="Y3253" s="234">
        <v>5</v>
      </c>
      <c r="Z3253" s="234">
        <v>16</v>
      </c>
      <c r="AA3253" s="235">
        <v>0.4583333333321207</v>
      </c>
      <c r="AB3253" s="236">
        <v>17.9</v>
      </c>
      <c r="AC3253" s="127">
        <f t="shared" si="65"/>
        <v>18</v>
      </c>
    </row>
    <row r="3254" ht="14.5" customHeight="1" spans="11:29" x14ac:dyDescent="0.25">
      <c r="K3254" s="128"/>
      <c r="X3254" s="234">
        <v>2022</v>
      </c>
      <c r="Y3254" s="234">
        <v>5</v>
      </c>
      <c r="Z3254" s="234">
        <v>16</v>
      </c>
      <c r="AA3254" s="235">
        <v>0.5</v>
      </c>
      <c r="AB3254" s="236">
        <v>18.8</v>
      </c>
      <c r="AC3254" s="127">
        <f t="shared" si="65"/>
        <v>19</v>
      </c>
    </row>
    <row r="3255" ht="14.5" customHeight="1" spans="11:29" x14ac:dyDescent="0.25">
      <c r="K3255" s="128"/>
      <c r="X3255" s="234">
        <v>2022</v>
      </c>
      <c r="Y3255" s="234">
        <v>5</v>
      </c>
      <c r="Z3255" s="234">
        <v>16</v>
      </c>
      <c r="AA3255" s="235">
        <v>0.5416666666678793</v>
      </c>
      <c r="AB3255" s="236">
        <v>19.4</v>
      </c>
      <c r="AC3255" s="127">
        <f t="shared" si="65"/>
        <v>19</v>
      </c>
    </row>
    <row r="3256" ht="14.5" customHeight="1" spans="11:29" x14ac:dyDescent="0.25">
      <c r="K3256" s="128"/>
      <c r="X3256" s="234">
        <v>2022</v>
      </c>
      <c r="Y3256" s="234">
        <v>5</v>
      </c>
      <c r="Z3256" s="234">
        <v>16</v>
      </c>
      <c r="AA3256" s="235">
        <v>0.5833333333321207</v>
      </c>
      <c r="AB3256" s="236">
        <v>20.2</v>
      </c>
      <c r="AC3256" s="127">
        <f t="shared" si="65"/>
        <v>20</v>
      </c>
    </row>
    <row r="3257" ht="14.5" customHeight="1" spans="11:29" x14ac:dyDescent="0.25">
      <c r="K3257" s="128"/>
      <c r="X3257" s="234">
        <v>2022</v>
      </c>
      <c r="Y3257" s="234">
        <v>5</v>
      </c>
      <c r="Z3257" s="234">
        <v>16</v>
      </c>
      <c r="AA3257" s="235">
        <v>0.625</v>
      </c>
      <c r="AB3257" s="236">
        <v>19.7</v>
      </c>
      <c r="AC3257" s="127">
        <f t="shared" si="65"/>
        <v>20</v>
      </c>
    </row>
    <row r="3258" ht="14.5" customHeight="1" spans="11:29" x14ac:dyDescent="0.25">
      <c r="K3258" s="128"/>
      <c r="X3258" s="234">
        <v>2022</v>
      </c>
      <c r="Y3258" s="234">
        <v>5</v>
      </c>
      <c r="Z3258" s="234">
        <v>16</v>
      </c>
      <c r="AA3258" s="235">
        <v>0.6666666666678793</v>
      </c>
      <c r="AB3258" s="236">
        <v>19.7</v>
      </c>
      <c r="AC3258" s="127">
        <f t="shared" si="65"/>
        <v>20</v>
      </c>
    </row>
    <row r="3259" ht="14.5" customHeight="1" spans="11:29" x14ac:dyDescent="0.25">
      <c r="K3259" s="128"/>
      <c r="X3259" s="234">
        <v>2022</v>
      </c>
      <c r="Y3259" s="234">
        <v>5</v>
      </c>
      <c r="Z3259" s="234">
        <v>16</v>
      </c>
      <c r="AA3259" s="235">
        <v>0.7083333333321207</v>
      </c>
      <c r="AB3259" s="236">
        <v>20.5</v>
      </c>
      <c r="AC3259" s="127">
        <f t="shared" si="65"/>
        <v>21</v>
      </c>
    </row>
    <row r="3260" ht="14.5" customHeight="1" spans="11:29" x14ac:dyDescent="0.25">
      <c r="K3260" s="128"/>
      <c r="X3260" s="234">
        <v>2022</v>
      </c>
      <c r="Y3260" s="234">
        <v>5</v>
      </c>
      <c r="Z3260" s="234">
        <v>16</v>
      </c>
      <c r="AA3260" s="235">
        <v>0.75</v>
      </c>
      <c r="AB3260" s="236">
        <v>19.4</v>
      </c>
      <c r="AC3260" s="127">
        <f t="shared" si="65"/>
        <v>19</v>
      </c>
    </row>
    <row r="3261" ht="14.5" customHeight="1" spans="11:29" x14ac:dyDescent="0.25">
      <c r="K3261" s="128"/>
      <c r="X3261" s="234">
        <v>2022</v>
      </c>
      <c r="Y3261" s="234">
        <v>5</v>
      </c>
      <c r="Z3261" s="234">
        <v>16</v>
      </c>
      <c r="AA3261" s="235">
        <v>0.7916666666678793</v>
      </c>
      <c r="AB3261" s="236">
        <v>18</v>
      </c>
      <c r="AC3261" s="127">
        <f t="shared" si="65"/>
        <v>18</v>
      </c>
    </row>
    <row r="3262" ht="14.5" customHeight="1" spans="11:29" x14ac:dyDescent="0.25">
      <c r="K3262" s="128"/>
      <c r="X3262" s="234">
        <v>2022</v>
      </c>
      <c r="Y3262" s="234">
        <v>5</v>
      </c>
      <c r="Z3262" s="234">
        <v>16</v>
      </c>
      <c r="AA3262" s="235">
        <v>0.8333333333321207</v>
      </c>
      <c r="AB3262" s="236">
        <v>16.2</v>
      </c>
      <c r="AC3262" s="127">
        <f t="shared" si="65"/>
        <v>16</v>
      </c>
    </row>
    <row r="3263" ht="14.5" customHeight="1" spans="11:29" x14ac:dyDescent="0.25">
      <c r="K3263" s="128"/>
      <c r="X3263" s="234">
        <v>2022</v>
      </c>
      <c r="Y3263" s="234">
        <v>5</v>
      </c>
      <c r="Z3263" s="234">
        <v>16</v>
      </c>
      <c r="AA3263" s="235">
        <v>0.875</v>
      </c>
      <c r="AB3263" s="236">
        <v>14.2</v>
      </c>
      <c r="AC3263" s="127">
        <f t="shared" si="65"/>
        <v>14</v>
      </c>
    </row>
    <row r="3264" ht="14.5" customHeight="1" spans="11:29" x14ac:dyDescent="0.25">
      <c r="K3264" s="128"/>
      <c r="X3264" s="234">
        <v>2022</v>
      </c>
      <c r="Y3264" s="234">
        <v>5</v>
      </c>
      <c r="Z3264" s="234">
        <v>16</v>
      </c>
      <c r="AA3264" s="235">
        <v>0.9166666666678793</v>
      </c>
      <c r="AB3264" s="236">
        <v>12.5</v>
      </c>
      <c r="AC3264" s="127">
        <f t="shared" si="65"/>
        <v>13</v>
      </c>
    </row>
    <row r="3265" ht="14.5" customHeight="1" spans="11:29" x14ac:dyDescent="0.25">
      <c r="K3265" s="128"/>
      <c r="X3265" s="234">
        <v>2022</v>
      </c>
      <c r="Y3265" s="234">
        <v>5</v>
      </c>
      <c r="Z3265" s="234">
        <v>16</v>
      </c>
      <c r="AA3265" s="235">
        <v>0.9583333333321207</v>
      </c>
      <c r="AB3265" s="236">
        <v>12</v>
      </c>
      <c r="AC3265" s="127">
        <f t="shared" si="65"/>
        <v>12</v>
      </c>
    </row>
    <row r="3266" ht="14.5" customHeight="1" spans="11:29" x14ac:dyDescent="0.25">
      <c r="K3266" s="128"/>
      <c r="X3266" s="234">
        <v>2022</v>
      </c>
      <c r="Y3266" s="234">
        <v>5</v>
      </c>
      <c r="Z3266" s="234">
        <v>17</v>
      </c>
      <c r="AA3266" s="235">
        <v>0</v>
      </c>
      <c r="AB3266" s="236">
        <v>10.7</v>
      </c>
      <c r="AC3266" s="127">
        <f t="shared" si="65"/>
        <v>11</v>
      </c>
    </row>
    <row r="3267" ht="14.5" customHeight="1" spans="11:29" x14ac:dyDescent="0.25">
      <c r="K3267" s="128"/>
      <c r="X3267" s="234">
        <v>2022</v>
      </c>
      <c r="Y3267" s="234">
        <v>5</v>
      </c>
      <c r="Z3267" s="234">
        <v>17</v>
      </c>
      <c r="AA3267" s="235">
        <v>0.041666666667879326</v>
      </c>
      <c r="AB3267" s="236">
        <v>11</v>
      </c>
      <c r="AC3267" s="127">
        <f t="shared" si="65"/>
        <v>11</v>
      </c>
    </row>
    <row r="3268" ht="14.5" customHeight="1" spans="11:29" x14ac:dyDescent="0.25">
      <c r="K3268" s="128"/>
      <c r="X3268" s="234">
        <v>2022</v>
      </c>
      <c r="Y3268" s="234">
        <v>5</v>
      </c>
      <c r="Z3268" s="234">
        <v>17</v>
      </c>
      <c r="AA3268" s="235">
        <v>0.08333333333212067</v>
      </c>
      <c r="AB3268" s="236">
        <v>11.6</v>
      </c>
      <c r="AC3268" s="127">
        <f t="shared" si="65"/>
        <v>12</v>
      </c>
    </row>
    <row r="3269" ht="14.5" customHeight="1" spans="11:29" x14ac:dyDescent="0.25">
      <c r="K3269" s="128"/>
      <c r="X3269" s="234">
        <v>2022</v>
      </c>
      <c r="Y3269" s="234">
        <v>5</v>
      </c>
      <c r="Z3269" s="234">
        <v>17</v>
      </c>
      <c r="AA3269" s="235">
        <v>0.125</v>
      </c>
      <c r="AB3269" s="236">
        <v>10.1</v>
      </c>
      <c r="AC3269" s="127">
        <f t="shared" si="65"/>
        <v>10</v>
      </c>
    </row>
    <row r="3270" ht="14.5" customHeight="1" spans="11:29" x14ac:dyDescent="0.25">
      <c r="K3270" s="128"/>
      <c r="X3270" s="234">
        <v>2022</v>
      </c>
      <c r="Y3270" s="234">
        <v>5</v>
      </c>
      <c r="Z3270" s="234">
        <v>17</v>
      </c>
      <c r="AA3270" s="235">
        <v>0.16666666666787933</v>
      </c>
      <c r="AB3270" s="236">
        <v>8.2</v>
      </c>
      <c r="AC3270" s="127">
        <f t="shared" si="65"/>
        <v>8</v>
      </c>
    </row>
    <row r="3271" ht="14.5" customHeight="1" spans="11:29" x14ac:dyDescent="0.25">
      <c r="K3271" s="128"/>
      <c r="X3271" s="234">
        <v>2022</v>
      </c>
      <c r="Y3271" s="234">
        <v>5</v>
      </c>
      <c r="Z3271" s="234">
        <v>17</v>
      </c>
      <c r="AA3271" s="235">
        <v>0.20833333333212067</v>
      </c>
      <c r="AB3271" s="236">
        <v>7</v>
      </c>
      <c r="AC3271" s="127">
        <f t="shared" si="65"/>
        <v>7</v>
      </c>
    </row>
    <row r="3272" ht="14.5" customHeight="1" spans="11:29" x14ac:dyDescent="0.25">
      <c r="K3272" s="128"/>
      <c r="X3272" s="234">
        <v>2022</v>
      </c>
      <c r="Y3272" s="234">
        <v>5</v>
      </c>
      <c r="Z3272" s="234">
        <v>17</v>
      </c>
      <c r="AA3272" s="235">
        <v>0.25</v>
      </c>
      <c r="AB3272" s="236">
        <v>7.4</v>
      </c>
      <c r="AC3272" s="127">
        <f t="shared" si="65"/>
        <v>7</v>
      </c>
    </row>
    <row r="3273" ht="14.5" customHeight="1" spans="11:29" x14ac:dyDescent="0.25">
      <c r="K3273" s="128"/>
      <c r="X3273" s="234">
        <v>2022</v>
      </c>
      <c r="Y3273" s="234">
        <v>5</v>
      </c>
      <c r="Z3273" s="234">
        <v>17</v>
      </c>
      <c r="AA3273" s="235">
        <v>0.2916666666678793</v>
      </c>
      <c r="AB3273" s="236">
        <v>8.9</v>
      </c>
      <c r="AC3273" s="127">
        <f t="shared" si="65"/>
        <v>9</v>
      </c>
    </row>
    <row r="3274" ht="14.5" customHeight="1" spans="11:29" x14ac:dyDescent="0.25">
      <c r="K3274" s="128"/>
      <c r="X3274" s="234">
        <v>2022</v>
      </c>
      <c r="Y3274" s="234">
        <v>5</v>
      </c>
      <c r="Z3274" s="234">
        <v>17</v>
      </c>
      <c r="AA3274" s="235">
        <v>0.3333333333321207</v>
      </c>
      <c r="AB3274" s="236">
        <v>9.7</v>
      </c>
      <c r="AC3274" s="127">
        <f t="shared" si="65"/>
        <v>10</v>
      </c>
    </row>
    <row r="3275" ht="14.5" customHeight="1" spans="11:29" x14ac:dyDescent="0.25">
      <c r="K3275" s="128"/>
      <c r="X3275" s="234">
        <v>2022</v>
      </c>
      <c r="Y3275" s="234">
        <v>5</v>
      </c>
      <c r="Z3275" s="234">
        <v>17</v>
      </c>
      <c r="AA3275" s="235">
        <v>0.375</v>
      </c>
      <c r="AB3275" s="236">
        <v>10.5</v>
      </c>
      <c r="AC3275" s="127">
        <f t="shared" ref="AC3275:AC3338" si="66">ROUND(AB3275,0)</f>
        <v>11</v>
      </c>
    </row>
    <row r="3276" ht="14.5" customHeight="1" spans="11:29" x14ac:dyDescent="0.25">
      <c r="K3276" s="128"/>
      <c r="X3276" s="234">
        <v>2022</v>
      </c>
      <c r="Y3276" s="234">
        <v>5</v>
      </c>
      <c r="Z3276" s="234">
        <v>17</v>
      </c>
      <c r="AA3276" s="235">
        <v>0.4166666666678793</v>
      </c>
      <c r="AB3276" s="236">
        <v>11.2</v>
      </c>
      <c r="AC3276" s="127">
        <f t="shared" si="66"/>
        <v>11</v>
      </c>
    </row>
    <row r="3277" ht="14.5" customHeight="1" spans="11:29" x14ac:dyDescent="0.25">
      <c r="K3277" s="128"/>
      <c r="X3277" s="234">
        <v>2022</v>
      </c>
      <c r="Y3277" s="234">
        <v>5</v>
      </c>
      <c r="Z3277" s="234">
        <v>17</v>
      </c>
      <c r="AA3277" s="235">
        <v>0.4583333333321207</v>
      </c>
      <c r="AB3277" s="236">
        <v>10.8</v>
      </c>
      <c r="AC3277" s="127">
        <f t="shared" si="66"/>
        <v>11</v>
      </c>
    </row>
    <row r="3278" ht="14.5" customHeight="1" spans="11:29" x14ac:dyDescent="0.25">
      <c r="K3278" s="128"/>
      <c r="X3278" s="234">
        <v>2022</v>
      </c>
      <c r="Y3278" s="234">
        <v>5</v>
      </c>
      <c r="Z3278" s="234">
        <v>17</v>
      </c>
      <c r="AA3278" s="235">
        <v>0.5</v>
      </c>
      <c r="AB3278" s="236">
        <v>11.1</v>
      </c>
      <c r="AC3278" s="127">
        <f t="shared" si="66"/>
        <v>11</v>
      </c>
    </row>
    <row r="3279" ht="14.5" customHeight="1" spans="11:29" x14ac:dyDescent="0.25">
      <c r="K3279" s="128"/>
      <c r="X3279" s="234">
        <v>2022</v>
      </c>
      <c r="Y3279" s="234">
        <v>5</v>
      </c>
      <c r="Z3279" s="234">
        <v>17</v>
      </c>
      <c r="AA3279" s="235">
        <v>0.5416666666678793</v>
      </c>
      <c r="AB3279" s="236">
        <v>11.8</v>
      </c>
      <c r="AC3279" s="127">
        <f t="shared" si="66"/>
        <v>12</v>
      </c>
    </row>
    <row r="3280" ht="14.5" customHeight="1" spans="11:29" x14ac:dyDescent="0.25">
      <c r="K3280" s="128"/>
      <c r="X3280" s="234">
        <v>2022</v>
      </c>
      <c r="Y3280" s="234">
        <v>5</v>
      </c>
      <c r="Z3280" s="234">
        <v>17</v>
      </c>
      <c r="AA3280" s="235">
        <v>0.5833333333321207</v>
      </c>
      <c r="AB3280" s="236">
        <v>7.8</v>
      </c>
      <c r="AC3280" s="127">
        <f t="shared" si="66"/>
        <v>8</v>
      </c>
    </row>
    <row r="3281" ht="14.5" customHeight="1" spans="11:29" x14ac:dyDescent="0.25">
      <c r="K3281" s="128"/>
      <c r="X3281" s="234">
        <v>2022</v>
      </c>
      <c r="Y3281" s="234">
        <v>5</v>
      </c>
      <c r="Z3281" s="234">
        <v>17</v>
      </c>
      <c r="AA3281" s="235">
        <v>0.625</v>
      </c>
      <c r="AB3281" s="236">
        <v>8.2</v>
      </c>
      <c r="AC3281" s="127">
        <f t="shared" si="66"/>
        <v>8</v>
      </c>
    </row>
    <row r="3282" ht="14.5" customHeight="1" spans="11:29" x14ac:dyDescent="0.25">
      <c r="K3282" s="128"/>
      <c r="X3282" s="234">
        <v>2022</v>
      </c>
      <c r="Y3282" s="234">
        <v>5</v>
      </c>
      <c r="Z3282" s="234">
        <v>17</v>
      </c>
      <c r="AA3282" s="235">
        <v>0.6666666666678793</v>
      </c>
      <c r="AB3282" s="236">
        <v>8</v>
      </c>
      <c r="AC3282" s="127">
        <f t="shared" si="66"/>
        <v>8</v>
      </c>
    </row>
    <row r="3283" ht="14.5" customHeight="1" spans="11:29" x14ac:dyDescent="0.25">
      <c r="K3283" s="128"/>
      <c r="X3283" s="234">
        <v>2022</v>
      </c>
      <c r="Y3283" s="234">
        <v>5</v>
      </c>
      <c r="Z3283" s="234">
        <v>17</v>
      </c>
      <c r="AA3283" s="235">
        <v>0.7083333333321207</v>
      </c>
      <c r="AB3283" s="236">
        <v>9</v>
      </c>
      <c r="AC3283" s="127">
        <f t="shared" si="66"/>
        <v>9</v>
      </c>
    </row>
    <row r="3284" ht="14.5" customHeight="1" spans="11:29" x14ac:dyDescent="0.25">
      <c r="K3284" s="128"/>
      <c r="X3284" s="234">
        <v>2022</v>
      </c>
      <c r="Y3284" s="234">
        <v>5</v>
      </c>
      <c r="Z3284" s="234">
        <v>17</v>
      </c>
      <c r="AA3284" s="235">
        <v>0.75</v>
      </c>
      <c r="AB3284" s="236">
        <v>8.6</v>
      </c>
      <c r="AC3284" s="127">
        <f t="shared" si="66"/>
        <v>9</v>
      </c>
    </row>
    <row r="3285" ht="14.5" customHeight="1" spans="11:29" x14ac:dyDescent="0.25">
      <c r="K3285" s="128"/>
      <c r="X3285" s="234">
        <v>2022</v>
      </c>
      <c r="Y3285" s="234">
        <v>5</v>
      </c>
      <c r="Z3285" s="234">
        <v>17</v>
      </c>
      <c r="AA3285" s="235">
        <v>0.7916666666678793</v>
      </c>
      <c r="AB3285" s="236">
        <v>8.8</v>
      </c>
      <c r="AC3285" s="127">
        <f t="shared" si="66"/>
        <v>9</v>
      </c>
    </row>
    <row r="3286" ht="14.5" customHeight="1" spans="11:29" x14ac:dyDescent="0.25">
      <c r="K3286" s="128"/>
      <c r="X3286" s="234">
        <v>2022</v>
      </c>
      <c r="Y3286" s="234">
        <v>5</v>
      </c>
      <c r="Z3286" s="234">
        <v>17</v>
      </c>
      <c r="AA3286" s="235">
        <v>0.8333333333321207</v>
      </c>
      <c r="AB3286" s="236">
        <v>7.3</v>
      </c>
      <c r="AC3286" s="127">
        <f t="shared" si="66"/>
        <v>7</v>
      </c>
    </row>
    <row r="3287" ht="14.5" customHeight="1" spans="11:29" x14ac:dyDescent="0.25">
      <c r="K3287" s="128"/>
      <c r="X3287" s="234">
        <v>2022</v>
      </c>
      <c r="Y3287" s="234">
        <v>5</v>
      </c>
      <c r="Z3287" s="234">
        <v>17</v>
      </c>
      <c r="AA3287" s="235">
        <v>0.875</v>
      </c>
      <c r="AB3287" s="236">
        <v>5.2</v>
      </c>
      <c r="AC3287" s="127">
        <f t="shared" si="66"/>
        <v>5</v>
      </c>
    </row>
    <row r="3288" ht="14.5" customHeight="1" spans="11:29" x14ac:dyDescent="0.25">
      <c r="K3288" s="128"/>
      <c r="X3288" s="234">
        <v>2022</v>
      </c>
      <c r="Y3288" s="234">
        <v>5</v>
      </c>
      <c r="Z3288" s="234">
        <v>17</v>
      </c>
      <c r="AA3288" s="235">
        <v>0.9166666666678793</v>
      </c>
      <c r="AB3288" s="236">
        <v>5.4</v>
      </c>
      <c r="AC3288" s="127">
        <f t="shared" si="66"/>
        <v>5</v>
      </c>
    </row>
    <row r="3289" ht="14.5" customHeight="1" spans="11:29" x14ac:dyDescent="0.25">
      <c r="K3289" s="128"/>
      <c r="X3289" s="234">
        <v>2022</v>
      </c>
      <c r="Y3289" s="234">
        <v>5</v>
      </c>
      <c r="Z3289" s="234">
        <v>17</v>
      </c>
      <c r="AA3289" s="235">
        <v>0.9583333333321207</v>
      </c>
      <c r="AB3289" s="236">
        <v>4.7</v>
      </c>
      <c r="AC3289" s="127">
        <f t="shared" si="66"/>
        <v>5</v>
      </c>
    </row>
    <row r="3290" ht="14.5" customHeight="1" spans="11:29" x14ac:dyDescent="0.25">
      <c r="K3290" s="128"/>
      <c r="X3290" s="234">
        <v>2022</v>
      </c>
      <c r="Y3290" s="234">
        <v>5</v>
      </c>
      <c r="Z3290" s="234">
        <v>18</v>
      </c>
      <c r="AA3290" s="235">
        <v>0</v>
      </c>
      <c r="AB3290" s="236">
        <v>3.4</v>
      </c>
      <c r="AC3290" s="127">
        <f t="shared" si="66"/>
        <v>3</v>
      </c>
    </row>
    <row r="3291" ht="14.5" customHeight="1" spans="11:29" x14ac:dyDescent="0.25">
      <c r="K3291" s="128"/>
      <c r="X3291" s="234">
        <v>2022</v>
      </c>
      <c r="Y3291" s="234">
        <v>5</v>
      </c>
      <c r="Z3291" s="234">
        <v>18</v>
      </c>
      <c r="AA3291" s="235">
        <v>0.041666666667879326</v>
      </c>
      <c r="AB3291" s="236">
        <v>2.5</v>
      </c>
      <c r="AC3291" s="127">
        <f t="shared" si="66"/>
        <v>3</v>
      </c>
    </row>
    <row r="3292" ht="14.5" customHeight="1" spans="11:29" x14ac:dyDescent="0.25">
      <c r="K3292" s="128"/>
      <c r="X3292" s="234">
        <v>2022</v>
      </c>
      <c r="Y3292" s="234">
        <v>5</v>
      </c>
      <c r="Z3292" s="234">
        <v>18</v>
      </c>
      <c r="AA3292" s="235">
        <v>0.08333333333212067</v>
      </c>
      <c r="AB3292" s="236">
        <v>2.6</v>
      </c>
      <c r="AC3292" s="127">
        <f t="shared" si="66"/>
        <v>3</v>
      </c>
    </row>
    <row r="3293" ht="14.5" customHeight="1" spans="11:29" x14ac:dyDescent="0.25">
      <c r="K3293" s="128"/>
      <c r="X3293" s="234">
        <v>2022</v>
      </c>
      <c r="Y3293" s="234">
        <v>5</v>
      </c>
      <c r="Z3293" s="234">
        <v>18</v>
      </c>
      <c r="AA3293" s="235">
        <v>0.125</v>
      </c>
      <c r="AB3293" s="236">
        <v>1.9</v>
      </c>
      <c r="AC3293" s="127">
        <f t="shared" si="66"/>
        <v>2</v>
      </c>
    </row>
    <row r="3294" ht="14.5" customHeight="1" spans="11:29" x14ac:dyDescent="0.25">
      <c r="K3294" s="128"/>
      <c r="X3294" s="234">
        <v>2022</v>
      </c>
      <c r="Y3294" s="234">
        <v>5</v>
      </c>
      <c r="Z3294" s="234">
        <v>18</v>
      </c>
      <c r="AA3294" s="235">
        <v>0.16666666666787933</v>
      </c>
      <c r="AB3294" s="236">
        <v>1.8</v>
      </c>
      <c r="AC3294" s="127">
        <f t="shared" si="66"/>
        <v>2</v>
      </c>
    </row>
    <row r="3295" ht="14.5" customHeight="1" spans="11:29" x14ac:dyDescent="0.25">
      <c r="K3295" s="128"/>
      <c r="X3295" s="234">
        <v>2022</v>
      </c>
      <c r="Y3295" s="234">
        <v>5</v>
      </c>
      <c r="Z3295" s="234">
        <v>18</v>
      </c>
      <c r="AA3295" s="235">
        <v>0.20833333333212067</v>
      </c>
      <c r="AB3295" s="236">
        <v>1.5</v>
      </c>
      <c r="AC3295" s="127">
        <f t="shared" si="66"/>
        <v>2</v>
      </c>
    </row>
    <row r="3296" ht="14.5" customHeight="1" spans="11:29" x14ac:dyDescent="0.25">
      <c r="K3296" s="128"/>
      <c r="X3296" s="234">
        <v>2022</v>
      </c>
      <c r="Y3296" s="234">
        <v>5</v>
      </c>
      <c r="Z3296" s="234">
        <v>18</v>
      </c>
      <c r="AA3296" s="235">
        <v>0.25</v>
      </c>
      <c r="AB3296" s="236">
        <v>2.1</v>
      </c>
      <c r="AC3296" s="127">
        <f t="shared" si="66"/>
        <v>2</v>
      </c>
    </row>
    <row r="3297" ht="14.5" customHeight="1" spans="11:29" x14ac:dyDescent="0.25">
      <c r="K3297" s="128"/>
      <c r="X3297" s="234">
        <v>2022</v>
      </c>
      <c r="Y3297" s="234">
        <v>5</v>
      </c>
      <c r="Z3297" s="234">
        <v>18</v>
      </c>
      <c r="AA3297" s="235">
        <v>0.2916666666678793</v>
      </c>
      <c r="AB3297" s="236">
        <v>5.3</v>
      </c>
      <c r="AC3297" s="127">
        <f t="shared" si="66"/>
        <v>5</v>
      </c>
    </row>
    <row r="3298" ht="14.5" customHeight="1" spans="11:29" x14ac:dyDescent="0.25">
      <c r="K3298" s="128"/>
      <c r="X3298" s="234">
        <v>2022</v>
      </c>
      <c r="Y3298" s="234">
        <v>5</v>
      </c>
      <c r="Z3298" s="234">
        <v>18</v>
      </c>
      <c r="AA3298" s="235">
        <v>0.3333333333321207</v>
      </c>
      <c r="AB3298" s="236">
        <v>6.2</v>
      </c>
      <c r="AC3298" s="127">
        <f t="shared" si="66"/>
        <v>6</v>
      </c>
    </row>
    <row r="3299" ht="14.5" customHeight="1" spans="11:29" x14ac:dyDescent="0.25">
      <c r="K3299" s="128"/>
      <c r="X3299" s="234">
        <v>2022</v>
      </c>
      <c r="Y3299" s="234">
        <v>5</v>
      </c>
      <c r="Z3299" s="234">
        <v>18</v>
      </c>
      <c r="AA3299" s="235">
        <v>0.375</v>
      </c>
      <c r="AB3299" s="236">
        <v>8.1</v>
      </c>
      <c r="AC3299" s="127">
        <f t="shared" si="66"/>
        <v>8</v>
      </c>
    </row>
    <row r="3300" ht="14.5" customHeight="1" spans="11:29" x14ac:dyDescent="0.25">
      <c r="K3300" s="128"/>
      <c r="X3300" s="234">
        <v>2022</v>
      </c>
      <c r="Y3300" s="234">
        <v>5</v>
      </c>
      <c r="Z3300" s="234">
        <v>18</v>
      </c>
      <c r="AA3300" s="235">
        <v>0.4166666666678793</v>
      </c>
      <c r="AB3300" s="236">
        <v>10.4</v>
      </c>
      <c r="AC3300" s="127">
        <f t="shared" si="66"/>
        <v>10</v>
      </c>
    </row>
    <row r="3301" ht="14.5" customHeight="1" spans="11:29" x14ac:dyDescent="0.25">
      <c r="K3301" s="128"/>
      <c r="X3301" s="234">
        <v>2022</v>
      </c>
      <c r="Y3301" s="234">
        <v>5</v>
      </c>
      <c r="Z3301" s="234">
        <v>18</v>
      </c>
      <c r="AA3301" s="235">
        <v>0.4583333333321207</v>
      </c>
      <c r="AB3301" s="236">
        <v>13.1</v>
      </c>
      <c r="AC3301" s="127">
        <f t="shared" si="66"/>
        <v>13</v>
      </c>
    </row>
    <row r="3302" ht="14.5" customHeight="1" spans="11:29" x14ac:dyDescent="0.25">
      <c r="K3302" s="128"/>
      <c r="X3302" s="234">
        <v>2022</v>
      </c>
      <c r="Y3302" s="234">
        <v>5</v>
      </c>
      <c r="Z3302" s="234">
        <v>18</v>
      </c>
      <c r="AA3302" s="235">
        <v>0.5</v>
      </c>
      <c r="AB3302" s="236">
        <v>13.9</v>
      </c>
      <c r="AC3302" s="127">
        <f t="shared" si="66"/>
        <v>14</v>
      </c>
    </row>
    <row r="3303" ht="14.5" customHeight="1" spans="11:29" x14ac:dyDescent="0.25">
      <c r="K3303" s="128"/>
      <c r="X3303" s="234">
        <v>2022</v>
      </c>
      <c r="Y3303" s="234">
        <v>5</v>
      </c>
      <c r="Z3303" s="234">
        <v>18</v>
      </c>
      <c r="AA3303" s="235">
        <v>0.5416666666678793</v>
      </c>
      <c r="AB3303" s="236">
        <v>15.7</v>
      </c>
      <c r="AC3303" s="127">
        <f t="shared" si="66"/>
        <v>16</v>
      </c>
    </row>
    <row r="3304" ht="14.5" customHeight="1" spans="11:29" x14ac:dyDescent="0.25">
      <c r="K3304" s="128"/>
      <c r="X3304" s="234">
        <v>2022</v>
      </c>
      <c r="Y3304" s="234">
        <v>5</v>
      </c>
      <c r="Z3304" s="234">
        <v>18</v>
      </c>
      <c r="AA3304" s="235">
        <v>0.5833333333321207</v>
      </c>
      <c r="AB3304" s="236">
        <v>16.3</v>
      </c>
      <c r="AC3304" s="127">
        <f t="shared" si="66"/>
        <v>16</v>
      </c>
    </row>
    <row r="3305" ht="14.5" customHeight="1" spans="11:29" x14ac:dyDescent="0.25">
      <c r="K3305" s="128"/>
      <c r="X3305" s="234">
        <v>2022</v>
      </c>
      <c r="Y3305" s="234">
        <v>5</v>
      </c>
      <c r="Z3305" s="234">
        <v>18</v>
      </c>
      <c r="AA3305" s="235">
        <v>0.625</v>
      </c>
      <c r="AB3305" s="236">
        <v>12.4</v>
      </c>
      <c r="AC3305" s="127">
        <f t="shared" si="66"/>
        <v>12</v>
      </c>
    </row>
    <row r="3306" ht="14.5" customHeight="1" spans="11:29" x14ac:dyDescent="0.25">
      <c r="K3306" s="128"/>
      <c r="X3306" s="234">
        <v>2022</v>
      </c>
      <c r="Y3306" s="234">
        <v>5</v>
      </c>
      <c r="Z3306" s="234">
        <v>18</v>
      </c>
      <c r="AA3306" s="235">
        <v>0.6666666666678793</v>
      </c>
      <c r="AB3306" s="236">
        <v>11</v>
      </c>
      <c r="AC3306" s="127">
        <f t="shared" si="66"/>
        <v>11</v>
      </c>
    </row>
    <row r="3307" ht="14.5" customHeight="1" spans="11:29" x14ac:dyDescent="0.25">
      <c r="K3307" s="128"/>
      <c r="X3307" s="234">
        <v>2022</v>
      </c>
      <c r="Y3307" s="234">
        <v>5</v>
      </c>
      <c r="Z3307" s="234">
        <v>18</v>
      </c>
      <c r="AA3307" s="235">
        <v>0.7083333333321207</v>
      </c>
      <c r="AB3307" s="236">
        <v>11.4</v>
      </c>
      <c r="AC3307" s="127">
        <f t="shared" si="66"/>
        <v>11</v>
      </c>
    </row>
    <row r="3308" ht="14.5" customHeight="1" spans="11:29" x14ac:dyDescent="0.25">
      <c r="K3308" s="128"/>
      <c r="X3308" s="234">
        <v>2022</v>
      </c>
      <c r="Y3308" s="234">
        <v>5</v>
      </c>
      <c r="Z3308" s="234">
        <v>18</v>
      </c>
      <c r="AA3308" s="235">
        <v>0.75</v>
      </c>
      <c r="AB3308" s="236">
        <v>11.7</v>
      </c>
      <c r="AC3308" s="127">
        <f t="shared" si="66"/>
        <v>12</v>
      </c>
    </row>
    <row r="3309" ht="14.5" customHeight="1" spans="11:29" x14ac:dyDescent="0.25">
      <c r="K3309" s="128"/>
      <c r="X3309" s="234">
        <v>2022</v>
      </c>
      <c r="Y3309" s="234">
        <v>5</v>
      </c>
      <c r="Z3309" s="234">
        <v>18</v>
      </c>
      <c r="AA3309" s="235">
        <v>0.7916666666678793</v>
      </c>
      <c r="AB3309" s="236">
        <v>10.9</v>
      </c>
      <c r="AC3309" s="127">
        <f t="shared" si="66"/>
        <v>11</v>
      </c>
    </row>
    <row r="3310" ht="14.5" customHeight="1" spans="11:29" x14ac:dyDescent="0.25">
      <c r="K3310" s="128"/>
      <c r="X3310" s="234">
        <v>2022</v>
      </c>
      <c r="Y3310" s="234">
        <v>5</v>
      </c>
      <c r="Z3310" s="234">
        <v>18</v>
      </c>
      <c r="AA3310" s="235">
        <v>0.8333333333321207</v>
      </c>
      <c r="AB3310" s="236">
        <v>9.6</v>
      </c>
      <c r="AC3310" s="127">
        <f t="shared" si="66"/>
        <v>10</v>
      </c>
    </row>
    <row r="3311" ht="14.5" customHeight="1" spans="11:29" x14ac:dyDescent="0.25">
      <c r="K3311" s="128"/>
      <c r="X3311" s="234">
        <v>2022</v>
      </c>
      <c r="Y3311" s="234">
        <v>5</v>
      </c>
      <c r="Z3311" s="234">
        <v>18</v>
      </c>
      <c r="AA3311" s="235">
        <v>0.875</v>
      </c>
      <c r="AB3311" s="236">
        <v>8.3</v>
      </c>
      <c r="AC3311" s="127">
        <f t="shared" si="66"/>
        <v>8</v>
      </c>
    </row>
    <row r="3312" ht="14.5" customHeight="1" spans="11:29" x14ac:dyDescent="0.25">
      <c r="K3312" s="128"/>
      <c r="X3312" s="234">
        <v>2022</v>
      </c>
      <c r="Y3312" s="234">
        <v>5</v>
      </c>
      <c r="Z3312" s="234">
        <v>18</v>
      </c>
      <c r="AA3312" s="235">
        <v>0.9166666666678793</v>
      </c>
      <c r="AB3312" s="236">
        <v>5.7</v>
      </c>
      <c r="AC3312" s="127">
        <f t="shared" si="66"/>
        <v>6</v>
      </c>
    </row>
    <row r="3313" ht="14.5" customHeight="1" spans="11:29" x14ac:dyDescent="0.25">
      <c r="K3313" s="128"/>
      <c r="X3313" s="234">
        <v>2022</v>
      </c>
      <c r="Y3313" s="234">
        <v>5</v>
      </c>
      <c r="Z3313" s="234">
        <v>18</v>
      </c>
      <c r="AA3313" s="235">
        <v>0.9583333333321207</v>
      </c>
      <c r="AB3313" s="236">
        <v>3.8</v>
      </c>
      <c r="AC3313" s="127">
        <f t="shared" si="66"/>
        <v>4</v>
      </c>
    </row>
    <row r="3314" ht="14.5" customHeight="1" spans="11:29" x14ac:dyDescent="0.25">
      <c r="K3314" s="128"/>
      <c r="X3314" s="234">
        <v>2022</v>
      </c>
      <c r="Y3314" s="234">
        <v>5</v>
      </c>
      <c r="Z3314" s="234">
        <v>19</v>
      </c>
      <c r="AA3314" s="235">
        <v>0</v>
      </c>
      <c r="AB3314" s="236">
        <v>5.4</v>
      </c>
      <c r="AC3314" s="127">
        <f t="shared" si="66"/>
        <v>5</v>
      </c>
    </row>
    <row r="3315" ht="14.5" customHeight="1" spans="11:29" x14ac:dyDescent="0.25">
      <c r="K3315" s="128"/>
      <c r="X3315" s="234">
        <v>2022</v>
      </c>
      <c r="Y3315" s="234">
        <v>5</v>
      </c>
      <c r="Z3315" s="234">
        <v>19</v>
      </c>
      <c r="AA3315" s="235">
        <v>0.041666666667879326</v>
      </c>
      <c r="AB3315" s="236">
        <v>5.5</v>
      </c>
      <c r="AC3315" s="127">
        <f t="shared" si="66"/>
        <v>6</v>
      </c>
    </row>
    <row r="3316" ht="14.5" customHeight="1" spans="11:29" x14ac:dyDescent="0.25">
      <c r="K3316" s="128"/>
      <c r="X3316" s="234">
        <v>2022</v>
      </c>
      <c r="Y3316" s="234">
        <v>5</v>
      </c>
      <c r="Z3316" s="234">
        <v>19</v>
      </c>
      <c r="AA3316" s="235">
        <v>0.08333333333212067</v>
      </c>
      <c r="AB3316" s="236">
        <v>4.5</v>
      </c>
      <c r="AC3316" s="127">
        <f t="shared" si="66"/>
        <v>5</v>
      </c>
    </row>
    <row r="3317" ht="14.5" customHeight="1" spans="11:29" x14ac:dyDescent="0.25">
      <c r="K3317" s="128"/>
      <c r="X3317" s="234">
        <v>2022</v>
      </c>
      <c r="Y3317" s="234">
        <v>5</v>
      </c>
      <c r="Z3317" s="234">
        <v>19</v>
      </c>
      <c r="AA3317" s="235">
        <v>0.125</v>
      </c>
      <c r="AB3317" s="236">
        <v>3.9</v>
      </c>
      <c r="AC3317" s="127">
        <f t="shared" si="66"/>
        <v>4</v>
      </c>
    </row>
    <row r="3318" ht="14.5" customHeight="1" spans="11:29" x14ac:dyDescent="0.25">
      <c r="K3318" s="128"/>
      <c r="X3318" s="234">
        <v>2022</v>
      </c>
      <c r="Y3318" s="234">
        <v>5</v>
      </c>
      <c r="Z3318" s="234">
        <v>19</v>
      </c>
      <c r="AA3318" s="235">
        <v>0.16666666666787933</v>
      </c>
      <c r="AB3318" s="236">
        <v>3.6</v>
      </c>
      <c r="AC3318" s="127">
        <f t="shared" si="66"/>
        <v>4</v>
      </c>
    </row>
    <row r="3319" ht="14.5" customHeight="1" spans="11:29" x14ac:dyDescent="0.25">
      <c r="K3319" s="128"/>
      <c r="X3319" s="234">
        <v>2022</v>
      </c>
      <c r="Y3319" s="234">
        <v>5</v>
      </c>
      <c r="Z3319" s="234">
        <v>19</v>
      </c>
      <c r="AA3319" s="235">
        <v>0.20833333333212067</v>
      </c>
      <c r="AB3319" s="236">
        <v>3.1</v>
      </c>
      <c r="AC3319" s="127">
        <f t="shared" si="66"/>
        <v>3</v>
      </c>
    </row>
    <row r="3320" ht="14.5" customHeight="1" spans="11:29" x14ac:dyDescent="0.25">
      <c r="K3320" s="128"/>
      <c r="X3320" s="234">
        <v>2022</v>
      </c>
      <c r="Y3320" s="234">
        <v>5</v>
      </c>
      <c r="Z3320" s="234">
        <v>19</v>
      </c>
      <c r="AA3320" s="235">
        <v>0.25</v>
      </c>
      <c r="AB3320" s="236">
        <v>3.8</v>
      </c>
      <c r="AC3320" s="127">
        <f t="shared" si="66"/>
        <v>4</v>
      </c>
    </row>
    <row r="3321" ht="14.5" customHeight="1" spans="11:29" x14ac:dyDescent="0.25">
      <c r="K3321" s="128"/>
      <c r="X3321" s="234">
        <v>2022</v>
      </c>
      <c r="Y3321" s="234">
        <v>5</v>
      </c>
      <c r="Z3321" s="234">
        <v>19</v>
      </c>
      <c r="AA3321" s="235">
        <v>0.2916666666678793</v>
      </c>
      <c r="AB3321" s="236">
        <v>5.4</v>
      </c>
      <c r="AC3321" s="127">
        <f t="shared" si="66"/>
        <v>5</v>
      </c>
    </row>
    <row r="3322" ht="14.5" customHeight="1" spans="11:29" x14ac:dyDescent="0.25">
      <c r="K3322" s="128"/>
      <c r="X3322" s="234">
        <v>2022</v>
      </c>
      <c r="Y3322" s="234">
        <v>5</v>
      </c>
      <c r="Z3322" s="234">
        <v>19</v>
      </c>
      <c r="AA3322" s="235">
        <v>0.3333333333321207</v>
      </c>
      <c r="AB3322" s="236">
        <v>6.3</v>
      </c>
      <c r="AC3322" s="127">
        <f t="shared" si="66"/>
        <v>6</v>
      </c>
    </row>
    <row r="3323" ht="14.5" customHeight="1" spans="11:29" x14ac:dyDescent="0.25">
      <c r="K3323" s="128"/>
      <c r="X3323" s="234">
        <v>2022</v>
      </c>
      <c r="Y3323" s="234">
        <v>5</v>
      </c>
      <c r="Z3323" s="234">
        <v>19</v>
      </c>
      <c r="AA3323" s="235">
        <v>0.375</v>
      </c>
      <c r="AB3323" s="236">
        <v>7.1</v>
      </c>
      <c r="AC3323" s="127">
        <f t="shared" si="66"/>
        <v>7</v>
      </c>
    </row>
    <row r="3324" ht="14.5" customHeight="1" spans="11:29" x14ac:dyDescent="0.25">
      <c r="K3324" s="128"/>
      <c r="X3324" s="234">
        <v>2022</v>
      </c>
      <c r="Y3324" s="234">
        <v>5</v>
      </c>
      <c r="Z3324" s="234">
        <v>19</v>
      </c>
      <c r="AA3324" s="235">
        <v>0.4166666666678793</v>
      </c>
      <c r="AB3324" s="236">
        <v>4.9</v>
      </c>
      <c r="AC3324" s="127">
        <f t="shared" si="66"/>
        <v>5</v>
      </c>
    </row>
    <row r="3325" ht="14.5" customHeight="1" spans="11:29" x14ac:dyDescent="0.25">
      <c r="K3325" s="128"/>
      <c r="X3325" s="234">
        <v>2022</v>
      </c>
      <c r="Y3325" s="234">
        <v>5</v>
      </c>
      <c r="Z3325" s="234">
        <v>19</v>
      </c>
      <c r="AA3325" s="235">
        <v>0.4583333333321207</v>
      </c>
      <c r="AB3325" s="236">
        <v>4</v>
      </c>
      <c r="AC3325" s="127">
        <f t="shared" si="66"/>
        <v>4</v>
      </c>
    </row>
    <row r="3326" ht="14.5" customHeight="1" spans="11:29" x14ac:dyDescent="0.25">
      <c r="K3326" s="128"/>
      <c r="X3326" s="234">
        <v>2022</v>
      </c>
      <c r="Y3326" s="234">
        <v>5</v>
      </c>
      <c r="Z3326" s="234">
        <v>19</v>
      </c>
      <c r="AA3326" s="235">
        <v>0.5</v>
      </c>
      <c r="AB3326" s="236">
        <v>4.4</v>
      </c>
      <c r="AC3326" s="127">
        <f t="shared" si="66"/>
        <v>4</v>
      </c>
    </row>
    <row r="3327" ht="14.5" customHeight="1" spans="11:29" x14ac:dyDescent="0.25">
      <c r="K3327" s="128"/>
      <c r="X3327" s="234">
        <v>2022</v>
      </c>
      <c r="Y3327" s="234">
        <v>5</v>
      </c>
      <c r="Z3327" s="234">
        <v>19</v>
      </c>
      <c r="AA3327" s="235">
        <v>0.5416666666678793</v>
      </c>
      <c r="AB3327" s="236">
        <v>5.4</v>
      </c>
      <c r="AC3327" s="127">
        <f t="shared" si="66"/>
        <v>5</v>
      </c>
    </row>
    <row r="3328" ht="14.5" customHeight="1" spans="11:29" x14ac:dyDescent="0.25">
      <c r="K3328" s="128"/>
      <c r="X3328" s="234">
        <v>2022</v>
      </c>
      <c r="Y3328" s="234">
        <v>5</v>
      </c>
      <c r="Z3328" s="234">
        <v>19</v>
      </c>
      <c r="AA3328" s="235">
        <v>0.5833333333321207</v>
      </c>
      <c r="AB3328" s="236">
        <v>5.7</v>
      </c>
      <c r="AC3328" s="127">
        <f t="shared" si="66"/>
        <v>6</v>
      </c>
    </row>
    <row r="3329" ht="14.5" customHeight="1" spans="11:29" x14ac:dyDescent="0.25">
      <c r="K3329" s="128"/>
      <c r="X3329" s="234">
        <v>2022</v>
      </c>
      <c r="Y3329" s="234">
        <v>5</v>
      </c>
      <c r="Z3329" s="234">
        <v>19</v>
      </c>
      <c r="AA3329" s="235">
        <v>0.625</v>
      </c>
      <c r="AB3329" s="236">
        <v>4.6</v>
      </c>
      <c r="AC3329" s="127">
        <f t="shared" si="66"/>
        <v>5</v>
      </c>
    </row>
    <row r="3330" ht="14.5" customHeight="1" spans="11:29" x14ac:dyDescent="0.25">
      <c r="K3330" s="128"/>
      <c r="X3330" s="234">
        <v>2022</v>
      </c>
      <c r="Y3330" s="234">
        <v>5</v>
      </c>
      <c r="Z3330" s="234">
        <v>19</v>
      </c>
      <c r="AA3330" s="235">
        <v>0.6666666666678793</v>
      </c>
      <c r="AB3330" s="236">
        <v>3.1</v>
      </c>
      <c r="AC3330" s="127">
        <f t="shared" si="66"/>
        <v>3</v>
      </c>
    </row>
    <row r="3331" ht="14.5" customHeight="1" spans="11:29" x14ac:dyDescent="0.25">
      <c r="K3331" s="128"/>
      <c r="X3331" s="234">
        <v>2022</v>
      </c>
      <c r="Y3331" s="234">
        <v>5</v>
      </c>
      <c r="Z3331" s="234">
        <v>19</v>
      </c>
      <c r="AA3331" s="235">
        <v>0.7083333333321207</v>
      </c>
      <c r="AB3331" s="236">
        <v>4.2</v>
      </c>
      <c r="AC3331" s="127">
        <f t="shared" si="66"/>
        <v>4</v>
      </c>
    </row>
    <row r="3332" ht="14.5" customHeight="1" spans="11:29" x14ac:dyDescent="0.25">
      <c r="K3332" s="128"/>
      <c r="X3332" s="234">
        <v>2022</v>
      </c>
      <c r="Y3332" s="234">
        <v>5</v>
      </c>
      <c r="Z3332" s="234">
        <v>19</v>
      </c>
      <c r="AA3332" s="235">
        <v>0.75</v>
      </c>
      <c r="AB3332" s="236">
        <v>3.7</v>
      </c>
      <c r="AC3332" s="127">
        <f t="shared" si="66"/>
        <v>4</v>
      </c>
    </row>
    <row r="3333" ht="14.5" customHeight="1" spans="11:29" x14ac:dyDescent="0.25">
      <c r="K3333" s="128"/>
      <c r="X3333" s="234">
        <v>2022</v>
      </c>
      <c r="Y3333" s="234">
        <v>5</v>
      </c>
      <c r="Z3333" s="234">
        <v>19</v>
      </c>
      <c r="AA3333" s="235">
        <v>0.7916666666678793</v>
      </c>
      <c r="AB3333" s="236">
        <v>2.9</v>
      </c>
      <c r="AC3333" s="127">
        <f t="shared" si="66"/>
        <v>3</v>
      </c>
    </row>
    <row r="3334" ht="14.5" customHeight="1" spans="11:29" x14ac:dyDescent="0.25">
      <c r="K3334" s="128"/>
      <c r="X3334" s="234">
        <v>2022</v>
      </c>
      <c r="Y3334" s="234">
        <v>5</v>
      </c>
      <c r="Z3334" s="234">
        <v>19</v>
      </c>
      <c r="AA3334" s="235">
        <v>0.8333333333321207</v>
      </c>
      <c r="AB3334" s="236">
        <v>2.6</v>
      </c>
      <c r="AC3334" s="127">
        <f t="shared" si="66"/>
        <v>3</v>
      </c>
    </row>
    <row r="3335" ht="14.5" customHeight="1" spans="11:29" x14ac:dyDescent="0.25">
      <c r="K3335" s="128"/>
      <c r="X3335" s="234">
        <v>2022</v>
      </c>
      <c r="Y3335" s="234">
        <v>5</v>
      </c>
      <c r="Z3335" s="234">
        <v>19</v>
      </c>
      <c r="AA3335" s="235">
        <v>0.875</v>
      </c>
      <c r="AB3335" s="236">
        <v>2.9</v>
      </c>
      <c r="AC3335" s="127">
        <f t="shared" si="66"/>
        <v>3</v>
      </c>
    </row>
    <row r="3336" ht="14.5" customHeight="1" spans="11:29" x14ac:dyDescent="0.25">
      <c r="K3336" s="128"/>
      <c r="X3336" s="234">
        <v>2022</v>
      </c>
      <c r="Y3336" s="234">
        <v>5</v>
      </c>
      <c r="Z3336" s="234">
        <v>19</v>
      </c>
      <c r="AA3336" s="235">
        <v>0.9166666666678793</v>
      </c>
      <c r="AB3336" s="236">
        <v>2.1</v>
      </c>
      <c r="AC3336" s="127">
        <f t="shared" si="66"/>
        <v>2</v>
      </c>
    </row>
    <row r="3337" ht="14.5" customHeight="1" spans="11:29" x14ac:dyDescent="0.25">
      <c r="K3337" s="128"/>
      <c r="X3337" s="234">
        <v>2022</v>
      </c>
      <c r="Y3337" s="234">
        <v>5</v>
      </c>
      <c r="Z3337" s="234">
        <v>19</v>
      </c>
      <c r="AA3337" s="235">
        <v>0.9583333333321207</v>
      </c>
      <c r="AB3337" s="236">
        <v>1.8</v>
      </c>
      <c r="AC3337" s="127">
        <f t="shared" si="66"/>
        <v>2</v>
      </c>
    </row>
    <row r="3338" ht="14.5" customHeight="1" spans="11:29" x14ac:dyDescent="0.25">
      <c r="K3338" s="128"/>
      <c r="X3338" s="234">
        <v>2022</v>
      </c>
      <c r="Y3338" s="234">
        <v>5</v>
      </c>
      <c r="Z3338" s="234">
        <v>20</v>
      </c>
      <c r="AA3338" s="235">
        <v>0</v>
      </c>
      <c r="AB3338" s="236">
        <v>2.6</v>
      </c>
      <c r="AC3338" s="127">
        <f t="shared" si="66"/>
        <v>3</v>
      </c>
    </row>
    <row r="3339" ht="14.5" customHeight="1" spans="11:29" x14ac:dyDescent="0.25">
      <c r="K3339" s="128"/>
      <c r="X3339" s="234">
        <v>2022</v>
      </c>
      <c r="Y3339" s="234">
        <v>5</v>
      </c>
      <c r="Z3339" s="234">
        <v>20</v>
      </c>
      <c r="AA3339" s="235">
        <v>0.041666666667879326</v>
      </c>
      <c r="AB3339" s="236">
        <v>2.9</v>
      </c>
      <c r="AC3339" s="127">
        <f t="shared" ref="AC3339:AC3402" si="67">ROUND(AB3339,0)</f>
        <v>3</v>
      </c>
    </row>
    <row r="3340" ht="14.5" customHeight="1" spans="11:29" x14ac:dyDescent="0.25">
      <c r="K3340" s="128"/>
      <c r="X3340" s="234">
        <v>2022</v>
      </c>
      <c r="Y3340" s="234">
        <v>5</v>
      </c>
      <c r="Z3340" s="234">
        <v>20</v>
      </c>
      <c r="AA3340" s="235">
        <v>0.08333333333212067</v>
      </c>
      <c r="AB3340" s="236">
        <v>2.6</v>
      </c>
      <c r="AC3340" s="127">
        <f t="shared" si="67"/>
        <v>3</v>
      </c>
    </row>
    <row r="3341" ht="14.5" customHeight="1" spans="11:29" x14ac:dyDescent="0.25">
      <c r="K3341" s="128"/>
      <c r="X3341" s="234">
        <v>2022</v>
      </c>
      <c r="Y3341" s="234">
        <v>5</v>
      </c>
      <c r="Z3341" s="234">
        <v>20</v>
      </c>
      <c r="AA3341" s="235">
        <v>0.125</v>
      </c>
      <c r="AB3341" s="236">
        <v>2.3</v>
      </c>
      <c r="AC3341" s="127">
        <f t="shared" si="67"/>
        <v>2</v>
      </c>
    </row>
    <row r="3342" ht="14.5" customHeight="1" spans="11:29" x14ac:dyDescent="0.25">
      <c r="K3342" s="128"/>
      <c r="X3342" s="234">
        <v>2022</v>
      </c>
      <c r="Y3342" s="234">
        <v>5</v>
      </c>
      <c r="Z3342" s="234">
        <v>20</v>
      </c>
      <c r="AA3342" s="235">
        <v>0.16666666666787933</v>
      </c>
      <c r="AB3342" s="236">
        <v>2.4</v>
      </c>
      <c r="AC3342" s="127">
        <f t="shared" si="67"/>
        <v>2</v>
      </c>
    </row>
    <row r="3343" ht="14.5" customHeight="1" spans="11:29" x14ac:dyDescent="0.25">
      <c r="K3343" s="128"/>
      <c r="X3343" s="234">
        <v>2022</v>
      </c>
      <c r="Y3343" s="234">
        <v>5</v>
      </c>
      <c r="Z3343" s="234">
        <v>20</v>
      </c>
      <c r="AA3343" s="235">
        <v>0.20833333333212067</v>
      </c>
      <c r="AB3343" s="236">
        <v>2.1</v>
      </c>
      <c r="AC3343" s="127">
        <f t="shared" si="67"/>
        <v>2</v>
      </c>
    </row>
    <row r="3344" ht="14.5" customHeight="1" spans="11:29" x14ac:dyDescent="0.25">
      <c r="K3344" s="128"/>
      <c r="X3344" s="234">
        <v>2022</v>
      </c>
      <c r="Y3344" s="234">
        <v>5</v>
      </c>
      <c r="Z3344" s="234">
        <v>20</v>
      </c>
      <c r="AA3344" s="235">
        <v>0.25</v>
      </c>
      <c r="AB3344" s="236">
        <v>2.1</v>
      </c>
      <c r="AC3344" s="127">
        <f t="shared" si="67"/>
        <v>2</v>
      </c>
    </row>
    <row r="3345" ht="14.5" customHeight="1" spans="11:29" x14ac:dyDescent="0.25">
      <c r="K3345" s="128"/>
      <c r="X3345" s="234">
        <v>2022</v>
      </c>
      <c r="Y3345" s="234">
        <v>5</v>
      </c>
      <c r="Z3345" s="234">
        <v>20</v>
      </c>
      <c r="AA3345" s="235">
        <v>0.2916666666678793</v>
      </c>
      <c r="AB3345" s="236">
        <v>2.6</v>
      </c>
      <c r="AC3345" s="127">
        <f t="shared" si="67"/>
        <v>3</v>
      </c>
    </row>
    <row r="3346" ht="14.5" customHeight="1" spans="11:29" x14ac:dyDescent="0.25">
      <c r="K3346" s="128"/>
      <c r="X3346" s="234">
        <v>2022</v>
      </c>
      <c r="Y3346" s="234">
        <v>5</v>
      </c>
      <c r="Z3346" s="234">
        <v>20</v>
      </c>
      <c r="AA3346" s="235">
        <v>0.3333333333321207</v>
      </c>
      <c r="AB3346" s="236">
        <v>2.9</v>
      </c>
      <c r="AC3346" s="127">
        <f t="shared" si="67"/>
        <v>3</v>
      </c>
    </row>
    <row r="3347" ht="14.5" customHeight="1" spans="11:29" x14ac:dyDescent="0.25">
      <c r="K3347" s="128"/>
      <c r="X3347" s="234">
        <v>2022</v>
      </c>
      <c r="Y3347" s="234">
        <v>5</v>
      </c>
      <c r="Z3347" s="234">
        <v>20</v>
      </c>
      <c r="AA3347" s="235">
        <v>0.375</v>
      </c>
      <c r="AB3347" s="236">
        <v>3.8</v>
      </c>
      <c r="AC3347" s="127">
        <f t="shared" si="67"/>
        <v>4</v>
      </c>
    </row>
    <row r="3348" ht="14.5" customHeight="1" spans="11:29" x14ac:dyDescent="0.25">
      <c r="K3348" s="128"/>
      <c r="X3348" s="234">
        <v>2022</v>
      </c>
      <c r="Y3348" s="234">
        <v>5</v>
      </c>
      <c r="Z3348" s="234">
        <v>20</v>
      </c>
      <c r="AA3348" s="235">
        <v>0.4166666666678793</v>
      </c>
      <c r="AB3348" s="236">
        <v>5.2</v>
      </c>
      <c r="AC3348" s="127">
        <f t="shared" si="67"/>
        <v>5</v>
      </c>
    </row>
    <row r="3349" ht="14.5" customHeight="1" spans="11:29" x14ac:dyDescent="0.25">
      <c r="K3349" s="128"/>
      <c r="X3349" s="234">
        <v>2022</v>
      </c>
      <c r="Y3349" s="234">
        <v>5</v>
      </c>
      <c r="Z3349" s="234">
        <v>20</v>
      </c>
      <c r="AA3349" s="235">
        <v>0.4583333333321207</v>
      </c>
      <c r="AB3349" s="236">
        <v>6.5</v>
      </c>
      <c r="AC3349" s="127">
        <f t="shared" si="67"/>
        <v>7</v>
      </c>
    </row>
    <row r="3350" ht="14.5" customHeight="1" spans="11:29" x14ac:dyDescent="0.25">
      <c r="K3350" s="128"/>
      <c r="X3350" s="234">
        <v>2022</v>
      </c>
      <c r="Y3350" s="234">
        <v>5</v>
      </c>
      <c r="Z3350" s="234">
        <v>20</v>
      </c>
      <c r="AA3350" s="235">
        <v>0.5</v>
      </c>
      <c r="AB3350" s="236">
        <v>7.2</v>
      </c>
      <c r="AC3350" s="127">
        <f t="shared" si="67"/>
        <v>7</v>
      </c>
    </row>
    <row r="3351" ht="14.5" customHeight="1" spans="11:29" x14ac:dyDescent="0.25">
      <c r="K3351" s="128"/>
      <c r="X3351" s="234">
        <v>2022</v>
      </c>
      <c r="Y3351" s="234">
        <v>5</v>
      </c>
      <c r="Z3351" s="234">
        <v>20</v>
      </c>
      <c r="AA3351" s="235">
        <v>0.5416666666678793</v>
      </c>
      <c r="AB3351" s="236">
        <v>6.7</v>
      </c>
      <c r="AC3351" s="127">
        <f t="shared" si="67"/>
        <v>7</v>
      </c>
    </row>
    <row r="3352" ht="14.5" customHeight="1" spans="11:29" x14ac:dyDescent="0.25">
      <c r="K3352" s="128"/>
      <c r="X3352" s="234">
        <v>2022</v>
      </c>
      <c r="Y3352" s="234">
        <v>5</v>
      </c>
      <c r="Z3352" s="234">
        <v>20</v>
      </c>
      <c r="AA3352" s="235">
        <v>0.5833333333321207</v>
      </c>
      <c r="AB3352" s="236">
        <v>7</v>
      </c>
      <c r="AC3352" s="127">
        <f t="shared" si="67"/>
        <v>7</v>
      </c>
    </row>
    <row r="3353" ht="14.5" customHeight="1" spans="11:29" x14ac:dyDescent="0.25">
      <c r="K3353" s="128"/>
      <c r="X3353" s="234">
        <v>2022</v>
      </c>
      <c r="Y3353" s="234">
        <v>5</v>
      </c>
      <c r="Z3353" s="234">
        <v>20</v>
      </c>
      <c r="AA3353" s="235">
        <v>0.625</v>
      </c>
      <c r="AB3353" s="236">
        <v>8</v>
      </c>
      <c r="AC3353" s="127">
        <f t="shared" si="67"/>
        <v>8</v>
      </c>
    </row>
    <row r="3354" ht="14.5" customHeight="1" spans="11:29" x14ac:dyDescent="0.25">
      <c r="K3354" s="128"/>
      <c r="X3354" s="234">
        <v>2022</v>
      </c>
      <c r="Y3354" s="234">
        <v>5</v>
      </c>
      <c r="Z3354" s="234">
        <v>20</v>
      </c>
      <c r="AA3354" s="235">
        <v>0.6666666666678793</v>
      </c>
      <c r="AB3354" s="236">
        <v>7.6</v>
      </c>
      <c r="AC3354" s="127">
        <f t="shared" si="67"/>
        <v>8</v>
      </c>
    </row>
    <row r="3355" ht="14.5" customHeight="1" spans="11:29" x14ac:dyDescent="0.25">
      <c r="K3355" s="128"/>
      <c r="X3355" s="234">
        <v>2022</v>
      </c>
      <c r="Y3355" s="234">
        <v>5</v>
      </c>
      <c r="Z3355" s="234">
        <v>20</v>
      </c>
      <c r="AA3355" s="235">
        <v>0.7083333333321207</v>
      </c>
      <c r="AB3355" s="236">
        <v>7.3</v>
      </c>
      <c r="AC3355" s="127">
        <f t="shared" si="67"/>
        <v>7</v>
      </c>
    </row>
    <row r="3356" ht="14.5" customHeight="1" spans="11:29" x14ac:dyDescent="0.25">
      <c r="K3356" s="128"/>
      <c r="X3356" s="234">
        <v>2022</v>
      </c>
      <c r="Y3356" s="234">
        <v>5</v>
      </c>
      <c r="Z3356" s="234">
        <v>20</v>
      </c>
      <c r="AA3356" s="235">
        <v>0.75</v>
      </c>
      <c r="AB3356" s="236">
        <v>5.7</v>
      </c>
      <c r="AC3356" s="127">
        <f t="shared" si="67"/>
        <v>6</v>
      </c>
    </row>
    <row r="3357" ht="14.5" customHeight="1" spans="11:29" x14ac:dyDescent="0.25">
      <c r="K3357" s="128"/>
      <c r="X3357" s="234">
        <v>2022</v>
      </c>
      <c r="Y3357" s="234">
        <v>5</v>
      </c>
      <c r="Z3357" s="234">
        <v>20</v>
      </c>
      <c r="AA3357" s="235">
        <v>0.7916666666678793</v>
      </c>
      <c r="AB3357" s="236">
        <v>6.1</v>
      </c>
      <c r="AC3357" s="127">
        <f t="shared" si="67"/>
        <v>6</v>
      </c>
    </row>
    <row r="3358" ht="14.5" customHeight="1" spans="11:29" x14ac:dyDescent="0.25">
      <c r="K3358" s="128"/>
      <c r="X3358" s="234">
        <v>2022</v>
      </c>
      <c r="Y3358" s="234">
        <v>5</v>
      </c>
      <c r="Z3358" s="234">
        <v>20</v>
      </c>
      <c r="AA3358" s="235">
        <v>0.8333333333321207</v>
      </c>
      <c r="AB3358" s="236">
        <v>5.1</v>
      </c>
      <c r="AC3358" s="127">
        <f t="shared" si="67"/>
        <v>5</v>
      </c>
    </row>
    <row r="3359" ht="14.5" customHeight="1" spans="11:29" x14ac:dyDescent="0.25">
      <c r="K3359" s="128"/>
      <c r="X3359" s="234">
        <v>2022</v>
      </c>
      <c r="Y3359" s="234">
        <v>5</v>
      </c>
      <c r="Z3359" s="234">
        <v>20</v>
      </c>
      <c r="AA3359" s="235">
        <v>0.875</v>
      </c>
      <c r="AB3359" s="236">
        <v>3.5</v>
      </c>
      <c r="AC3359" s="127">
        <f t="shared" si="67"/>
        <v>4</v>
      </c>
    </row>
    <row r="3360" ht="14.5" customHeight="1" spans="11:29" x14ac:dyDescent="0.25">
      <c r="K3360" s="128"/>
      <c r="X3360" s="234">
        <v>2022</v>
      </c>
      <c r="Y3360" s="234">
        <v>5</v>
      </c>
      <c r="Z3360" s="234">
        <v>20</v>
      </c>
      <c r="AA3360" s="235">
        <v>0.9166666666678793</v>
      </c>
      <c r="AB3360" s="236">
        <v>2.6</v>
      </c>
      <c r="AC3360" s="127">
        <f t="shared" si="67"/>
        <v>3</v>
      </c>
    </row>
    <row r="3361" ht="14.5" customHeight="1" spans="11:29" x14ac:dyDescent="0.25">
      <c r="K3361" s="128"/>
      <c r="X3361" s="234">
        <v>2022</v>
      </c>
      <c r="Y3361" s="234">
        <v>5</v>
      </c>
      <c r="Z3361" s="234">
        <v>20</v>
      </c>
      <c r="AA3361" s="235">
        <v>0.9583333333321207</v>
      </c>
      <c r="AB3361" s="236">
        <v>3</v>
      </c>
      <c r="AC3361" s="127">
        <f t="shared" si="67"/>
        <v>3</v>
      </c>
    </row>
    <row r="3362" ht="14.5" customHeight="1" spans="11:29" x14ac:dyDescent="0.25">
      <c r="K3362" s="128"/>
      <c r="X3362" s="234">
        <v>2022</v>
      </c>
      <c r="Y3362" s="234">
        <v>5</v>
      </c>
      <c r="Z3362" s="234">
        <v>21</v>
      </c>
      <c r="AA3362" s="235">
        <v>0</v>
      </c>
      <c r="AB3362" s="236">
        <v>2</v>
      </c>
      <c r="AC3362" s="127">
        <f t="shared" si="67"/>
        <v>2</v>
      </c>
    </row>
    <row r="3363" ht="14.5" customHeight="1" spans="11:29" x14ac:dyDescent="0.25">
      <c r="K3363" s="128"/>
      <c r="X3363" s="234">
        <v>2022</v>
      </c>
      <c r="Y3363" s="234">
        <v>5</v>
      </c>
      <c r="Z3363" s="234">
        <v>21</v>
      </c>
      <c r="AA3363" s="235">
        <v>0.041666666667879326</v>
      </c>
      <c r="AB3363" s="236">
        <v>2.5</v>
      </c>
      <c r="AC3363" s="127">
        <f t="shared" si="67"/>
        <v>3</v>
      </c>
    </row>
    <row r="3364" ht="14.5" customHeight="1" spans="11:29" x14ac:dyDescent="0.25">
      <c r="K3364" s="128"/>
      <c r="X3364" s="234">
        <v>2022</v>
      </c>
      <c r="Y3364" s="234">
        <v>5</v>
      </c>
      <c r="Z3364" s="234">
        <v>21</v>
      </c>
      <c r="AA3364" s="235">
        <v>0.08333333333212067</v>
      </c>
      <c r="AB3364" s="236">
        <v>1.3</v>
      </c>
      <c r="AC3364" s="127">
        <f t="shared" si="67"/>
        <v>1</v>
      </c>
    </row>
    <row r="3365" ht="14.5" customHeight="1" spans="11:29" x14ac:dyDescent="0.25">
      <c r="K3365" s="128"/>
      <c r="X3365" s="234">
        <v>2022</v>
      </c>
      <c r="Y3365" s="234">
        <v>5</v>
      </c>
      <c r="Z3365" s="234">
        <v>21</v>
      </c>
      <c r="AA3365" s="235">
        <v>0.125</v>
      </c>
      <c r="AB3365" s="236">
        <v>0.7</v>
      </c>
      <c r="AC3365" s="127">
        <f t="shared" si="67"/>
        <v>1</v>
      </c>
    </row>
    <row r="3366" ht="14.5" customHeight="1" spans="11:29" x14ac:dyDescent="0.25">
      <c r="K3366" s="128"/>
      <c r="X3366" s="234">
        <v>2022</v>
      </c>
      <c r="Y3366" s="234">
        <v>5</v>
      </c>
      <c r="Z3366" s="234">
        <v>21</v>
      </c>
      <c r="AA3366" s="235">
        <v>0.16666666666787933</v>
      </c>
      <c r="AB3366" s="236">
        <v>0.4</v>
      </c>
      <c r="AC3366" s="127">
        <f t="shared" si="67"/>
        <v>0</v>
      </c>
    </row>
    <row r="3367" ht="14.5" customHeight="1" spans="11:29" x14ac:dyDescent="0.25">
      <c r="K3367" s="128"/>
      <c r="X3367" s="234">
        <v>2022</v>
      </c>
      <c r="Y3367" s="234">
        <v>5</v>
      </c>
      <c r="Z3367" s="234">
        <v>21</v>
      </c>
      <c r="AA3367" s="235">
        <v>0.20833333333212067</v>
      </c>
      <c r="AB3367" s="236">
        <v>0.7</v>
      </c>
      <c r="AC3367" s="127">
        <f t="shared" si="67"/>
        <v>1</v>
      </c>
    </row>
    <row r="3368" ht="14.5" customHeight="1" spans="11:29" x14ac:dyDescent="0.25">
      <c r="K3368" s="128"/>
      <c r="X3368" s="234">
        <v>2022</v>
      </c>
      <c r="Y3368" s="234">
        <v>5</v>
      </c>
      <c r="Z3368" s="234">
        <v>21</v>
      </c>
      <c r="AA3368" s="235">
        <v>0.25</v>
      </c>
      <c r="AB3368" s="236">
        <v>1.2</v>
      </c>
      <c r="AC3368" s="127">
        <f t="shared" si="67"/>
        <v>1</v>
      </c>
    </row>
    <row r="3369" ht="14.5" customHeight="1" spans="11:29" x14ac:dyDescent="0.25">
      <c r="K3369" s="128"/>
      <c r="X3369" s="234">
        <v>2022</v>
      </c>
      <c r="Y3369" s="234">
        <v>5</v>
      </c>
      <c r="Z3369" s="234">
        <v>21</v>
      </c>
      <c r="AA3369" s="235">
        <v>0.2916666666678793</v>
      </c>
      <c r="AB3369" s="236">
        <v>3.5</v>
      </c>
      <c r="AC3369" s="127">
        <f t="shared" si="67"/>
        <v>4</v>
      </c>
    </row>
    <row r="3370" ht="14.5" customHeight="1" spans="11:29" x14ac:dyDescent="0.25">
      <c r="K3370" s="128"/>
      <c r="X3370" s="234">
        <v>2022</v>
      </c>
      <c r="Y3370" s="234">
        <v>5</v>
      </c>
      <c r="Z3370" s="234">
        <v>21</v>
      </c>
      <c r="AA3370" s="235">
        <v>0.3333333333321207</v>
      </c>
      <c r="AB3370" s="236">
        <v>5.3</v>
      </c>
      <c r="AC3370" s="127">
        <f t="shared" si="67"/>
        <v>5</v>
      </c>
    </row>
    <row r="3371" ht="14.5" customHeight="1" spans="11:29" x14ac:dyDescent="0.25">
      <c r="K3371" s="128"/>
      <c r="X3371" s="234">
        <v>2022</v>
      </c>
      <c r="Y3371" s="234">
        <v>5</v>
      </c>
      <c r="Z3371" s="234">
        <v>21</v>
      </c>
      <c r="AA3371" s="235">
        <v>0.375</v>
      </c>
      <c r="AB3371" s="236">
        <v>6.8</v>
      </c>
      <c r="AC3371" s="127">
        <f t="shared" si="67"/>
        <v>7</v>
      </c>
    </row>
    <row r="3372" ht="14.5" customHeight="1" spans="11:29" x14ac:dyDescent="0.25">
      <c r="K3372" s="128"/>
      <c r="X3372" s="234">
        <v>2022</v>
      </c>
      <c r="Y3372" s="234">
        <v>5</v>
      </c>
      <c r="Z3372" s="234">
        <v>21</v>
      </c>
      <c r="AA3372" s="235">
        <v>0.4166666666678793</v>
      </c>
      <c r="AB3372" s="236">
        <v>7.5</v>
      </c>
      <c r="AC3372" s="127">
        <f t="shared" si="67"/>
        <v>8</v>
      </c>
    </row>
    <row r="3373" ht="14.5" customHeight="1" spans="11:29" x14ac:dyDescent="0.25">
      <c r="K3373" s="128"/>
      <c r="X3373" s="234">
        <v>2022</v>
      </c>
      <c r="Y3373" s="234">
        <v>5</v>
      </c>
      <c r="Z3373" s="234">
        <v>21</v>
      </c>
      <c r="AA3373" s="235">
        <v>0.4583333333321207</v>
      </c>
      <c r="AB3373" s="236">
        <v>8</v>
      </c>
      <c r="AC3373" s="127">
        <f t="shared" si="67"/>
        <v>8</v>
      </c>
    </row>
    <row r="3374" ht="14.5" customHeight="1" spans="11:29" x14ac:dyDescent="0.25">
      <c r="K3374" s="128"/>
      <c r="X3374" s="234">
        <v>2022</v>
      </c>
      <c r="Y3374" s="234">
        <v>5</v>
      </c>
      <c r="Z3374" s="234">
        <v>21</v>
      </c>
      <c r="AA3374" s="235">
        <v>0.5</v>
      </c>
      <c r="AB3374" s="236">
        <v>7.5</v>
      </c>
      <c r="AC3374" s="127">
        <f t="shared" si="67"/>
        <v>8</v>
      </c>
    </row>
    <row r="3375" ht="14.5" customHeight="1" spans="11:29" x14ac:dyDescent="0.25">
      <c r="K3375" s="128"/>
      <c r="X3375" s="234">
        <v>2022</v>
      </c>
      <c r="Y3375" s="234">
        <v>5</v>
      </c>
      <c r="Z3375" s="234">
        <v>21</v>
      </c>
      <c r="AA3375" s="235">
        <v>0.5416666666678793</v>
      </c>
      <c r="AB3375" s="236">
        <v>8.8</v>
      </c>
      <c r="AC3375" s="127">
        <f t="shared" si="67"/>
        <v>9</v>
      </c>
    </row>
    <row r="3376" ht="14.5" customHeight="1" spans="11:29" x14ac:dyDescent="0.25">
      <c r="K3376" s="128"/>
      <c r="X3376" s="234">
        <v>2022</v>
      </c>
      <c r="Y3376" s="234">
        <v>5</v>
      </c>
      <c r="Z3376" s="234">
        <v>21</v>
      </c>
      <c r="AA3376" s="235">
        <v>0.5833333333321207</v>
      </c>
      <c r="AB3376" s="236">
        <v>8.6</v>
      </c>
      <c r="AC3376" s="127">
        <f t="shared" si="67"/>
        <v>9</v>
      </c>
    </row>
    <row r="3377" ht="14.5" customHeight="1" spans="11:29" x14ac:dyDescent="0.25">
      <c r="K3377" s="128"/>
      <c r="X3377" s="234">
        <v>2022</v>
      </c>
      <c r="Y3377" s="234">
        <v>5</v>
      </c>
      <c r="Z3377" s="234">
        <v>21</v>
      </c>
      <c r="AA3377" s="235">
        <v>0.625</v>
      </c>
      <c r="AB3377" s="236">
        <v>9.9</v>
      </c>
      <c r="AC3377" s="127">
        <f t="shared" si="67"/>
        <v>10</v>
      </c>
    </row>
    <row r="3378" ht="14.5" customHeight="1" spans="11:29" x14ac:dyDescent="0.25">
      <c r="K3378" s="128"/>
      <c r="X3378" s="234">
        <v>2022</v>
      </c>
      <c r="Y3378" s="234">
        <v>5</v>
      </c>
      <c r="Z3378" s="234">
        <v>21</v>
      </c>
      <c r="AA3378" s="235">
        <v>0.6666666666678793</v>
      </c>
      <c r="AB3378" s="236">
        <v>10.5</v>
      </c>
      <c r="AC3378" s="127">
        <f t="shared" si="67"/>
        <v>11</v>
      </c>
    </row>
    <row r="3379" ht="14.5" customHeight="1" spans="11:29" x14ac:dyDescent="0.25">
      <c r="K3379" s="128"/>
      <c r="X3379" s="234">
        <v>2022</v>
      </c>
      <c r="Y3379" s="234">
        <v>5</v>
      </c>
      <c r="Z3379" s="234">
        <v>21</v>
      </c>
      <c r="AA3379" s="235">
        <v>0.7083333333321207</v>
      </c>
      <c r="AB3379" s="236">
        <v>9.3</v>
      </c>
      <c r="AC3379" s="127">
        <f t="shared" si="67"/>
        <v>9</v>
      </c>
    </row>
    <row r="3380" ht="14.5" customHeight="1" spans="11:29" x14ac:dyDescent="0.25">
      <c r="K3380" s="128"/>
      <c r="X3380" s="234">
        <v>2022</v>
      </c>
      <c r="Y3380" s="234">
        <v>5</v>
      </c>
      <c r="Z3380" s="234">
        <v>21</v>
      </c>
      <c r="AA3380" s="235">
        <v>0.75</v>
      </c>
      <c r="AB3380" s="236">
        <v>9.3</v>
      </c>
      <c r="AC3380" s="127">
        <f t="shared" si="67"/>
        <v>9</v>
      </c>
    </row>
    <row r="3381" ht="14.5" customHeight="1" spans="11:29" x14ac:dyDescent="0.25">
      <c r="K3381" s="128"/>
      <c r="X3381" s="234">
        <v>2022</v>
      </c>
      <c r="Y3381" s="234">
        <v>5</v>
      </c>
      <c r="Z3381" s="234">
        <v>21</v>
      </c>
      <c r="AA3381" s="235">
        <v>0.7916666666678793</v>
      </c>
      <c r="AB3381" s="236">
        <v>7</v>
      </c>
      <c r="AC3381" s="127">
        <f t="shared" si="67"/>
        <v>7</v>
      </c>
    </row>
    <row r="3382" ht="14.5" customHeight="1" spans="11:29" x14ac:dyDescent="0.25">
      <c r="K3382" s="128"/>
      <c r="X3382" s="234">
        <v>2022</v>
      </c>
      <c r="Y3382" s="234">
        <v>5</v>
      </c>
      <c r="Z3382" s="234">
        <v>21</v>
      </c>
      <c r="AA3382" s="235">
        <v>0.8333333333321207</v>
      </c>
      <c r="AB3382" s="236">
        <v>7</v>
      </c>
      <c r="AC3382" s="127">
        <f t="shared" si="67"/>
        <v>7</v>
      </c>
    </row>
    <row r="3383" ht="14.5" customHeight="1" spans="11:29" x14ac:dyDescent="0.25">
      <c r="K3383" s="128"/>
      <c r="X3383" s="234">
        <v>2022</v>
      </c>
      <c r="Y3383" s="234">
        <v>5</v>
      </c>
      <c r="Z3383" s="234">
        <v>21</v>
      </c>
      <c r="AA3383" s="235">
        <v>0.875</v>
      </c>
      <c r="AB3383" s="236">
        <v>5.5</v>
      </c>
      <c r="AC3383" s="127">
        <f t="shared" si="67"/>
        <v>6</v>
      </c>
    </row>
    <row r="3384" ht="14.5" customHeight="1" spans="11:29" x14ac:dyDescent="0.25">
      <c r="K3384" s="128"/>
      <c r="X3384" s="234">
        <v>2022</v>
      </c>
      <c r="Y3384" s="234">
        <v>5</v>
      </c>
      <c r="Z3384" s="234">
        <v>21</v>
      </c>
      <c r="AA3384" s="235">
        <v>0.9166666666678793</v>
      </c>
      <c r="AB3384" s="236">
        <v>3.6</v>
      </c>
      <c r="AC3384" s="127">
        <f t="shared" si="67"/>
        <v>4</v>
      </c>
    </row>
    <row r="3385" ht="14.5" customHeight="1" spans="11:29" x14ac:dyDescent="0.25">
      <c r="K3385" s="128"/>
      <c r="X3385" s="234">
        <v>2022</v>
      </c>
      <c r="Y3385" s="234">
        <v>5</v>
      </c>
      <c r="Z3385" s="234">
        <v>21</v>
      </c>
      <c r="AA3385" s="235">
        <v>0.9583333333321207</v>
      </c>
      <c r="AB3385" s="236">
        <v>1.9</v>
      </c>
      <c r="AC3385" s="127">
        <f t="shared" si="67"/>
        <v>2</v>
      </c>
    </row>
    <row r="3386" ht="14.5" customHeight="1" spans="11:29" x14ac:dyDescent="0.25">
      <c r="K3386" s="128"/>
      <c r="X3386" s="234">
        <v>2022</v>
      </c>
      <c r="Y3386" s="234">
        <v>5</v>
      </c>
      <c r="Z3386" s="234">
        <v>22</v>
      </c>
      <c r="AA3386" s="235">
        <v>0</v>
      </c>
      <c r="AB3386" s="236">
        <v>2.1</v>
      </c>
      <c r="AC3386" s="127">
        <f t="shared" si="67"/>
        <v>2</v>
      </c>
    </row>
    <row r="3387" ht="14.5" customHeight="1" spans="11:29" x14ac:dyDescent="0.25">
      <c r="K3387" s="128"/>
      <c r="X3387" s="234">
        <v>2022</v>
      </c>
      <c r="Y3387" s="234">
        <v>5</v>
      </c>
      <c r="Z3387" s="234">
        <v>22</v>
      </c>
      <c r="AA3387" s="235">
        <v>0.041666666667879326</v>
      </c>
      <c r="AB3387" s="236">
        <v>-0.1</v>
      </c>
      <c r="AC3387" s="127">
        <f t="shared" si="67"/>
        <v>0</v>
      </c>
    </row>
    <row r="3388" ht="14.5" customHeight="1" spans="11:29" x14ac:dyDescent="0.25">
      <c r="K3388" s="128"/>
      <c r="X3388" s="234">
        <v>2022</v>
      </c>
      <c r="Y3388" s="234">
        <v>5</v>
      </c>
      <c r="Z3388" s="234">
        <v>22</v>
      </c>
      <c r="AA3388" s="235">
        <v>0.08333333333212067</v>
      </c>
      <c r="AB3388" s="236">
        <v>0</v>
      </c>
      <c r="AC3388" s="127">
        <f t="shared" si="67"/>
        <v>0</v>
      </c>
    </row>
    <row r="3389" ht="14.5" customHeight="1" spans="11:29" x14ac:dyDescent="0.25">
      <c r="K3389" s="128"/>
      <c r="X3389" s="234">
        <v>2022</v>
      </c>
      <c r="Y3389" s="234">
        <v>5</v>
      </c>
      <c r="Z3389" s="234">
        <v>22</v>
      </c>
      <c r="AA3389" s="235">
        <v>0.125</v>
      </c>
      <c r="AB3389" s="236">
        <v>0</v>
      </c>
      <c r="AC3389" s="127">
        <f t="shared" si="67"/>
        <v>0</v>
      </c>
    </row>
    <row r="3390" ht="14.5" customHeight="1" spans="11:29" x14ac:dyDescent="0.25">
      <c r="K3390" s="128"/>
      <c r="X3390" s="234">
        <v>2022</v>
      </c>
      <c r="Y3390" s="234">
        <v>5</v>
      </c>
      <c r="Z3390" s="234">
        <v>22</v>
      </c>
      <c r="AA3390" s="235">
        <v>0.16666666666787933</v>
      </c>
      <c r="AB3390" s="236">
        <v>-1.4</v>
      </c>
      <c r="AC3390" s="127">
        <f t="shared" si="67"/>
        <v>-1</v>
      </c>
    </row>
    <row r="3391" ht="14.5" customHeight="1" spans="11:29" x14ac:dyDescent="0.25">
      <c r="K3391" s="128"/>
      <c r="X3391" s="234">
        <v>2022</v>
      </c>
      <c r="Y3391" s="234">
        <v>5</v>
      </c>
      <c r="Z3391" s="234">
        <v>22</v>
      </c>
      <c r="AA3391" s="235">
        <v>0.20833333333212067</v>
      </c>
      <c r="AB3391" s="236">
        <v>-2</v>
      </c>
      <c r="AC3391" s="127">
        <f t="shared" si="67"/>
        <v>-2</v>
      </c>
    </row>
    <row r="3392" ht="14.5" customHeight="1" spans="11:29" x14ac:dyDescent="0.25">
      <c r="K3392" s="128"/>
      <c r="X3392" s="234">
        <v>2022</v>
      </c>
      <c r="Y3392" s="234">
        <v>5</v>
      </c>
      <c r="Z3392" s="234">
        <v>22</v>
      </c>
      <c r="AA3392" s="235">
        <v>0.25</v>
      </c>
      <c r="AB3392" s="236">
        <v>0.7</v>
      </c>
      <c r="AC3392" s="127">
        <f t="shared" si="67"/>
        <v>1</v>
      </c>
    </row>
    <row r="3393" ht="14.5" customHeight="1" spans="11:29" x14ac:dyDescent="0.25">
      <c r="K3393" s="128"/>
      <c r="X3393" s="234">
        <v>2022</v>
      </c>
      <c r="Y3393" s="234">
        <v>5</v>
      </c>
      <c r="Z3393" s="234">
        <v>22</v>
      </c>
      <c r="AA3393" s="235">
        <v>0.2916666666678793</v>
      </c>
      <c r="AB3393" s="236">
        <v>5.5</v>
      </c>
      <c r="AC3393" s="127">
        <f t="shared" si="67"/>
        <v>6</v>
      </c>
    </row>
    <row r="3394" ht="14.5" customHeight="1" spans="11:29" x14ac:dyDescent="0.25">
      <c r="K3394" s="128"/>
      <c r="X3394" s="234">
        <v>2022</v>
      </c>
      <c r="Y3394" s="234">
        <v>5</v>
      </c>
      <c r="Z3394" s="234">
        <v>22</v>
      </c>
      <c r="AA3394" s="235">
        <v>0.3333333333321207</v>
      </c>
      <c r="AB3394" s="236">
        <v>7.8</v>
      </c>
      <c r="AC3394" s="127">
        <f t="shared" si="67"/>
        <v>8</v>
      </c>
    </row>
    <row r="3395" ht="14.5" customHeight="1" spans="11:29" x14ac:dyDescent="0.25">
      <c r="K3395" s="128"/>
      <c r="X3395" s="234">
        <v>2022</v>
      </c>
      <c r="Y3395" s="234">
        <v>5</v>
      </c>
      <c r="Z3395" s="234">
        <v>22</v>
      </c>
      <c r="AA3395" s="235">
        <v>0.375</v>
      </c>
      <c r="AB3395" s="236">
        <v>11</v>
      </c>
      <c r="AC3395" s="127">
        <f t="shared" si="67"/>
        <v>11</v>
      </c>
    </row>
    <row r="3396" ht="14.5" customHeight="1" spans="11:29" x14ac:dyDescent="0.25">
      <c r="K3396" s="128"/>
      <c r="X3396" s="234">
        <v>2022</v>
      </c>
      <c r="Y3396" s="234">
        <v>5</v>
      </c>
      <c r="Z3396" s="234">
        <v>22</v>
      </c>
      <c r="AA3396" s="235">
        <v>0.4166666666678793</v>
      </c>
      <c r="AB3396" s="236">
        <v>12.3</v>
      </c>
      <c r="AC3396" s="127">
        <f t="shared" si="67"/>
        <v>12</v>
      </c>
    </row>
    <row r="3397" ht="14.5" customHeight="1" spans="11:29" x14ac:dyDescent="0.25">
      <c r="K3397" s="128"/>
      <c r="X3397" s="234">
        <v>2022</v>
      </c>
      <c r="Y3397" s="234">
        <v>5</v>
      </c>
      <c r="Z3397" s="234">
        <v>22</v>
      </c>
      <c r="AA3397" s="235">
        <v>0.4583333333321207</v>
      </c>
      <c r="AB3397" s="236">
        <v>13.1</v>
      </c>
      <c r="AC3397" s="127">
        <f t="shared" si="67"/>
        <v>13</v>
      </c>
    </row>
    <row r="3398" ht="14.5" customHeight="1" spans="11:29" x14ac:dyDescent="0.25">
      <c r="K3398" s="128"/>
      <c r="X3398" s="234">
        <v>2022</v>
      </c>
      <c r="Y3398" s="234">
        <v>5</v>
      </c>
      <c r="Z3398" s="234">
        <v>22</v>
      </c>
      <c r="AA3398" s="235">
        <v>0.5</v>
      </c>
      <c r="AB3398" s="236">
        <v>13.9</v>
      </c>
      <c r="AC3398" s="127">
        <f t="shared" si="67"/>
        <v>14</v>
      </c>
    </row>
    <row r="3399" ht="14.5" customHeight="1" spans="11:29" x14ac:dyDescent="0.25">
      <c r="K3399" s="128"/>
      <c r="X3399" s="234">
        <v>2022</v>
      </c>
      <c r="Y3399" s="234">
        <v>5</v>
      </c>
      <c r="Z3399" s="234">
        <v>22</v>
      </c>
      <c r="AA3399" s="235">
        <v>0.5416666666678793</v>
      </c>
      <c r="AB3399" s="236">
        <v>14.5</v>
      </c>
      <c r="AC3399" s="127">
        <f t="shared" si="67"/>
        <v>15</v>
      </c>
    </row>
    <row r="3400" ht="14.5" customHeight="1" spans="11:29" x14ac:dyDescent="0.25">
      <c r="K3400" s="128"/>
      <c r="X3400" s="234">
        <v>2022</v>
      </c>
      <c r="Y3400" s="234">
        <v>5</v>
      </c>
      <c r="Z3400" s="234">
        <v>22</v>
      </c>
      <c r="AA3400" s="235">
        <v>0.5833333333321207</v>
      </c>
      <c r="AB3400" s="236">
        <v>15.8</v>
      </c>
      <c r="AC3400" s="127">
        <f t="shared" si="67"/>
        <v>16</v>
      </c>
    </row>
    <row r="3401" ht="14.5" customHeight="1" spans="11:29" x14ac:dyDescent="0.25">
      <c r="K3401" s="128"/>
      <c r="X3401" s="234">
        <v>2022</v>
      </c>
      <c r="Y3401" s="234">
        <v>5</v>
      </c>
      <c r="Z3401" s="234">
        <v>22</v>
      </c>
      <c r="AA3401" s="235">
        <v>0.625</v>
      </c>
      <c r="AB3401" s="236">
        <v>15</v>
      </c>
      <c r="AC3401" s="127">
        <f t="shared" si="67"/>
        <v>15</v>
      </c>
    </row>
    <row r="3402" ht="14.5" customHeight="1" spans="11:29" x14ac:dyDescent="0.25">
      <c r="K3402" s="128"/>
      <c r="X3402" s="234">
        <v>2022</v>
      </c>
      <c r="Y3402" s="234">
        <v>5</v>
      </c>
      <c r="Z3402" s="234">
        <v>22</v>
      </c>
      <c r="AA3402" s="235">
        <v>0.6666666666678793</v>
      </c>
      <c r="AB3402" s="236">
        <v>15.3</v>
      </c>
      <c r="AC3402" s="127">
        <f t="shared" si="67"/>
        <v>15</v>
      </c>
    </row>
    <row r="3403" ht="14.5" customHeight="1" spans="11:29" x14ac:dyDescent="0.25">
      <c r="K3403" s="128"/>
      <c r="X3403" s="234">
        <v>2022</v>
      </c>
      <c r="Y3403" s="234">
        <v>5</v>
      </c>
      <c r="Z3403" s="234">
        <v>22</v>
      </c>
      <c r="AA3403" s="235">
        <v>0.7083333333321207</v>
      </c>
      <c r="AB3403" s="236">
        <v>14.9</v>
      </c>
      <c r="AC3403" s="127">
        <f t="shared" ref="AC3403:AC3466" si="68">ROUND(AB3403,0)</f>
        <v>15</v>
      </c>
    </row>
    <row r="3404" ht="14.5" customHeight="1" spans="11:29" x14ac:dyDescent="0.25">
      <c r="K3404" s="128"/>
      <c r="X3404" s="234">
        <v>2022</v>
      </c>
      <c r="Y3404" s="234">
        <v>5</v>
      </c>
      <c r="Z3404" s="234">
        <v>22</v>
      </c>
      <c r="AA3404" s="235">
        <v>0.75</v>
      </c>
      <c r="AB3404" s="236">
        <v>14.8</v>
      </c>
      <c r="AC3404" s="127">
        <f t="shared" si="68"/>
        <v>15</v>
      </c>
    </row>
    <row r="3405" ht="14.5" customHeight="1" spans="11:29" x14ac:dyDescent="0.25">
      <c r="K3405" s="128"/>
      <c r="X3405" s="234">
        <v>2022</v>
      </c>
      <c r="Y3405" s="234">
        <v>5</v>
      </c>
      <c r="Z3405" s="234">
        <v>22</v>
      </c>
      <c r="AA3405" s="235">
        <v>0.7916666666678793</v>
      </c>
      <c r="AB3405" s="236">
        <v>14.8</v>
      </c>
      <c r="AC3405" s="127">
        <f t="shared" si="68"/>
        <v>15</v>
      </c>
    </row>
    <row r="3406" ht="14.5" customHeight="1" spans="11:29" x14ac:dyDescent="0.25">
      <c r="K3406" s="128"/>
      <c r="X3406" s="234">
        <v>2022</v>
      </c>
      <c r="Y3406" s="234">
        <v>5</v>
      </c>
      <c r="Z3406" s="234">
        <v>22</v>
      </c>
      <c r="AA3406" s="235">
        <v>0.8333333333321207</v>
      </c>
      <c r="AB3406" s="236">
        <v>12.8</v>
      </c>
      <c r="AC3406" s="127">
        <f t="shared" si="68"/>
        <v>13</v>
      </c>
    </row>
    <row r="3407" ht="14.5" customHeight="1" spans="11:29" x14ac:dyDescent="0.25">
      <c r="K3407" s="128"/>
      <c r="X3407" s="234">
        <v>2022</v>
      </c>
      <c r="Y3407" s="234">
        <v>5</v>
      </c>
      <c r="Z3407" s="234">
        <v>22</v>
      </c>
      <c r="AA3407" s="235">
        <v>0.875</v>
      </c>
      <c r="AB3407" s="236">
        <v>10.2</v>
      </c>
      <c r="AC3407" s="127">
        <f t="shared" si="68"/>
        <v>10</v>
      </c>
    </row>
    <row r="3408" ht="14.5" customHeight="1" spans="11:29" x14ac:dyDescent="0.25">
      <c r="K3408" s="128"/>
      <c r="X3408" s="234">
        <v>2022</v>
      </c>
      <c r="Y3408" s="234">
        <v>5</v>
      </c>
      <c r="Z3408" s="234">
        <v>22</v>
      </c>
      <c r="AA3408" s="235">
        <v>0.9166666666678793</v>
      </c>
      <c r="AB3408" s="236">
        <v>10</v>
      </c>
      <c r="AC3408" s="127">
        <f t="shared" si="68"/>
        <v>10</v>
      </c>
    </row>
    <row r="3409" ht="14.5" customHeight="1" spans="11:29" x14ac:dyDescent="0.25">
      <c r="K3409" s="128"/>
      <c r="X3409" s="234">
        <v>2022</v>
      </c>
      <c r="Y3409" s="234">
        <v>5</v>
      </c>
      <c r="Z3409" s="234">
        <v>22</v>
      </c>
      <c r="AA3409" s="235">
        <v>0.9583333333321207</v>
      </c>
      <c r="AB3409" s="236">
        <v>11.1</v>
      </c>
      <c r="AC3409" s="127">
        <f t="shared" si="68"/>
        <v>11</v>
      </c>
    </row>
    <row r="3410" ht="14.5" customHeight="1" spans="11:29" x14ac:dyDescent="0.25">
      <c r="K3410" s="128"/>
      <c r="X3410" s="234">
        <v>2022</v>
      </c>
      <c r="Y3410" s="234">
        <v>5</v>
      </c>
      <c r="Z3410" s="234">
        <v>23</v>
      </c>
      <c r="AA3410" s="235">
        <v>0</v>
      </c>
      <c r="AB3410" s="236">
        <v>8.5</v>
      </c>
      <c r="AC3410" s="127">
        <f t="shared" si="68"/>
        <v>9</v>
      </c>
    </row>
    <row r="3411" ht="14.5" customHeight="1" spans="11:29" x14ac:dyDescent="0.25">
      <c r="K3411" s="128"/>
      <c r="X3411" s="234">
        <v>2022</v>
      </c>
      <c r="Y3411" s="234">
        <v>5</v>
      </c>
      <c r="Z3411" s="234">
        <v>23</v>
      </c>
      <c r="AA3411" s="235">
        <v>0.041666666667879326</v>
      </c>
      <c r="AB3411" s="236">
        <v>5.5</v>
      </c>
      <c r="AC3411" s="127">
        <f t="shared" si="68"/>
        <v>6</v>
      </c>
    </row>
    <row r="3412" ht="14.5" customHeight="1" spans="11:29" x14ac:dyDescent="0.25">
      <c r="K3412" s="128"/>
      <c r="X3412" s="234">
        <v>2022</v>
      </c>
      <c r="Y3412" s="234">
        <v>5</v>
      </c>
      <c r="Z3412" s="234">
        <v>23</v>
      </c>
      <c r="AA3412" s="235">
        <v>0.08333333333212067</v>
      </c>
      <c r="AB3412" s="236">
        <v>4</v>
      </c>
      <c r="AC3412" s="127">
        <f t="shared" si="68"/>
        <v>4</v>
      </c>
    </row>
    <row r="3413" ht="14.5" customHeight="1" spans="11:29" x14ac:dyDescent="0.25">
      <c r="K3413" s="128"/>
      <c r="X3413" s="234">
        <v>2022</v>
      </c>
      <c r="Y3413" s="234">
        <v>5</v>
      </c>
      <c r="Z3413" s="234">
        <v>23</v>
      </c>
      <c r="AA3413" s="235">
        <v>0.125</v>
      </c>
      <c r="AB3413" s="236">
        <v>2.5</v>
      </c>
      <c r="AC3413" s="127">
        <f t="shared" si="68"/>
        <v>3</v>
      </c>
    </row>
    <row r="3414" ht="14.5" customHeight="1" spans="11:29" x14ac:dyDescent="0.25">
      <c r="K3414" s="128"/>
      <c r="X3414" s="234">
        <v>2022</v>
      </c>
      <c r="Y3414" s="234">
        <v>5</v>
      </c>
      <c r="Z3414" s="234">
        <v>23</v>
      </c>
      <c r="AA3414" s="235">
        <v>0.16666666666787933</v>
      </c>
      <c r="AB3414" s="236">
        <v>2.5</v>
      </c>
      <c r="AC3414" s="127">
        <f t="shared" si="68"/>
        <v>3</v>
      </c>
    </row>
    <row r="3415" ht="14.5" customHeight="1" spans="11:29" x14ac:dyDescent="0.25">
      <c r="K3415" s="128"/>
      <c r="X3415" s="234">
        <v>2022</v>
      </c>
      <c r="Y3415" s="234">
        <v>5</v>
      </c>
      <c r="Z3415" s="234">
        <v>23</v>
      </c>
      <c r="AA3415" s="235">
        <v>0.20833333333212067</v>
      </c>
      <c r="AB3415" s="236">
        <v>2.4</v>
      </c>
      <c r="AC3415" s="127">
        <f t="shared" si="68"/>
        <v>2</v>
      </c>
    </row>
    <row r="3416" ht="14.5" customHeight="1" spans="11:29" x14ac:dyDescent="0.25">
      <c r="K3416" s="128"/>
      <c r="X3416" s="234">
        <v>2022</v>
      </c>
      <c r="Y3416" s="234">
        <v>5</v>
      </c>
      <c r="Z3416" s="234">
        <v>23</v>
      </c>
      <c r="AA3416" s="235">
        <v>0.25</v>
      </c>
      <c r="AB3416" s="236">
        <v>5.3</v>
      </c>
      <c r="AC3416" s="127">
        <f t="shared" si="68"/>
        <v>5</v>
      </c>
    </row>
    <row r="3417" ht="14.5" customHeight="1" spans="11:29" x14ac:dyDescent="0.25">
      <c r="K3417" s="128"/>
      <c r="X3417" s="234">
        <v>2022</v>
      </c>
      <c r="Y3417" s="234">
        <v>5</v>
      </c>
      <c r="Z3417" s="234">
        <v>23</v>
      </c>
      <c r="AA3417" s="235">
        <v>0.2916666666678793</v>
      </c>
      <c r="AB3417" s="236">
        <v>8.8</v>
      </c>
      <c r="AC3417" s="127">
        <f t="shared" si="68"/>
        <v>9</v>
      </c>
    </row>
    <row r="3418" ht="14.5" customHeight="1" spans="11:29" x14ac:dyDescent="0.25">
      <c r="K3418" s="128"/>
      <c r="X3418" s="234">
        <v>2022</v>
      </c>
      <c r="Y3418" s="234">
        <v>5</v>
      </c>
      <c r="Z3418" s="234">
        <v>23</v>
      </c>
      <c r="AA3418" s="235">
        <v>0.3333333333321207</v>
      </c>
      <c r="AB3418" s="236">
        <v>12.7</v>
      </c>
      <c r="AC3418" s="127">
        <f t="shared" si="68"/>
        <v>13</v>
      </c>
    </row>
    <row r="3419" ht="14.5" customHeight="1" spans="11:29" x14ac:dyDescent="0.25">
      <c r="K3419" s="128"/>
      <c r="X3419" s="234">
        <v>2022</v>
      </c>
      <c r="Y3419" s="234">
        <v>5</v>
      </c>
      <c r="Z3419" s="234">
        <v>23</v>
      </c>
      <c r="AA3419" s="235">
        <v>0.375</v>
      </c>
      <c r="AB3419" s="236">
        <v>14.7</v>
      </c>
      <c r="AC3419" s="127">
        <f t="shared" si="68"/>
        <v>15</v>
      </c>
    </row>
    <row r="3420" ht="14.5" customHeight="1" spans="11:29" x14ac:dyDescent="0.25">
      <c r="K3420" s="128"/>
      <c r="X3420" s="234">
        <v>2022</v>
      </c>
      <c r="Y3420" s="234">
        <v>5</v>
      </c>
      <c r="Z3420" s="234">
        <v>23</v>
      </c>
      <c r="AA3420" s="235">
        <v>0.4166666666678793</v>
      </c>
      <c r="AB3420" s="236">
        <v>15.4</v>
      </c>
      <c r="AC3420" s="127">
        <f t="shared" si="68"/>
        <v>15</v>
      </c>
    </row>
    <row r="3421" ht="14.5" customHeight="1" spans="11:29" x14ac:dyDescent="0.25">
      <c r="K3421" s="128"/>
      <c r="X3421" s="234">
        <v>2022</v>
      </c>
      <c r="Y3421" s="234">
        <v>5</v>
      </c>
      <c r="Z3421" s="234">
        <v>23</v>
      </c>
      <c r="AA3421" s="235">
        <v>0.4583333333321207</v>
      </c>
      <c r="AB3421" s="236">
        <v>15.8</v>
      </c>
      <c r="AC3421" s="127">
        <f t="shared" si="68"/>
        <v>16</v>
      </c>
    </row>
    <row r="3422" ht="14.5" customHeight="1" spans="11:29" x14ac:dyDescent="0.25">
      <c r="K3422" s="128"/>
      <c r="X3422" s="234">
        <v>2022</v>
      </c>
      <c r="Y3422" s="234">
        <v>5</v>
      </c>
      <c r="Z3422" s="234">
        <v>23</v>
      </c>
      <c r="AA3422" s="235">
        <v>0.5</v>
      </c>
      <c r="AB3422" s="236">
        <v>17.3</v>
      </c>
      <c r="AC3422" s="127">
        <f t="shared" si="68"/>
        <v>17</v>
      </c>
    </row>
    <row r="3423" ht="14.5" customHeight="1" spans="11:29" x14ac:dyDescent="0.25">
      <c r="K3423" s="128"/>
      <c r="X3423" s="234">
        <v>2022</v>
      </c>
      <c r="Y3423" s="234">
        <v>5</v>
      </c>
      <c r="Z3423" s="234">
        <v>23</v>
      </c>
      <c r="AA3423" s="235">
        <v>0.5416666666678793</v>
      </c>
      <c r="AB3423" s="236">
        <v>18.4</v>
      </c>
      <c r="AC3423" s="127">
        <f t="shared" si="68"/>
        <v>18</v>
      </c>
    </row>
    <row r="3424" ht="14.5" customHeight="1" spans="11:29" x14ac:dyDescent="0.25">
      <c r="K3424" s="128"/>
      <c r="X3424" s="234">
        <v>2022</v>
      </c>
      <c r="Y3424" s="234">
        <v>5</v>
      </c>
      <c r="Z3424" s="234">
        <v>23</v>
      </c>
      <c r="AA3424" s="235">
        <v>0.5833333333321207</v>
      </c>
      <c r="AB3424" s="236">
        <v>18.5</v>
      </c>
      <c r="AC3424" s="127">
        <f t="shared" si="68"/>
        <v>19</v>
      </c>
    </row>
    <row r="3425" ht="14.5" customHeight="1" spans="11:29" x14ac:dyDescent="0.25">
      <c r="K3425" s="128"/>
      <c r="X3425" s="234">
        <v>2022</v>
      </c>
      <c r="Y3425" s="234">
        <v>5</v>
      </c>
      <c r="Z3425" s="234">
        <v>23</v>
      </c>
      <c r="AA3425" s="235">
        <v>0.625</v>
      </c>
      <c r="AB3425" s="236">
        <v>17.3</v>
      </c>
      <c r="AC3425" s="127">
        <f t="shared" si="68"/>
        <v>17</v>
      </c>
    </row>
    <row r="3426" ht="14.5" customHeight="1" spans="11:29" x14ac:dyDescent="0.25">
      <c r="K3426" s="128"/>
      <c r="X3426" s="234">
        <v>2022</v>
      </c>
      <c r="Y3426" s="234">
        <v>5</v>
      </c>
      <c r="Z3426" s="234">
        <v>23</v>
      </c>
      <c r="AA3426" s="235">
        <v>0.6666666666678793</v>
      </c>
      <c r="AB3426" s="236">
        <v>17.5</v>
      </c>
      <c r="AC3426" s="127">
        <f t="shared" si="68"/>
        <v>18</v>
      </c>
    </row>
    <row r="3427" ht="14.5" customHeight="1" spans="11:29" x14ac:dyDescent="0.25">
      <c r="K3427" s="128"/>
      <c r="X3427" s="234">
        <v>2022</v>
      </c>
      <c r="Y3427" s="234">
        <v>5</v>
      </c>
      <c r="Z3427" s="234">
        <v>23</v>
      </c>
      <c r="AA3427" s="235">
        <v>0.7083333333321207</v>
      </c>
      <c r="AB3427" s="236">
        <v>17.7</v>
      </c>
      <c r="AC3427" s="127">
        <f t="shared" si="68"/>
        <v>18</v>
      </c>
    </row>
    <row r="3428" ht="14.5" customHeight="1" spans="11:29" x14ac:dyDescent="0.25">
      <c r="K3428" s="128"/>
      <c r="X3428" s="234">
        <v>2022</v>
      </c>
      <c r="Y3428" s="234">
        <v>5</v>
      </c>
      <c r="Z3428" s="234">
        <v>23</v>
      </c>
      <c r="AA3428" s="235">
        <v>0.75</v>
      </c>
      <c r="AB3428" s="236">
        <v>17.1</v>
      </c>
      <c r="AC3428" s="127">
        <f t="shared" si="68"/>
        <v>17</v>
      </c>
    </row>
    <row r="3429" ht="14.5" customHeight="1" spans="11:29" x14ac:dyDescent="0.25">
      <c r="K3429" s="128"/>
      <c r="X3429" s="234">
        <v>2022</v>
      </c>
      <c r="Y3429" s="234">
        <v>5</v>
      </c>
      <c r="Z3429" s="234">
        <v>23</v>
      </c>
      <c r="AA3429" s="235">
        <v>0.7916666666678793</v>
      </c>
      <c r="AB3429" s="236">
        <v>16.5</v>
      </c>
      <c r="AC3429" s="127">
        <f t="shared" si="68"/>
        <v>17</v>
      </c>
    </row>
    <row r="3430" ht="14.5" customHeight="1" spans="11:29" x14ac:dyDescent="0.25">
      <c r="K3430" s="128"/>
      <c r="X3430" s="234">
        <v>2022</v>
      </c>
      <c r="Y3430" s="234">
        <v>5</v>
      </c>
      <c r="Z3430" s="234">
        <v>23</v>
      </c>
      <c r="AA3430" s="235">
        <v>0.8333333333321207</v>
      </c>
      <c r="AB3430" s="236">
        <v>14.6</v>
      </c>
      <c r="AC3430" s="127">
        <f t="shared" si="68"/>
        <v>15</v>
      </c>
    </row>
    <row r="3431" ht="14.5" customHeight="1" spans="11:29" x14ac:dyDescent="0.25">
      <c r="K3431" s="128"/>
      <c r="X3431" s="234">
        <v>2022</v>
      </c>
      <c r="Y3431" s="234">
        <v>5</v>
      </c>
      <c r="Z3431" s="234">
        <v>23</v>
      </c>
      <c r="AA3431" s="235">
        <v>0.875</v>
      </c>
      <c r="AB3431" s="236">
        <v>15</v>
      </c>
      <c r="AC3431" s="127">
        <f t="shared" si="68"/>
        <v>15</v>
      </c>
    </row>
    <row r="3432" ht="14.5" customHeight="1" spans="11:29" x14ac:dyDescent="0.25">
      <c r="K3432" s="128"/>
      <c r="X3432" s="234">
        <v>2022</v>
      </c>
      <c r="Y3432" s="234">
        <v>5</v>
      </c>
      <c r="Z3432" s="234">
        <v>23</v>
      </c>
      <c r="AA3432" s="235">
        <v>0.9166666666678793</v>
      </c>
      <c r="AB3432" s="236">
        <v>13.4</v>
      </c>
      <c r="AC3432" s="127">
        <f t="shared" si="68"/>
        <v>13</v>
      </c>
    </row>
    <row r="3433" ht="14.5" customHeight="1" spans="11:29" x14ac:dyDescent="0.25">
      <c r="K3433" s="128"/>
      <c r="X3433" s="234">
        <v>2022</v>
      </c>
      <c r="Y3433" s="234">
        <v>5</v>
      </c>
      <c r="Z3433" s="234">
        <v>23</v>
      </c>
      <c r="AA3433" s="235">
        <v>0.9583333333321207</v>
      </c>
      <c r="AB3433" s="236">
        <v>11.9</v>
      </c>
      <c r="AC3433" s="127">
        <f t="shared" si="68"/>
        <v>12</v>
      </c>
    </row>
    <row r="3434" ht="14.5" customHeight="1" spans="11:29" x14ac:dyDescent="0.25">
      <c r="K3434" s="128"/>
      <c r="X3434" s="234">
        <v>2022</v>
      </c>
      <c r="Y3434" s="234">
        <v>5</v>
      </c>
      <c r="Z3434" s="234">
        <v>24</v>
      </c>
      <c r="AA3434" s="235">
        <v>0</v>
      </c>
      <c r="AB3434" s="236">
        <v>9.7</v>
      </c>
      <c r="AC3434" s="127">
        <f t="shared" si="68"/>
        <v>10</v>
      </c>
    </row>
    <row r="3435" ht="14.5" customHeight="1" spans="11:29" x14ac:dyDescent="0.25">
      <c r="K3435" s="128"/>
      <c r="X3435" s="234">
        <v>2022</v>
      </c>
      <c r="Y3435" s="234">
        <v>5</v>
      </c>
      <c r="Z3435" s="234">
        <v>24</v>
      </c>
      <c r="AA3435" s="235">
        <v>0.041666666667879326</v>
      </c>
      <c r="AB3435" s="236">
        <v>7.4</v>
      </c>
      <c r="AC3435" s="127">
        <f t="shared" si="68"/>
        <v>7</v>
      </c>
    </row>
    <row r="3436" ht="14.5" customHeight="1" spans="11:29" x14ac:dyDescent="0.25">
      <c r="K3436" s="128"/>
      <c r="X3436" s="234">
        <v>2022</v>
      </c>
      <c r="Y3436" s="234">
        <v>5</v>
      </c>
      <c r="Z3436" s="234">
        <v>24</v>
      </c>
      <c r="AA3436" s="235">
        <v>0.08333333333212067</v>
      </c>
      <c r="AB3436" s="236">
        <v>5.4</v>
      </c>
      <c r="AC3436" s="127">
        <f t="shared" si="68"/>
        <v>5</v>
      </c>
    </row>
    <row r="3437" ht="14.5" customHeight="1" spans="11:29" x14ac:dyDescent="0.25">
      <c r="K3437" s="128"/>
      <c r="X3437" s="234">
        <v>2022</v>
      </c>
      <c r="Y3437" s="234">
        <v>5</v>
      </c>
      <c r="Z3437" s="234">
        <v>24</v>
      </c>
      <c r="AA3437" s="235">
        <v>0.125</v>
      </c>
      <c r="AB3437" s="236">
        <v>7.9</v>
      </c>
      <c r="AC3437" s="127">
        <f t="shared" si="68"/>
        <v>8</v>
      </c>
    </row>
    <row r="3438" ht="14.5" customHeight="1" spans="11:29" x14ac:dyDescent="0.25">
      <c r="K3438" s="128"/>
      <c r="X3438" s="234">
        <v>2022</v>
      </c>
      <c r="Y3438" s="234">
        <v>5</v>
      </c>
      <c r="Z3438" s="234">
        <v>24</v>
      </c>
      <c r="AA3438" s="235">
        <v>0.16666666666787933</v>
      </c>
      <c r="AB3438" s="236">
        <v>8.4</v>
      </c>
      <c r="AC3438" s="127">
        <f t="shared" si="68"/>
        <v>8</v>
      </c>
    </row>
    <row r="3439" ht="14.5" customHeight="1" spans="11:29" x14ac:dyDescent="0.25">
      <c r="K3439" s="128"/>
      <c r="X3439" s="234">
        <v>2022</v>
      </c>
      <c r="Y3439" s="234">
        <v>5</v>
      </c>
      <c r="Z3439" s="234">
        <v>24</v>
      </c>
      <c r="AA3439" s="235">
        <v>0.20833333333212067</v>
      </c>
      <c r="AB3439" s="236">
        <v>8.7</v>
      </c>
      <c r="AC3439" s="127">
        <f t="shared" si="68"/>
        <v>9</v>
      </c>
    </row>
    <row r="3440" ht="14.5" customHeight="1" spans="11:29" x14ac:dyDescent="0.25">
      <c r="K3440" s="128"/>
      <c r="X3440" s="234">
        <v>2022</v>
      </c>
      <c r="Y3440" s="234">
        <v>5</v>
      </c>
      <c r="Z3440" s="234">
        <v>24</v>
      </c>
      <c r="AA3440" s="235">
        <v>0.25</v>
      </c>
      <c r="AB3440" s="236">
        <v>8.9</v>
      </c>
      <c r="AC3440" s="127">
        <f t="shared" si="68"/>
        <v>9</v>
      </c>
    </row>
    <row r="3441" ht="14.5" customHeight="1" spans="11:29" x14ac:dyDescent="0.25">
      <c r="K3441" s="128"/>
      <c r="X3441" s="234">
        <v>2022</v>
      </c>
      <c r="Y3441" s="234">
        <v>5</v>
      </c>
      <c r="Z3441" s="234">
        <v>24</v>
      </c>
      <c r="AA3441" s="235">
        <v>0.2916666666678793</v>
      </c>
      <c r="AB3441" s="236">
        <v>10.2</v>
      </c>
      <c r="AC3441" s="127">
        <f t="shared" si="68"/>
        <v>10</v>
      </c>
    </row>
    <row r="3442" ht="14.5" customHeight="1" spans="11:29" x14ac:dyDescent="0.25">
      <c r="K3442" s="128"/>
      <c r="X3442" s="234">
        <v>2022</v>
      </c>
      <c r="Y3442" s="234">
        <v>5</v>
      </c>
      <c r="Z3442" s="234">
        <v>24</v>
      </c>
      <c r="AA3442" s="235">
        <v>0.3333333333321207</v>
      </c>
      <c r="AB3442" s="236">
        <v>13.4</v>
      </c>
      <c r="AC3442" s="127">
        <f t="shared" si="68"/>
        <v>13</v>
      </c>
    </row>
    <row r="3443" ht="14.5" customHeight="1" spans="11:29" x14ac:dyDescent="0.25">
      <c r="K3443" s="128"/>
      <c r="X3443" s="234">
        <v>2022</v>
      </c>
      <c r="Y3443" s="234">
        <v>5</v>
      </c>
      <c r="Z3443" s="234">
        <v>24</v>
      </c>
      <c r="AA3443" s="235">
        <v>0.375</v>
      </c>
      <c r="AB3443" s="236">
        <v>14.2</v>
      </c>
      <c r="AC3443" s="127">
        <f t="shared" si="68"/>
        <v>14</v>
      </c>
    </row>
    <row r="3444" ht="14.5" customHeight="1" spans="11:29" x14ac:dyDescent="0.25">
      <c r="K3444" s="128"/>
      <c r="X3444" s="234">
        <v>2022</v>
      </c>
      <c r="Y3444" s="234">
        <v>5</v>
      </c>
      <c r="Z3444" s="234">
        <v>24</v>
      </c>
      <c r="AA3444" s="235">
        <v>0.4166666666678793</v>
      </c>
      <c r="AB3444" s="236">
        <v>15.3</v>
      </c>
      <c r="AC3444" s="127">
        <f t="shared" si="68"/>
        <v>15</v>
      </c>
    </row>
    <row r="3445" ht="14.5" customHeight="1" spans="11:29" x14ac:dyDescent="0.25">
      <c r="K3445" s="128"/>
      <c r="X3445" s="234">
        <v>2022</v>
      </c>
      <c r="Y3445" s="234">
        <v>5</v>
      </c>
      <c r="Z3445" s="234">
        <v>24</v>
      </c>
      <c r="AA3445" s="235">
        <v>0.4583333333321207</v>
      </c>
      <c r="AB3445" s="236">
        <v>15.8</v>
      </c>
      <c r="AC3445" s="127">
        <f t="shared" si="68"/>
        <v>16</v>
      </c>
    </row>
    <row r="3446" ht="14.5" customHeight="1" spans="11:29" x14ac:dyDescent="0.25">
      <c r="K3446" s="128"/>
      <c r="X3446" s="234">
        <v>2022</v>
      </c>
      <c r="Y3446" s="234">
        <v>5</v>
      </c>
      <c r="Z3446" s="234">
        <v>24</v>
      </c>
      <c r="AA3446" s="235">
        <v>0.5</v>
      </c>
      <c r="AB3446" s="236">
        <v>15.6</v>
      </c>
      <c r="AC3446" s="127">
        <f t="shared" si="68"/>
        <v>16</v>
      </c>
    </row>
    <row r="3447" ht="14.5" customHeight="1" spans="11:29" x14ac:dyDescent="0.25">
      <c r="K3447" s="128"/>
      <c r="X3447" s="234">
        <v>2022</v>
      </c>
      <c r="Y3447" s="234">
        <v>5</v>
      </c>
      <c r="Z3447" s="234">
        <v>24</v>
      </c>
      <c r="AA3447" s="235">
        <v>0.5416666666678793</v>
      </c>
      <c r="AB3447" s="236">
        <v>15.8</v>
      </c>
      <c r="AC3447" s="127">
        <f t="shared" si="68"/>
        <v>16</v>
      </c>
    </row>
    <row r="3448" ht="14.5" customHeight="1" spans="11:29" x14ac:dyDescent="0.25">
      <c r="K3448" s="128"/>
      <c r="X3448" s="234">
        <v>2022</v>
      </c>
      <c r="Y3448" s="234">
        <v>5</v>
      </c>
      <c r="Z3448" s="234">
        <v>24</v>
      </c>
      <c r="AA3448" s="235">
        <v>0.5833333333321207</v>
      </c>
      <c r="AB3448" s="236">
        <v>14.8</v>
      </c>
      <c r="AC3448" s="127">
        <f t="shared" si="68"/>
        <v>15</v>
      </c>
    </row>
    <row r="3449" ht="14.5" customHeight="1" spans="11:29" x14ac:dyDescent="0.25">
      <c r="K3449" s="128"/>
      <c r="X3449" s="234">
        <v>2022</v>
      </c>
      <c r="Y3449" s="234">
        <v>5</v>
      </c>
      <c r="Z3449" s="234">
        <v>24</v>
      </c>
      <c r="AA3449" s="235">
        <v>0.625</v>
      </c>
      <c r="AB3449" s="236">
        <v>14.2</v>
      </c>
      <c r="AC3449" s="127">
        <f t="shared" si="68"/>
        <v>14</v>
      </c>
    </row>
    <row r="3450" ht="14.5" customHeight="1" spans="11:29" x14ac:dyDescent="0.25">
      <c r="K3450" s="128"/>
      <c r="X3450" s="234">
        <v>2022</v>
      </c>
      <c r="Y3450" s="234">
        <v>5</v>
      </c>
      <c r="Z3450" s="234">
        <v>24</v>
      </c>
      <c r="AA3450" s="235">
        <v>0.6666666666678793</v>
      </c>
      <c r="AB3450" s="236">
        <v>15.6</v>
      </c>
      <c r="AC3450" s="127">
        <f t="shared" si="68"/>
        <v>16</v>
      </c>
    </row>
    <row r="3451" ht="14.5" customHeight="1" spans="11:29" x14ac:dyDescent="0.25">
      <c r="K3451" s="128"/>
      <c r="X3451" s="234">
        <v>2022</v>
      </c>
      <c r="Y3451" s="234">
        <v>5</v>
      </c>
      <c r="Z3451" s="234">
        <v>24</v>
      </c>
      <c r="AA3451" s="235">
        <v>0.7083333333321207</v>
      </c>
      <c r="AB3451" s="236">
        <v>16</v>
      </c>
      <c r="AC3451" s="127">
        <f t="shared" si="68"/>
        <v>16</v>
      </c>
    </row>
    <row r="3452" ht="14.5" customHeight="1" spans="11:29" x14ac:dyDescent="0.25">
      <c r="K3452" s="128"/>
      <c r="X3452" s="234">
        <v>2022</v>
      </c>
      <c r="Y3452" s="234">
        <v>5</v>
      </c>
      <c r="Z3452" s="234">
        <v>24</v>
      </c>
      <c r="AA3452" s="235">
        <v>0.75</v>
      </c>
      <c r="AB3452" s="236">
        <v>14.8</v>
      </c>
      <c r="AC3452" s="127">
        <f t="shared" si="68"/>
        <v>15</v>
      </c>
    </row>
    <row r="3453" ht="14.5" customHeight="1" spans="11:29" x14ac:dyDescent="0.25">
      <c r="K3453" s="128"/>
      <c r="X3453" s="234">
        <v>2022</v>
      </c>
      <c r="Y3453" s="234">
        <v>5</v>
      </c>
      <c r="Z3453" s="234">
        <v>24</v>
      </c>
      <c r="AA3453" s="235">
        <v>0.7916666666678793</v>
      </c>
      <c r="AB3453" s="236">
        <v>14.3</v>
      </c>
      <c r="AC3453" s="127">
        <f t="shared" si="68"/>
        <v>14</v>
      </c>
    </row>
    <row r="3454" ht="14.5" customHeight="1" spans="11:29" x14ac:dyDescent="0.25">
      <c r="K3454" s="128"/>
      <c r="X3454" s="234">
        <v>2022</v>
      </c>
      <c r="Y3454" s="234">
        <v>5</v>
      </c>
      <c r="Z3454" s="234">
        <v>24</v>
      </c>
      <c r="AA3454" s="235">
        <v>0.8333333333321207</v>
      </c>
      <c r="AB3454" s="236">
        <v>13.9</v>
      </c>
      <c r="AC3454" s="127">
        <f t="shared" si="68"/>
        <v>14</v>
      </c>
    </row>
    <row r="3455" ht="14.5" customHeight="1" spans="11:29" x14ac:dyDescent="0.25">
      <c r="K3455" s="128"/>
      <c r="X3455" s="234">
        <v>2022</v>
      </c>
      <c r="Y3455" s="234">
        <v>5</v>
      </c>
      <c r="Z3455" s="234">
        <v>24</v>
      </c>
      <c r="AA3455" s="235">
        <v>0.875</v>
      </c>
      <c r="AB3455" s="236">
        <v>11</v>
      </c>
      <c r="AC3455" s="127">
        <f t="shared" si="68"/>
        <v>11</v>
      </c>
    </row>
    <row r="3456" ht="14.5" customHeight="1" spans="11:29" x14ac:dyDescent="0.25">
      <c r="K3456" s="128"/>
      <c r="X3456" s="234">
        <v>2022</v>
      </c>
      <c r="Y3456" s="234">
        <v>5</v>
      </c>
      <c r="Z3456" s="234">
        <v>24</v>
      </c>
      <c r="AA3456" s="235">
        <v>0.9166666666678793</v>
      </c>
      <c r="AB3456" s="236">
        <v>11.2</v>
      </c>
      <c r="AC3456" s="127">
        <f t="shared" si="68"/>
        <v>11</v>
      </c>
    </row>
    <row r="3457" ht="14.5" customHeight="1" spans="11:29" x14ac:dyDescent="0.25">
      <c r="K3457" s="128"/>
      <c r="X3457" s="234">
        <v>2022</v>
      </c>
      <c r="Y3457" s="234">
        <v>5</v>
      </c>
      <c r="Z3457" s="234">
        <v>24</v>
      </c>
      <c r="AA3457" s="235">
        <v>0.9583333333321207</v>
      </c>
      <c r="AB3457" s="236">
        <v>10.6</v>
      </c>
      <c r="AC3457" s="127">
        <f t="shared" si="68"/>
        <v>11</v>
      </c>
    </row>
    <row r="3458" ht="14.5" customHeight="1" spans="11:29" x14ac:dyDescent="0.25">
      <c r="K3458" s="128"/>
      <c r="X3458" s="234">
        <v>2022</v>
      </c>
      <c r="Y3458" s="234">
        <v>5</v>
      </c>
      <c r="Z3458" s="234">
        <v>25</v>
      </c>
      <c r="AA3458" s="235">
        <v>0</v>
      </c>
      <c r="AB3458" s="236">
        <v>9.8</v>
      </c>
      <c r="AC3458" s="127">
        <f t="shared" si="68"/>
        <v>10</v>
      </c>
    </row>
    <row r="3459" ht="14.5" customHeight="1" spans="11:29" x14ac:dyDescent="0.25">
      <c r="K3459" s="128"/>
      <c r="X3459" s="234">
        <v>2022</v>
      </c>
      <c r="Y3459" s="234">
        <v>5</v>
      </c>
      <c r="Z3459" s="234">
        <v>25</v>
      </c>
      <c r="AA3459" s="235">
        <v>0.041666666667879326</v>
      </c>
      <c r="AB3459" s="236">
        <v>9.4</v>
      </c>
      <c r="AC3459" s="127">
        <f t="shared" si="68"/>
        <v>9</v>
      </c>
    </row>
    <row r="3460" ht="14.5" customHeight="1" spans="11:29" x14ac:dyDescent="0.25">
      <c r="K3460" s="128"/>
      <c r="X3460" s="234">
        <v>2022</v>
      </c>
      <c r="Y3460" s="234">
        <v>5</v>
      </c>
      <c r="Z3460" s="234">
        <v>25</v>
      </c>
      <c r="AA3460" s="235">
        <v>0.08333333333212067</v>
      </c>
      <c r="AB3460" s="236">
        <v>9.3</v>
      </c>
      <c r="AC3460" s="127">
        <f t="shared" si="68"/>
        <v>9</v>
      </c>
    </row>
    <row r="3461" ht="14.5" customHeight="1" spans="11:29" x14ac:dyDescent="0.25">
      <c r="K3461" s="128"/>
      <c r="X3461" s="234">
        <v>2022</v>
      </c>
      <c r="Y3461" s="234">
        <v>5</v>
      </c>
      <c r="Z3461" s="234">
        <v>25</v>
      </c>
      <c r="AA3461" s="235">
        <v>0.125</v>
      </c>
      <c r="AB3461" s="236">
        <v>7.6</v>
      </c>
      <c r="AC3461" s="127">
        <f t="shared" si="68"/>
        <v>8</v>
      </c>
    </row>
    <row r="3462" ht="14.5" customHeight="1" spans="11:29" x14ac:dyDescent="0.25">
      <c r="K3462" s="128"/>
      <c r="X3462" s="234">
        <v>2022</v>
      </c>
      <c r="Y3462" s="234">
        <v>5</v>
      </c>
      <c r="Z3462" s="234">
        <v>25</v>
      </c>
      <c r="AA3462" s="235">
        <v>0.16666666666787933</v>
      </c>
      <c r="AB3462" s="236">
        <v>7.4</v>
      </c>
      <c r="AC3462" s="127">
        <f t="shared" si="68"/>
        <v>7</v>
      </c>
    </row>
    <row r="3463" ht="14.5" customHeight="1" spans="11:29" x14ac:dyDescent="0.25">
      <c r="K3463" s="128"/>
      <c r="X3463" s="234">
        <v>2022</v>
      </c>
      <c r="Y3463" s="234">
        <v>5</v>
      </c>
      <c r="Z3463" s="234">
        <v>25</v>
      </c>
      <c r="AA3463" s="235">
        <v>0.20833333333212067</v>
      </c>
      <c r="AB3463" s="236">
        <v>9.5</v>
      </c>
      <c r="AC3463" s="127">
        <f t="shared" si="68"/>
        <v>10</v>
      </c>
    </row>
    <row r="3464" ht="14.5" customHeight="1" spans="11:29" x14ac:dyDescent="0.25">
      <c r="K3464" s="128"/>
      <c r="X3464" s="234">
        <v>2022</v>
      </c>
      <c r="Y3464" s="234">
        <v>5</v>
      </c>
      <c r="Z3464" s="234">
        <v>25</v>
      </c>
      <c r="AA3464" s="235">
        <v>0.25</v>
      </c>
      <c r="AB3464" s="236">
        <v>10.2</v>
      </c>
      <c r="AC3464" s="127">
        <f t="shared" si="68"/>
        <v>10</v>
      </c>
    </row>
    <row r="3465" ht="14.5" customHeight="1" spans="11:29" x14ac:dyDescent="0.25">
      <c r="K3465" s="128"/>
      <c r="X3465" s="234">
        <v>2022</v>
      </c>
      <c r="Y3465" s="234">
        <v>5</v>
      </c>
      <c r="Z3465" s="234">
        <v>25</v>
      </c>
      <c r="AA3465" s="235">
        <v>0.2916666666678793</v>
      </c>
      <c r="AB3465" s="236">
        <v>11.5</v>
      </c>
      <c r="AC3465" s="127">
        <f t="shared" si="68"/>
        <v>12</v>
      </c>
    </row>
    <row r="3466" ht="14.5" customHeight="1" spans="11:29" x14ac:dyDescent="0.25">
      <c r="K3466" s="128"/>
      <c r="X3466" s="234">
        <v>2022</v>
      </c>
      <c r="Y3466" s="234">
        <v>5</v>
      </c>
      <c r="Z3466" s="234">
        <v>25</v>
      </c>
      <c r="AA3466" s="235">
        <v>0.3333333333321207</v>
      </c>
      <c r="AB3466" s="236">
        <v>13.5</v>
      </c>
      <c r="AC3466" s="127">
        <f t="shared" si="68"/>
        <v>14</v>
      </c>
    </row>
    <row r="3467" ht="14.5" customHeight="1" spans="11:29" x14ac:dyDescent="0.25">
      <c r="K3467" s="128"/>
      <c r="X3467" s="234">
        <v>2022</v>
      </c>
      <c r="Y3467" s="234">
        <v>5</v>
      </c>
      <c r="Z3467" s="234">
        <v>25</v>
      </c>
      <c r="AA3467" s="235">
        <v>0.375</v>
      </c>
      <c r="AB3467" s="236">
        <v>15</v>
      </c>
      <c r="AC3467" s="127">
        <f t="shared" ref="AC3467:AC3530" si="69">ROUND(AB3467,0)</f>
        <v>15</v>
      </c>
    </row>
    <row r="3468" ht="14.5" customHeight="1" spans="11:29" x14ac:dyDescent="0.25">
      <c r="K3468" s="128"/>
      <c r="X3468" s="234">
        <v>2022</v>
      </c>
      <c r="Y3468" s="234">
        <v>5</v>
      </c>
      <c r="Z3468" s="234">
        <v>25</v>
      </c>
      <c r="AA3468" s="235">
        <v>0.4166666666678793</v>
      </c>
      <c r="AB3468" s="236">
        <v>15.9</v>
      </c>
      <c r="AC3468" s="127">
        <f t="shared" si="69"/>
        <v>16</v>
      </c>
    </row>
    <row r="3469" ht="14.5" customHeight="1" spans="11:29" x14ac:dyDescent="0.25">
      <c r="K3469" s="128"/>
      <c r="X3469" s="234">
        <v>2022</v>
      </c>
      <c r="Y3469" s="234">
        <v>5</v>
      </c>
      <c r="Z3469" s="234">
        <v>25</v>
      </c>
      <c r="AA3469" s="235">
        <v>0.4583333333321207</v>
      </c>
      <c r="AB3469" s="236">
        <v>16.7</v>
      </c>
      <c r="AC3469" s="127">
        <f t="shared" si="69"/>
        <v>17</v>
      </c>
    </row>
    <row r="3470" ht="14.5" customHeight="1" spans="11:29" x14ac:dyDescent="0.25">
      <c r="K3470" s="128"/>
      <c r="X3470" s="234">
        <v>2022</v>
      </c>
      <c r="Y3470" s="234">
        <v>5</v>
      </c>
      <c r="Z3470" s="234">
        <v>25</v>
      </c>
      <c r="AA3470" s="235">
        <v>0.5</v>
      </c>
      <c r="AB3470" s="236">
        <v>17.7</v>
      </c>
      <c r="AC3470" s="127">
        <f t="shared" si="69"/>
        <v>18</v>
      </c>
    </row>
    <row r="3471" ht="14.5" customHeight="1" spans="11:29" x14ac:dyDescent="0.25">
      <c r="K3471" s="128"/>
      <c r="X3471" s="234">
        <v>2022</v>
      </c>
      <c r="Y3471" s="234">
        <v>5</v>
      </c>
      <c r="Z3471" s="234">
        <v>25</v>
      </c>
      <c r="AA3471" s="235">
        <v>0.5416666666678793</v>
      </c>
      <c r="AB3471" s="236">
        <v>16.8</v>
      </c>
      <c r="AC3471" s="127">
        <f t="shared" si="69"/>
        <v>17</v>
      </c>
    </row>
    <row r="3472" ht="14.5" customHeight="1" spans="11:29" x14ac:dyDescent="0.25">
      <c r="K3472" s="128"/>
      <c r="X3472" s="234">
        <v>2022</v>
      </c>
      <c r="Y3472" s="234">
        <v>5</v>
      </c>
      <c r="Z3472" s="234">
        <v>25</v>
      </c>
      <c r="AA3472" s="235">
        <v>0.5833333333321207</v>
      </c>
      <c r="AB3472" s="236">
        <v>17.3</v>
      </c>
      <c r="AC3472" s="127">
        <f t="shared" si="69"/>
        <v>17</v>
      </c>
    </row>
    <row r="3473" ht="14.5" customHeight="1" spans="11:29" x14ac:dyDescent="0.25">
      <c r="K3473" s="128"/>
      <c r="X3473" s="234">
        <v>2022</v>
      </c>
      <c r="Y3473" s="234">
        <v>5</v>
      </c>
      <c r="Z3473" s="234">
        <v>25</v>
      </c>
      <c r="AA3473" s="235">
        <v>0.625</v>
      </c>
      <c r="AB3473" s="236">
        <v>17.8</v>
      </c>
      <c r="AC3473" s="127">
        <f t="shared" si="69"/>
        <v>18</v>
      </c>
    </row>
    <row r="3474" ht="14.5" customHeight="1" spans="11:29" x14ac:dyDescent="0.25">
      <c r="K3474" s="128"/>
      <c r="X3474" s="234">
        <v>2022</v>
      </c>
      <c r="Y3474" s="234">
        <v>5</v>
      </c>
      <c r="Z3474" s="234">
        <v>25</v>
      </c>
      <c r="AA3474" s="235">
        <v>0.6666666666678793</v>
      </c>
      <c r="AB3474" s="236">
        <v>18.8</v>
      </c>
      <c r="AC3474" s="127">
        <f t="shared" si="69"/>
        <v>19</v>
      </c>
    </row>
    <row r="3475" ht="14.5" customHeight="1" spans="11:29" x14ac:dyDescent="0.25">
      <c r="K3475" s="128"/>
      <c r="X3475" s="234">
        <v>2022</v>
      </c>
      <c r="Y3475" s="234">
        <v>5</v>
      </c>
      <c r="Z3475" s="234">
        <v>25</v>
      </c>
      <c r="AA3475" s="235">
        <v>0.7083333333321207</v>
      </c>
      <c r="AB3475" s="236">
        <v>18.5</v>
      </c>
      <c r="AC3475" s="127">
        <f t="shared" si="69"/>
        <v>19</v>
      </c>
    </row>
    <row r="3476" ht="14.5" customHeight="1" spans="11:29" x14ac:dyDescent="0.25">
      <c r="K3476" s="128"/>
      <c r="X3476" s="234">
        <v>2022</v>
      </c>
      <c r="Y3476" s="234">
        <v>5</v>
      </c>
      <c r="Z3476" s="234">
        <v>25</v>
      </c>
      <c r="AA3476" s="235">
        <v>0.75</v>
      </c>
      <c r="AB3476" s="236">
        <v>17.9</v>
      </c>
      <c r="AC3476" s="127">
        <f t="shared" si="69"/>
        <v>18</v>
      </c>
    </row>
    <row r="3477" ht="14.5" customHeight="1" spans="11:29" x14ac:dyDescent="0.25">
      <c r="K3477" s="128"/>
      <c r="X3477" s="234">
        <v>2022</v>
      </c>
      <c r="Y3477" s="234">
        <v>5</v>
      </c>
      <c r="Z3477" s="234">
        <v>25</v>
      </c>
      <c r="AA3477" s="235">
        <v>0.7916666666678793</v>
      </c>
      <c r="AB3477" s="236">
        <v>16.6</v>
      </c>
      <c r="AC3477" s="127">
        <f t="shared" si="69"/>
        <v>17</v>
      </c>
    </row>
    <row r="3478" ht="14.5" customHeight="1" spans="11:29" x14ac:dyDescent="0.25">
      <c r="K3478" s="128"/>
      <c r="X3478" s="234">
        <v>2022</v>
      </c>
      <c r="Y3478" s="234">
        <v>5</v>
      </c>
      <c r="Z3478" s="234">
        <v>25</v>
      </c>
      <c r="AA3478" s="235">
        <v>0.8333333333321207</v>
      </c>
      <c r="AB3478" s="236">
        <v>15.2</v>
      </c>
      <c r="AC3478" s="127">
        <f t="shared" si="69"/>
        <v>15</v>
      </c>
    </row>
    <row r="3479" ht="14.5" customHeight="1" spans="11:29" x14ac:dyDescent="0.25">
      <c r="K3479" s="128"/>
      <c r="X3479" s="234">
        <v>2022</v>
      </c>
      <c r="Y3479" s="234">
        <v>5</v>
      </c>
      <c r="Z3479" s="234">
        <v>25</v>
      </c>
      <c r="AA3479" s="235">
        <v>0.875</v>
      </c>
      <c r="AB3479" s="236">
        <v>13.6</v>
      </c>
      <c r="AC3479" s="127">
        <f t="shared" si="69"/>
        <v>14</v>
      </c>
    </row>
    <row r="3480" ht="14.5" customHeight="1" spans="11:29" x14ac:dyDescent="0.25">
      <c r="K3480" s="128"/>
      <c r="X3480" s="234">
        <v>2022</v>
      </c>
      <c r="Y3480" s="234">
        <v>5</v>
      </c>
      <c r="Z3480" s="234">
        <v>25</v>
      </c>
      <c r="AA3480" s="235">
        <v>0.9166666666678793</v>
      </c>
      <c r="AB3480" s="236">
        <v>12.6</v>
      </c>
      <c r="AC3480" s="127">
        <f t="shared" si="69"/>
        <v>13</v>
      </c>
    </row>
    <row r="3481" ht="14.5" customHeight="1" spans="11:29" x14ac:dyDescent="0.25">
      <c r="K3481" s="128"/>
      <c r="X3481" s="234">
        <v>2022</v>
      </c>
      <c r="Y3481" s="234">
        <v>5</v>
      </c>
      <c r="Z3481" s="234">
        <v>25</v>
      </c>
      <c r="AA3481" s="235">
        <v>0.9583333333321207</v>
      </c>
      <c r="AB3481" s="236">
        <v>11</v>
      </c>
      <c r="AC3481" s="127">
        <f t="shared" si="69"/>
        <v>11</v>
      </c>
    </row>
    <row r="3482" ht="14.5" customHeight="1" spans="11:29" x14ac:dyDescent="0.25">
      <c r="K3482" s="128"/>
      <c r="X3482" s="234">
        <v>2022</v>
      </c>
      <c r="Y3482" s="234">
        <v>5</v>
      </c>
      <c r="Z3482" s="234">
        <v>26</v>
      </c>
      <c r="AA3482" s="235">
        <v>0</v>
      </c>
      <c r="AB3482" s="236">
        <v>10.4</v>
      </c>
      <c r="AC3482" s="127">
        <f t="shared" si="69"/>
        <v>10</v>
      </c>
    </row>
    <row r="3483" ht="14.5" customHeight="1" spans="11:29" x14ac:dyDescent="0.25">
      <c r="K3483" s="128"/>
      <c r="X3483" s="234">
        <v>2022</v>
      </c>
      <c r="Y3483" s="234">
        <v>5</v>
      </c>
      <c r="Z3483" s="234">
        <v>26</v>
      </c>
      <c r="AA3483" s="235">
        <v>0.041666666667879326</v>
      </c>
      <c r="AB3483" s="236">
        <v>8.2</v>
      </c>
      <c r="AC3483" s="127">
        <f t="shared" si="69"/>
        <v>8</v>
      </c>
    </row>
    <row r="3484" ht="14.5" customHeight="1" spans="11:29" x14ac:dyDescent="0.25">
      <c r="K3484" s="128"/>
      <c r="X3484" s="234">
        <v>2022</v>
      </c>
      <c r="Y3484" s="234">
        <v>5</v>
      </c>
      <c r="Z3484" s="234">
        <v>26</v>
      </c>
      <c r="AA3484" s="235">
        <v>0.08333333333212067</v>
      </c>
      <c r="AB3484" s="236">
        <v>5.4</v>
      </c>
      <c r="AC3484" s="127">
        <f t="shared" si="69"/>
        <v>5</v>
      </c>
    </row>
    <row r="3485" ht="14.5" customHeight="1" spans="11:29" x14ac:dyDescent="0.25">
      <c r="K3485" s="128"/>
      <c r="X3485" s="234">
        <v>2022</v>
      </c>
      <c r="Y3485" s="234">
        <v>5</v>
      </c>
      <c r="Z3485" s="234">
        <v>26</v>
      </c>
      <c r="AA3485" s="235">
        <v>0.125</v>
      </c>
      <c r="AB3485" s="236">
        <v>7.9</v>
      </c>
      <c r="AC3485" s="127">
        <f t="shared" si="69"/>
        <v>8</v>
      </c>
    </row>
    <row r="3486" ht="14.5" customHeight="1" spans="11:29" x14ac:dyDescent="0.25">
      <c r="K3486" s="128"/>
      <c r="X3486" s="234">
        <v>2022</v>
      </c>
      <c r="Y3486" s="234">
        <v>5</v>
      </c>
      <c r="Z3486" s="234">
        <v>26</v>
      </c>
      <c r="AA3486" s="235">
        <v>0.16666666666787933</v>
      </c>
      <c r="AB3486" s="236">
        <v>7</v>
      </c>
      <c r="AC3486" s="127">
        <f t="shared" si="69"/>
        <v>7</v>
      </c>
    </row>
    <row r="3487" ht="14.5" customHeight="1" spans="11:29" x14ac:dyDescent="0.25">
      <c r="K3487" s="128"/>
      <c r="X3487" s="234">
        <v>2022</v>
      </c>
      <c r="Y3487" s="234">
        <v>5</v>
      </c>
      <c r="Z3487" s="234">
        <v>26</v>
      </c>
      <c r="AA3487" s="235">
        <v>0.20833333333212067</v>
      </c>
      <c r="AB3487" s="236">
        <v>5.5</v>
      </c>
      <c r="AC3487" s="127">
        <f t="shared" si="69"/>
        <v>6</v>
      </c>
    </row>
    <row r="3488" ht="14.5" customHeight="1" spans="11:29" x14ac:dyDescent="0.25">
      <c r="K3488" s="128"/>
      <c r="X3488" s="234">
        <v>2022</v>
      </c>
      <c r="Y3488" s="234">
        <v>5</v>
      </c>
      <c r="Z3488" s="234">
        <v>26</v>
      </c>
      <c r="AA3488" s="235">
        <v>0.25</v>
      </c>
      <c r="AB3488" s="236">
        <v>7.8</v>
      </c>
      <c r="AC3488" s="127">
        <f t="shared" si="69"/>
        <v>8</v>
      </c>
    </row>
    <row r="3489" ht="14.5" customHeight="1" spans="11:29" x14ac:dyDescent="0.25">
      <c r="K3489" s="128"/>
      <c r="X3489" s="234">
        <v>2022</v>
      </c>
      <c r="Y3489" s="234">
        <v>5</v>
      </c>
      <c r="Z3489" s="234">
        <v>26</v>
      </c>
      <c r="AA3489" s="235">
        <v>0.2916666666678793</v>
      </c>
      <c r="AB3489" s="236">
        <v>10.9</v>
      </c>
      <c r="AC3489" s="127">
        <f t="shared" si="69"/>
        <v>11</v>
      </c>
    </row>
    <row r="3490" ht="14.5" customHeight="1" spans="11:29" x14ac:dyDescent="0.25">
      <c r="K3490" s="128"/>
      <c r="X3490" s="234">
        <v>2022</v>
      </c>
      <c r="Y3490" s="234">
        <v>5</v>
      </c>
      <c r="Z3490" s="234">
        <v>26</v>
      </c>
      <c r="AA3490" s="235">
        <v>0.3333333333321207</v>
      </c>
      <c r="AB3490" s="236">
        <v>13.4</v>
      </c>
      <c r="AC3490" s="127">
        <f t="shared" si="69"/>
        <v>13</v>
      </c>
    </row>
    <row r="3491" ht="14.5" customHeight="1" spans="11:29" x14ac:dyDescent="0.25">
      <c r="K3491" s="128"/>
      <c r="X3491" s="234">
        <v>2022</v>
      </c>
      <c r="Y3491" s="234">
        <v>5</v>
      </c>
      <c r="Z3491" s="234">
        <v>26</v>
      </c>
      <c r="AA3491" s="235">
        <v>0.375</v>
      </c>
      <c r="AB3491" s="236">
        <v>15.6</v>
      </c>
      <c r="AC3491" s="127">
        <f t="shared" si="69"/>
        <v>16</v>
      </c>
    </row>
    <row r="3492" ht="14.5" customHeight="1" spans="11:29" x14ac:dyDescent="0.25">
      <c r="K3492" s="128"/>
      <c r="X3492" s="234">
        <v>2022</v>
      </c>
      <c r="Y3492" s="234">
        <v>5</v>
      </c>
      <c r="Z3492" s="234">
        <v>26</v>
      </c>
      <c r="AA3492" s="235">
        <v>0.4166666666678793</v>
      </c>
      <c r="AB3492" s="236">
        <v>16.7</v>
      </c>
      <c r="AC3492" s="127">
        <f t="shared" si="69"/>
        <v>17</v>
      </c>
    </row>
    <row r="3493" ht="14.5" customHeight="1" spans="11:29" x14ac:dyDescent="0.25">
      <c r="K3493" s="128"/>
      <c r="X3493" s="234">
        <v>2022</v>
      </c>
      <c r="Y3493" s="234">
        <v>5</v>
      </c>
      <c r="Z3493" s="234">
        <v>26</v>
      </c>
      <c r="AA3493" s="235">
        <v>0.4583333333321207</v>
      </c>
      <c r="AB3493" s="236">
        <v>17.7</v>
      </c>
      <c r="AC3493" s="127">
        <f t="shared" si="69"/>
        <v>18</v>
      </c>
    </row>
    <row r="3494" ht="14.5" customHeight="1" spans="11:29" x14ac:dyDescent="0.25">
      <c r="K3494" s="128"/>
      <c r="X3494" s="234">
        <v>2022</v>
      </c>
      <c r="Y3494" s="234">
        <v>5</v>
      </c>
      <c r="Z3494" s="234">
        <v>26</v>
      </c>
      <c r="AA3494" s="235">
        <v>0.5</v>
      </c>
      <c r="AB3494" s="236">
        <v>17.9</v>
      </c>
      <c r="AC3494" s="127">
        <f t="shared" si="69"/>
        <v>18</v>
      </c>
    </row>
    <row r="3495" ht="14.5" customHeight="1" spans="11:29" x14ac:dyDescent="0.25">
      <c r="K3495" s="128"/>
      <c r="X3495" s="234">
        <v>2022</v>
      </c>
      <c r="Y3495" s="234">
        <v>5</v>
      </c>
      <c r="Z3495" s="234">
        <v>26</v>
      </c>
      <c r="AA3495" s="235">
        <v>0.5416666666678793</v>
      </c>
      <c r="AB3495" s="236">
        <v>19.7</v>
      </c>
      <c r="AC3495" s="127">
        <f t="shared" si="69"/>
        <v>20</v>
      </c>
    </row>
    <row r="3496" ht="14.5" customHeight="1" spans="11:29" x14ac:dyDescent="0.25">
      <c r="K3496" s="128"/>
      <c r="X3496" s="234">
        <v>2022</v>
      </c>
      <c r="Y3496" s="234">
        <v>5</v>
      </c>
      <c r="Z3496" s="234">
        <v>26</v>
      </c>
      <c r="AA3496" s="235">
        <v>0.5833333333321207</v>
      </c>
      <c r="AB3496" s="236">
        <v>19.7</v>
      </c>
      <c r="AC3496" s="127">
        <f t="shared" si="69"/>
        <v>20</v>
      </c>
    </row>
    <row r="3497" ht="14.5" customHeight="1" spans="11:29" x14ac:dyDescent="0.25">
      <c r="K3497" s="128"/>
      <c r="X3497" s="234">
        <v>2022</v>
      </c>
      <c r="Y3497" s="234">
        <v>5</v>
      </c>
      <c r="Z3497" s="234">
        <v>26</v>
      </c>
      <c r="AA3497" s="235">
        <v>0.625</v>
      </c>
      <c r="AB3497" s="236">
        <v>19.7</v>
      </c>
      <c r="AC3497" s="127">
        <f t="shared" si="69"/>
        <v>20</v>
      </c>
    </row>
    <row r="3498" ht="14.5" customHeight="1" spans="11:29" x14ac:dyDescent="0.25">
      <c r="K3498" s="128"/>
      <c r="X3498" s="234">
        <v>2022</v>
      </c>
      <c r="Y3498" s="234">
        <v>5</v>
      </c>
      <c r="Z3498" s="234">
        <v>26</v>
      </c>
      <c r="AA3498" s="235">
        <v>0.6666666666678793</v>
      </c>
      <c r="AB3498" s="236">
        <v>19.6</v>
      </c>
      <c r="AC3498" s="127">
        <f t="shared" si="69"/>
        <v>20</v>
      </c>
    </row>
    <row r="3499" ht="14.5" customHeight="1" spans="11:29" x14ac:dyDescent="0.25">
      <c r="K3499" s="128"/>
      <c r="X3499" s="234">
        <v>2022</v>
      </c>
      <c r="Y3499" s="234">
        <v>5</v>
      </c>
      <c r="Z3499" s="234">
        <v>26</v>
      </c>
      <c r="AA3499" s="235">
        <v>0.7083333333321207</v>
      </c>
      <c r="AB3499" s="236">
        <v>20</v>
      </c>
      <c r="AC3499" s="127">
        <f t="shared" si="69"/>
        <v>20</v>
      </c>
    </row>
    <row r="3500" ht="14.5" customHeight="1" spans="11:29" x14ac:dyDescent="0.25">
      <c r="K3500" s="128"/>
      <c r="X3500" s="234">
        <v>2022</v>
      </c>
      <c r="Y3500" s="234">
        <v>5</v>
      </c>
      <c r="Z3500" s="234">
        <v>26</v>
      </c>
      <c r="AA3500" s="235">
        <v>0.75</v>
      </c>
      <c r="AB3500" s="236">
        <v>20</v>
      </c>
      <c r="AC3500" s="127">
        <f t="shared" si="69"/>
        <v>20</v>
      </c>
    </row>
    <row r="3501" ht="14.5" customHeight="1" spans="11:29" x14ac:dyDescent="0.25">
      <c r="K3501" s="128"/>
      <c r="X3501" s="234">
        <v>2022</v>
      </c>
      <c r="Y3501" s="234">
        <v>5</v>
      </c>
      <c r="Z3501" s="234">
        <v>26</v>
      </c>
      <c r="AA3501" s="235">
        <v>0.7916666666678793</v>
      </c>
      <c r="AB3501" s="236">
        <v>19.1</v>
      </c>
      <c r="AC3501" s="127">
        <f t="shared" si="69"/>
        <v>19</v>
      </c>
    </row>
    <row r="3502" ht="14.5" customHeight="1" spans="11:29" x14ac:dyDescent="0.25">
      <c r="K3502" s="128"/>
      <c r="X3502" s="234">
        <v>2022</v>
      </c>
      <c r="Y3502" s="234">
        <v>5</v>
      </c>
      <c r="Z3502" s="234">
        <v>26</v>
      </c>
      <c r="AA3502" s="235">
        <v>0.8333333333321207</v>
      </c>
      <c r="AB3502" s="236">
        <v>17.9</v>
      </c>
      <c r="AC3502" s="127">
        <f t="shared" si="69"/>
        <v>18</v>
      </c>
    </row>
    <row r="3503" ht="14.5" customHeight="1" spans="11:29" x14ac:dyDescent="0.25">
      <c r="K3503" s="128"/>
      <c r="X3503" s="234">
        <v>2022</v>
      </c>
      <c r="Y3503" s="234">
        <v>5</v>
      </c>
      <c r="Z3503" s="234">
        <v>26</v>
      </c>
      <c r="AA3503" s="235">
        <v>0.875</v>
      </c>
      <c r="AB3503" s="236">
        <v>15.9</v>
      </c>
      <c r="AC3503" s="127">
        <f t="shared" si="69"/>
        <v>16</v>
      </c>
    </row>
    <row r="3504" ht="14.5" customHeight="1" spans="11:29" x14ac:dyDescent="0.25">
      <c r="K3504" s="128"/>
      <c r="X3504" s="234">
        <v>2022</v>
      </c>
      <c r="Y3504" s="234">
        <v>5</v>
      </c>
      <c r="Z3504" s="234">
        <v>26</v>
      </c>
      <c r="AA3504" s="235">
        <v>0.9166666666678793</v>
      </c>
      <c r="AB3504" s="236">
        <v>13.8</v>
      </c>
      <c r="AC3504" s="127">
        <f t="shared" si="69"/>
        <v>14</v>
      </c>
    </row>
    <row r="3505" ht="14.5" customHeight="1" spans="11:29" x14ac:dyDescent="0.25">
      <c r="K3505" s="128"/>
      <c r="X3505" s="234">
        <v>2022</v>
      </c>
      <c r="Y3505" s="234">
        <v>5</v>
      </c>
      <c r="Z3505" s="234">
        <v>26</v>
      </c>
      <c r="AA3505" s="235">
        <v>0.9583333333321207</v>
      </c>
      <c r="AB3505" s="236">
        <v>13.5</v>
      </c>
      <c r="AC3505" s="127">
        <f t="shared" si="69"/>
        <v>14</v>
      </c>
    </row>
    <row r="3506" ht="14.5" customHeight="1" spans="11:29" x14ac:dyDescent="0.25">
      <c r="K3506" s="128"/>
      <c r="X3506" s="234">
        <v>2022</v>
      </c>
      <c r="Y3506" s="234">
        <v>5</v>
      </c>
      <c r="Z3506" s="234">
        <v>27</v>
      </c>
      <c r="AA3506" s="235">
        <v>0</v>
      </c>
      <c r="AB3506" s="236">
        <v>10</v>
      </c>
      <c r="AC3506" s="127">
        <f t="shared" si="69"/>
        <v>10</v>
      </c>
    </row>
    <row r="3507" ht="14.5" customHeight="1" spans="11:29" x14ac:dyDescent="0.25">
      <c r="K3507" s="128"/>
      <c r="X3507" s="234">
        <v>2022</v>
      </c>
      <c r="Y3507" s="234">
        <v>5</v>
      </c>
      <c r="Z3507" s="234">
        <v>27</v>
      </c>
      <c r="AA3507" s="235">
        <v>0.041666666667879326</v>
      </c>
      <c r="AB3507" s="236">
        <v>9.2</v>
      </c>
      <c r="AC3507" s="127">
        <f t="shared" si="69"/>
        <v>9</v>
      </c>
    </row>
    <row r="3508" ht="14.5" customHeight="1" spans="11:29" x14ac:dyDescent="0.25">
      <c r="K3508" s="128"/>
      <c r="X3508" s="234">
        <v>2022</v>
      </c>
      <c r="Y3508" s="234">
        <v>5</v>
      </c>
      <c r="Z3508" s="234">
        <v>27</v>
      </c>
      <c r="AA3508" s="235">
        <v>0.08333333333212067</v>
      </c>
      <c r="AB3508" s="236">
        <v>9.7</v>
      </c>
      <c r="AC3508" s="127">
        <f t="shared" si="69"/>
        <v>10</v>
      </c>
    </row>
    <row r="3509" ht="14.5" customHeight="1" spans="11:29" x14ac:dyDescent="0.25">
      <c r="K3509" s="128"/>
      <c r="X3509" s="234">
        <v>2022</v>
      </c>
      <c r="Y3509" s="234">
        <v>5</v>
      </c>
      <c r="Z3509" s="234">
        <v>27</v>
      </c>
      <c r="AA3509" s="235">
        <v>0.125</v>
      </c>
      <c r="AB3509" s="236">
        <v>10</v>
      </c>
      <c r="AC3509" s="127">
        <f t="shared" si="69"/>
        <v>10</v>
      </c>
    </row>
    <row r="3510" ht="14.5" customHeight="1" spans="11:29" x14ac:dyDescent="0.25">
      <c r="K3510" s="128"/>
      <c r="X3510" s="234">
        <v>2022</v>
      </c>
      <c r="Y3510" s="234">
        <v>5</v>
      </c>
      <c r="Z3510" s="234">
        <v>27</v>
      </c>
      <c r="AA3510" s="235">
        <v>0.16666666666787933</v>
      </c>
      <c r="AB3510" s="236">
        <v>10.9</v>
      </c>
      <c r="AC3510" s="127">
        <f t="shared" si="69"/>
        <v>11</v>
      </c>
    </row>
    <row r="3511" ht="14.5" customHeight="1" spans="11:29" x14ac:dyDescent="0.25">
      <c r="K3511" s="128"/>
      <c r="X3511" s="234">
        <v>2022</v>
      </c>
      <c r="Y3511" s="234">
        <v>5</v>
      </c>
      <c r="Z3511" s="234">
        <v>27</v>
      </c>
      <c r="AA3511" s="235">
        <v>0.20833333333212067</v>
      </c>
      <c r="AB3511" s="236">
        <v>10.7</v>
      </c>
      <c r="AC3511" s="127">
        <f t="shared" si="69"/>
        <v>11</v>
      </c>
    </row>
    <row r="3512" ht="14.5" customHeight="1" spans="11:29" x14ac:dyDescent="0.25">
      <c r="K3512" s="128"/>
      <c r="X3512" s="234">
        <v>2022</v>
      </c>
      <c r="Y3512" s="234">
        <v>5</v>
      </c>
      <c r="Z3512" s="234">
        <v>27</v>
      </c>
      <c r="AA3512" s="235">
        <v>0.25</v>
      </c>
      <c r="AB3512" s="236">
        <v>10.4</v>
      </c>
      <c r="AC3512" s="127">
        <f t="shared" si="69"/>
        <v>10</v>
      </c>
    </row>
    <row r="3513" ht="14.5" customHeight="1" spans="11:29" x14ac:dyDescent="0.25">
      <c r="K3513" s="128"/>
      <c r="X3513" s="234">
        <v>2022</v>
      </c>
      <c r="Y3513" s="234">
        <v>5</v>
      </c>
      <c r="Z3513" s="234">
        <v>27</v>
      </c>
      <c r="AA3513" s="235">
        <v>0.2916666666678793</v>
      </c>
      <c r="AB3513" s="236">
        <v>12.5</v>
      </c>
      <c r="AC3513" s="127">
        <f t="shared" si="69"/>
        <v>13</v>
      </c>
    </row>
    <row r="3514" ht="14.5" customHeight="1" spans="11:29" x14ac:dyDescent="0.25">
      <c r="K3514" s="128"/>
      <c r="X3514" s="234">
        <v>2022</v>
      </c>
      <c r="Y3514" s="234">
        <v>5</v>
      </c>
      <c r="Z3514" s="234">
        <v>27</v>
      </c>
      <c r="AA3514" s="235">
        <v>0.3333333333321207</v>
      </c>
      <c r="AB3514" s="236">
        <v>13.5</v>
      </c>
      <c r="AC3514" s="127">
        <f t="shared" si="69"/>
        <v>14</v>
      </c>
    </row>
    <row r="3515" ht="14.5" customHeight="1" spans="11:29" x14ac:dyDescent="0.25">
      <c r="K3515" s="128"/>
      <c r="X3515" s="234">
        <v>2022</v>
      </c>
      <c r="Y3515" s="234">
        <v>5</v>
      </c>
      <c r="Z3515" s="234">
        <v>27</v>
      </c>
      <c r="AA3515" s="235">
        <v>0.375</v>
      </c>
      <c r="AB3515" s="236">
        <v>16.3</v>
      </c>
      <c r="AC3515" s="127">
        <f t="shared" si="69"/>
        <v>16</v>
      </c>
    </row>
    <row r="3516" ht="14.5" customHeight="1" spans="11:29" x14ac:dyDescent="0.25">
      <c r="K3516" s="128"/>
      <c r="X3516" s="234">
        <v>2022</v>
      </c>
      <c r="Y3516" s="234">
        <v>5</v>
      </c>
      <c r="Z3516" s="234">
        <v>27</v>
      </c>
      <c r="AA3516" s="235">
        <v>0.4166666666678793</v>
      </c>
      <c r="AB3516" s="236">
        <v>18.3</v>
      </c>
      <c r="AC3516" s="127">
        <f t="shared" si="69"/>
        <v>18</v>
      </c>
    </row>
    <row r="3517" ht="14.5" customHeight="1" spans="11:29" x14ac:dyDescent="0.25">
      <c r="K3517" s="128"/>
      <c r="X3517" s="234">
        <v>2022</v>
      </c>
      <c r="Y3517" s="234">
        <v>5</v>
      </c>
      <c r="Z3517" s="234">
        <v>27</v>
      </c>
      <c r="AA3517" s="235">
        <v>0.4583333333321207</v>
      </c>
      <c r="AB3517" s="236">
        <v>19.3</v>
      </c>
      <c r="AC3517" s="127">
        <f t="shared" si="69"/>
        <v>19</v>
      </c>
    </row>
    <row r="3518" ht="14.5" customHeight="1" spans="11:29" x14ac:dyDescent="0.25">
      <c r="K3518" s="128"/>
      <c r="X3518" s="234">
        <v>2022</v>
      </c>
      <c r="Y3518" s="234">
        <v>5</v>
      </c>
      <c r="Z3518" s="234">
        <v>27</v>
      </c>
      <c r="AA3518" s="235">
        <v>0.5</v>
      </c>
      <c r="AB3518" s="236">
        <v>20.4</v>
      </c>
      <c r="AC3518" s="127">
        <f t="shared" si="69"/>
        <v>20</v>
      </c>
    </row>
    <row r="3519" ht="14.5" customHeight="1" spans="11:29" x14ac:dyDescent="0.25">
      <c r="K3519" s="128"/>
      <c r="X3519" s="234">
        <v>2022</v>
      </c>
      <c r="Y3519" s="234">
        <v>5</v>
      </c>
      <c r="Z3519" s="234">
        <v>27</v>
      </c>
      <c r="AA3519" s="235">
        <v>0.5416666666678793</v>
      </c>
      <c r="AB3519" s="236">
        <v>21</v>
      </c>
      <c r="AC3519" s="127">
        <f t="shared" si="69"/>
        <v>21</v>
      </c>
    </row>
    <row r="3520" ht="14.5" customHeight="1" spans="11:29" x14ac:dyDescent="0.25">
      <c r="K3520" s="128"/>
      <c r="X3520" s="234">
        <v>2022</v>
      </c>
      <c r="Y3520" s="234">
        <v>5</v>
      </c>
      <c r="Z3520" s="234">
        <v>27</v>
      </c>
      <c r="AA3520" s="235">
        <v>0.5833333333321207</v>
      </c>
      <c r="AB3520" s="236">
        <v>20.6</v>
      </c>
      <c r="AC3520" s="127">
        <f t="shared" si="69"/>
        <v>21</v>
      </c>
    </row>
    <row r="3521" ht="14.5" customHeight="1" spans="11:29" x14ac:dyDescent="0.25">
      <c r="K3521" s="128"/>
      <c r="X3521" s="234">
        <v>2022</v>
      </c>
      <c r="Y3521" s="234">
        <v>5</v>
      </c>
      <c r="Z3521" s="234">
        <v>27</v>
      </c>
      <c r="AA3521" s="235">
        <v>0.625</v>
      </c>
      <c r="AB3521" s="236">
        <v>20.7</v>
      </c>
      <c r="AC3521" s="127">
        <f t="shared" si="69"/>
        <v>21</v>
      </c>
    </row>
    <row r="3522" ht="14.5" customHeight="1" spans="11:29" x14ac:dyDescent="0.25">
      <c r="K3522" s="128"/>
      <c r="X3522" s="234">
        <v>2022</v>
      </c>
      <c r="Y3522" s="234">
        <v>5</v>
      </c>
      <c r="Z3522" s="234">
        <v>27</v>
      </c>
      <c r="AA3522" s="235">
        <v>0.6666666666678793</v>
      </c>
      <c r="AB3522" s="236">
        <v>19.6</v>
      </c>
      <c r="AC3522" s="127">
        <f t="shared" si="69"/>
        <v>20</v>
      </c>
    </row>
    <row r="3523" ht="14.5" customHeight="1" spans="11:29" x14ac:dyDescent="0.25">
      <c r="K3523" s="128"/>
      <c r="X3523" s="234">
        <v>2022</v>
      </c>
      <c r="Y3523" s="234">
        <v>5</v>
      </c>
      <c r="Z3523" s="234">
        <v>27</v>
      </c>
      <c r="AA3523" s="235">
        <v>0.7083333333321207</v>
      </c>
      <c r="AB3523" s="236">
        <v>18.9</v>
      </c>
      <c r="AC3523" s="127">
        <f t="shared" si="69"/>
        <v>19</v>
      </c>
    </row>
    <row r="3524" ht="14.5" customHeight="1" spans="11:29" x14ac:dyDescent="0.25">
      <c r="K3524" s="128"/>
      <c r="X3524" s="234">
        <v>2022</v>
      </c>
      <c r="Y3524" s="234">
        <v>5</v>
      </c>
      <c r="Z3524" s="234">
        <v>27</v>
      </c>
      <c r="AA3524" s="235">
        <v>0.75</v>
      </c>
      <c r="AB3524" s="236">
        <v>18.5</v>
      </c>
      <c r="AC3524" s="127">
        <f t="shared" si="69"/>
        <v>19</v>
      </c>
    </row>
    <row r="3525" ht="14.5" customHeight="1" spans="11:29" x14ac:dyDescent="0.25">
      <c r="K3525" s="128"/>
      <c r="X3525" s="234">
        <v>2022</v>
      </c>
      <c r="Y3525" s="234">
        <v>5</v>
      </c>
      <c r="Z3525" s="234">
        <v>27</v>
      </c>
      <c r="AA3525" s="235">
        <v>0.7916666666678793</v>
      </c>
      <c r="AB3525" s="236">
        <v>17.8</v>
      </c>
      <c r="AC3525" s="127">
        <f t="shared" si="69"/>
        <v>18</v>
      </c>
    </row>
    <row r="3526" ht="14.5" customHeight="1" spans="11:29" x14ac:dyDescent="0.25">
      <c r="K3526" s="128"/>
      <c r="X3526" s="234">
        <v>2022</v>
      </c>
      <c r="Y3526" s="234">
        <v>5</v>
      </c>
      <c r="Z3526" s="234">
        <v>27</v>
      </c>
      <c r="AA3526" s="235">
        <v>0.8333333333321207</v>
      </c>
      <c r="AB3526" s="236">
        <v>15</v>
      </c>
      <c r="AC3526" s="127">
        <f t="shared" si="69"/>
        <v>15</v>
      </c>
    </row>
    <row r="3527" ht="14.5" customHeight="1" spans="11:29" x14ac:dyDescent="0.25">
      <c r="K3527" s="128"/>
      <c r="X3527" s="234">
        <v>2022</v>
      </c>
      <c r="Y3527" s="234">
        <v>5</v>
      </c>
      <c r="Z3527" s="234">
        <v>27</v>
      </c>
      <c r="AA3527" s="235">
        <v>0.875</v>
      </c>
      <c r="AB3527" s="236">
        <v>13.8</v>
      </c>
      <c r="AC3527" s="127">
        <f t="shared" si="69"/>
        <v>14</v>
      </c>
    </row>
    <row r="3528" ht="14.5" customHeight="1" spans="11:29" x14ac:dyDescent="0.25">
      <c r="K3528" s="128"/>
      <c r="X3528" s="234">
        <v>2022</v>
      </c>
      <c r="Y3528" s="234">
        <v>5</v>
      </c>
      <c r="Z3528" s="234">
        <v>27</v>
      </c>
      <c r="AA3528" s="235">
        <v>0.9166666666678793</v>
      </c>
      <c r="AB3528" s="236">
        <v>13.3</v>
      </c>
      <c r="AC3528" s="127">
        <f t="shared" si="69"/>
        <v>13</v>
      </c>
    </row>
    <row r="3529" ht="14.5" customHeight="1" spans="11:29" x14ac:dyDescent="0.25">
      <c r="K3529" s="128"/>
      <c r="X3529" s="234">
        <v>2022</v>
      </c>
      <c r="Y3529" s="234">
        <v>5</v>
      </c>
      <c r="Z3529" s="234">
        <v>27</v>
      </c>
      <c r="AA3529" s="235">
        <v>0.9583333333321207</v>
      </c>
      <c r="AB3529" s="236">
        <v>13.1</v>
      </c>
      <c r="AC3529" s="127">
        <f t="shared" si="69"/>
        <v>13</v>
      </c>
    </row>
    <row r="3530" ht="14.5" customHeight="1" spans="11:29" x14ac:dyDescent="0.25">
      <c r="K3530" s="128"/>
      <c r="X3530" s="234">
        <v>2022</v>
      </c>
      <c r="Y3530" s="234">
        <v>5</v>
      </c>
      <c r="Z3530" s="234">
        <v>28</v>
      </c>
      <c r="AA3530" s="235">
        <v>0</v>
      </c>
      <c r="AB3530" s="236">
        <v>12.6</v>
      </c>
      <c r="AC3530" s="127">
        <f t="shared" si="69"/>
        <v>13</v>
      </c>
    </row>
    <row r="3531" ht="14.5" customHeight="1" spans="11:29" x14ac:dyDescent="0.25">
      <c r="K3531" s="128"/>
      <c r="X3531" s="234">
        <v>2022</v>
      </c>
      <c r="Y3531" s="234">
        <v>5</v>
      </c>
      <c r="Z3531" s="234">
        <v>28</v>
      </c>
      <c r="AA3531" s="235">
        <v>0.041666666667879326</v>
      </c>
      <c r="AB3531" s="236">
        <v>12.1</v>
      </c>
      <c r="AC3531" s="127">
        <f t="shared" ref="AC3531:AC3594" si="70">ROUND(AB3531,0)</f>
        <v>12</v>
      </c>
    </row>
    <row r="3532" ht="14.5" customHeight="1" spans="11:29" x14ac:dyDescent="0.25">
      <c r="K3532" s="128"/>
      <c r="X3532" s="234">
        <v>2022</v>
      </c>
      <c r="Y3532" s="234">
        <v>5</v>
      </c>
      <c r="Z3532" s="234">
        <v>28</v>
      </c>
      <c r="AA3532" s="235">
        <v>0.08333333333212067</v>
      </c>
      <c r="AB3532" s="236">
        <v>10.3</v>
      </c>
      <c r="AC3532" s="127">
        <f t="shared" si="70"/>
        <v>10</v>
      </c>
    </row>
    <row r="3533" ht="14.5" customHeight="1" spans="11:29" x14ac:dyDescent="0.25">
      <c r="K3533" s="128"/>
      <c r="X3533" s="234">
        <v>2022</v>
      </c>
      <c r="Y3533" s="234">
        <v>5</v>
      </c>
      <c r="Z3533" s="234">
        <v>28</v>
      </c>
      <c r="AA3533" s="235">
        <v>0.125</v>
      </c>
      <c r="AB3533" s="236">
        <v>10.2</v>
      </c>
      <c r="AC3533" s="127">
        <f t="shared" si="70"/>
        <v>10</v>
      </c>
    </row>
    <row r="3534" ht="14.5" customHeight="1" spans="11:29" x14ac:dyDescent="0.25">
      <c r="K3534" s="128"/>
      <c r="X3534" s="234">
        <v>2022</v>
      </c>
      <c r="Y3534" s="234">
        <v>5</v>
      </c>
      <c r="Z3534" s="234">
        <v>28</v>
      </c>
      <c r="AA3534" s="235">
        <v>0.16666666666787933</v>
      </c>
      <c r="AB3534" s="236">
        <v>8.7</v>
      </c>
      <c r="AC3534" s="127">
        <f t="shared" si="70"/>
        <v>9</v>
      </c>
    </row>
    <row r="3535" ht="14.5" customHeight="1" spans="11:29" x14ac:dyDescent="0.25">
      <c r="K3535" s="128"/>
      <c r="X3535" s="234">
        <v>2022</v>
      </c>
      <c r="Y3535" s="234">
        <v>5</v>
      </c>
      <c r="Z3535" s="234">
        <v>28</v>
      </c>
      <c r="AA3535" s="235">
        <v>0.20833333333212067</v>
      </c>
      <c r="AB3535" s="236">
        <v>8.9</v>
      </c>
      <c r="AC3535" s="127">
        <f t="shared" si="70"/>
        <v>9</v>
      </c>
    </row>
    <row r="3536" ht="14.5" customHeight="1" spans="11:29" x14ac:dyDescent="0.25">
      <c r="K3536" s="128"/>
      <c r="X3536" s="234">
        <v>2022</v>
      </c>
      <c r="Y3536" s="234">
        <v>5</v>
      </c>
      <c r="Z3536" s="234">
        <v>28</v>
      </c>
      <c r="AA3536" s="235">
        <v>0.25</v>
      </c>
      <c r="AB3536" s="236">
        <v>8.5</v>
      </c>
      <c r="AC3536" s="127">
        <f t="shared" si="70"/>
        <v>9</v>
      </c>
    </row>
    <row r="3537" ht="14.5" customHeight="1" spans="11:29" x14ac:dyDescent="0.25">
      <c r="K3537" s="128"/>
      <c r="X3537" s="234">
        <v>2022</v>
      </c>
      <c r="Y3537" s="234">
        <v>5</v>
      </c>
      <c r="Z3537" s="234">
        <v>28</v>
      </c>
      <c r="AA3537" s="235">
        <v>0.2916666666678793</v>
      </c>
      <c r="AB3537" s="236">
        <v>10.3</v>
      </c>
      <c r="AC3537" s="127">
        <f t="shared" si="70"/>
        <v>10</v>
      </c>
    </row>
    <row r="3538" ht="14.5" customHeight="1" spans="11:29" x14ac:dyDescent="0.25">
      <c r="K3538" s="128"/>
      <c r="X3538" s="234">
        <v>2022</v>
      </c>
      <c r="Y3538" s="234">
        <v>5</v>
      </c>
      <c r="Z3538" s="234">
        <v>28</v>
      </c>
      <c r="AA3538" s="235">
        <v>0.3333333333321207</v>
      </c>
      <c r="AB3538" s="236">
        <v>12.6</v>
      </c>
      <c r="AC3538" s="127">
        <f t="shared" si="70"/>
        <v>13</v>
      </c>
    </row>
    <row r="3539" ht="14.5" customHeight="1" spans="11:29" x14ac:dyDescent="0.25">
      <c r="K3539" s="128"/>
      <c r="X3539" s="234">
        <v>2022</v>
      </c>
      <c r="Y3539" s="234">
        <v>5</v>
      </c>
      <c r="Z3539" s="234">
        <v>28</v>
      </c>
      <c r="AA3539" s="235">
        <v>0.375</v>
      </c>
      <c r="AB3539" s="236">
        <v>14.3</v>
      </c>
      <c r="AC3539" s="127">
        <f t="shared" si="70"/>
        <v>14</v>
      </c>
    </row>
    <row r="3540" ht="14.5" customHeight="1" spans="11:29" x14ac:dyDescent="0.25">
      <c r="K3540" s="128"/>
      <c r="X3540" s="234">
        <v>2022</v>
      </c>
      <c r="Y3540" s="234">
        <v>5</v>
      </c>
      <c r="Z3540" s="234">
        <v>28</v>
      </c>
      <c r="AA3540" s="235">
        <v>0.4166666666678793</v>
      </c>
      <c r="AB3540" s="236">
        <v>14.4</v>
      </c>
      <c r="AC3540" s="127">
        <f t="shared" si="70"/>
        <v>14</v>
      </c>
    </row>
    <row r="3541" ht="14.5" customHeight="1" spans="11:29" x14ac:dyDescent="0.25">
      <c r="K3541" s="128"/>
      <c r="X3541" s="234">
        <v>2022</v>
      </c>
      <c r="Y3541" s="234">
        <v>5</v>
      </c>
      <c r="Z3541" s="234">
        <v>28</v>
      </c>
      <c r="AA3541" s="235">
        <v>0.4583333333321207</v>
      </c>
      <c r="AB3541" s="236">
        <v>15.5</v>
      </c>
      <c r="AC3541" s="127">
        <f t="shared" si="70"/>
        <v>16</v>
      </c>
    </row>
    <row r="3542" ht="14.5" customHeight="1" spans="11:29" x14ac:dyDescent="0.25">
      <c r="K3542" s="128"/>
      <c r="X3542" s="234">
        <v>2022</v>
      </c>
      <c r="Y3542" s="234">
        <v>5</v>
      </c>
      <c r="Z3542" s="234">
        <v>28</v>
      </c>
      <c r="AA3542" s="235">
        <v>0.5</v>
      </c>
      <c r="AB3542" s="236">
        <v>16.4</v>
      </c>
      <c r="AC3542" s="127">
        <f t="shared" si="70"/>
        <v>16</v>
      </c>
    </row>
    <row r="3543" ht="14.5" customHeight="1" spans="11:29" x14ac:dyDescent="0.25">
      <c r="K3543" s="128"/>
      <c r="X3543" s="234">
        <v>2022</v>
      </c>
      <c r="Y3543" s="234">
        <v>5</v>
      </c>
      <c r="Z3543" s="234">
        <v>28</v>
      </c>
      <c r="AA3543" s="235">
        <v>0.5416666666678793</v>
      </c>
      <c r="AB3543" s="236">
        <v>16.9</v>
      </c>
      <c r="AC3543" s="127">
        <f t="shared" si="70"/>
        <v>17</v>
      </c>
    </row>
    <row r="3544" ht="14.5" customHeight="1" spans="11:29" x14ac:dyDescent="0.25">
      <c r="K3544" s="128"/>
      <c r="X3544" s="234">
        <v>2022</v>
      </c>
      <c r="Y3544" s="234">
        <v>5</v>
      </c>
      <c r="Z3544" s="234">
        <v>28</v>
      </c>
      <c r="AA3544" s="235">
        <v>0.5833333333321207</v>
      </c>
      <c r="AB3544" s="236">
        <v>17</v>
      </c>
      <c r="AC3544" s="127">
        <f t="shared" si="70"/>
        <v>17</v>
      </c>
    </row>
    <row r="3545" ht="14.5" customHeight="1" spans="11:29" x14ac:dyDescent="0.25">
      <c r="K3545" s="128"/>
      <c r="X3545" s="234">
        <v>2022</v>
      </c>
      <c r="Y3545" s="234">
        <v>5</v>
      </c>
      <c r="Z3545" s="234">
        <v>28</v>
      </c>
      <c r="AA3545" s="235">
        <v>0.625</v>
      </c>
      <c r="AB3545" s="236">
        <v>16.5</v>
      </c>
      <c r="AC3545" s="127">
        <f t="shared" si="70"/>
        <v>17</v>
      </c>
    </row>
    <row r="3546" ht="14.5" customHeight="1" spans="11:29" x14ac:dyDescent="0.25">
      <c r="K3546" s="128"/>
      <c r="X3546" s="234">
        <v>2022</v>
      </c>
      <c r="Y3546" s="234">
        <v>5</v>
      </c>
      <c r="Z3546" s="234">
        <v>28</v>
      </c>
      <c r="AA3546" s="235">
        <v>0.6666666666678793</v>
      </c>
      <c r="AB3546" s="236">
        <v>17.3</v>
      </c>
      <c r="AC3546" s="127">
        <f t="shared" si="70"/>
        <v>17</v>
      </c>
    </row>
    <row r="3547" ht="14.5" customHeight="1" spans="11:29" x14ac:dyDescent="0.25">
      <c r="K3547" s="128"/>
      <c r="X3547" s="234">
        <v>2022</v>
      </c>
      <c r="Y3547" s="234">
        <v>5</v>
      </c>
      <c r="Z3547" s="234">
        <v>28</v>
      </c>
      <c r="AA3547" s="235">
        <v>0.7083333333321207</v>
      </c>
      <c r="AB3547" s="236">
        <v>17.8</v>
      </c>
      <c r="AC3547" s="127">
        <f t="shared" si="70"/>
        <v>18</v>
      </c>
    </row>
    <row r="3548" ht="14.5" customHeight="1" spans="11:29" x14ac:dyDescent="0.25">
      <c r="K3548" s="128"/>
      <c r="X3548" s="234">
        <v>2022</v>
      </c>
      <c r="Y3548" s="234">
        <v>5</v>
      </c>
      <c r="Z3548" s="234">
        <v>28</v>
      </c>
      <c r="AA3548" s="235">
        <v>0.75</v>
      </c>
      <c r="AB3548" s="236">
        <v>17.5</v>
      </c>
      <c r="AC3548" s="127">
        <f t="shared" si="70"/>
        <v>18</v>
      </c>
    </row>
    <row r="3549" ht="14.5" customHeight="1" spans="11:29" x14ac:dyDescent="0.25">
      <c r="K3549" s="128"/>
      <c r="X3549" s="234">
        <v>2022</v>
      </c>
      <c r="Y3549" s="234">
        <v>5</v>
      </c>
      <c r="Z3549" s="234">
        <v>28</v>
      </c>
      <c r="AA3549" s="235">
        <v>0.7916666666678793</v>
      </c>
      <c r="AB3549" s="236">
        <v>17.2</v>
      </c>
      <c r="AC3549" s="127">
        <f t="shared" si="70"/>
        <v>17</v>
      </c>
    </row>
    <row r="3550" ht="14.5" customHeight="1" spans="11:29" x14ac:dyDescent="0.25">
      <c r="K3550" s="128"/>
      <c r="X3550" s="234">
        <v>2022</v>
      </c>
      <c r="Y3550" s="234">
        <v>5</v>
      </c>
      <c r="Z3550" s="234">
        <v>28</v>
      </c>
      <c r="AA3550" s="235">
        <v>0.8333333333321207</v>
      </c>
      <c r="AB3550" s="236">
        <v>16.3</v>
      </c>
      <c r="AC3550" s="127">
        <f t="shared" si="70"/>
        <v>16</v>
      </c>
    </row>
    <row r="3551" ht="14.5" customHeight="1" spans="11:29" x14ac:dyDescent="0.25">
      <c r="K3551" s="128"/>
      <c r="X3551" s="234">
        <v>2022</v>
      </c>
      <c r="Y3551" s="234">
        <v>5</v>
      </c>
      <c r="Z3551" s="234">
        <v>28</v>
      </c>
      <c r="AA3551" s="235">
        <v>0.875</v>
      </c>
      <c r="AB3551" s="236">
        <v>14.1</v>
      </c>
      <c r="AC3551" s="127">
        <f t="shared" si="70"/>
        <v>14</v>
      </c>
    </row>
    <row r="3552" ht="14.5" customHeight="1" spans="11:29" x14ac:dyDescent="0.25">
      <c r="K3552" s="128"/>
      <c r="X3552" s="234">
        <v>2022</v>
      </c>
      <c r="Y3552" s="234">
        <v>5</v>
      </c>
      <c r="Z3552" s="234">
        <v>28</v>
      </c>
      <c r="AA3552" s="235">
        <v>0.9166666666678793</v>
      </c>
      <c r="AB3552" s="236">
        <v>11.6</v>
      </c>
      <c r="AC3552" s="127">
        <f t="shared" si="70"/>
        <v>12</v>
      </c>
    </row>
    <row r="3553" ht="14.5" customHeight="1" spans="11:29" x14ac:dyDescent="0.25">
      <c r="K3553" s="128"/>
      <c r="X3553" s="234">
        <v>2022</v>
      </c>
      <c r="Y3553" s="234">
        <v>5</v>
      </c>
      <c r="Z3553" s="234">
        <v>28</v>
      </c>
      <c r="AA3553" s="235">
        <v>0.9583333333321207</v>
      </c>
      <c r="AB3553" s="236">
        <v>11.4</v>
      </c>
      <c r="AC3553" s="127">
        <f t="shared" si="70"/>
        <v>11</v>
      </c>
    </row>
    <row r="3554" ht="14.5" customHeight="1" spans="11:29" x14ac:dyDescent="0.25">
      <c r="K3554" s="128"/>
      <c r="X3554" s="234">
        <v>2022</v>
      </c>
      <c r="Y3554" s="234">
        <v>5</v>
      </c>
      <c r="Z3554" s="234">
        <v>29</v>
      </c>
      <c r="AA3554" s="235">
        <v>0</v>
      </c>
      <c r="AB3554" s="236">
        <v>10.9</v>
      </c>
      <c r="AC3554" s="127">
        <f t="shared" si="70"/>
        <v>11</v>
      </c>
    </row>
    <row r="3555" ht="14.5" customHeight="1" spans="11:29" x14ac:dyDescent="0.25">
      <c r="K3555" s="128"/>
      <c r="X3555" s="234">
        <v>2022</v>
      </c>
      <c r="Y3555" s="234">
        <v>5</v>
      </c>
      <c r="Z3555" s="234">
        <v>29</v>
      </c>
      <c r="AA3555" s="235">
        <v>0.041666666667879326</v>
      </c>
      <c r="AB3555" s="236">
        <v>8.9</v>
      </c>
      <c r="AC3555" s="127">
        <f t="shared" si="70"/>
        <v>9</v>
      </c>
    </row>
    <row r="3556" ht="14.5" customHeight="1" spans="11:29" x14ac:dyDescent="0.25">
      <c r="K3556" s="128"/>
      <c r="X3556" s="234">
        <v>2022</v>
      </c>
      <c r="Y3556" s="234">
        <v>5</v>
      </c>
      <c r="Z3556" s="234">
        <v>29</v>
      </c>
      <c r="AA3556" s="235">
        <v>0.08333333333212067</v>
      </c>
      <c r="AB3556" s="236">
        <v>10.1</v>
      </c>
      <c r="AC3556" s="127">
        <f t="shared" si="70"/>
        <v>10</v>
      </c>
    </row>
    <row r="3557" ht="14.5" customHeight="1" spans="11:29" x14ac:dyDescent="0.25">
      <c r="K3557" s="128"/>
      <c r="X3557" s="234">
        <v>2022</v>
      </c>
      <c r="Y3557" s="234">
        <v>5</v>
      </c>
      <c r="Z3557" s="234">
        <v>29</v>
      </c>
      <c r="AA3557" s="235">
        <v>0.125</v>
      </c>
      <c r="AB3557" s="236">
        <v>10.6</v>
      </c>
      <c r="AC3557" s="127">
        <f t="shared" si="70"/>
        <v>11</v>
      </c>
    </row>
    <row r="3558" ht="14.5" customHeight="1" spans="11:29" x14ac:dyDescent="0.25">
      <c r="K3558" s="128"/>
      <c r="X3558" s="234">
        <v>2022</v>
      </c>
      <c r="Y3558" s="234">
        <v>5</v>
      </c>
      <c r="Z3558" s="234">
        <v>29</v>
      </c>
      <c r="AA3558" s="235">
        <v>0.16666666666787933</v>
      </c>
      <c r="AB3558" s="236">
        <v>9.3</v>
      </c>
      <c r="AC3558" s="127">
        <f t="shared" si="70"/>
        <v>9</v>
      </c>
    </row>
    <row r="3559" ht="14.5" customHeight="1" spans="11:29" x14ac:dyDescent="0.25">
      <c r="K3559" s="128"/>
      <c r="X3559" s="234">
        <v>2022</v>
      </c>
      <c r="Y3559" s="234">
        <v>5</v>
      </c>
      <c r="Z3559" s="234">
        <v>29</v>
      </c>
      <c r="AA3559" s="235">
        <v>0.20833333333212067</v>
      </c>
      <c r="AB3559" s="236">
        <v>9.4</v>
      </c>
      <c r="AC3559" s="127">
        <f t="shared" si="70"/>
        <v>9</v>
      </c>
    </row>
    <row r="3560" ht="14.5" customHeight="1" spans="11:29" x14ac:dyDescent="0.25">
      <c r="K3560" s="128"/>
      <c r="X3560" s="234">
        <v>2022</v>
      </c>
      <c r="Y3560" s="234">
        <v>5</v>
      </c>
      <c r="Z3560" s="234">
        <v>29</v>
      </c>
      <c r="AA3560" s="235">
        <v>0.25</v>
      </c>
      <c r="AB3560" s="236">
        <v>8.9</v>
      </c>
      <c r="AC3560" s="127">
        <f t="shared" si="70"/>
        <v>9</v>
      </c>
    </row>
    <row r="3561" ht="14.5" customHeight="1" spans="11:29" x14ac:dyDescent="0.25">
      <c r="K3561" s="128"/>
      <c r="X3561" s="234">
        <v>2022</v>
      </c>
      <c r="Y3561" s="234">
        <v>5</v>
      </c>
      <c r="Z3561" s="234">
        <v>29</v>
      </c>
      <c r="AA3561" s="235">
        <v>0.2916666666678793</v>
      </c>
      <c r="AB3561" s="236">
        <v>8.6</v>
      </c>
      <c r="AC3561" s="127">
        <f t="shared" si="70"/>
        <v>9</v>
      </c>
    </row>
    <row r="3562" ht="14.5" customHeight="1" spans="11:29" x14ac:dyDescent="0.25">
      <c r="K3562" s="128"/>
      <c r="X3562" s="234">
        <v>2022</v>
      </c>
      <c r="Y3562" s="234">
        <v>5</v>
      </c>
      <c r="Z3562" s="234">
        <v>29</v>
      </c>
      <c r="AA3562" s="235">
        <v>0.3333333333321207</v>
      </c>
      <c r="AB3562" s="236">
        <v>9.3</v>
      </c>
      <c r="AC3562" s="127">
        <f t="shared" si="70"/>
        <v>9</v>
      </c>
    </row>
    <row r="3563" ht="14.5" customHeight="1" spans="11:29" x14ac:dyDescent="0.25">
      <c r="K3563" s="128"/>
      <c r="X3563" s="234">
        <v>2022</v>
      </c>
      <c r="Y3563" s="234">
        <v>5</v>
      </c>
      <c r="Z3563" s="234">
        <v>29</v>
      </c>
      <c r="AA3563" s="235">
        <v>0.375</v>
      </c>
      <c r="AB3563" s="236">
        <v>10.8</v>
      </c>
      <c r="AC3563" s="127">
        <f t="shared" si="70"/>
        <v>11</v>
      </c>
    </row>
    <row r="3564" ht="14.5" customHeight="1" spans="11:29" x14ac:dyDescent="0.25">
      <c r="K3564" s="128"/>
      <c r="X3564" s="234">
        <v>2022</v>
      </c>
      <c r="Y3564" s="234">
        <v>5</v>
      </c>
      <c r="Z3564" s="234">
        <v>29</v>
      </c>
      <c r="AA3564" s="235">
        <v>0.4166666666678793</v>
      </c>
      <c r="AB3564" s="236">
        <v>12.1</v>
      </c>
      <c r="AC3564" s="127">
        <f t="shared" si="70"/>
        <v>12</v>
      </c>
    </row>
    <row r="3565" ht="14.5" customHeight="1" spans="11:29" x14ac:dyDescent="0.25">
      <c r="K3565" s="128"/>
      <c r="X3565" s="234">
        <v>2022</v>
      </c>
      <c r="Y3565" s="234">
        <v>5</v>
      </c>
      <c r="Z3565" s="234">
        <v>29</v>
      </c>
      <c r="AA3565" s="235">
        <v>0.4583333333321207</v>
      </c>
      <c r="AB3565" s="236">
        <v>12.7</v>
      </c>
      <c r="AC3565" s="127">
        <f t="shared" si="70"/>
        <v>13</v>
      </c>
    </row>
    <row r="3566" ht="14.5" customHeight="1" spans="11:29" x14ac:dyDescent="0.25">
      <c r="K3566" s="128"/>
      <c r="X3566" s="234">
        <v>2022</v>
      </c>
      <c r="Y3566" s="234">
        <v>5</v>
      </c>
      <c r="Z3566" s="234">
        <v>29</v>
      </c>
      <c r="AA3566" s="235">
        <v>0.5</v>
      </c>
      <c r="AB3566" s="236">
        <v>14.1</v>
      </c>
      <c r="AC3566" s="127">
        <f t="shared" si="70"/>
        <v>14</v>
      </c>
    </row>
    <row r="3567" ht="14.5" customHeight="1" spans="11:29" x14ac:dyDescent="0.25">
      <c r="K3567" s="128"/>
      <c r="X3567" s="234">
        <v>2022</v>
      </c>
      <c r="Y3567" s="234">
        <v>5</v>
      </c>
      <c r="Z3567" s="234">
        <v>29</v>
      </c>
      <c r="AA3567" s="235">
        <v>0.5416666666678793</v>
      </c>
      <c r="AB3567" s="236">
        <v>13.7</v>
      </c>
      <c r="AC3567" s="127">
        <f t="shared" si="70"/>
        <v>14</v>
      </c>
    </row>
    <row r="3568" ht="14.5" customHeight="1" spans="11:29" x14ac:dyDescent="0.25">
      <c r="K3568" s="128"/>
      <c r="X3568" s="234">
        <v>2022</v>
      </c>
      <c r="Y3568" s="234">
        <v>5</v>
      </c>
      <c r="Z3568" s="234">
        <v>29</v>
      </c>
      <c r="AA3568" s="235">
        <v>0.5833333333321207</v>
      </c>
      <c r="AB3568" s="236">
        <v>15</v>
      </c>
      <c r="AC3568" s="127">
        <f t="shared" si="70"/>
        <v>15</v>
      </c>
    </row>
    <row r="3569" ht="14.5" customHeight="1" spans="11:29" x14ac:dyDescent="0.25">
      <c r="K3569" s="128"/>
      <c r="X3569" s="234">
        <v>2022</v>
      </c>
      <c r="Y3569" s="234">
        <v>5</v>
      </c>
      <c r="Z3569" s="234">
        <v>29</v>
      </c>
      <c r="AA3569" s="235">
        <v>0.625</v>
      </c>
      <c r="AB3569" s="236">
        <v>14.9</v>
      </c>
      <c r="AC3569" s="127">
        <f t="shared" si="70"/>
        <v>15</v>
      </c>
    </row>
    <row r="3570" ht="14.5" customHeight="1" spans="11:29" x14ac:dyDescent="0.25">
      <c r="K3570" s="128"/>
      <c r="X3570" s="234">
        <v>2022</v>
      </c>
      <c r="Y3570" s="234">
        <v>5</v>
      </c>
      <c r="Z3570" s="234">
        <v>29</v>
      </c>
      <c r="AA3570" s="235">
        <v>0.6666666666678793</v>
      </c>
      <c r="AB3570" s="236">
        <v>14.7</v>
      </c>
      <c r="AC3570" s="127">
        <f t="shared" si="70"/>
        <v>15</v>
      </c>
    </row>
    <row r="3571" ht="14.5" customHeight="1" spans="11:29" x14ac:dyDescent="0.25">
      <c r="K3571" s="128"/>
      <c r="X3571" s="234">
        <v>2022</v>
      </c>
      <c r="Y3571" s="234">
        <v>5</v>
      </c>
      <c r="Z3571" s="234">
        <v>29</v>
      </c>
      <c r="AA3571" s="235">
        <v>0.7083333333321207</v>
      </c>
      <c r="AB3571" s="236">
        <v>14.7</v>
      </c>
      <c r="AC3571" s="127">
        <f t="shared" si="70"/>
        <v>15</v>
      </c>
    </row>
    <row r="3572" ht="14.5" customHeight="1" spans="11:29" x14ac:dyDescent="0.25">
      <c r="K3572" s="128"/>
      <c r="X3572" s="234">
        <v>2022</v>
      </c>
      <c r="Y3572" s="234">
        <v>5</v>
      </c>
      <c r="Z3572" s="234">
        <v>29</v>
      </c>
      <c r="AA3572" s="235">
        <v>0.75</v>
      </c>
      <c r="AB3572" s="236">
        <v>13.7</v>
      </c>
      <c r="AC3572" s="127">
        <f t="shared" si="70"/>
        <v>14</v>
      </c>
    </row>
    <row r="3573" ht="14.5" customHeight="1" spans="11:29" x14ac:dyDescent="0.25">
      <c r="K3573" s="128"/>
      <c r="X3573" s="234">
        <v>2022</v>
      </c>
      <c r="Y3573" s="234">
        <v>5</v>
      </c>
      <c r="Z3573" s="234">
        <v>29</v>
      </c>
      <c r="AA3573" s="235">
        <v>0.7916666666678793</v>
      </c>
      <c r="AB3573" s="236">
        <v>13.6</v>
      </c>
      <c r="AC3573" s="127">
        <f t="shared" si="70"/>
        <v>14</v>
      </c>
    </row>
    <row r="3574" ht="14.5" customHeight="1" spans="11:29" x14ac:dyDescent="0.25">
      <c r="K3574" s="128"/>
      <c r="X3574" s="234">
        <v>2022</v>
      </c>
      <c r="Y3574" s="234">
        <v>5</v>
      </c>
      <c r="Z3574" s="234">
        <v>29</v>
      </c>
      <c r="AA3574" s="235">
        <v>0.8333333333321207</v>
      </c>
      <c r="AB3574" s="236">
        <v>12.4</v>
      </c>
      <c r="AC3574" s="127">
        <f t="shared" si="70"/>
        <v>12</v>
      </c>
    </row>
    <row r="3575" ht="14.5" customHeight="1" spans="11:29" x14ac:dyDescent="0.25">
      <c r="K3575" s="128"/>
      <c r="X3575" s="234">
        <v>2022</v>
      </c>
      <c r="Y3575" s="234">
        <v>5</v>
      </c>
      <c r="Z3575" s="234">
        <v>29</v>
      </c>
      <c r="AA3575" s="235">
        <v>0.875</v>
      </c>
      <c r="AB3575" s="236">
        <v>10.7</v>
      </c>
      <c r="AC3575" s="127">
        <f t="shared" si="70"/>
        <v>11</v>
      </c>
    </row>
    <row r="3576" ht="14.5" customHeight="1" spans="11:29" x14ac:dyDescent="0.25">
      <c r="K3576" s="128"/>
      <c r="X3576" s="234">
        <v>2022</v>
      </c>
      <c r="Y3576" s="234">
        <v>5</v>
      </c>
      <c r="Z3576" s="234">
        <v>29</v>
      </c>
      <c r="AA3576" s="235">
        <v>0.9166666666678793</v>
      </c>
      <c r="AB3576" s="236">
        <v>9</v>
      </c>
      <c r="AC3576" s="127">
        <f t="shared" si="70"/>
        <v>9</v>
      </c>
    </row>
    <row r="3577" ht="14.5" customHeight="1" spans="11:29" x14ac:dyDescent="0.25">
      <c r="K3577" s="128"/>
      <c r="X3577" s="234">
        <v>2022</v>
      </c>
      <c r="Y3577" s="234">
        <v>5</v>
      </c>
      <c r="Z3577" s="234">
        <v>29</v>
      </c>
      <c r="AA3577" s="235">
        <v>0.9583333333321207</v>
      </c>
      <c r="AB3577" s="236">
        <v>8.1</v>
      </c>
      <c r="AC3577" s="127">
        <f t="shared" si="70"/>
        <v>8</v>
      </c>
    </row>
    <row r="3578" ht="14.5" customHeight="1" spans="11:29" x14ac:dyDescent="0.25">
      <c r="K3578" s="128"/>
      <c r="X3578" s="234">
        <v>2022</v>
      </c>
      <c r="Y3578" s="234">
        <v>5</v>
      </c>
      <c r="Z3578" s="234">
        <v>30</v>
      </c>
      <c r="AA3578" s="235">
        <v>0</v>
      </c>
      <c r="AB3578" s="236">
        <v>7.6</v>
      </c>
      <c r="AC3578" s="127">
        <f t="shared" si="70"/>
        <v>8</v>
      </c>
    </row>
    <row r="3579" ht="14.5" customHeight="1" spans="11:29" x14ac:dyDescent="0.25">
      <c r="K3579" s="128"/>
      <c r="X3579" s="234">
        <v>2022</v>
      </c>
      <c r="Y3579" s="234">
        <v>5</v>
      </c>
      <c r="Z3579" s="234">
        <v>30</v>
      </c>
      <c r="AA3579" s="235">
        <v>0.041666666667879326</v>
      </c>
      <c r="AB3579" s="236">
        <v>7.5</v>
      </c>
      <c r="AC3579" s="127">
        <f t="shared" si="70"/>
        <v>8</v>
      </c>
    </row>
    <row r="3580" ht="14.5" customHeight="1" spans="11:29" x14ac:dyDescent="0.25">
      <c r="K3580" s="128"/>
      <c r="X3580" s="234">
        <v>2022</v>
      </c>
      <c r="Y3580" s="234">
        <v>5</v>
      </c>
      <c r="Z3580" s="234">
        <v>30</v>
      </c>
      <c r="AA3580" s="235">
        <v>0.08333333333212067</v>
      </c>
      <c r="AB3580" s="236">
        <v>7.2</v>
      </c>
      <c r="AC3580" s="127">
        <f t="shared" si="70"/>
        <v>7</v>
      </c>
    </row>
    <row r="3581" ht="14.5" customHeight="1" spans="11:29" x14ac:dyDescent="0.25">
      <c r="K3581" s="128"/>
      <c r="X3581" s="234">
        <v>2022</v>
      </c>
      <c r="Y3581" s="234">
        <v>5</v>
      </c>
      <c r="Z3581" s="234">
        <v>30</v>
      </c>
      <c r="AA3581" s="235">
        <v>0.125</v>
      </c>
      <c r="AB3581" s="236">
        <v>7.4</v>
      </c>
      <c r="AC3581" s="127">
        <f t="shared" si="70"/>
        <v>7</v>
      </c>
    </row>
    <row r="3582" ht="14.5" customHeight="1" spans="11:29" x14ac:dyDescent="0.25">
      <c r="K3582" s="128"/>
      <c r="X3582" s="234">
        <v>2022</v>
      </c>
      <c r="Y3582" s="234">
        <v>5</v>
      </c>
      <c r="Z3582" s="234">
        <v>30</v>
      </c>
      <c r="AA3582" s="235">
        <v>0.16666666666787933</v>
      </c>
      <c r="AB3582" s="236">
        <v>7.2</v>
      </c>
      <c r="AC3582" s="127">
        <f t="shared" si="70"/>
        <v>7</v>
      </c>
    </row>
    <row r="3583" ht="14.5" customHeight="1" spans="11:29" x14ac:dyDescent="0.25">
      <c r="K3583" s="128"/>
      <c r="X3583" s="234">
        <v>2022</v>
      </c>
      <c r="Y3583" s="234">
        <v>5</v>
      </c>
      <c r="Z3583" s="234">
        <v>30</v>
      </c>
      <c r="AA3583" s="235">
        <v>0.20833333333212067</v>
      </c>
      <c r="AB3583" s="236">
        <v>6.9</v>
      </c>
      <c r="AC3583" s="127">
        <f t="shared" si="70"/>
        <v>7</v>
      </c>
    </row>
    <row r="3584" ht="14.5" customHeight="1" spans="11:29" x14ac:dyDescent="0.25">
      <c r="K3584" s="128"/>
      <c r="X3584" s="234">
        <v>2022</v>
      </c>
      <c r="Y3584" s="234">
        <v>5</v>
      </c>
      <c r="Z3584" s="234">
        <v>30</v>
      </c>
      <c r="AA3584" s="235">
        <v>0.25</v>
      </c>
      <c r="AB3584" s="236">
        <v>6.8</v>
      </c>
      <c r="AC3584" s="127">
        <f t="shared" si="70"/>
        <v>7</v>
      </c>
    </row>
    <row r="3585" ht="14.5" customHeight="1" spans="11:29" x14ac:dyDescent="0.25">
      <c r="K3585" s="128"/>
      <c r="X3585" s="234">
        <v>2022</v>
      </c>
      <c r="Y3585" s="234">
        <v>5</v>
      </c>
      <c r="Z3585" s="234">
        <v>30</v>
      </c>
      <c r="AA3585" s="235">
        <v>0.2916666666678793</v>
      </c>
      <c r="AB3585" s="236">
        <v>7.1</v>
      </c>
      <c r="AC3585" s="127">
        <f t="shared" si="70"/>
        <v>7</v>
      </c>
    </row>
    <row r="3586" ht="14.5" customHeight="1" spans="11:29" x14ac:dyDescent="0.25">
      <c r="K3586" s="128"/>
      <c r="X3586" s="234">
        <v>2022</v>
      </c>
      <c r="Y3586" s="234">
        <v>5</v>
      </c>
      <c r="Z3586" s="234">
        <v>30</v>
      </c>
      <c r="AA3586" s="235">
        <v>0.3333333333321207</v>
      </c>
      <c r="AB3586" s="236">
        <v>7.3</v>
      </c>
      <c r="AC3586" s="127">
        <f t="shared" si="70"/>
        <v>7</v>
      </c>
    </row>
    <row r="3587" ht="14.5" customHeight="1" spans="11:29" x14ac:dyDescent="0.25">
      <c r="K3587" s="128"/>
      <c r="X3587" s="234">
        <v>2022</v>
      </c>
      <c r="Y3587" s="234">
        <v>5</v>
      </c>
      <c r="Z3587" s="234">
        <v>30</v>
      </c>
      <c r="AA3587" s="235">
        <v>0.375</v>
      </c>
      <c r="AB3587" s="236">
        <v>7</v>
      </c>
      <c r="AC3587" s="127">
        <f t="shared" si="70"/>
        <v>7</v>
      </c>
    </row>
    <row r="3588" ht="14.5" customHeight="1" spans="11:29" x14ac:dyDescent="0.25">
      <c r="K3588" s="128"/>
      <c r="X3588" s="234">
        <v>2022</v>
      </c>
      <c r="Y3588" s="234">
        <v>5</v>
      </c>
      <c r="Z3588" s="234">
        <v>30</v>
      </c>
      <c r="AA3588" s="235">
        <v>0.4166666666678793</v>
      </c>
      <c r="AB3588" s="236">
        <v>7.1</v>
      </c>
      <c r="AC3588" s="127">
        <f t="shared" si="70"/>
        <v>7</v>
      </c>
    </row>
    <row r="3589" ht="14.5" customHeight="1" spans="11:29" x14ac:dyDescent="0.25">
      <c r="K3589" s="128"/>
      <c r="X3589" s="234">
        <v>2022</v>
      </c>
      <c r="Y3589" s="234">
        <v>5</v>
      </c>
      <c r="Z3589" s="234">
        <v>30</v>
      </c>
      <c r="AA3589" s="235">
        <v>0.4583333333321207</v>
      </c>
      <c r="AB3589" s="236">
        <v>9.2</v>
      </c>
      <c r="AC3589" s="127">
        <f t="shared" si="70"/>
        <v>9</v>
      </c>
    </row>
    <row r="3590" ht="14.5" customHeight="1" spans="11:29" x14ac:dyDescent="0.25">
      <c r="K3590" s="128"/>
      <c r="X3590" s="234">
        <v>2022</v>
      </c>
      <c r="Y3590" s="234">
        <v>5</v>
      </c>
      <c r="Z3590" s="234">
        <v>30</v>
      </c>
      <c r="AA3590" s="235">
        <v>0.5</v>
      </c>
      <c r="AB3590" s="236">
        <v>9.9</v>
      </c>
      <c r="AC3590" s="127">
        <f t="shared" si="70"/>
        <v>10</v>
      </c>
    </row>
    <row r="3591" ht="14.5" customHeight="1" spans="11:29" x14ac:dyDescent="0.25">
      <c r="K3591" s="128"/>
      <c r="X3591" s="234">
        <v>2022</v>
      </c>
      <c r="Y3591" s="234">
        <v>5</v>
      </c>
      <c r="Z3591" s="234">
        <v>30</v>
      </c>
      <c r="AA3591" s="235">
        <v>0.5416666666678793</v>
      </c>
      <c r="AB3591" s="236">
        <v>11.7</v>
      </c>
      <c r="AC3591" s="127">
        <f t="shared" si="70"/>
        <v>12</v>
      </c>
    </row>
    <row r="3592" ht="14.5" customHeight="1" spans="11:29" x14ac:dyDescent="0.25">
      <c r="K3592" s="128"/>
      <c r="X3592" s="234">
        <v>2022</v>
      </c>
      <c r="Y3592" s="234">
        <v>5</v>
      </c>
      <c r="Z3592" s="234">
        <v>30</v>
      </c>
      <c r="AA3592" s="235">
        <v>0.5833333333321207</v>
      </c>
      <c r="AB3592" s="236">
        <v>13.5</v>
      </c>
      <c r="AC3592" s="127">
        <f t="shared" si="70"/>
        <v>14</v>
      </c>
    </row>
    <row r="3593" ht="14.5" customHeight="1" spans="11:29" x14ac:dyDescent="0.25">
      <c r="K3593" s="128"/>
      <c r="X3593" s="234">
        <v>2022</v>
      </c>
      <c r="Y3593" s="234">
        <v>5</v>
      </c>
      <c r="Z3593" s="234">
        <v>30</v>
      </c>
      <c r="AA3593" s="235">
        <v>0.625</v>
      </c>
      <c r="AB3593" s="236">
        <v>14</v>
      </c>
      <c r="AC3593" s="127">
        <f t="shared" si="70"/>
        <v>14</v>
      </c>
    </row>
    <row r="3594" ht="14.5" customHeight="1" spans="11:29" x14ac:dyDescent="0.25">
      <c r="K3594" s="128"/>
      <c r="X3594" s="234">
        <v>2022</v>
      </c>
      <c r="Y3594" s="234">
        <v>5</v>
      </c>
      <c r="Z3594" s="234">
        <v>30</v>
      </c>
      <c r="AA3594" s="235">
        <v>0.6666666666678793</v>
      </c>
      <c r="AB3594" s="236">
        <v>15.2</v>
      </c>
      <c r="AC3594" s="127">
        <f t="shared" si="70"/>
        <v>15</v>
      </c>
    </row>
    <row r="3595" ht="14.5" customHeight="1" spans="11:29" x14ac:dyDescent="0.25">
      <c r="K3595" s="128"/>
      <c r="X3595" s="234">
        <v>2022</v>
      </c>
      <c r="Y3595" s="234">
        <v>5</v>
      </c>
      <c r="Z3595" s="234">
        <v>30</v>
      </c>
      <c r="AA3595" s="235">
        <v>0.7083333333321207</v>
      </c>
      <c r="AB3595" s="236">
        <v>14.5</v>
      </c>
      <c r="AC3595" s="127">
        <f t="shared" ref="AC3595:AC3658" si="71">ROUND(AB3595,0)</f>
        <v>15</v>
      </c>
    </row>
    <row r="3596" ht="14.5" customHeight="1" spans="11:29" x14ac:dyDescent="0.25">
      <c r="K3596" s="128"/>
      <c r="X3596" s="234">
        <v>2022</v>
      </c>
      <c r="Y3596" s="234">
        <v>5</v>
      </c>
      <c r="Z3596" s="234">
        <v>30</v>
      </c>
      <c r="AA3596" s="235">
        <v>0.75</v>
      </c>
      <c r="AB3596" s="236">
        <v>14.5</v>
      </c>
      <c r="AC3596" s="127">
        <f t="shared" si="71"/>
        <v>15</v>
      </c>
    </row>
    <row r="3597" ht="14.5" customHeight="1" spans="11:29" x14ac:dyDescent="0.25">
      <c r="K3597" s="128"/>
      <c r="X3597" s="234">
        <v>2022</v>
      </c>
      <c r="Y3597" s="234">
        <v>5</v>
      </c>
      <c r="Z3597" s="234">
        <v>30</v>
      </c>
      <c r="AA3597" s="235">
        <v>0.7916666666678793</v>
      </c>
      <c r="AB3597" s="236">
        <v>13.5</v>
      </c>
      <c r="AC3597" s="127">
        <f t="shared" si="71"/>
        <v>14</v>
      </c>
    </row>
    <row r="3598" ht="14.5" customHeight="1" spans="11:29" x14ac:dyDescent="0.25">
      <c r="K3598" s="128"/>
      <c r="X3598" s="234">
        <v>2022</v>
      </c>
      <c r="Y3598" s="234">
        <v>5</v>
      </c>
      <c r="Z3598" s="234">
        <v>30</v>
      </c>
      <c r="AA3598" s="235">
        <v>0.8333333333321207</v>
      </c>
      <c r="AB3598" s="236">
        <v>12.2</v>
      </c>
      <c r="AC3598" s="127">
        <f t="shared" si="71"/>
        <v>12</v>
      </c>
    </row>
    <row r="3599" ht="14.5" customHeight="1" spans="11:29" x14ac:dyDescent="0.25">
      <c r="K3599" s="128"/>
      <c r="X3599" s="234">
        <v>2022</v>
      </c>
      <c r="Y3599" s="234">
        <v>5</v>
      </c>
      <c r="Z3599" s="234">
        <v>30</v>
      </c>
      <c r="AA3599" s="235">
        <v>0.875</v>
      </c>
      <c r="AB3599" s="236">
        <v>9.5</v>
      </c>
      <c r="AC3599" s="127">
        <f t="shared" si="71"/>
        <v>10</v>
      </c>
    </row>
    <row r="3600" ht="14.5" customHeight="1" spans="11:29" x14ac:dyDescent="0.25">
      <c r="K3600" s="128"/>
      <c r="X3600" s="234">
        <v>2022</v>
      </c>
      <c r="Y3600" s="234">
        <v>5</v>
      </c>
      <c r="Z3600" s="234">
        <v>30</v>
      </c>
      <c r="AA3600" s="235">
        <v>0.9166666666678793</v>
      </c>
      <c r="AB3600" s="236">
        <v>7.9</v>
      </c>
      <c r="AC3600" s="127">
        <f t="shared" si="71"/>
        <v>8</v>
      </c>
    </row>
    <row r="3601" ht="14.5" customHeight="1" spans="11:29" x14ac:dyDescent="0.25">
      <c r="K3601" s="128"/>
      <c r="X3601" s="234">
        <v>2022</v>
      </c>
      <c r="Y3601" s="234">
        <v>5</v>
      </c>
      <c r="Z3601" s="234">
        <v>30</v>
      </c>
      <c r="AA3601" s="235">
        <v>0.9583333333321207</v>
      </c>
      <c r="AB3601" s="236">
        <v>5.5</v>
      </c>
      <c r="AC3601" s="127">
        <f t="shared" si="71"/>
        <v>6</v>
      </c>
    </row>
    <row r="3602" ht="14.5" customHeight="1" spans="11:29" x14ac:dyDescent="0.25">
      <c r="K3602" s="128"/>
      <c r="X3602" s="234">
        <v>2022</v>
      </c>
      <c r="Y3602" s="234">
        <v>5</v>
      </c>
      <c r="Z3602" s="234">
        <v>31</v>
      </c>
      <c r="AA3602" s="235">
        <v>0</v>
      </c>
      <c r="AB3602" s="236">
        <v>4.3</v>
      </c>
      <c r="AC3602" s="127">
        <f t="shared" si="71"/>
        <v>4</v>
      </c>
    </row>
    <row r="3603" ht="14.5" customHeight="1" spans="11:29" x14ac:dyDescent="0.25">
      <c r="K3603" s="128"/>
      <c r="X3603" s="234">
        <v>2022</v>
      </c>
      <c r="Y3603" s="234">
        <v>5</v>
      </c>
      <c r="Z3603" s="234">
        <v>31</v>
      </c>
      <c r="AA3603" s="235">
        <v>0.041666666667879326</v>
      </c>
      <c r="AB3603" s="236">
        <v>3.7</v>
      </c>
      <c r="AC3603" s="127">
        <f t="shared" si="71"/>
        <v>4</v>
      </c>
    </row>
    <row r="3604" ht="14.5" customHeight="1" spans="11:29" x14ac:dyDescent="0.25">
      <c r="K3604" s="128"/>
      <c r="X3604" s="234">
        <v>2022</v>
      </c>
      <c r="Y3604" s="234">
        <v>5</v>
      </c>
      <c r="Z3604" s="234">
        <v>31</v>
      </c>
      <c r="AA3604" s="235">
        <v>0.08333333333212067</v>
      </c>
      <c r="AB3604" s="236">
        <v>2.9</v>
      </c>
      <c r="AC3604" s="127">
        <f t="shared" si="71"/>
        <v>3</v>
      </c>
    </row>
    <row r="3605" ht="14.5" customHeight="1" spans="11:29" x14ac:dyDescent="0.25">
      <c r="K3605" s="128"/>
      <c r="X3605" s="234">
        <v>2022</v>
      </c>
      <c r="Y3605" s="234">
        <v>5</v>
      </c>
      <c r="Z3605" s="234">
        <v>31</v>
      </c>
      <c r="AA3605" s="235">
        <v>0.125</v>
      </c>
      <c r="AB3605" s="236">
        <v>2</v>
      </c>
      <c r="AC3605" s="127">
        <f t="shared" si="71"/>
        <v>2</v>
      </c>
    </row>
    <row r="3606" ht="14.5" customHeight="1" spans="11:29" x14ac:dyDescent="0.25">
      <c r="K3606" s="128"/>
      <c r="X3606" s="234">
        <v>2022</v>
      </c>
      <c r="Y3606" s="234">
        <v>5</v>
      </c>
      <c r="Z3606" s="234">
        <v>31</v>
      </c>
      <c r="AA3606" s="235">
        <v>0.16666666666787933</v>
      </c>
      <c r="AB3606" s="236">
        <v>1.4</v>
      </c>
      <c r="AC3606" s="127">
        <f t="shared" si="71"/>
        <v>1</v>
      </c>
    </row>
    <row r="3607" ht="14.5" customHeight="1" spans="11:29" x14ac:dyDescent="0.25">
      <c r="K3607" s="128"/>
      <c r="X3607" s="234">
        <v>2022</v>
      </c>
      <c r="Y3607" s="234">
        <v>5</v>
      </c>
      <c r="Z3607" s="234">
        <v>31</v>
      </c>
      <c r="AA3607" s="235">
        <v>0.20833333333212067</v>
      </c>
      <c r="AB3607" s="236">
        <v>2</v>
      </c>
      <c r="AC3607" s="127">
        <f t="shared" si="71"/>
        <v>2</v>
      </c>
    </row>
    <row r="3608" ht="14.5" customHeight="1" spans="11:29" x14ac:dyDescent="0.25">
      <c r="K3608" s="128"/>
      <c r="X3608" s="234">
        <v>2022</v>
      </c>
      <c r="Y3608" s="234">
        <v>5</v>
      </c>
      <c r="Z3608" s="234">
        <v>31</v>
      </c>
      <c r="AA3608" s="235">
        <v>0.25</v>
      </c>
      <c r="AB3608" s="236">
        <v>5.3</v>
      </c>
      <c r="AC3608" s="127">
        <f t="shared" si="71"/>
        <v>5</v>
      </c>
    </row>
    <row r="3609" ht="14.5" customHeight="1" spans="11:29" x14ac:dyDescent="0.25">
      <c r="K3609" s="128"/>
      <c r="X3609" s="234">
        <v>2022</v>
      </c>
      <c r="Y3609" s="234">
        <v>5</v>
      </c>
      <c r="Z3609" s="234">
        <v>31</v>
      </c>
      <c r="AA3609" s="235">
        <v>0.2916666666678793</v>
      </c>
      <c r="AB3609" s="236">
        <v>9</v>
      </c>
      <c r="AC3609" s="127">
        <f t="shared" si="71"/>
        <v>9</v>
      </c>
    </row>
    <row r="3610" ht="14.5" customHeight="1" spans="11:29" x14ac:dyDescent="0.25">
      <c r="K3610" s="128"/>
      <c r="X3610" s="234">
        <v>2022</v>
      </c>
      <c r="Y3610" s="234">
        <v>5</v>
      </c>
      <c r="Z3610" s="234">
        <v>31</v>
      </c>
      <c r="AA3610" s="235">
        <v>0.3333333333321207</v>
      </c>
      <c r="AB3610" s="236">
        <v>10.8</v>
      </c>
      <c r="AC3610" s="127">
        <f t="shared" si="71"/>
        <v>11</v>
      </c>
    </row>
    <row r="3611" ht="14.5" customHeight="1" spans="11:29" x14ac:dyDescent="0.25">
      <c r="K3611" s="128"/>
      <c r="X3611" s="234">
        <v>2022</v>
      </c>
      <c r="Y3611" s="234">
        <v>5</v>
      </c>
      <c r="Z3611" s="234">
        <v>31</v>
      </c>
      <c r="AA3611" s="235">
        <v>0.375</v>
      </c>
      <c r="AB3611" s="236">
        <v>12.5</v>
      </c>
      <c r="AC3611" s="127">
        <f t="shared" si="71"/>
        <v>13</v>
      </c>
    </row>
    <row r="3612" ht="14.5" customHeight="1" spans="11:29" x14ac:dyDescent="0.25">
      <c r="K3612" s="128"/>
      <c r="X3612" s="234">
        <v>2022</v>
      </c>
      <c r="Y3612" s="234">
        <v>5</v>
      </c>
      <c r="Z3612" s="234">
        <v>31</v>
      </c>
      <c r="AA3612" s="235">
        <v>0.4166666666678793</v>
      </c>
      <c r="AB3612" s="236">
        <v>12.7</v>
      </c>
      <c r="AC3612" s="127">
        <f t="shared" si="71"/>
        <v>13</v>
      </c>
    </row>
    <row r="3613" ht="14.5" customHeight="1" spans="11:29" x14ac:dyDescent="0.25">
      <c r="K3613" s="128"/>
      <c r="X3613" s="234">
        <v>2022</v>
      </c>
      <c r="Y3613" s="234">
        <v>5</v>
      </c>
      <c r="Z3613" s="234">
        <v>31</v>
      </c>
      <c r="AA3613" s="235">
        <v>0.4583333333321207</v>
      </c>
      <c r="AB3613" s="236">
        <v>14.1</v>
      </c>
      <c r="AC3613" s="127">
        <f t="shared" si="71"/>
        <v>14</v>
      </c>
    </row>
    <row r="3614" ht="14.5" customHeight="1" spans="11:29" x14ac:dyDescent="0.25">
      <c r="K3614" s="128"/>
      <c r="X3614" s="234">
        <v>2022</v>
      </c>
      <c r="Y3614" s="234">
        <v>5</v>
      </c>
      <c r="Z3614" s="234">
        <v>31</v>
      </c>
      <c r="AA3614" s="235">
        <v>0.5</v>
      </c>
      <c r="AB3614" s="236">
        <v>14.4</v>
      </c>
      <c r="AC3614" s="127">
        <f t="shared" si="71"/>
        <v>14</v>
      </c>
    </row>
    <row r="3615" ht="14.5" customHeight="1" spans="11:29" x14ac:dyDescent="0.25">
      <c r="K3615" s="128"/>
      <c r="X3615" s="234">
        <v>2022</v>
      </c>
      <c r="Y3615" s="234">
        <v>5</v>
      </c>
      <c r="Z3615" s="234">
        <v>31</v>
      </c>
      <c r="AA3615" s="235">
        <v>0.5416666666678793</v>
      </c>
      <c r="AB3615" s="236">
        <v>14.9</v>
      </c>
      <c r="AC3615" s="127">
        <f t="shared" si="71"/>
        <v>15</v>
      </c>
    </row>
    <row r="3616" ht="14.5" customHeight="1" spans="11:29" x14ac:dyDescent="0.25">
      <c r="K3616" s="128"/>
      <c r="X3616" s="234">
        <v>2022</v>
      </c>
      <c r="Y3616" s="234">
        <v>5</v>
      </c>
      <c r="Z3616" s="234">
        <v>31</v>
      </c>
      <c r="AA3616" s="235">
        <v>0.5833333333321207</v>
      </c>
      <c r="AB3616" s="236">
        <v>16.6</v>
      </c>
      <c r="AC3616" s="127">
        <f t="shared" si="71"/>
        <v>17</v>
      </c>
    </row>
    <row r="3617" ht="14.5" customHeight="1" spans="11:29" x14ac:dyDescent="0.25">
      <c r="K3617" s="128"/>
      <c r="X3617" s="234">
        <v>2022</v>
      </c>
      <c r="Y3617" s="234">
        <v>5</v>
      </c>
      <c r="Z3617" s="234">
        <v>31</v>
      </c>
      <c r="AA3617" s="235">
        <v>0.625</v>
      </c>
      <c r="AB3617" s="236">
        <v>16.6</v>
      </c>
      <c r="AC3617" s="127">
        <f t="shared" si="71"/>
        <v>17</v>
      </c>
    </row>
    <row r="3618" ht="14.5" customHeight="1" spans="11:29" x14ac:dyDescent="0.25">
      <c r="K3618" s="128"/>
      <c r="X3618" s="234">
        <v>2022</v>
      </c>
      <c r="Y3618" s="234">
        <v>5</v>
      </c>
      <c r="Z3618" s="234">
        <v>31</v>
      </c>
      <c r="AA3618" s="235">
        <v>0.6666666666678793</v>
      </c>
      <c r="AB3618" s="236">
        <v>15.6</v>
      </c>
      <c r="AC3618" s="127">
        <f t="shared" si="71"/>
        <v>16</v>
      </c>
    </row>
    <row r="3619" ht="14.5" customHeight="1" spans="11:29" x14ac:dyDescent="0.25">
      <c r="K3619" s="128"/>
      <c r="X3619" s="234">
        <v>2022</v>
      </c>
      <c r="Y3619" s="234">
        <v>5</v>
      </c>
      <c r="Z3619" s="234">
        <v>31</v>
      </c>
      <c r="AA3619" s="235">
        <v>0.7083333333321207</v>
      </c>
      <c r="AB3619" s="236">
        <v>15.8</v>
      </c>
      <c r="AC3619" s="127">
        <f t="shared" si="71"/>
        <v>16</v>
      </c>
    </row>
    <row r="3620" ht="14.5" customHeight="1" spans="11:29" x14ac:dyDescent="0.25">
      <c r="K3620" s="128"/>
      <c r="X3620" s="234">
        <v>2022</v>
      </c>
      <c r="Y3620" s="234">
        <v>5</v>
      </c>
      <c r="Z3620" s="234">
        <v>31</v>
      </c>
      <c r="AA3620" s="235">
        <v>0.75</v>
      </c>
      <c r="AB3620" s="236">
        <v>15.7</v>
      </c>
      <c r="AC3620" s="127">
        <f t="shared" si="71"/>
        <v>16</v>
      </c>
    </row>
    <row r="3621" ht="14.5" customHeight="1" spans="11:29" x14ac:dyDescent="0.25">
      <c r="K3621" s="128"/>
      <c r="X3621" s="234">
        <v>2022</v>
      </c>
      <c r="Y3621" s="234">
        <v>5</v>
      </c>
      <c r="Z3621" s="234">
        <v>31</v>
      </c>
      <c r="AA3621" s="235">
        <v>0.7916666666678793</v>
      </c>
      <c r="AB3621" s="236">
        <v>15.6</v>
      </c>
      <c r="AC3621" s="127">
        <f t="shared" si="71"/>
        <v>16</v>
      </c>
    </row>
    <row r="3622" ht="14.5" customHeight="1" spans="11:29" x14ac:dyDescent="0.25">
      <c r="K3622" s="128"/>
      <c r="X3622" s="234">
        <v>2022</v>
      </c>
      <c r="Y3622" s="234">
        <v>5</v>
      </c>
      <c r="Z3622" s="234">
        <v>31</v>
      </c>
      <c r="AA3622" s="235">
        <v>0.8333333333321207</v>
      </c>
      <c r="AB3622" s="236">
        <v>14.7</v>
      </c>
      <c r="AC3622" s="127">
        <f t="shared" si="71"/>
        <v>15</v>
      </c>
    </row>
    <row r="3623" ht="14.5" customHeight="1" spans="11:29" x14ac:dyDescent="0.25">
      <c r="K3623" s="128"/>
      <c r="X3623" s="234">
        <v>2022</v>
      </c>
      <c r="Y3623" s="234">
        <v>5</v>
      </c>
      <c r="Z3623" s="234">
        <v>31</v>
      </c>
      <c r="AA3623" s="235">
        <v>0.875</v>
      </c>
      <c r="AB3623" s="236">
        <v>13.4</v>
      </c>
      <c r="AC3623" s="127">
        <f t="shared" si="71"/>
        <v>13</v>
      </c>
    </row>
    <row r="3624" ht="14.5" customHeight="1" spans="11:29" x14ac:dyDescent="0.25">
      <c r="K3624" s="128"/>
      <c r="X3624" s="234">
        <v>2022</v>
      </c>
      <c r="Y3624" s="234">
        <v>5</v>
      </c>
      <c r="Z3624" s="234">
        <v>31</v>
      </c>
      <c r="AA3624" s="235">
        <v>0.9166666666678793</v>
      </c>
      <c r="AB3624" s="236">
        <v>11.8</v>
      </c>
      <c r="AC3624" s="127">
        <f t="shared" si="71"/>
        <v>12</v>
      </c>
    </row>
    <row r="3625" ht="14.5" customHeight="1" spans="11:29" x14ac:dyDescent="0.25">
      <c r="K3625" s="128"/>
      <c r="X3625" s="234">
        <v>2022</v>
      </c>
      <c r="Y3625" s="234">
        <v>5</v>
      </c>
      <c r="Z3625" s="234">
        <v>31</v>
      </c>
      <c r="AA3625" s="235">
        <v>0.9583333333321207</v>
      </c>
      <c r="AB3625" s="236">
        <v>12.7</v>
      </c>
      <c r="AC3625" s="127">
        <f t="shared" si="71"/>
        <v>13</v>
      </c>
    </row>
    <row r="3626" ht="14.5" customHeight="1" spans="11:29" x14ac:dyDescent="0.25">
      <c r="K3626" s="128"/>
      <c r="X3626" s="234">
        <v>2022</v>
      </c>
      <c r="Y3626" s="234">
        <v>6</v>
      </c>
      <c r="Z3626" s="234">
        <v>1</v>
      </c>
      <c r="AA3626" s="235">
        <v>0</v>
      </c>
      <c r="AB3626" s="236">
        <v>10.7</v>
      </c>
      <c r="AC3626" s="127">
        <f t="shared" si="71"/>
        <v>11</v>
      </c>
    </row>
    <row r="3627" ht="14.5" customHeight="1" spans="11:29" x14ac:dyDescent="0.25">
      <c r="K3627" s="128"/>
      <c r="X3627" s="234">
        <v>2022</v>
      </c>
      <c r="Y3627" s="234">
        <v>6</v>
      </c>
      <c r="Z3627" s="234">
        <v>1</v>
      </c>
      <c r="AA3627" s="235">
        <v>0.041666666667879326</v>
      </c>
      <c r="AB3627" s="236">
        <v>8.3</v>
      </c>
      <c r="AC3627" s="127">
        <f t="shared" si="71"/>
        <v>8</v>
      </c>
    </row>
    <row r="3628" ht="14.5" customHeight="1" spans="11:29" x14ac:dyDescent="0.25">
      <c r="K3628" s="128"/>
      <c r="X3628" s="234">
        <v>2022</v>
      </c>
      <c r="Y3628" s="234">
        <v>6</v>
      </c>
      <c r="Z3628" s="234">
        <v>1</v>
      </c>
      <c r="AA3628" s="235">
        <v>0.08333333333212067</v>
      </c>
      <c r="AB3628" s="236">
        <v>9.4</v>
      </c>
      <c r="AC3628" s="127">
        <f t="shared" si="71"/>
        <v>9</v>
      </c>
    </row>
    <row r="3629" ht="14.5" customHeight="1" spans="11:29" x14ac:dyDescent="0.25">
      <c r="K3629" s="128"/>
      <c r="X3629" s="234">
        <v>2022</v>
      </c>
      <c r="Y3629" s="234">
        <v>6</v>
      </c>
      <c r="Z3629" s="234">
        <v>1</v>
      </c>
      <c r="AA3629" s="235">
        <v>0.125</v>
      </c>
      <c r="AB3629" s="236">
        <v>10.1</v>
      </c>
      <c r="AC3629" s="127">
        <f t="shared" si="71"/>
        <v>10</v>
      </c>
    </row>
    <row r="3630" ht="14.5" customHeight="1" spans="11:29" x14ac:dyDescent="0.25">
      <c r="K3630" s="128"/>
      <c r="X3630" s="234">
        <v>2022</v>
      </c>
      <c r="Y3630" s="234">
        <v>6</v>
      </c>
      <c r="Z3630" s="234">
        <v>1</v>
      </c>
      <c r="AA3630" s="235">
        <v>0.16666666666787933</v>
      </c>
      <c r="AB3630" s="236">
        <v>9.3</v>
      </c>
      <c r="AC3630" s="127">
        <f t="shared" si="71"/>
        <v>9</v>
      </c>
    </row>
    <row r="3631" ht="14.5" customHeight="1" spans="11:29" x14ac:dyDescent="0.25">
      <c r="K3631" s="128"/>
      <c r="X3631" s="234">
        <v>2022</v>
      </c>
      <c r="Y3631" s="234">
        <v>6</v>
      </c>
      <c r="Z3631" s="234">
        <v>1</v>
      </c>
      <c r="AA3631" s="235">
        <v>0.20833333333212067</v>
      </c>
      <c r="AB3631" s="236">
        <v>9.3</v>
      </c>
      <c r="AC3631" s="127">
        <f t="shared" si="71"/>
        <v>9</v>
      </c>
    </row>
    <row r="3632" ht="14.5" customHeight="1" spans="11:29" x14ac:dyDescent="0.25">
      <c r="K3632" s="128"/>
      <c r="X3632" s="234">
        <v>2022</v>
      </c>
      <c r="Y3632" s="234">
        <v>6</v>
      </c>
      <c r="Z3632" s="234">
        <v>1</v>
      </c>
      <c r="AA3632" s="235">
        <v>0.25</v>
      </c>
      <c r="AB3632" s="236">
        <v>10.5</v>
      </c>
      <c r="AC3632" s="127">
        <f t="shared" si="71"/>
        <v>11</v>
      </c>
    </row>
    <row r="3633" ht="14.5" customHeight="1" spans="11:29" x14ac:dyDescent="0.25">
      <c r="K3633" s="128"/>
      <c r="X3633" s="234">
        <v>2022</v>
      </c>
      <c r="Y3633" s="234">
        <v>6</v>
      </c>
      <c r="Z3633" s="234">
        <v>1</v>
      </c>
      <c r="AA3633" s="235">
        <v>0.2916666666678793</v>
      </c>
      <c r="AB3633" s="236">
        <v>12</v>
      </c>
      <c r="AC3633" s="127">
        <f t="shared" si="71"/>
        <v>12</v>
      </c>
    </row>
    <row r="3634" ht="14.5" customHeight="1" spans="11:29" x14ac:dyDescent="0.25">
      <c r="K3634" s="128"/>
      <c r="X3634" s="234">
        <v>2022</v>
      </c>
      <c r="Y3634" s="234">
        <v>6</v>
      </c>
      <c r="Z3634" s="234">
        <v>1</v>
      </c>
      <c r="AA3634" s="235">
        <v>0.3333333333321207</v>
      </c>
      <c r="AB3634" s="236">
        <v>12.2</v>
      </c>
      <c r="AC3634" s="127">
        <f t="shared" si="71"/>
        <v>12</v>
      </c>
    </row>
    <row r="3635" ht="14.5" customHeight="1" spans="11:29" x14ac:dyDescent="0.25">
      <c r="K3635" s="128"/>
      <c r="X3635" s="234">
        <v>2022</v>
      </c>
      <c r="Y3635" s="234">
        <v>6</v>
      </c>
      <c r="Z3635" s="234">
        <v>1</v>
      </c>
      <c r="AA3635" s="235">
        <v>0.375</v>
      </c>
      <c r="AB3635" s="236">
        <v>14.2</v>
      </c>
      <c r="AC3635" s="127">
        <f t="shared" si="71"/>
        <v>14</v>
      </c>
    </row>
    <row r="3636" ht="14.5" customHeight="1" spans="11:29" x14ac:dyDescent="0.25">
      <c r="K3636" s="128"/>
      <c r="X3636" s="234">
        <v>2022</v>
      </c>
      <c r="Y3636" s="234">
        <v>6</v>
      </c>
      <c r="Z3636" s="234">
        <v>1</v>
      </c>
      <c r="AA3636" s="235">
        <v>0.4166666666678793</v>
      </c>
      <c r="AB3636" s="236">
        <v>16</v>
      </c>
      <c r="AC3636" s="127">
        <f t="shared" si="71"/>
        <v>16</v>
      </c>
    </row>
    <row r="3637" ht="14.5" customHeight="1" spans="11:29" x14ac:dyDescent="0.25">
      <c r="K3637" s="128"/>
      <c r="X3637" s="234">
        <v>2022</v>
      </c>
      <c r="Y3637" s="234">
        <v>6</v>
      </c>
      <c r="Z3637" s="234">
        <v>1</v>
      </c>
      <c r="AA3637" s="235">
        <v>0.4583333333321207</v>
      </c>
      <c r="AB3637" s="236">
        <v>15.7</v>
      </c>
      <c r="AC3637" s="127">
        <f t="shared" si="71"/>
        <v>16</v>
      </c>
    </row>
    <row r="3638" ht="14.5" customHeight="1" spans="11:29" x14ac:dyDescent="0.25">
      <c r="K3638" s="128"/>
      <c r="X3638" s="234">
        <v>2022</v>
      </c>
      <c r="Y3638" s="234">
        <v>6</v>
      </c>
      <c r="Z3638" s="234">
        <v>1</v>
      </c>
      <c r="AA3638" s="235">
        <v>0.5</v>
      </c>
      <c r="AB3638" s="236">
        <v>15.9</v>
      </c>
      <c r="AC3638" s="127">
        <f t="shared" si="71"/>
        <v>16</v>
      </c>
    </row>
    <row r="3639" ht="14.5" customHeight="1" spans="11:29" x14ac:dyDescent="0.25">
      <c r="K3639" s="128"/>
      <c r="X3639" s="234">
        <v>2022</v>
      </c>
      <c r="Y3639" s="234">
        <v>6</v>
      </c>
      <c r="Z3639" s="234">
        <v>1</v>
      </c>
      <c r="AA3639" s="235">
        <v>0.5416666666678793</v>
      </c>
      <c r="AB3639" s="236">
        <v>16.9</v>
      </c>
      <c r="AC3639" s="127">
        <f t="shared" si="71"/>
        <v>17</v>
      </c>
    </row>
    <row r="3640" ht="14.5" customHeight="1" spans="11:29" x14ac:dyDescent="0.25">
      <c r="K3640" s="128"/>
      <c r="X3640" s="234">
        <v>2022</v>
      </c>
      <c r="Y3640" s="234">
        <v>6</v>
      </c>
      <c r="Z3640" s="234">
        <v>1</v>
      </c>
      <c r="AA3640" s="235">
        <v>0.5833333333321207</v>
      </c>
      <c r="AB3640" s="236">
        <v>18.4</v>
      </c>
      <c r="AC3640" s="127">
        <f t="shared" si="71"/>
        <v>18</v>
      </c>
    </row>
    <row r="3641" ht="14.5" customHeight="1" spans="11:29" x14ac:dyDescent="0.25">
      <c r="K3641" s="128"/>
      <c r="X3641" s="234">
        <v>2022</v>
      </c>
      <c r="Y3641" s="234">
        <v>6</v>
      </c>
      <c r="Z3641" s="234">
        <v>1</v>
      </c>
      <c r="AA3641" s="235">
        <v>0.625</v>
      </c>
      <c r="AB3641" s="236">
        <v>18.5</v>
      </c>
      <c r="AC3641" s="127">
        <f t="shared" si="71"/>
        <v>19</v>
      </c>
    </row>
    <row r="3642" ht="14.5" customHeight="1" spans="11:29" x14ac:dyDescent="0.25">
      <c r="K3642" s="128"/>
      <c r="X3642" s="234">
        <v>2022</v>
      </c>
      <c r="Y3642" s="234">
        <v>6</v>
      </c>
      <c r="Z3642" s="234">
        <v>1</v>
      </c>
      <c r="AA3642" s="235">
        <v>0.6666666666678793</v>
      </c>
      <c r="AB3642" s="236">
        <v>17.6</v>
      </c>
      <c r="AC3642" s="127">
        <f t="shared" si="71"/>
        <v>18</v>
      </c>
    </row>
    <row r="3643" ht="14.5" customHeight="1" spans="11:29" x14ac:dyDescent="0.25">
      <c r="K3643" s="128"/>
      <c r="X3643" s="234">
        <v>2022</v>
      </c>
      <c r="Y3643" s="234">
        <v>6</v>
      </c>
      <c r="Z3643" s="234">
        <v>1</v>
      </c>
      <c r="AA3643" s="235">
        <v>0.7083333333321207</v>
      </c>
      <c r="AB3643" s="236">
        <v>18.5</v>
      </c>
      <c r="AC3643" s="127">
        <f t="shared" si="71"/>
        <v>19</v>
      </c>
    </row>
    <row r="3644" ht="14.5" customHeight="1" spans="11:29" x14ac:dyDescent="0.25">
      <c r="K3644" s="128"/>
      <c r="X3644" s="234">
        <v>2022</v>
      </c>
      <c r="Y3644" s="234">
        <v>6</v>
      </c>
      <c r="Z3644" s="234">
        <v>1</v>
      </c>
      <c r="AA3644" s="235">
        <v>0.75</v>
      </c>
      <c r="AB3644" s="236">
        <v>18</v>
      </c>
      <c r="AC3644" s="127">
        <f t="shared" si="71"/>
        <v>18</v>
      </c>
    </row>
    <row r="3645" ht="14.5" customHeight="1" spans="11:29" x14ac:dyDescent="0.25">
      <c r="K3645" s="128"/>
      <c r="X3645" s="234">
        <v>2022</v>
      </c>
      <c r="Y3645" s="234">
        <v>6</v>
      </c>
      <c r="Z3645" s="234">
        <v>1</v>
      </c>
      <c r="AA3645" s="235">
        <v>0.7916666666678793</v>
      </c>
      <c r="AB3645" s="236">
        <v>17.5</v>
      </c>
      <c r="AC3645" s="127">
        <f t="shared" si="71"/>
        <v>18</v>
      </c>
    </row>
    <row r="3646" ht="14.5" customHeight="1" spans="11:29" x14ac:dyDescent="0.25">
      <c r="K3646" s="128"/>
      <c r="X3646" s="234">
        <v>2022</v>
      </c>
      <c r="Y3646" s="234">
        <v>6</v>
      </c>
      <c r="Z3646" s="234">
        <v>1</v>
      </c>
      <c r="AA3646" s="235">
        <v>0.8333333333321207</v>
      </c>
      <c r="AB3646" s="236">
        <v>16.3</v>
      </c>
      <c r="AC3646" s="127">
        <f t="shared" si="71"/>
        <v>16</v>
      </c>
    </row>
    <row r="3647" ht="14.5" customHeight="1" spans="11:29" x14ac:dyDescent="0.25">
      <c r="K3647" s="128"/>
      <c r="X3647" s="234">
        <v>2022</v>
      </c>
      <c r="Y3647" s="234">
        <v>6</v>
      </c>
      <c r="Z3647" s="234">
        <v>1</v>
      </c>
      <c r="AA3647" s="235">
        <v>0.875</v>
      </c>
      <c r="AB3647" s="236">
        <v>12.9</v>
      </c>
      <c r="AC3647" s="127">
        <f t="shared" si="71"/>
        <v>13</v>
      </c>
    </row>
    <row r="3648" ht="14.5" customHeight="1" spans="11:29" x14ac:dyDescent="0.25">
      <c r="K3648" s="128"/>
      <c r="X3648" s="234">
        <v>2022</v>
      </c>
      <c r="Y3648" s="234">
        <v>6</v>
      </c>
      <c r="Z3648" s="234">
        <v>1</v>
      </c>
      <c r="AA3648" s="235">
        <v>0.9166666666678793</v>
      </c>
      <c r="AB3648" s="236">
        <v>9.9</v>
      </c>
      <c r="AC3648" s="127">
        <f t="shared" si="71"/>
        <v>10</v>
      </c>
    </row>
    <row r="3649" ht="14.5" customHeight="1" spans="11:29" x14ac:dyDescent="0.25">
      <c r="K3649" s="128"/>
      <c r="X3649" s="234">
        <v>2022</v>
      </c>
      <c r="Y3649" s="234">
        <v>6</v>
      </c>
      <c r="Z3649" s="234">
        <v>1</v>
      </c>
      <c r="AA3649" s="235">
        <v>0.9583333333321207</v>
      </c>
      <c r="AB3649" s="236">
        <v>9</v>
      </c>
      <c r="AC3649" s="127">
        <f t="shared" si="71"/>
        <v>9</v>
      </c>
    </row>
    <row r="3650" ht="14.5" customHeight="1" spans="11:29" x14ac:dyDescent="0.25">
      <c r="K3650" s="128"/>
      <c r="X3650" s="234">
        <v>2022</v>
      </c>
      <c r="Y3650" s="234">
        <v>6</v>
      </c>
      <c r="Z3650" s="234">
        <v>2</v>
      </c>
      <c r="AA3650" s="235">
        <v>0</v>
      </c>
      <c r="AB3650" s="236">
        <v>8</v>
      </c>
      <c r="AC3650" s="127">
        <f t="shared" si="71"/>
        <v>8</v>
      </c>
    </row>
    <row r="3651" ht="14.5" customHeight="1" spans="11:29" x14ac:dyDescent="0.25">
      <c r="K3651" s="128"/>
      <c r="X3651" s="234">
        <v>2022</v>
      </c>
      <c r="Y3651" s="234">
        <v>6</v>
      </c>
      <c r="Z3651" s="234">
        <v>2</v>
      </c>
      <c r="AA3651" s="235">
        <v>0.041666666667879326</v>
      </c>
      <c r="AB3651" s="236">
        <v>5.5</v>
      </c>
      <c r="AC3651" s="127">
        <f t="shared" si="71"/>
        <v>6</v>
      </c>
    </row>
    <row r="3652" ht="14.5" customHeight="1" spans="11:29" x14ac:dyDescent="0.25">
      <c r="K3652" s="128"/>
      <c r="X3652" s="234">
        <v>2022</v>
      </c>
      <c r="Y3652" s="234">
        <v>6</v>
      </c>
      <c r="Z3652" s="234">
        <v>2</v>
      </c>
      <c r="AA3652" s="235">
        <v>0.08333333333212067</v>
      </c>
      <c r="AB3652" s="236">
        <v>4.9</v>
      </c>
      <c r="AC3652" s="127">
        <f t="shared" si="71"/>
        <v>5</v>
      </c>
    </row>
    <row r="3653" ht="14.5" customHeight="1" spans="11:29" x14ac:dyDescent="0.25">
      <c r="K3653" s="128"/>
      <c r="X3653" s="234">
        <v>2022</v>
      </c>
      <c r="Y3653" s="234">
        <v>6</v>
      </c>
      <c r="Z3653" s="234">
        <v>2</v>
      </c>
      <c r="AA3653" s="235">
        <v>0.125</v>
      </c>
      <c r="AB3653" s="236">
        <v>3.7</v>
      </c>
      <c r="AC3653" s="127">
        <f t="shared" si="71"/>
        <v>4</v>
      </c>
    </row>
    <row r="3654" ht="14.5" customHeight="1" spans="11:29" x14ac:dyDescent="0.25">
      <c r="K3654" s="128"/>
      <c r="X3654" s="234">
        <v>2022</v>
      </c>
      <c r="Y3654" s="234">
        <v>6</v>
      </c>
      <c r="Z3654" s="234">
        <v>2</v>
      </c>
      <c r="AA3654" s="235">
        <v>0.16666666666787933</v>
      </c>
      <c r="AB3654" s="236">
        <v>2.7</v>
      </c>
      <c r="AC3654" s="127">
        <f t="shared" si="71"/>
        <v>3</v>
      </c>
    </row>
    <row r="3655" ht="14.5" customHeight="1" spans="11:29" x14ac:dyDescent="0.25">
      <c r="K3655" s="128"/>
      <c r="X3655" s="234">
        <v>2022</v>
      </c>
      <c r="Y3655" s="234">
        <v>6</v>
      </c>
      <c r="Z3655" s="234">
        <v>2</v>
      </c>
      <c r="AA3655" s="235">
        <v>0.20833333333212067</v>
      </c>
      <c r="AB3655" s="236">
        <v>3.1</v>
      </c>
      <c r="AC3655" s="127">
        <f t="shared" si="71"/>
        <v>3</v>
      </c>
    </row>
    <row r="3656" ht="14.5" customHeight="1" spans="11:29" x14ac:dyDescent="0.25">
      <c r="K3656" s="128"/>
      <c r="X3656" s="234">
        <v>2022</v>
      </c>
      <c r="Y3656" s="234">
        <v>6</v>
      </c>
      <c r="Z3656" s="234">
        <v>2</v>
      </c>
      <c r="AA3656" s="235">
        <v>0.25</v>
      </c>
      <c r="AB3656" s="236">
        <v>6.9</v>
      </c>
      <c r="AC3656" s="127">
        <f t="shared" si="71"/>
        <v>7</v>
      </c>
    </row>
    <row r="3657" ht="14.5" customHeight="1" spans="11:29" x14ac:dyDescent="0.25">
      <c r="K3657" s="128"/>
      <c r="X3657" s="234">
        <v>2022</v>
      </c>
      <c r="Y3657" s="234">
        <v>6</v>
      </c>
      <c r="Z3657" s="234">
        <v>2</v>
      </c>
      <c r="AA3657" s="235">
        <v>0.2916666666678793</v>
      </c>
      <c r="AB3657" s="236">
        <v>10.2</v>
      </c>
      <c r="AC3657" s="127">
        <f t="shared" si="71"/>
        <v>10</v>
      </c>
    </row>
    <row r="3658" ht="14.5" customHeight="1" spans="11:29" x14ac:dyDescent="0.25">
      <c r="K3658" s="128"/>
      <c r="X3658" s="234">
        <v>2022</v>
      </c>
      <c r="Y3658" s="234">
        <v>6</v>
      </c>
      <c r="Z3658" s="234">
        <v>2</v>
      </c>
      <c r="AA3658" s="235">
        <v>0.3333333333321207</v>
      </c>
      <c r="AB3658" s="236">
        <v>13.8</v>
      </c>
      <c r="AC3658" s="127">
        <f t="shared" si="71"/>
        <v>14</v>
      </c>
    </row>
    <row r="3659" ht="14.5" customHeight="1" spans="11:29" x14ac:dyDescent="0.25">
      <c r="K3659" s="128"/>
      <c r="X3659" s="234">
        <v>2022</v>
      </c>
      <c r="Y3659" s="234">
        <v>6</v>
      </c>
      <c r="Z3659" s="234">
        <v>2</v>
      </c>
      <c r="AA3659" s="235">
        <v>0.375</v>
      </c>
      <c r="AB3659" s="236">
        <v>15.5</v>
      </c>
      <c r="AC3659" s="127">
        <f t="shared" ref="AC3659:AC3722" si="72">ROUND(AB3659,0)</f>
        <v>16</v>
      </c>
    </row>
    <row r="3660" ht="14.5" customHeight="1" spans="11:29" x14ac:dyDescent="0.25">
      <c r="K3660" s="128"/>
      <c r="X3660" s="234">
        <v>2022</v>
      </c>
      <c r="Y3660" s="234">
        <v>6</v>
      </c>
      <c r="Z3660" s="234">
        <v>2</v>
      </c>
      <c r="AA3660" s="235">
        <v>0.4166666666678793</v>
      </c>
      <c r="AB3660" s="236">
        <v>16.4</v>
      </c>
      <c r="AC3660" s="127">
        <f t="shared" si="72"/>
        <v>16</v>
      </c>
    </row>
    <row r="3661" ht="14.5" customHeight="1" spans="11:29" x14ac:dyDescent="0.25">
      <c r="K3661" s="128"/>
      <c r="X3661" s="234">
        <v>2022</v>
      </c>
      <c r="Y3661" s="234">
        <v>6</v>
      </c>
      <c r="Z3661" s="234">
        <v>2</v>
      </c>
      <c r="AA3661" s="235">
        <v>0.4583333333321207</v>
      </c>
      <c r="AB3661" s="236">
        <v>17.7</v>
      </c>
      <c r="AC3661" s="127">
        <f t="shared" si="72"/>
        <v>18</v>
      </c>
    </row>
    <row r="3662" ht="14.5" customHeight="1" spans="11:29" x14ac:dyDescent="0.25">
      <c r="K3662" s="128"/>
      <c r="X3662" s="234">
        <v>2022</v>
      </c>
      <c r="Y3662" s="234">
        <v>6</v>
      </c>
      <c r="Z3662" s="234">
        <v>2</v>
      </c>
      <c r="AA3662" s="235">
        <v>0.5</v>
      </c>
      <c r="AB3662" s="236">
        <v>18.2</v>
      </c>
      <c r="AC3662" s="127">
        <f t="shared" si="72"/>
        <v>18</v>
      </c>
    </row>
    <row r="3663" ht="14.5" customHeight="1" spans="11:29" x14ac:dyDescent="0.25">
      <c r="K3663" s="128"/>
      <c r="X3663" s="234">
        <v>2022</v>
      </c>
      <c r="Y3663" s="234">
        <v>6</v>
      </c>
      <c r="Z3663" s="234">
        <v>2</v>
      </c>
      <c r="AA3663" s="235">
        <v>0.5416666666678793</v>
      </c>
      <c r="AB3663" s="236">
        <v>17.9</v>
      </c>
      <c r="AC3663" s="127">
        <f t="shared" si="72"/>
        <v>18</v>
      </c>
    </row>
    <row r="3664" ht="14.5" customHeight="1" spans="11:29" x14ac:dyDescent="0.25">
      <c r="K3664" s="128"/>
      <c r="X3664" s="234">
        <v>2022</v>
      </c>
      <c r="Y3664" s="234">
        <v>6</v>
      </c>
      <c r="Z3664" s="234">
        <v>2</v>
      </c>
      <c r="AA3664" s="235">
        <v>0.5833333333321207</v>
      </c>
      <c r="AB3664" s="236">
        <v>19.3</v>
      </c>
      <c r="AC3664" s="127">
        <f t="shared" si="72"/>
        <v>19</v>
      </c>
    </row>
    <row r="3665" ht="14.5" customHeight="1" spans="11:29" x14ac:dyDescent="0.25">
      <c r="K3665" s="128"/>
      <c r="X3665" s="234">
        <v>2022</v>
      </c>
      <c r="Y3665" s="234">
        <v>6</v>
      </c>
      <c r="Z3665" s="234">
        <v>2</v>
      </c>
      <c r="AA3665" s="235">
        <v>0.625</v>
      </c>
      <c r="AB3665" s="236">
        <v>19.7</v>
      </c>
      <c r="AC3665" s="127">
        <f t="shared" si="72"/>
        <v>20</v>
      </c>
    </row>
    <row r="3666" ht="14.5" customHeight="1" spans="11:29" x14ac:dyDescent="0.25">
      <c r="K3666" s="128"/>
      <c r="X3666" s="234">
        <v>2022</v>
      </c>
      <c r="Y3666" s="234">
        <v>6</v>
      </c>
      <c r="Z3666" s="234">
        <v>2</v>
      </c>
      <c r="AA3666" s="235">
        <v>0.6666666666678793</v>
      </c>
      <c r="AB3666" s="236">
        <v>20.4</v>
      </c>
      <c r="AC3666" s="127">
        <f t="shared" si="72"/>
        <v>20</v>
      </c>
    </row>
    <row r="3667" ht="14.5" customHeight="1" spans="11:29" x14ac:dyDescent="0.25">
      <c r="K3667" s="128"/>
      <c r="X3667" s="234">
        <v>2022</v>
      </c>
      <c r="Y3667" s="234">
        <v>6</v>
      </c>
      <c r="Z3667" s="234">
        <v>2</v>
      </c>
      <c r="AA3667" s="235">
        <v>0.7083333333321207</v>
      </c>
      <c r="AB3667" s="236">
        <v>19.4</v>
      </c>
      <c r="AC3667" s="127">
        <f t="shared" si="72"/>
        <v>19</v>
      </c>
    </row>
    <row r="3668" ht="14.5" customHeight="1" spans="11:29" x14ac:dyDescent="0.25">
      <c r="K3668" s="128"/>
      <c r="X3668" s="234">
        <v>2022</v>
      </c>
      <c r="Y3668" s="234">
        <v>6</v>
      </c>
      <c r="Z3668" s="234">
        <v>2</v>
      </c>
      <c r="AA3668" s="235">
        <v>0.75</v>
      </c>
      <c r="AB3668" s="236">
        <v>18.6</v>
      </c>
      <c r="AC3668" s="127">
        <f t="shared" si="72"/>
        <v>19</v>
      </c>
    </row>
    <row r="3669" ht="14.5" customHeight="1" spans="11:29" x14ac:dyDescent="0.25">
      <c r="K3669" s="128"/>
      <c r="X3669" s="234">
        <v>2022</v>
      </c>
      <c r="Y3669" s="234">
        <v>6</v>
      </c>
      <c r="Z3669" s="234">
        <v>2</v>
      </c>
      <c r="AA3669" s="235">
        <v>0.7916666666678793</v>
      </c>
      <c r="AB3669" s="236">
        <v>17.9</v>
      </c>
      <c r="AC3669" s="127">
        <f t="shared" si="72"/>
        <v>18</v>
      </c>
    </row>
    <row r="3670" ht="14.5" customHeight="1" spans="11:29" x14ac:dyDescent="0.25">
      <c r="K3670" s="128"/>
      <c r="X3670" s="234">
        <v>2022</v>
      </c>
      <c r="Y3670" s="234">
        <v>6</v>
      </c>
      <c r="Z3670" s="234">
        <v>2</v>
      </c>
      <c r="AA3670" s="235">
        <v>0.8333333333321207</v>
      </c>
      <c r="AB3670" s="236">
        <v>16.5</v>
      </c>
      <c r="AC3670" s="127">
        <f t="shared" si="72"/>
        <v>17</v>
      </c>
    </row>
    <row r="3671" ht="14.5" customHeight="1" spans="11:29" x14ac:dyDescent="0.25">
      <c r="K3671" s="128"/>
      <c r="X3671" s="234">
        <v>2022</v>
      </c>
      <c r="Y3671" s="234">
        <v>6</v>
      </c>
      <c r="Z3671" s="234">
        <v>2</v>
      </c>
      <c r="AA3671" s="235">
        <v>0.875</v>
      </c>
      <c r="AB3671" s="236">
        <v>14</v>
      </c>
      <c r="AC3671" s="127">
        <f t="shared" si="72"/>
        <v>14</v>
      </c>
    </row>
    <row r="3672" ht="14.5" customHeight="1" spans="11:29" x14ac:dyDescent="0.25">
      <c r="K3672" s="128"/>
      <c r="X3672" s="234">
        <v>2022</v>
      </c>
      <c r="Y3672" s="234">
        <v>6</v>
      </c>
      <c r="Z3672" s="234">
        <v>2</v>
      </c>
      <c r="AA3672" s="235">
        <v>0.9166666666678793</v>
      </c>
      <c r="AB3672" s="236">
        <v>14.6</v>
      </c>
      <c r="AC3672" s="127">
        <f t="shared" si="72"/>
        <v>15</v>
      </c>
    </row>
    <row r="3673" ht="14.5" customHeight="1" spans="11:29" x14ac:dyDescent="0.25">
      <c r="K3673" s="128"/>
      <c r="X3673" s="234">
        <v>2022</v>
      </c>
      <c r="Y3673" s="234">
        <v>6</v>
      </c>
      <c r="Z3673" s="234">
        <v>2</v>
      </c>
      <c r="AA3673" s="235">
        <v>0.9583333333321207</v>
      </c>
      <c r="AB3673" s="236">
        <v>13.6</v>
      </c>
      <c r="AC3673" s="127">
        <f t="shared" si="72"/>
        <v>14</v>
      </c>
    </row>
    <row r="3674" ht="14.5" customHeight="1" spans="11:29" x14ac:dyDescent="0.25">
      <c r="K3674" s="128"/>
      <c r="X3674" s="234">
        <v>2022</v>
      </c>
      <c r="Y3674" s="234">
        <v>6</v>
      </c>
      <c r="Z3674" s="234">
        <v>3</v>
      </c>
      <c r="AA3674" s="235">
        <v>0</v>
      </c>
      <c r="AB3674" s="236">
        <v>10.7</v>
      </c>
      <c r="AC3674" s="127">
        <f t="shared" si="72"/>
        <v>11</v>
      </c>
    </row>
    <row r="3675" ht="14.5" customHeight="1" spans="11:29" x14ac:dyDescent="0.25">
      <c r="K3675" s="128"/>
      <c r="X3675" s="234">
        <v>2022</v>
      </c>
      <c r="Y3675" s="234">
        <v>6</v>
      </c>
      <c r="Z3675" s="234">
        <v>3</v>
      </c>
      <c r="AA3675" s="235">
        <v>0.041666666667879326</v>
      </c>
      <c r="AB3675" s="236">
        <v>10.2</v>
      </c>
      <c r="AC3675" s="127">
        <f t="shared" si="72"/>
        <v>10</v>
      </c>
    </row>
    <row r="3676" ht="14.5" customHeight="1" spans="11:29" x14ac:dyDescent="0.25">
      <c r="K3676" s="128"/>
      <c r="X3676" s="234">
        <v>2022</v>
      </c>
      <c r="Y3676" s="234">
        <v>6</v>
      </c>
      <c r="Z3676" s="234">
        <v>3</v>
      </c>
      <c r="AA3676" s="235">
        <v>0.08333333333212067</v>
      </c>
      <c r="AB3676" s="236">
        <v>8.5</v>
      </c>
      <c r="AC3676" s="127">
        <f t="shared" si="72"/>
        <v>9</v>
      </c>
    </row>
    <row r="3677" ht="14.5" customHeight="1" spans="11:29" x14ac:dyDescent="0.25">
      <c r="K3677" s="128"/>
      <c r="X3677" s="234">
        <v>2022</v>
      </c>
      <c r="Y3677" s="234">
        <v>6</v>
      </c>
      <c r="Z3677" s="234">
        <v>3</v>
      </c>
      <c r="AA3677" s="235">
        <v>0.125</v>
      </c>
      <c r="AB3677" s="236">
        <v>7.4</v>
      </c>
      <c r="AC3677" s="127">
        <f t="shared" si="72"/>
        <v>7</v>
      </c>
    </row>
    <row r="3678" ht="14.5" customHeight="1" spans="11:29" x14ac:dyDescent="0.25">
      <c r="K3678" s="128"/>
      <c r="X3678" s="234">
        <v>2022</v>
      </c>
      <c r="Y3678" s="234">
        <v>6</v>
      </c>
      <c r="Z3678" s="234">
        <v>3</v>
      </c>
      <c r="AA3678" s="235">
        <v>0.16666666666787933</v>
      </c>
      <c r="AB3678" s="236">
        <v>5.9</v>
      </c>
      <c r="AC3678" s="127">
        <f t="shared" si="72"/>
        <v>6</v>
      </c>
    </row>
    <row r="3679" ht="14.5" customHeight="1" spans="11:29" x14ac:dyDescent="0.25">
      <c r="K3679" s="128"/>
      <c r="X3679" s="234">
        <v>2022</v>
      </c>
      <c r="Y3679" s="234">
        <v>6</v>
      </c>
      <c r="Z3679" s="234">
        <v>3</v>
      </c>
      <c r="AA3679" s="235">
        <v>0.20833333333212067</v>
      </c>
      <c r="AB3679" s="236">
        <v>6.4</v>
      </c>
      <c r="AC3679" s="127">
        <f t="shared" si="72"/>
        <v>6</v>
      </c>
    </row>
    <row r="3680" ht="14.5" customHeight="1" spans="11:29" x14ac:dyDescent="0.25">
      <c r="K3680" s="128"/>
      <c r="X3680" s="234">
        <v>2022</v>
      </c>
      <c r="Y3680" s="234">
        <v>6</v>
      </c>
      <c r="Z3680" s="234">
        <v>3</v>
      </c>
      <c r="AA3680" s="235">
        <v>0.25</v>
      </c>
      <c r="AB3680" s="236">
        <v>9.2</v>
      </c>
      <c r="AC3680" s="127">
        <f t="shared" si="72"/>
        <v>9</v>
      </c>
    </row>
    <row r="3681" ht="14.5" customHeight="1" spans="11:29" x14ac:dyDescent="0.25">
      <c r="K3681" s="128"/>
      <c r="X3681" s="234">
        <v>2022</v>
      </c>
      <c r="Y3681" s="234">
        <v>6</v>
      </c>
      <c r="Z3681" s="234">
        <v>3</v>
      </c>
      <c r="AA3681" s="235">
        <v>0.2916666666678793</v>
      </c>
      <c r="AB3681" s="236">
        <v>12.7</v>
      </c>
      <c r="AC3681" s="127">
        <f t="shared" si="72"/>
        <v>13</v>
      </c>
    </row>
    <row r="3682" ht="14.5" customHeight="1" spans="11:29" x14ac:dyDescent="0.25">
      <c r="K3682" s="128"/>
      <c r="X3682" s="234">
        <v>2022</v>
      </c>
      <c r="Y3682" s="234">
        <v>6</v>
      </c>
      <c r="Z3682" s="234">
        <v>3</v>
      </c>
      <c r="AA3682" s="235">
        <v>0.3333333333321207</v>
      </c>
      <c r="AB3682" s="236">
        <v>15.3</v>
      </c>
      <c r="AC3682" s="127">
        <f t="shared" si="72"/>
        <v>15</v>
      </c>
    </row>
    <row r="3683" ht="14.5" customHeight="1" spans="11:29" x14ac:dyDescent="0.25">
      <c r="K3683" s="128"/>
      <c r="X3683" s="234">
        <v>2022</v>
      </c>
      <c r="Y3683" s="234">
        <v>6</v>
      </c>
      <c r="Z3683" s="234">
        <v>3</v>
      </c>
      <c r="AA3683" s="235">
        <v>0.375</v>
      </c>
      <c r="AB3683" s="236">
        <v>17.8</v>
      </c>
      <c r="AC3683" s="127">
        <f t="shared" si="72"/>
        <v>18</v>
      </c>
    </row>
    <row r="3684" ht="14.5" customHeight="1" spans="11:29" x14ac:dyDescent="0.25">
      <c r="K3684" s="128"/>
      <c r="X3684" s="234">
        <v>2022</v>
      </c>
      <c r="Y3684" s="234">
        <v>6</v>
      </c>
      <c r="Z3684" s="234">
        <v>3</v>
      </c>
      <c r="AA3684" s="235">
        <v>0.4166666666678793</v>
      </c>
      <c r="AB3684" s="236">
        <v>19.2</v>
      </c>
      <c r="AC3684" s="127">
        <f t="shared" si="72"/>
        <v>19</v>
      </c>
    </row>
    <row r="3685" ht="14.5" customHeight="1" spans="11:29" x14ac:dyDescent="0.25">
      <c r="K3685" s="128"/>
      <c r="X3685" s="234">
        <v>2022</v>
      </c>
      <c r="Y3685" s="234">
        <v>6</v>
      </c>
      <c r="Z3685" s="234">
        <v>3</v>
      </c>
      <c r="AA3685" s="235">
        <v>0.4583333333321207</v>
      </c>
      <c r="AB3685" s="236">
        <v>19.7</v>
      </c>
      <c r="AC3685" s="127">
        <f t="shared" si="72"/>
        <v>20</v>
      </c>
    </row>
    <row r="3686" ht="14.5" customHeight="1" spans="11:29" x14ac:dyDescent="0.25">
      <c r="K3686" s="128"/>
      <c r="X3686" s="234">
        <v>2022</v>
      </c>
      <c r="Y3686" s="234">
        <v>6</v>
      </c>
      <c r="Z3686" s="234">
        <v>3</v>
      </c>
      <c r="AA3686" s="235">
        <v>0.5</v>
      </c>
      <c r="AB3686" s="236">
        <v>20.6</v>
      </c>
      <c r="AC3686" s="127">
        <f t="shared" si="72"/>
        <v>21</v>
      </c>
    </row>
    <row r="3687" ht="14.5" customHeight="1" spans="11:29" x14ac:dyDescent="0.25">
      <c r="K3687" s="128"/>
      <c r="X3687" s="234">
        <v>2022</v>
      </c>
      <c r="Y3687" s="234">
        <v>6</v>
      </c>
      <c r="Z3687" s="234">
        <v>3</v>
      </c>
      <c r="AA3687" s="235">
        <v>0.5416666666678793</v>
      </c>
      <c r="AB3687" s="236">
        <v>20.8</v>
      </c>
      <c r="AC3687" s="127">
        <f t="shared" si="72"/>
        <v>21</v>
      </c>
    </row>
    <row r="3688" ht="14.5" customHeight="1" spans="11:29" x14ac:dyDescent="0.25">
      <c r="K3688" s="128"/>
      <c r="X3688" s="234">
        <v>2022</v>
      </c>
      <c r="Y3688" s="234">
        <v>6</v>
      </c>
      <c r="Z3688" s="234">
        <v>3</v>
      </c>
      <c r="AA3688" s="235">
        <v>0.5833333333321207</v>
      </c>
      <c r="AB3688" s="236">
        <v>21.1</v>
      </c>
      <c r="AC3688" s="127">
        <f t="shared" si="72"/>
        <v>21</v>
      </c>
    </row>
    <row r="3689" ht="14.5" customHeight="1" spans="11:29" x14ac:dyDescent="0.25">
      <c r="K3689" s="128"/>
      <c r="X3689" s="234">
        <v>2022</v>
      </c>
      <c r="Y3689" s="234">
        <v>6</v>
      </c>
      <c r="Z3689" s="234">
        <v>3</v>
      </c>
      <c r="AA3689" s="235">
        <v>0.625</v>
      </c>
      <c r="AB3689" s="236">
        <v>20.8</v>
      </c>
      <c r="AC3689" s="127">
        <f t="shared" si="72"/>
        <v>21</v>
      </c>
    </row>
    <row r="3690" ht="14.5" customHeight="1" spans="11:29" x14ac:dyDescent="0.25">
      <c r="K3690" s="128"/>
      <c r="X3690" s="234">
        <v>2022</v>
      </c>
      <c r="Y3690" s="234">
        <v>6</v>
      </c>
      <c r="Z3690" s="234">
        <v>3</v>
      </c>
      <c r="AA3690" s="235">
        <v>0.6666666666678793</v>
      </c>
      <c r="AB3690" s="236">
        <v>20.5</v>
      </c>
      <c r="AC3690" s="127">
        <f t="shared" si="72"/>
        <v>21</v>
      </c>
    </row>
    <row r="3691" ht="14.5" customHeight="1" spans="11:29" x14ac:dyDescent="0.25">
      <c r="K3691" s="128"/>
      <c r="X3691" s="234">
        <v>2022</v>
      </c>
      <c r="Y3691" s="234">
        <v>6</v>
      </c>
      <c r="Z3691" s="234">
        <v>3</v>
      </c>
      <c r="AA3691" s="235">
        <v>0.7083333333321207</v>
      </c>
      <c r="AB3691" s="236">
        <v>21.2</v>
      </c>
      <c r="AC3691" s="127">
        <f t="shared" si="72"/>
        <v>21</v>
      </c>
    </row>
    <row r="3692" ht="14.5" customHeight="1" spans="11:29" x14ac:dyDescent="0.25">
      <c r="K3692" s="128"/>
      <c r="X3692" s="234">
        <v>2022</v>
      </c>
      <c r="Y3692" s="234">
        <v>6</v>
      </c>
      <c r="Z3692" s="234">
        <v>3</v>
      </c>
      <c r="AA3692" s="235">
        <v>0.75</v>
      </c>
      <c r="AB3692" s="236">
        <v>19.6</v>
      </c>
      <c r="AC3692" s="127">
        <f t="shared" si="72"/>
        <v>20</v>
      </c>
    </row>
    <row r="3693" ht="14.5" customHeight="1" spans="11:29" x14ac:dyDescent="0.25">
      <c r="K3693" s="128"/>
      <c r="X3693" s="234">
        <v>2022</v>
      </c>
      <c r="Y3693" s="234">
        <v>6</v>
      </c>
      <c r="Z3693" s="234">
        <v>3</v>
      </c>
      <c r="AA3693" s="235">
        <v>0.7916666666678793</v>
      </c>
      <c r="AB3693" s="236">
        <v>18.5</v>
      </c>
      <c r="AC3693" s="127">
        <f t="shared" si="72"/>
        <v>19</v>
      </c>
    </row>
    <row r="3694" ht="14.5" customHeight="1" spans="11:29" x14ac:dyDescent="0.25">
      <c r="K3694" s="128"/>
      <c r="X3694" s="234">
        <v>2022</v>
      </c>
      <c r="Y3694" s="234">
        <v>6</v>
      </c>
      <c r="Z3694" s="234">
        <v>3</v>
      </c>
      <c r="AA3694" s="235">
        <v>0.8333333333321207</v>
      </c>
      <c r="AB3694" s="236">
        <v>17.9</v>
      </c>
      <c r="AC3694" s="127">
        <f t="shared" si="72"/>
        <v>18</v>
      </c>
    </row>
    <row r="3695" ht="14.5" customHeight="1" spans="11:29" x14ac:dyDescent="0.25">
      <c r="K3695" s="128"/>
      <c r="X3695" s="234">
        <v>2022</v>
      </c>
      <c r="Y3695" s="234">
        <v>6</v>
      </c>
      <c r="Z3695" s="234">
        <v>3</v>
      </c>
      <c r="AA3695" s="235">
        <v>0.875</v>
      </c>
      <c r="AB3695" s="236">
        <v>16.9</v>
      </c>
      <c r="AC3695" s="127">
        <f t="shared" si="72"/>
        <v>17</v>
      </c>
    </row>
    <row r="3696" ht="14.5" customHeight="1" spans="11:29" x14ac:dyDescent="0.25">
      <c r="K3696" s="128"/>
      <c r="X3696" s="234">
        <v>2022</v>
      </c>
      <c r="Y3696" s="234">
        <v>6</v>
      </c>
      <c r="Z3696" s="234">
        <v>3</v>
      </c>
      <c r="AA3696" s="235">
        <v>0.9166666666678793</v>
      </c>
      <c r="AB3696" s="236">
        <v>13.5</v>
      </c>
      <c r="AC3696" s="127">
        <f t="shared" si="72"/>
        <v>14</v>
      </c>
    </row>
    <row r="3697" ht="14.5" customHeight="1" spans="11:29" x14ac:dyDescent="0.25">
      <c r="K3697" s="128"/>
      <c r="X3697" s="234">
        <v>2022</v>
      </c>
      <c r="Y3697" s="234">
        <v>6</v>
      </c>
      <c r="Z3697" s="234">
        <v>3</v>
      </c>
      <c r="AA3697" s="235">
        <v>0.9583333333321207</v>
      </c>
      <c r="AB3697" s="236">
        <v>13.7</v>
      </c>
      <c r="AC3697" s="127">
        <f t="shared" si="72"/>
        <v>14</v>
      </c>
    </row>
    <row r="3698" ht="14.5" customHeight="1" spans="11:29" x14ac:dyDescent="0.25">
      <c r="K3698" s="128"/>
      <c r="X3698" s="234">
        <v>2022</v>
      </c>
      <c r="Y3698" s="234">
        <v>6</v>
      </c>
      <c r="Z3698" s="234">
        <v>4</v>
      </c>
      <c r="AA3698" s="235">
        <v>0</v>
      </c>
      <c r="AB3698" s="236">
        <v>13.7</v>
      </c>
      <c r="AC3698" s="127">
        <f t="shared" si="72"/>
        <v>14</v>
      </c>
    </row>
    <row r="3699" ht="14.5" customHeight="1" spans="11:29" x14ac:dyDescent="0.25">
      <c r="K3699" s="128"/>
      <c r="X3699" s="234">
        <v>2022</v>
      </c>
      <c r="Y3699" s="234">
        <v>6</v>
      </c>
      <c r="Z3699" s="234">
        <v>4</v>
      </c>
      <c r="AA3699" s="235">
        <v>0.041666666667879326</v>
      </c>
      <c r="AB3699" s="236">
        <v>12.2</v>
      </c>
      <c r="AC3699" s="127">
        <f t="shared" si="72"/>
        <v>12</v>
      </c>
    </row>
    <row r="3700" ht="14.5" customHeight="1" spans="11:29" x14ac:dyDescent="0.25">
      <c r="K3700" s="128"/>
      <c r="X3700" s="234">
        <v>2022</v>
      </c>
      <c r="Y3700" s="234">
        <v>6</v>
      </c>
      <c r="Z3700" s="234">
        <v>4</v>
      </c>
      <c r="AA3700" s="235">
        <v>0.08333333333212067</v>
      </c>
      <c r="AB3700" s="236">
        <v>9.9</v>
      </c>
      <c r="AC3700" s="127">
        <f t="shared" si="72"/>
        <v>10</v>
      </c>
    </row>
    <row r="3701" ht="14.5" customHeight="1" spans="11:29" x14ac:dyDescent="0.25">
      <c r="K3701" s="128"/>
      <c r="X3701" s="234">
        <v>2022</v>
      </c>
      <c r="Y3701" s="234">
        <v>6</v>
      </c>
      <c r="Z3701" s="234">
        <v>4</v>
      </c>
      <c r="AA3701" s="235">
        <v>0.125</v>
      </c>
      <c r="AB3701" s="236">
        <v>9.3</v>
      </c>
      <c r="AC3701" s="127">
        <f t="shared" si="72"/>
        <v>9</v>
      </c>
    </row>
    <row r="3702" ht="14.5" customHeight="1" spans="11:29" x14ac:dyDescent="0.25">
      <c r="K3702" s="128"/>
      <c r="X3702" s="234">
        <v>2022</v>
      </c>
      <c r="Y3702" s="234">
        <v>6</v>
      </c>
      <c r="Z3702" s="234">
        <v>4</v>
      </c>
      <c r="AA3702" s="235">
        <v>0.16666666666787933</v>
      </c>
      <c r="AB3702" s="236">
        <v>9.2</v>
      </c>
      <c r="AC3702" s="127">
        <f t="shared" si="72"/>
        <v>9</v>
      </c>
    </row>
    <row r="3703" ht="14.5" customHeight="1" spans="11:29" x14ac:dyDescent="0.25">
      <c r="K3703" s="128"/>
      <c r="X3703" s="234">
        <v>2022</v>
      </c>
      <c r="Y3703" s="234">
        <v>6</v>
      </c>
      <c r="Z3703" s="234">
        <v>4</v>
      </c>
      <c r="AA3703" s="235">
        <v>0.20833333333212067</v>
      </c>
      <c r="AB3703" s="236">
        <v>9.5</v>
      </c>
      <c r="AC3703" s="127">
        <f t="shared" si="72"/>
        <v>10</v>
      </c>
    </row>
    <row r="3704" ht="14.5" customHeight="1" spans="11:29" x14ac:dyDescent="0.25">
      <c r="K3704" s="128"/>
      <c r="X3704" s="234">
        <v>2022</v>
      </c>
      <c r="Y3704" s="234">
        <v>6</v>
      </c>
      <c r="Z3704" s="234">
        <v>4</v>
      </c>
      <c r="AA3704" s="235">
        <v>0.25</v>
      </c>
      <c r="AB3704" s="236">
        <v>10.3</v>
      </c>
      <c r="AC3704" s="127">
        <f t="shared" si="72"/>
        <v>10</v>
      </c>
    </row>
    <row r="3705" ht="14.5" customHeight="1" spans="11:29" x14ac:dyDescent="0.25">
      <c r="K3705" s="128"/>
      <c r="X3705" s="234">
        <v>2022</v>
      </c>
      <c r="Y3705" s="234">
        <v>6</v>
      </c>
      <c r="Z3705" s="234">
        <v>4</v>
      </c>
      <c r="AA3705" s="235">
        <v>0.2916666666678793</v>
      </c>
      <c r="AB3705" s="236">
        <v>11.8</v>
      </c>
      <c r="AC3705" s="127">
        <f t="shared" si="72"/>
        <v>12</v>
      </c>
    </row>
    <row r="3706" ht="14.5" customHeight="1" spans="11:29" x14ac:dyDescent="0.25">
      <c r="K3706" s="128"/>
      <c r="X3706" s="234">
        <v>2022</v>
      </c>
      <c r="Y3706" s="234">
        <v>6</v>
      </c>
      <c r="Z3706" s="234">
        <v>4</v>
      </c>
      <c r="AA3706" s="235">
        <v>0.3333333333321207</v>
      </c>
      <c r="AB3706" s="236">
        <v>13.7</v>
      </c>
      <c r="AC3706" s="127">
        <f t="shared" si="72"/>
        <v>14</v>
      </c>
    </row>
    <row r="3707" ht="14.5" customHeight="1" spans="11:29" x14ac:dyDescent="0.25">
      <c r="K3707" s="128"/>
      <c r="X3707" s="234">
        <v>2022</v>
      </c>
      <c r="Y3707" s="234">
        <v>6</v>
      </c>
      <c r="Z3707" s="234">
        <v>4</v>
      </c>
      <c r="AA3707" s="235">
        <v>0.375</v>
      </c>
      <c r="AB3707" s="236">
        <v>14.7</v>
      </c>
      <c r="AC3707" s="127">
        <f t="shared" si="72"/>
        <v>15</v>
      </c>
    </row>
    <row r="3708" ht="14.5" customHeight="1" spans="11:29" x14ac:dyDescent="0.25">
      <c r="K3708" s="128"/>
      <c r="X3708" s="234">
        <v>2022</v>
      </c>
      <c r="Y3708" s="234">
        <v>6</v>
      </c>
      <c r="Z3708" s="234">
        <v>4</v>
      </c>
      <c r="AA3708" s="235">
        <v>0.4166666666678793</v>
      </c>
      <c r="AB3708" s="236">
        <v>16.4</v>
      </c>
      <c r="AC3708" s="127">
        <f t="shared" si="72"/>
        <v>16</v>
      </c>
    </row>
    <row r="3709" ht="14.5" customHeight="1" spans="11:29" x14ac:dyDescent="0.25">
      <c r="K3709" s="128"/>
      <c r="X3709" s="234">
        <v>2022</v>
      </c>
      <c r="Y3709" s="234">
        <v>6</v>
      </c>
      <c r="Z3709" s="234">
        <v>4</v>
      </c>
      <c r="AA3709" s="235">
        <v>0.4583333333321207</v>
      </c>
      <c r="AB3709" s="236">
        <v>16.9</v>
      </c>
      <c r="AC3709" s="127">
        <f t="shared" si="72"/>
        <v>17</v>
      </c>
    </row>
    <row r="3710" ht="14.5" customHeight="1" spans="11:29" x14ac:dyDescent="0.25">
      <c r="K3710" s="128"/>
      <c r="X3710" s="234">
        <v>2022</v>
      </c>
      <c r="Y3710" s="234">
        <v>6</v>
      </c>
      <c r="Z3710" s="234">
        <v>4</v>
      </c>
      <c r="AA3710" s="235">
        <v>0.5</v>
      </c>
      <c r="AB3710" s="236">
        <v>17.8</v>
      </c>
      <c r="AC3710" s="127">
        <f t="shared" si="72"/>
        <v>18</v>
      </c>
    </row>
    <row r="3711" ht="14.5" customHeight="1" spans="11:29" x14ac:dyDescent="0.25">
      <c r="K3711" s="128"/>
      <c r="X3711" s="234">
        <v>2022</v>
      </c>
      <c r="Y3711" s="234">
        <v>6</v>
      </c>
      <c r="Z3711" s="234">
        <v>4</v>
      </c>
      <c r="AA3711" s="235">
        <v>0.5416666666678793</v>
      </c>
      <c r="AB3711" s="236">
        <v>18.3</v>
      </c>
      <c r="AC3711" s="127">
        <f t="shared" si="72"/>
        <v>18</v>
      </c>
    </row>
    <row r="3712" ht="14.5" customHeight="1" spans="11:29" x14ac:dyDescent="0.25">
      <c r="K3712" s="128"/>
      <c r="X3712" s="234">
        <v>2022</v>
      </c>
      <c r="Y3712" s="234">
        <v>6</v>
      </c>
      <c r="Z3712" s="234">
        <v>4</v>
      </c>
      <c r="AA3712" s="235">
        <v>0.5833333333321207</v>
      </c>
      <c r="AB3712" s="236">
        <v>19</v>
      </c>
      <c r="AC3712" s="127">
        <f t="shared" si="72"/>
        <v>19</v>
      </c>
    </row>
    <row r="3713" ht="14.5" customHeight="1" spans="11:29" x14ac:dyDescent="0.25">
      <c r="K3713" s="128"/>
      <c r="X3713" s="234">
        <v>2022</v>
      </c>
      <c r="Y3713" s="234">
        <v>6</v>
      </c>
      <c r="Z3713" s="234">
        <v>4</v>
      </c>
      <c r="AA3713" s="235">
        <v>0.625</v>
      </c>
      <c r="AB3713" s="236">
        <v>19.2</v>
      </c>
      <c r="AC3713" s="127">
        <f t="shared" si="72"/>
        <v>19</v>
      </c>
    </row>
    <row r="3714" ht="14.5" customHeight="1" spans="11:29" x14ac:dyDescent="0.25">
      <c r="K3714" s="128"/>
      <c r="X3714" s="234">
        <v>2022</v>
      </c>
      <c r="Y3714" s="234">
        <v>6</v>
      </c>
      <c r="Z3714" s="234">
        <v>4</v>
      </c>
      <c r="AA3714" s="235">
        <v>0.6666666666678793</v>
      </c>
      <c r="AB3714" s="236">
        <v>19.3</v>
      </c>
      <c r="AC3714" s="127">
        <f t="shared" si="72"/>
        <v>19</v>
      </c>
    </row>
    <row r="3715" ht="14.5" customHeight="1" spans="11:29" x14ac:dyDescent="0.25">
      <c r="K3715" s="128"/>
      <c r="X3715" s="234">
        <v>2022</v>
      </c>
      <c r="Y3715" s="234">
        <v>6</v>
      </c>
      <c r="Z3715" s="234">
        <v>4</v>
      </c>
      <c r="AA3715" s="235">
        <v>0.7083333333321207</v>
      </c>
      <c r="AB3715" s="236">
        <v>17.9</v>
      </c>
      <c r="AC3715" s="127">
        <f t="shared" si="72"/>
        <v>18</v>
      </c>
    </row>
    <row r="3716" ht="14.5" customHeight="1" spans="11:29" x14ac:dyDescent="0.25">
      <c r="K3716" s="128"/>
      <c r="X3716" s="234">
        <v>2022</v>
      </c>
      <c r="Y3716" s="234">
        <v>6</v>
      </c>
      <c r="Z3716" s="234">
        <v>4</v>
      </c>
      <c r="AA3716" s="235">
        <v>0.75</v>
      </c>
      <c r="AB3716" s="236">
        <v>17.3</v>
      </c>
      <c r="AC3716" s="127">
        <f t="shared" si="72"/>
        <v>17</v>
      </c>
    </row>
    <row r="3717" ht="14.5" customHeight="1" spans="11:29" x14ac:dyDescent="0.25">
      <c r="K3717" s="128"/>
      <c r="X3717" s="234">
        <v>2022</v>
      </c>
      <c r="Y3717" s="234">
        <v>6</v>
      </c>
      <c r="Z3717" s="234">
        <v>4</v>
      </c>
      <c r="AA3717" s="235">
        <v>0.7916666666678793</v>
      </c>
      <c r="AB3717" s="236">
        <v>16.7</v>
      </c>
      <c r="AC3717" s="127">
        <f t="shared" si="72"/>
        <v>17</v>
      </c>
    </row>
    <row r="3718" ht="14.5" customHeight="1" spans="11:29" x14ac:dyDescent="0.25">
      <c r="K3718" s="128"/>
      <c r="X3718" s="234">
        <v>2022</v>
      </c>
      <c r="Y3718" s="234">
        <v>6</v>
      </c>
      <c r="Z3718" s="234">
        <v>4</v>
      </c>
      <c r="AA3718" s="235">
        <v>0.8333333333321207</v>
      </c>
      <c r="AB3718" s="236">
        <v>15.5</v>
      </c>
      <c r="AC3718" s="127">
        <f t="shared" si="72"/>
        <v>16</v>
      </c>
    </row>
    <row r="3719" ht="14.5" customHeight="1" spans="11:29" x14ac:dyDescent="0.25">
      <c r="K3719" s="128"/>
      <c r="X3719" s="234">
        <v>2022</v>
      </c>
      <c r="Y3719" s="234">
        <v>6</v>
      </c>
      <c r="Z3719" s="234">
        <v>4</v>
      </c>
      <c r="AA3719" s="235">
        <v>0.875</v>
      </c>
      <c r="AB3719" s="236">
        <v>14</v>
      </c>
      <c r="AC3719" s="127">
        <f t="shared" si="72"/>
        <v>14</v>
      </c>
    </row>
    <row r="3720" ht="14.5" customHeight="1" spans="11:29" x14ac:dyDescent="0.25">
      <c r="K3720" s="128"/>
      <c r="X3720" s="234">
        <v>2022</v>
      </c>
      <c r="Y3720" s="234">
        <v>6</v>
      </c>
      <c r="Z3720" s="234">
        <v>4</v>
      </c>
      <c r="AA3720" s="235">
        <v>0.9166666666678793</v>
      </c>
      <c r="AB3720" s="236">
        <v>13.3</v>
      </c>
      <c r="AC3720" s="127">
        <f t="shared" si="72"/>
        <v>13</v>
      </c>
    </row>
    <row r="3721" ht="14.5" customHeight="1" spans="11:29" x14ac:dyDescent="0.25">
      <c r="K3721" s="128"/>
      <c r="X3721" s="234">
        <v>2022</v>
      </c>
      <c r="Y3721" s="234">
        <v>6</v>
      </c>
      <c r="Z3721" s="234">
        <v>4</v>
      </c>
      <c r="AA3721" s="235">
        <v>0.9583333333321207</v>
      </c>
      <c r="AB3721" s="236">
        <v>11.5</v>
      </c>
      <c r="AC3721" s="127">
        <f t="shared" si="72"/>
        <v>12</v>
      </c>
    </row>
    <row r="3722" ht="14.5" customHeight="1" spans="11:29" x14ac:dyDescent="0.25">
      <c r="K3722" s="128"/>
      <c r="X3722" s="234">
        <v>2022</v>
      </c>
      <c r="Y3722" s="234">
        <v>6</v>
      </c>
      <c r="Z3722" s="234">
        <v>5</v>
      </c>
      <c r="AA3722" s="235">
        <v>0</v>
      </c>
      <c r="AB3722" s="236">
        <v>11.2</v>
      </c>
      <c r="AC3722" s="127">
        <f t="shared" si="72"/>
        <v>11</v>
      </c>
    </row>
    <row r="3723" ht="14.5" customHeight="1" spans="11:29" x14ac:dyDescent="0.25">
      <c r="K3723" s="128"/>
      <c r="X3723" s="234">
        <v>2022</v>
      </c>
      <c r="Y3723" s="234">
        <v>6</v>
      </c>
      <c r="Z3723" s="234">
        <v>5</v>
      </c>
      <c r="AA3723" s="235">
        <v>0.041666666667879326</v>
      </c>
      <c r="AB3723" s="236">
        <v>11.1</v>
      </c>
      <c r="AC3723" s="127">
        <f t="shared" ref="AC3723:AC3786" si="73">ROUND(AB3723,0)</f>
        <v>11</v>
      </c>
    </row>
    <row r="3724" ht="14.5" customHeight="1" spans="11:29" x14ac:dyDescent="0.25">
      <c r="K3724" s="128"/>
      <c r="X3724" s="234">
        <v>2022</v>
      </c>
      <c r="Y3724" s="234">
        <v>6</v>
      </c>
      <c r="Z3724" s="234">
        <v>5</v>
      </c>
      <c r="AA3724" s="235">
        <v>0.08333333333212067</v>
      </c>
      <c r="AB3724" s="236">
        <v>11</v>
      </c>
      <c r="AC3724" s="127">
        <f t="shared" si="73"/>
        <v>11</v>
      </c>
    </row>
    <row r="3725" ht="14.5" customHeight="1" spans="11:29" x14ac:dyDescent="0.25">
      <c r="K3725" s="128"/>
      <c r="X3725" s="234">
        <v>2022</v>
      </c>
      <c r="Y3725" s="234">
        <v>6</v>
      </c>
      <c r="Z3725" s="234">
        <v>5</v>
      </c>
      <c r="AA3725" s="235">
        <v>0.125</v>
      </c>
      <c r="AB3725" s="236">
        <v>10.9</v>
      </c>
      <c r="AC3725" s="127">
        <f t="shared" si="73"/>
        <v>11</v>
      </c>
    </row>
    <row r="3726" ht="14.5" customHeight="1" spans="11:29" x14ac:dyDescent="0.25">
      <c r="K3726" s="128"/>
      <c r="X3726" s="234">
        <v>2022</v>
      </c>
      <c r="Y3726" s="234">
        <v>6</v>
      </c>
      <c r="Z3726" s="234">
        <v>5</v>
      </c>
      <c r="AA3726" s="235">
        <v>0.16666666666787933</v>
      </c>
      <c r="AB3726" s="236">
        <v>10.7</v>
      </c>
      <c r="AC3726" s="127">
        <f t="shared" si="73"/>
        <v>11</v>
      </c>
    </row>
    <row r="3727" ht="14.5" customHeight="1" spans="11:29" x14ac:dyDescent="0.25">
      <c r="K3727" s="128"/>
      <c r="X3727" s="234">
        <v>2022</v>
      </c>
      <c r="Y3727" s="234">
        <v>6</v>
      </c>
      <c r="Z3727" s="234">
        <v>5</v>
      </c>
      <c r="AA3727" s="235">
        <v>0.20833333333212067</v>
      </c>
      <c r="AB3727" s="236">
        <v>8.8</v>
      </c>
      <c r="AC3727" s="127">
        <f t="shared" si="73"/>
        <v>9</v>
      </c>
    </row>
    <row r="3728" ht="14.5" customHeight="1" spans="11:29" x14ac:dyDescent="0.25">
      <c r="K3728" s="128"/>
      <c r="X3728" s="234">
        <v>2022</v>
      </c>
      <c r="Y3728" s="234">
        <v>6</v>
      </c>
      <c r="Z3728" s="234">
        <v>5</v>
      </c>
      <c r="AA3728" s="235">
        <v>0.25</v>
      </c>
      <c r="AB3728" s="236">
        <v>8.2</v>
      </c>
      <c r="AC3728" s="127">
        <f t="shared" si="73"/>
        <v>8</v>
      </c>
    </row>
    <row r="3729" ht="14.5" customHeight="1" spans="11:29" x14ac:dyDescent="0.25">
      <c r="K3729" s="128"/>
      <c r="X3729" s="234">
        <v>2022</v>
      </c>
      <c r="Y3729" s="234">
        <v>6</v>
      </c>
      <c r="Z3729" s="234">
        <v>5</v>
      </c>
      <c r="AA3729" s="235">
        <v>0.2916666666678793</v>
      </c>
      <c r="AB3729" s="236">
        <v>7.7</v>
      </c>
      <c r="AC3729" s="127">
        <f t="shared" si="73"/>
        <v>8</v>
      </c>
    </row>
    <row r="3730" ht="14.5" customHeight="1" spans="11:29" x14ac:dyDescent="0.25">
      <c r="K3730" s="128"/>
      <c r="X3730" s="234">
        <v>2022</v>
      </c>
      <c r="Y3730" s="234">
        <v>6</v>
      </c>
      <c r="Z3730" s="234">
        <v>5</v>
      </c>
      <c r="AA3730" s="235">
        <v>0.3333333333321207</v>
      </c>
      <c r="AB3730" s="236">
        <v>8.1</v>
      </c>
      <c r="AC3730" s="127">
        <f t="shared" si="73"/>
        <v>8</v>
      </c>
    </row>
    <row r="3731" ht="14.5" customHeight="1" spans="11:29" x14ac:dyDescent="0.25">
      <c r="K3731" s="128"/>
      <c r="X3731" s="234">
        <v>2022</v>
      </c>
      <c r="Y3731" s="234">
        <v>6</v>
      </c>
      <c r="Z3731" s="234">
        <v>5</v>
      </c>
      <c r="AA3731" s="235">
        <v>0.375</v>
      </c>
      <c r="AB3731" s="236">
        <v>8.6</v>
      </c>
      <c r="AC3731" s="127">
        <f t="shared" si="73"/>
        <v>9</v>
      </c>
    </row>
    <row r="3732" ht="14.5" customHeight="1" spans="11:29" x14ac:dyDescent="0.25">
      <c r="K3732" s="128"/>
      <c r="X3732" s="234">
        <v>2022</v>
      </c>
      <c r="Y3732" s="234">
        <v>6</v>
      </c>
      <c r="Z3732" s="234">
        <v>5</v>
      </c>
      <c r="AA3732" s="235">
        <v>0.4166666666678793</v>
      </c>
      <c r="AB3732" s="236">
        <v>10.2</v>
      </c>
      <c r="AC3732" s="127">
        <f t="shared" si="73"/>
        <v>10</v>
      </c>
    </row>
    <row r="3733" ht="14.5" customHeight="1" spans="11:29" x14ac:dyDescent="0.25">
      <c r="K3733" s="128"/>
      <c r="X3733" s="234">
        <v>2022</v>
      </c>
      <c r="Y3733" s="234">
        <v>6</v>
      </c>
      <c r="Z3733" s="234">
        <v>5</v>
      </c>
      <c r="AA3733" s="235">
        <v>0.4583333333321207</v>
      </c>
      <c r="AB3733" s="236">
        <v>11.4</v>
      </c>
      <c r="AC3733" s="127">
        <f t="shared" si="73"/>
        <v>11</v>
      </c>
    </row>
    <row r="3734" ht="14.5" customHeight="1" spans="11:29" x14ac:dyDescent="0.25">
      <c r="K3734" s="128"/>
      <c r="X3734" s="234">
        <v>2022</v>
      </c>
      <c r="Y3734" s="234">
        <v>6</v>
      </c>
      <c r="Z3734" s="234">
        <v>5</v>
      </c>
      <c r="AA3734" s="235">
        <v>0.5</v>
      </c>
      <c r="AB3734" s="236">
        <v>12.3</v>
      </c>
      <c r="AC3734" s="127">
        <f t="shared" si="73"/>
        <v>12</v>
      </c>
    </row>
    <row r="3735" ht="14.5" customHeight="1" spans="11:29" x14ac:dyDescent="0.25">
      <c r="K3735" s="128"/>
      <c r="X3735" s="234">
        <v>2022</v>
      </c>
      <c r="Y3735" s="234">
        <v>6</v>
      </c>
      <c r="Z3735" s="234">
        <v>5</v>
      </c>
      <c r="AA3735" s="235">
        <v>0.5416666666678793</v>
      </c>
      <c r="AB3735" s="236">
        <v>13.3</v>
      </c>
      <c r="AC3735" s="127">
        <f t="shared" si="73"/>
        <v>13</v>
      </c>
    </row>
    <row r="3736" ht="14.5" customHeight="1" spans="11:29" x14ac:dyDescent="0.25">
      <c r="K3736" s="128"/>
      <c r="X3736" s="234">
        <v>2022</v>
      </c>
      <c r="Y3736" s="234">
        <v>6</v>
      </c>
      <c r="Z3736" s="234">
        <v>5</v>
      </c>
      <c r="AA3736" s="235">
        <v>0.5833333333321207</v>
      </c>
      <c r="AB3736" s="236">
        <v>14.1</v>
      </c>
      <c r="AC3736" s="127">
        <f t="shared" si="73"/>
        <v>14</v>
      </c>
    </row>
    <row r="3737" ht="14.5" customHeight="1" spans="11:29" x14ac:dyDescent="0.25">
      <c r="K3737" s="128"/>
      <c r="X3737" s="234">
        <v>2022</v>
      </c>
      <c r="Y3737" s="234">
        <v>6</v>
      </c>
      <c r="Z3737" s="234">
        <v>5</v>
      </c>
      <c r="AA3737" s="235">
        <v>0.625</v>
      </c>
      <c r="AB3737" s="236">
        <v>15.2</v>
      </c>
      <c r="AC3737" s="127">
        <f t="shared" si="73"/>
        <v>15</v>
      </c>
    </row>
    <row r="3738" ht="14.5" customHeight="1" spans="11:29" x14ac:dyDescent="0.25">
      <c r="K3738" s="128"/>
      <c r="X3738" s="234">
        <v>2022</v>
      </c>
      <c r="Y3738" s="234">
        <v>6</v>
      </c>
      <c r="Z3738" s="234">
        <v>5</v>
      </c>
      <c r="AA3738" s="235">
        <v>0.6666666666678793</v>
      </c>
      <c r="AB3738" s="236">
        <v>15</v>
      </c>
      <c r="AC3738" s="127">
        <f t="shared" si="73"/>
        <v>15</v>
      </c>
    </row>
    <row r="3739" ht="14.5" customHeight="1" spans="11:29" x14ac:dyDescent="0.25">
      <c r="K3739" s="128"/>
      <c r="X3739" s="234">
        <v>2022</v>
      </c>
      <c r="Y3739" s="234">
        <v>6</v>
      </c>
      <c r="Z3739" s="234">
        <v>5</v>
      </c>
      <c r="AA3739" s="235">
        <v>0.7083333333321207</v>
      </c>
      <c r="AB3739" s="236">
        <v>13.5</v>
      </c>
      <c r="AC3739" s="127">
        <f t="shared" si="73"/>
        <v>14</v>
      </c>
    </row>
    <row r="3740" ht="14.5" customHeight="1" spans="11:29" x14ac:dyDescent="0.25">
      <c r="K3740" s="128"/>
      <c r="X3740" s="234">
        <v>2022</v>
      </c>
      <c r="Y3740" s="234">
        <v>6</v>
      </c>
      <c r="Z3740" s="234">
        <v>5</v>
      </c>
      <c r="AA3740" s="235">
        <v>0.75</v>
      </c>
      <c r="AB3740" s="236">
        <v>13</v>
      </c>
      <c r="AC3740" s="127">
        <f t="shared" si="73"/>
        <v>13</v>
      </c>
    </row>
    <row r="3741" ht="14.5" customHeight="1" spans="11:29" x14ac:dyDescent="0.25">
      <c r="K3741" s="128"/>
      <c r="X3741" s="234">
        <v>2022</v>
      </c>
      <c r="Y3741" s="234">
        <v>6</v>
      </c>
      <c r="Z3741" s="234">
        <v>5</v>
      </c>
      <c r="AA3741" s="235">
        <v>0.7916666666678793</v>
      </c>
      <c r="AB3741" s="236">
        <v>11.5</v>
      </c>
      <c r="AC3741" s="127">
        <f t="shared" si="73"/>
        <v>12</v>
      </c>
    </row>
    <row r="3742" ht="14.5" customHeight="1" spans="11:29" x14ac:dyDescent="0.25">
      <c r="K3742" s="128"/>
      <c r="X3742" s="234">
        <v>2022</v>
      </c>
      <c r="Y3742" s="234">
        <v>6</v>
      </c>
      <c r="Z3742" s="234">
        <v>5</v>
      </c>
      <c r="AA3742" s="235">
        <v>0.8333333333321207</v>
      </c>
      <c r="AB3742" s="236">
        <v>10.4</v>
      </c>
      <c r="AC3742" s="127">
        <f t="shared" si="73"/>
        <v>10</v>
      </c>
    </row>
    <row r="3743" ht="14.5" customHeight="1" spans="11:29" x14ac:dyDescent="0.25">
      <c r="K3743" s="128"/>
      <c r="X3743" s="234">
        <v>2022</v>
      </c>
      <c r="Y3743" s="234">
        <v>6</v>
      </c>
      <c r="Z3743" s="234">
        <v>5</v>
      </c>
      <c r="AA3743" s="235">
        <v>0.875</v>
      </c>
      <c r="AB3743" s="236">
        <v>10.6</v>
      </c>
      <c r="AC3743" s="127">
        <f t="shared" si="73"/>
        <v>11</v>
      </c>
    </row>
    <row r="3744" ht="14.5" customHeight="1" spans="11:29" x14ac:dyDescent="0.25">
      <c r="K3744" s="128"/>
      <c r="X3744" s="234">
        <v>2022</v>
      </c>
      <c r="Y3744" s="234">
        <v>6</v>
      </c>
      <c r="Z3744" s="234">
        <v>5</v>
      </c>
      <c r="AA3744" s="235">
        <v>0.9166666666678793</v>
      </c>
      <c r="AB3744" s="236">
        <v>10.4</v>
      </c>
      <c r="AC3744" s="127">
        <f t="shared" si="73"/>
        <v>10</v>
      </c>
    </row>
    <row r="3745" ht="14.5" customHeight="1" spans="11:29" x14ac:dyDescent="0.25">
      <c r="K3745" s="128"/>
      <c r="X3745" s="234">
        <v>2022</v>
      </c>
      <c r="Y3745" s="234">
        <v>6</v>
      </c>
      <c r="Z3745" s="234">
        <v>5</v>
      </c>
      <c r="AA3745" s="235">
        <v>0.9583333333321207</v>
      </c>
      <c r="AB3745" s="236">
        <v>10.5</v>
      </c>
      <c r="AC3745" s="127">
        <f t="shared" si="73"/>
        <v>11</v>
      </c>
    </row>
    <row r="3746" ht="14.5" customHeight="1" spans="11:29" x14ac:dyDescent="0.25">
      <c r="K3746" s="128"/>
      <c r="X3746" s="234">
        <v>2022</v>
      </c>
      <c r="Y3746" s="234">
        <v>6</v>
      </c>
      <c r="Z3746" s="234">
        <v>6</v>
      </c>
      <c r="AA3746" s="235">
        <v>0</v>
      </c>
      <c r="AB3746" s="236">
        <v>10.5</v>
      </c>
      <c r="AC3746" s="127">
        <f t="shared" si="73"/>
        <v>11</v>
      </c>
    </row>
    <row r="3747" ht="14.5" customHeight="1" spans="11:29" x14ac:dyDescent="0.25">
      <c r="K3747" s="128"/>
      <c r="X3747" s="234">
        <v>2022</v>
      </c>
      <c r="Y3747" s="234">
        <v>6</v>
      </c>
      <c r="Z3747" s="234">
        <v>6</v>
      </c>
      <c r="AA3747" s="235">
        <v>0.041666666667879326</v>
      </c>
      <c r="AB3747" s="236">
        <v>10.4</v>
      </c>
      <c r="AC3747" s="127">
        <f t="shared" si="73"/>
        <v>10</v>
      </c>
    </row>
    <row r="3748" ht="14.5" customHeight="1" spans="11:29" x14ac:dyDescent="0.25">
      <c r="K3748" s="128"/>
      <c r="X3748" s="234">
        <v>2022</v>
      </c>
      <c r="Y3748" s="234">
        <v>6</v>
      </c>
      <c r="Z3748" s="234">
        <v>6</v>
      </c>
      <c r="AA3748" s="235">
        <v>0.08333333333212067</v>
      </c>
      <c r="AB3748" s="236">
        <v>9.5</v>
      </c>
      <c r="AC3748" s="127">
        <f t="shared" si="73"/>
        <v>10</v>
      </c>
    </row>
    <row r="3749" ht="14.5" customHeight="1" spans="11:29" x14ac:dyDescent="0.25">
      <c r="K3749" s="128"/>
      <c r="X3749" s="234">
        <v>2022</v>
      </c>
      <c r="Y3749" s="234">
        <v>6</v>
      </c>
      <c r="Z3749" s="234">
        <v>6</v>
      </c>
      <c r="AA3749" s="235">
        <v>0.125</v>
      </c>
      <c r="AB3749" s="236">
        <v>10.1</v>
      </c>
      <c r="AC3749" s="127">
        <f t="shared" si="73"/>
        <v>10</v>
      </c>
    </row>
    <row r="3750" ht="14.5" customHeight="1" spans="11:29" x14ac:dyDescent="0.25">
      <c r="K3750" s="128"/>
      <c r="X3750" s="234">
        <v>2022</v>
      </c>
      <c r="Y3750" s="234">
        <v>6</v>
      </c>
      <c r="Z3750" s="234">
        <v>6</v>
      </c>
      <c r="AA3750" s="235">
        <v>0.16666666666787933</v>
      </c>
      <c r="AB3750" s="236">
        <v>10.3</v>
      </c>
      <c r="AC3750" s="127">
        <f t="shared" si="73"/>
        <v>10</v>
      </c>
    </row>
    <row r="3751" ht="14.5" customHeight="1" spans="11:29" x14ac:dyDescent="0.25">
      <c r="K3751" s="128"/>
      <c r="X3751" s="234">
        <v>2022</v>
      </c>
      <c r="Y3751" s="234">
        <v>6</v>
      </c>
      <c r="Z3751" s="234">
        <v>6</v>
      </c>
      <c r="AA3751" s="235">
        <v>0.20833333333212067</v>
      </c>
      <c r="AB3751" s="236">
        <v>10.4</v>
      </c>
      <c r="AC3751" s="127">
        <f t="shared" si="73"/>
        <v>10</v>
      </c>
    </row>
    <row r="3752" ht="14.5" customHeight="1" spans="11:29" x14ac:dyDescent="0.25">
      <c r="K3752" s="128"/>
      <c r="X3752" s="234">
        <v>2022</v>
      </c>
      <c r="Y3752" s="234">
        <v>6</v>
      </c>
      <c r="Z3752" s="234">
        <v>6</v>
      </c>
      <c r="AA3752" s="235">
        <v>0.25</v>
      </c>
      <c r="AB3752" s="236">
        <v>10.4</v>
      </c>
      <c r="AC3752" s="127">
        <f t="shared" si="73"/>
        <v>10</v>
      </c>
    </row>
    <row r="3753" ht="14.5" customHeight="1" spans="11:29" x14ac:dyDescent="0.25">
      <c r="K3753" s="128"/>
      <c r="X3753" s="234">
        <v>2022</v>
      </c>
      <c r="Y3753" s="234">
        <v>6</v>
      </c>
      <c r="Z3753" s="234">
        <v>6</v>
      </c>
      <c r="AA3753" s="235">
        <v>0.2916666666678793</v>
      </c>
      <c r="AB3753" s="236">
        <v>10.4</v>
      </c>
      <c r="AC3753" s="127">
        <f t="shared" si="73"/>
        <v>10</v>
      </c>
    </row>
    <row r="3754" ht="14.5" customHeight="1" spans="11:29" x14ac:dyDescent="0.25">
      <c r="K3754" s="128"/>
      <c r="X3754" s="234">
        <v>2022</v>
      </c>
      <c r="Y3754" s="234">
        <v>6</v>
      </c>
      <c r="Z3754" s="234">
        <v>6</v>
      </c>
      <c r="AA3754" s="235">
        <v>0.3333333333321207</v>
      </c>
      <c r="AB3754" s="236">
        <v>11.4</v>
      </c>
      <c r="AC3754" s="127">
        <f t="shared" si="73"/>
        <v>11</v>
      </c>
    </row>
    <row r="3755" ht="14.5" customHeight="1" spans="11:29" x14ac:dyDescent="0.25">
      <c r="K3755" s="128"/>
      <c r="X3755" s="234">
        <v>2022</v>
      </c>
      <c r="Y3755" s="234">
        <v>6</v>
      </c>
      <c r="Z3755" s="234">
        <v>6</v>
      </c>
      <c r="AA3755" s="235">
        <v>0.375</v>
      </c>
      <c r="AB3755" s="236">
        <v>12</v>
      </c>
      <c r="AC3755" s="127">
        <f t="shared" si="73"/>
        <v>12</v>
      </c>
    </row>
    <row r="3756" ht="14.5" customHeight="1" spans="11:29" x14ac:dyDescent="0.25">
      <c r="K3756" s="128"/>
      <c r="X3756" s="234">
        <v>2022</v>
      </c>
      <c r="Y3756" s="234">
        <v>6</v>
      </c>
      <c r="Z3756" s="234">
        <v>6</v>
      </c>
      <c r="AA3756" s="235">
        <v>0.4166666666678793</v>
      </c>
      <c r="AB3756" s="236">
        <v>12.9</v>
      </c>
      <c r="AC3756" s="127">
        <f t="shared" si="73"/>
        <v>13</v>
      </c>
    </row>
    <row r="3757" ht="14.5" customHeight="1" spans="11:29" x14ac:dyDescent="0.25">
      <c r="K3757" s="128"/>
      <c r="X3757" s="234">
        <v>2022</v>
      </c>
      <c r="Y3757" s="234">
        <v>6</v>
      </c>
      <c r="Z3757" s="234">
        <v>6</v>
      </c>
      <c r="AA3757" s="235">
        <v>0.4583333333321207</v>
      </c>
      <c r="AB3757" s="236">
        <v>14.5</v>
      </c>
      <c r="AC3757" s="127">
        <f t="shared" si="73"/>
        <v>15</v>
      </c>
    </row>
    <row r="3758" ht="14.5" customHeight="1" spans="11:29" x14ac:dyDescent="0.25">
      <c r="K3758" s="128"/>
      <c r="X3758" s="234">
        <v>2022</v>
      </c>
      <c r="Y3758" s="234">
        <v>6</v>
      </c>
      <c r="Z3758" s="234">
        <v>6</v>
      </c>
      <c r="AA3758" s="235">
        <v>0.5</v>
      </c>
      <c r="AB3758" s="236">
        <v>14.8</v>
      </c>
      <c r="AC3758" s="127">
        <f t="shared" si="73"/>
        <v>15</v>
      </c>
    </row>
    <row r="3759" ht="14.5" customHeight="1" spans="11:29" x14ac:dyDescent="0.25">
      <c r="K3759" s="128"/>
      <c r="X3759" s="234">
        <v>2022</v>
      </c>
      <c r="Y3759" s="234">
        <v>6</v>
      </c>
      <c r="Z3759" s="234">
        <v>6</v>
      </c>
      <c r="AA3759" s="235">
        <v>0.5416666666678793</v>
      </c>
      <c r="AB3759" s="236">
        <v>15.5</v>
      </c>
      <c r="AC3759" s="127">
        <f t="shared" si="73"/>
        <v>16</v>
      </c>
    </row>
    <row r="3760" ht="14.5" customHeight="1" spans="11:29" x14ac:dyDescent="0.25">
      <c r="K3760" s="128"/>
      <c r="X3760" s="234">
        <v>2022</v>
      </c>
      <c r="Y3760" s="234">
        <v>6</v>
      </c>
      <c r="Z3760" s="234">
        <v>6</v>
      </c>
      <c r="AA3760" s="235">
        <v>0.5833333333321207</v>
      </c>
      <c r="AB3760" s="236">
        <v>16.1</v>
      </c>
      <c r="AC3760" s="127">
        <f t="shared" si="73"/>
        <v>16</v>
      </c>
    </row>
    <row r="3761" ht="14.5" customHeight="1" spans="11:29" x14ac:dyDescent="0.25">
      <c r="K3761" s="128"/>
      <c r="X3761" s="234">
        <v>2022</v>
      </c>
      <c r="Y3761" s="234">
        <v>6</v>
      </c>
      <c r="Z3761" s="234">
        <v>6</v>
      </c>
      <c r="AA3761" s="235">
        <v>0.625</v>
      </c>
      <c r="AB3761" s="236">
        <v>9.2</v>
      </c>
      <c r="AC3761" s="127">
        <f t="shared" si="73"/>
        <v>9</v>
      </c>
    </row>
    <row r="3762" ht="14.5" customHeight="1" spans="11:29" x14ac:dyDescent="0.25">
      <c r="K3762" s="128"/>
      <c r="X3762" s="234">
        <v>2022</v>
      </c>
      <c r="Y3762" s="234">
        <v>6</v>
      </c>
      <c r="Z3762" s="234">
        <v>6</v>
      </c>
      <c r="AA3762" s="235">
        <v>0.6666666666678793</v>
      </c>
      <c r="AB3762" s="236">
        <v>10.2</v>
      </c>
      <c r="AC3762" s="127">
        <f t="shared" si="73"/>
        <v>10</v>
      </c>
    </row>
    <row r="3763" ht="14.5" customHeight="1" spans="11:29" x14ac:dyDescent="0.25">
      <c r="K3763" s="128"/>
      <c r="X3763" s="234">
        <v>2022</v>
      </c>
      <c r="Y3763" s="234">
        <v>6</v>
      </c>
      <c r="Z3763" s="234">
        <v>6</v>
      </c>
      <c r="AA3763" s="235">
        <v>0.7083333333321207</v>
      </c>
      <c r="AB3763" s="236">
        <v>9.8</v>
      </c>
      <c r="AC3763" s="127">
        <f t="shared" si="73"/>
        <v>10</v>
      </c>
    </row>
    <row r="3764" ht="14.5" customHeight="1" spans="11:29" x14ac:dyDescent="0.25">
      <c r="K3764" s="128"/>
      <c r="X3764" s="234">
        <v>2022</v>
      </c>
      <c r="Y3764" s="234">
        <v>6</v>
      </c>
      <c r="Z3764" s="234">
        <v>6</v>
      </c>
      <c r="AA3764" s="235">
        <v>0.75</v>
      </c>
      <c r="AB3764" s="236">
        <v>10</v>
      </c>
      <c r="AC3764" s="127">
        <f t="shared" si="73"/>
        <v>10</v>
      </c>
    </row>
    <row r="3765" ht="14.5" customHeight="1" spans="11:29" x14ac:dyDescent="0.25">
      <c r="K3765" s="128"/>
      <c r="X3765" s="234">
        <v>2022</v>
      </c>
      <c r="Y3765" s="234">
        <v>6</v>
      </c>
      <c r="Z3765" s="234">
        <v>6</v>
      </c>
      <c r="AA3765" s="235">
        <v>0.7916666666678793</v>
      </c>
      <c r="AB3765" s="236">
        <v>10.1</v>
      </c>
      <c r="AC3765" s="127">
        <f t="shared" si="73"/>
        <v>10</v>
      </c>
    </row>
    <row r="3766" ht="14.5" customHeight="1" spans="11:29" x14ac:dyDescent="0.25">
      <c r="K3766" s="128"/>
      <c r="X3766" s="234">
        <v>2022</v>
      </c>
      <c r="Y3766" s="234">
        <v>6</v>
      </c>
      <c r="Z3766" s="234">
        <v>6</v>
      </c>
      <c r="AA3766" s="235">
        <v>0.8333333333321207</v>
      </c>
      <c r="AB3766" s="236">
        <v>9.9</v>
      </c>
      <c r="AC3766" s="127">
        <f t="shared" si="73"/>
        <v>10</v>
      </c>
    </row>
    <row r="3767" ht="14.5" customHeight="1" spans="11:29" x14ac:dyDescent="0.25">
      <c r="K3767" s="128"/>
      <c r="X3767" s="234">
        <v>2022</v>
      </c>
      <c r="Y3767" s="234">
        <v>6</v>
      </c>
      <c r="Z3767" s="234">
        <v>6</v>
      </c>
      <c r="AA3767" s="235">
        <v>0.875</v>
      </c>
      <c r="AB3767" s="236">
        <v>9.8</v>
      </c>
      <c r="AC3767" s="127">
        <f t="shared" si="73"/>
        <v>10</v>
      </c>
    </row>
    <row r="3768" ht="14.5" customHeight="1" spans="11:29" x14ac:dyDescent="0.25">
      <c r="K3768" s="128"/>
      <c r="X3768" s="234">
        <v>2022</v>
      </c>
      <c r="Y3768" s="234">
        <v>6</v>
      </c>
      <c r="Z3768" s="234">
        <v>6</v>
      </c>
      <c r="AA3768" s="235">
        <v>0.9166666666678793</v>
      </c>
      <c r="AB3768" s="236">
        <v>9.6</v>
      </c>
      <c r="AC3768" s="127">
        <f t="shared" si="73"/>
        <v>10</v>
      </c>
    </row>
    <row r="3769" ht="14.5" customHeight="1" spans="11:29" x14ac:dyDescent="0.25">
      <c r="K3769" s="128"/>
      <c r="X3769" s="234">
        <v>2022</v>
      </c>
      <c r="Y3769" s="234">
        <v>6</v>
      </c>
      <c r="Z3769" s="234">
        <v>6</v>
      </c>
      <c r="AA3769" s="235">
        <v>0.9583333333321207</v>
      </c>
      <c r="AB3769" s="236">
        <v>9.7</v>
      </c>
      <c r="AC3769" s="127">
        <f t="shared" si="73"/>
        <v>10</v>
      </c>
    </row>
    <row r="3770" ht="14.5" customHeight="1" spans="11:29" x14ac:dyDescent="0.25">
      <c r="K3770" s="128"/>
      <c r="X3770" s="234">
        <v>2022</v>
      </c>
      <c r="Y3770" s="234">
        <v>6</v>
      </c>
      <c r="Z3770" s="234">
        <v>7</v>
      </c>
      <c r="AA3770" s="235">
        <v>0</v>
      </c>
      <c r="AB3770" s="236">
        <v>9.7</v>
      </c>
      <c r="AC3770" s="127">
        <f t="shared" si="73"/>
        <v>10</v>
      </c>
    </row>
    <row r="3771" ht="14.5" customHeight="1" spans="11:29" x14ac:dyDescent="0.25">
      <c r="K3771" s="128"/>
      <c r="X3771" s="234">
        <v>2022</v>
      </c>
      <c r="Y3771" s="234">
        <v>6</v>
      </c>
      <c r="Z3771" s="234">
        <v>7</v>
      </c>
      <c r="AA3771" s="235">
        <v>0.041666666667879326</v>
      </c>
      <c r="AB3771" s="236">
        <v>9.1</v>
      </c>
      <c r="AC3771" s="127">
        <f t="shared" si="73"/>
        <v>9</v>
      </c>
    </row>
    <row r="3772" ht="14.5" customHeight="1" spans="11:29" x14ac:dyDescent="0.25">
      <c r="K3772" s="128"/>
      <c r="X3772" s="234">
        <v>2022</v>
      </c>
      <c r="Y3772" s="234">
        <v>6</v>
      </c>
      <c r="Z3772" s="234">
        <v>7</v>
      </c>
      <c r="AA3772" s="235">
        <v>0.08333333333212067</v>
      </c>
      <c r="AB3772" s="236">
        <v>8.8</v>
      </c>
      <c r="AC3772" s="127">
        <f t="shared" si="73"/>
        <v>9</v>
      </c>
    </row>
    <row r="3773" ht="14.5" customHeight="1" spans="11:29" x14ac:dyDescent="0.25">
      <c r="K3773" s="128"/>
      <c r="X3773" s="234">
        <v>2022</v>
      </c>
      <c r="Y3773" s="234">
        <v>6</v>
      </c>
      <c r="Z3773" s="234">
        <v>7</v>
      </c>
      <c r="AA3773" s="235">
        <v>0.125</v>
      </c>
      <c r="AB3773" s="236">
        <v>8.9</v>
      </c>
      <c r="AC3773" s="127">
        <f t="shared" si="73"/>
        <v>9</v>
      </c>
    </row>
    <row r="3774" ht="14.5" customHeight="1" spans="11:29" x14ac:dyDescent="0.25">
      <c r="K3774" s="128"/>
      <c r="X3774" s="234">
        <v>2022</v>
      </c>
      <c r="Y3774" s="234">
        <v>6</v>
      </c>
      <c r="Z3774" s="234">
        <v>7</v>
      </c>
      <c r="AA3774" s="235">
        <v>0.16666666666787933</v>
      </c>
      <c r="AB3774" s="236">
        <v>8.8</v>
      </c>
      <c r="AC3774" s="127">
        <f t="shared" si="73"/>
        <v>9</v>
      </c>
    </row>
    <row r="3775" ht="14.5" customHeight="1" spans="11:29" x14ac:dyDescent="0.25">
      <c r="K3775" s="128"/>
      <c r="X3775" s="234">
        <v>2022</v>
      </c>
      <c r="Y3775" s="234">
        <v>6</v>
      </c>
      <c r="Z3775" s="234">
        <v>7</v>
      </c>
      <c r="AA3775" s="235">
        <v>0.20833333333212067</v>
      </c>
      <c r="AB3775" s="236">
        <v>8.8</v>
      </c>
      <c r="AC3775" s="127">
        <f t="shared" si="73"/>
        <v>9</v>
      </c>
    </row>
    <row r="3776" ht="14.5" customHeight="1" spans="11:29" x14ac:dyDescent="0.25">
      <c r="K3776" s="128"/>
      <c r="X3776" s="234">
        <v>2022</v>
      </c>
      <c r="Y3776" s="234">
        <v>6</v>
      </c>
      <c r="Z3776" s="234">
        <v>7</v>
      </c>
      <c r="AA3776" s="235">
        <v>0.25</v>
      </c>
      <c r="AB3776" s="236">
        <v>9.3</v>
      </c>
      <c r="AC3776" s="127">
        <f t="shared" si="73"/>
        <v>9</v>
      </c>
    </row>
    <row r="3777" ht="14.5" customHeight="1" spans="11:29" x14ac:dyDescent="0.25">
      <c r="K3777" s="128"/>
      <c r="X3777" s="234">
        <v>2022</v>
      </c>
      <c r="Y3777" s="234">
        <v>6</v>
      </c>
      <c r="Z3777" s="234">
        <v>7</v>
      </c>
      <c r="AA3777" s="235">
        <v>0.2916666666678793</v>
      </c>
      <c r="AB3777" s="236">
        <v>9.8</v>
      </c>
      <c r="AC3777" s="127">
        <f t="shared" si="73"/>
        <v>10</v>
      </c>
    </row>
    <row r="3778" ht="14.5" customHeight="1" spans="11:29" x14ac:dyDescent="0.25">
      <c r="K3778" s="128"/>
      <c r="X3778" s="234">
        <v>2022</v>
      </c>
      <c r="Y3778" s="234">
        <v>6</v>
      </c>
      <c r="Z3778" s="234">
        <v>7</v>
      </c>
      <c r="AA3778" s="235">
        <v>0.3333333333321207</v>
      </c>
      <c r="AB3778" s="236">
        <v>10.7</v>
      </c>
      <c r="AC3778" s="127">
        <f t="shared" si="73"/>
        <v>11</v>
      </c>
    </row>
    <row r="3779" ht="14.5" customHeight="1" spans="11:29" x14ac:dyDescent="0.25">
      <c r="K3779" s="128"/>
      <c r="X3779" s="234">
        <v>2022</v>
      </c>
      <c r="Y3779" s="234">
        <v>6</v>
      </c>
      <c r="Z3779" s="234">
        <v>7</v>
      </c>
      <c r="AA3779" s="235">
        <v>0.375</v>
      </c>
      <c r="AB3779" s="236">
        <v>12.1</v>
      </c>
      <c r="AC3779" s="127">
        <f t="shared" si="73"/>
        <v>12</v>
      </c>
    </row>
    <row r="3780" ht="14.5" customHeight="1" spans="11:29" x14ac:dyDescent="0.25">
      <c r="K3780" s="128"/>
      <c r="X3780" s="234">
        <v>2022</v>
      </c>
      <c r="Y3780" s="234">
        <v>6</v>
      </c>
      <c r="Z3780" s="234">
        <v>7</v>
      </c>
      <c r="AA3780" s="235">
        <v>0.4166666666678793</v>
      </c>
      <c r="AB3780" s="236">
        <v>13.1</v>
      </c>
      <c r="AC3780" s="127">
        <f t="shared" si="73"/>
        <v>13</v>
      </c>
    </row>
    <row r="3781" ht="14.5" customHeight="1" spans="11:29" x14ac:dyDescent="0.25">
      <c r="K3781" s="128"/>
      <c r="X3781" s="234">
        <v>2022</v>
      </c>
      <c r="Y3781" s="234">
        <v>6</v>
      </c>
      <c r="Z3781" s="234">
        <v>7</v>
      </c>
      <c r="AA3781" s="235">
        <v>0.4583333333321207</v>
      </c>
      <c r="AB3781" s="236">
        <v>13</v>
      </c>
      <c r="AC3781" s="127">
        <f t="shared" si="73"/>
        <v>13</v>
      </c>
    </row>
    <row r="3782" ht="14.5" customHeight="1" spans="11:29" x14ac:dyDescent="0.25">
      <c r="K3782" s="128"/>
      <c r="X3782" s="234">
        <v>2022</v>
      </c>
      <c r="Y3782" s="234">
        <v>6</v>
      </c>
      <c r="Z3782" s="234">
        <v>7</v>
      </c>
      <c r="AA3782" s="235">
        <v>0.5</v>
      </c>
      <c r="AB3782" s="236">
        <v>13.7</v>
      </c>
      <c r="AC3782" s="127">
        <f t="shared" si="73"/>
        <v>14</v>
      </c>
    </row>
    <row r="3783" ht="14.5" customHeight="1" spans="11:29" x14ac:dyDescent="0.25">
      <c r="K3783" s="128"/>
      <c r="X3783" s="234">
        <v>2022</v>
      </c>
      <c r="Y3783" s="234">
        <v>6</v>
      </c>
      <c r="Z3783" s="234">
        <v>7</v>
      </c>
      <c r="AA3783" s="235">
        <v>0.5416666666678793</v>
      </c>
      <c r="AB3783" s="236">
        <v>14.7</v>
      </c>
      <c r="AC3783" s="127">
        <f t="shared" si="73"/>
        <v>15</v>
      </c>
    </row>
    <row r="3784" ht="14.5" customHeight="1" spans="11:29" x14ac:dyDescent="0.25">
      <c r="K3784" s="128"/>
      <c r="X3784" s="234">
        <v>2022</v>
      </c>
      <c r="Y3784" s="234">
        <v>6</v>
      </c>
      <c r="Z3784" s="234">
        <v>7</v>
      </c>
      <c r="AA3784" s="235">
        <v>0.5833333333321207</v>
      </c>
      <c r="AB3784" s="236">
        <v>14.8</v>
      </c>
      <c r="AC3784" s="127">
        <f t="shared" si="73"/>
        <v>15</v>
      </c>
    </row>
    <row r="3785" ht="14.5" customHeight="1" spans="11:29" x14ac:dyDescent="0.25">
      <c r="K3785" s="128"/>
      <c r="X3785" s="234">
        <v>2022</v>
      </c>
      <c r="Y3785" s="234">
        <v>6</v>
      </c>
      <c r="Z3785" s="234">
        <v>7</v>
      </c>
      <c r="AA3785" s="235">
        <v>0.625</v>
      </c>
      <c r="AB3785" s="236">
        <v>14.9</v>
      </c>
      <c r="AC3785" s="127">
        <f t="shared" si="73"/>
        <v>15</v>
      </c>
    </row>
    <row r="3786" ht="14.5" customHeight="1" spans="11:29" x14ac:dyDescent="0.25">
      <c r="K3786" s="128"/>
      <c r="X3786" s="234">
        <v>2022</v>
      </c>
      <c r="Y3786" s="234">
        <v>6</v>
      </c>
      <c r="Z3786" s="234">
        <v>7</v>
      </c>
      <c r="AA3786" s="235">
        <v>0.6666666666678793</v>
      </c>
      <c r="AB3786" s="236">
        <v>15</v>
      </c>
      <c r="AC3786" s="127">
        <f t="shared" si="73"/>
        <v>15</v>
      </c>
    </row>
    <row r="3787" ht="14.5" customHeight="1" spans="11:29" x14ac:dyDescent="0.25">
      <c r="K3787" s="128"/>
      <c r="X3787" s="234">
        <v>2022</v>
      </c>
      <c r="Y3787" s="234">
        <v>6</v>
      </c>
      <c r="Z3787" s="234">
        <v>7</v>
      </c>
      <c r="AA3787" s="235">
        <v>0.7083333333321207</v>
      </c>
      <c r="AB3787" s="236">
        <v>15.1</v>
      </c>
      <c r="AC3787" s="127">
        <f t="shared" ref="AC3787:AC3850" si="74">ROUND(AB3787,0)</f>
        <v>15</v>
      </c>
    </row>
    <row r="3788" ht="14.5" customHeight="1" spans="11:29" x14ac:dyDescent="0.25">
      <c r="K3788" s="128"/>
      <c r="X3788" s="234">
        <v>2022</v>
      </c>
      <c r="Y3788" s="234">
        <v>6</v>
      </c>
      <c r="Z3788" s="234">
        <v>7</v>
      </c>
      <c r="AA3788" s="235">
        <v>0.75</v>
      </c>
      <c r="AB3788" s="236">
        <v>14.9</v>
      </c>
      <c r="AC3788" s="127">
        <f t="shared" si="74"/>
        <v>15</v>
      </c>
    </row>
    <row r="3789" ht="14.5" customHeight="1" spans="11:29" x14ac:dyDescent="0.25">
      <c r="K3789" s="128"/>
      <c r="X3789" s="234">
        <v>2022</v>
      </c>
      <c r="Y3789" s="234">
        <v>6</v>
      </c>
      <c r="Z3789" s="234">
        <v>7</v>
      </c>
      <c r="AA3789" s="235">
        <v>0.7916666666678793</v>
      </c>
      <c r="AB3789" s="236">
        <v>13.9</v>
      </c>
      <c r="AC3789" s="127">
        <f t="shared" si="74"/>
        <v>14</v>
      </c>
    </row>
    <row r="3790" ht="14.5" customHeight="1" spans="11:29" x14ac:dyDescent="0.25">
      <c r="K3790" s="128"/>
      <c r="X3790" s="234">
        <v>2022</v>
      </c>
      <c r="Y3790" s="234">
        <v>6</v>
      </c>
      <c r="Z3790" s="234">
        <v>7</v>
      </c>
      <c r="AA3790" s="235">
        <v>0.8333333333321207</v>
      </c>
      <c r="AB3790" s="236">
        <v>13.3</v>
      </c>
      <c r="AC3790" s="127">
        <f t="shared" si="74"/>
        <v>13</v>
      </c>
    </row>
    <row r="3791" ht="14.5" customHeight="1" spans="11:29" x14ac:dyDescent="0.25">
      <c r="K3791" s="128"/>
      <c r="X3791" s="234">
        <v>2022</v>
      </c>
      <c r="Y3791" s="234">
        <v>6</v>
      </c>
      <c r="Z3791" s="234">
        <v>7</v>
      </c>
      <c r="AA3791" s="235">
        <v>0.875</v>
      </c>
      <c r="AB3791" s="236">
        <v>12</v>
      </c>
      <c r="AC3791" s="127">
        <f t="shared" si="74"/>
        <v>12</v>
      </c>
    </row>
    <row r="3792" ht="14.5" customHeight="1" spans="11:29" x14ac:dyDescent="0.25">
      <c r="K3792" s="128"/>
      <c r="X3792" s="234">
        <v>2022</v>
      </c>
      <c r="Y3792" s="234">
        <v>6</v>
      </c>
      <c r="Z3792" s="234">
        <v>7</v>
      </c>
      <c r="AA3792" s="235">
        <v>0.9166666666678793</v>
      </c>
      <c r="AB3792" s="236">
        <v>10.3</v>
      </c>
      <c r="AC3792" s="127">
        <f t="shared" si="74"/>
        <v>10</v>
      </c>
    </row>
    <row r="3793" ht="14.5" customHeight="1" spans="11:29" x14ac:dyDescent="0.25">
      <c r="K3793" s="128"/>
      <c r="X3793" s="234">
        <v>2022</v>
      </c>
      <c r="Y3793" s="234">
        <v>6</v>
      </c>
      <c r="Z3793" s="234">
        <v>7</v>
      </c>
      <c r="AA3793" s="235">
        <v>0.9583333333321207</v>
      </c>
      <c r="AB3793" s="236">
        <v>9.4</v>
      </c>
      <c r="AC3793" s="127">
        <f t="shared" si="74"/>
        <v>9</v>
      </c>
    </row>
    <row r="3794" ht="14.5" customHeight="1" spans="11:29" x14ac:dyDescent="0.25">
      <c r="K3794" s="128"/>
      <c r="X3794" s="234">
        <v>2022</v>
      </c>
      <c r="Y3794" s="234">
        <v>6</v>
      </c>
      <c r="Z3794" s="234">
        <v>8</v>
      </c>
      <c r="AA3794" s="235">
        <v>0</v>
      </c>
      <c r="AB3794" s="236">
        <v>8.7</v>
      </c>
      <c r="AC3794" s="127">
        <f t="shared" si="74"/>
        <v>9</v>
      </c>
    </row>
    <row r="3795" ht="14.5" customHeight="1" spans="11:29" x14ac:dyDescent="0.25">
      <c r="K3795" s="128"/>
      <c r="X3795" s="234">
        <v>2022</v>
      </c>
      <c r="Y3795" s="234">
        <v>6</v>
      </c>
      <c r="Z3795" s="234">
        <v>8</v>
      </c>
      <c r="AA3795" s="235">
        <v>0.041666666667879326</v>
      </c>
      <c r="AB3795" s="236">
        <v>8</v>
      </c>
      <c r="AC3795" s="127">
        <f t="shared" si="74"/>
        <v>8</v>
      </c>
    </row>
    <row r="3796" ht="14.5" customHeight="1" spans="11:29" x14ac:dyDescent="0.25">
      <c r="K3796" s="128"/>
      <c r="X3796" s="234">
        <v>2022</v>
      </c>
      <c r="Y3796" s="234">
        <v>6</v>
      </c>
      <c r="Z3796" s="234">
        <v>8</v>
      </c>
      <c r="AA3796" s="235">
        <v>0.08333333333212067</v>
      </c>
      <c r="AB3796" s="236">
        <v>7.7</v>
      </c>
      <c r="AC3796" s="127">
        <f t="shared" si="74"/>
        <v>8</v>
      </c>
    </row>
    <row r="3797" ht="14.5" customHeight="1" spans="11:29" x14ac:dyDescent="0.25">
      <c r="K3797" s="128"/>
      <c r="X3797" s="234">
        <v>2022</v>
      </c>
      <c r="Y3797" s="234">
        <v>6</v>
      </c>
      <c r="Z3797" s="234">
        <v>8</v>
      </c>
      <c r="AA3797" s="235">
        <v>0.125</v>
      </c>
      <c r="AB3797" s="236">
        <v>6.8</v>
      </c>
      <c r="AC3797" s="127">
        <f t="shared" si="74"/>
        <v>7</v>
      </c>
    </row>
    <row r="3798" ht="14.5" customHeight="1" spans="11:29" x14ac:dyDescent="0.25">
      <c r="K3798" s="128"/>
      <c r="X3798" s="234">
        <v>2022</v>
      </c>
      <c r="Y3798" s="234">
        <v>6</v>
      </c>
      <c r="Z3798" s="234">
        <v>8</v>
      </c>
      <c r="AA3798" s="235">
        <v>0.16666666666787933</v>
      </c>
      <c r="AB3798" s="236">
        <v>6.8</v>
      </c>
      <c r="AC3798" s="127">
        <f t="shared" si="74"/>
        <v>7</v>
      </c>
    </row>
    <row r="3799" ht="14.5" customHeight="1" spans="11:29" x14ac:dyDescent="0.25">
      <c r="K3799" s="128"/>
      <c r="X3799" s="234">
        <v>2022</v>
      </c>
      <c r="Y3799" s="234">
        <v>6</v>
      </c>
      <c r="Z3799" s="234">
        <v>8</v>
      </c>
      <c r="AA3799" s="235">
        <v>0.20833333333212067</v>
      </c>
      <c r="AB3799" s="236">
        <v>7.3</v>
      </c>
      <c r="AC3799" s="127">
        <f t="shared" si="74"/>
        <v>7</v>
      </c>
    </row>
    <row r="3800" ht="14.5" customHeight="1" spans="11:29" x14ac:dyDescent="0.25">
      <c r="K3800" s="128"/>
      <c r="X3800" s="234">
        <v>2022</v>
      </c>
      <c r="Y3800" s="234">
        <v>6</v>
      </c>
      <c r="Z3800" s="234">
        <v>8</v>
      </c>
      <c r="AA3800" s="235">
        <v>0.25</v>
      </c>
      <c r="AB3800" s="236">
        <v>8.8</v>
      </c>
      <c r="AC3800" s="127">
        <f t="shared" si="74"/>
        <v>9</v>
      </c>
    </row>
    <row r="3801" ht="14.5" customHeight="1" spans="11:29" x14ac:dyDescent="0.25">
      <c r="K3801" s="128"/>
      <c r="X3801" s="234">
        <v>2022</v>
      </c>
      <c r="Y3801" s="234">
        <v>6</v>
      </c>
      <c r="Z3801" s="234">
        <v>8</v>
      </c>
      <c r="AA3801" s="235">
        <v>0.2916666666678793</v>
      </c>
      <c r="AB3801" s="236">
        <v>10.5</v>
      </c>
      <c r="AC3801" s="127">
        <f t="shared" si="74"/>
        <v>11</v>
      </c>
    </row>
    <row r="3802" ht="14.5" customHeight="1" spans="11:29" x14ac:dyDescent="0.25">
      <c r="K3802" s="128"/>
      <c r="X3802" s="234">
        <v>2022</v>
      </c>
      <c r="Y3802" s="234">
        <v>6</v>
      </c>
      <c r="Z3802" s="234">
        <v>8</v>
      </c>
      <c r="AA3802" s="235">
        <v>0.3333333333321207</v>
      </c>
      <c r="AB3802" s="236">
        <v>11.1</v>
      </c>
      <c r="AC3802" s="127">
        <f t="shared" si="74"/>
        <v>11</v>
      </c>
    </row>
    <row r="3803" ht="14.5" customHeight="1" spans="11:29" x14ac:dyDescent="0.25">
      <c r="K3803" s="128"/>
      <c r="X3803" s="234">
        <v>2022</v>
      </c>
      <c r="Y3803" s="234">
        <v>6</v>
      </c>
      <c r="Z3803" s="234">
        <v>8</v>
      </c>
      <c r="AA3803" s="235">
        <v>0.375</v>
      </c>
      <c r="AB3803" s="236">
        <v>13.8</v>
      </c>
      <c r="AC3803" s="127">
        <f t="shared" si="74"/>
        <v>14</v>
      </c>
    </row>
    <row r="3804" ht="14.5" customHeight="1" spans="11:29" x14ac:dyDescent="0.25">
      <c r="K3804" s="128"/>
      <c r="X3804" s="234">
        <v>2022</v>
      </c>
      <c r="Y3804" s="234">
        <v>6</v>
      </c>
      <c r="Z3804" s="234">
        <v>8</v>
      </c>
      <c r="AA3804" s="235">
        <v>0.4166666666678793</v>
      </c>
      <c r="AB3804" s="236">
        <v>15.5</v>
      </c>
      <c r="AC3804" s="127">
        <f t="shared" si="74"/>
        <v>16</v>
      </c>
    </row>
    <row r="3805" ht="14.5" customHeight="1" spans="11:29" x14ac:dyDescent="0.25">
      <c r="K3805" s="128"/>
      <c r="X3805" s="234">
        <v>2022</v>
      </c>
      <c r="Y3805" s="234">
        <v>6</v>
      </c>
      <c r="Z3805" s="234">
        <v>8</v>
      </c>
      <c r="AA3805" s="235">
        <v>0.4583333333321207</v>
      </c>
      <c r="AB3805" s="236">
        <v>18</v>
      </c>
      <c r="AC3805" s="127">
        <f t="shared" si="74"/>
        <v>18</v>
      </c>
    </row>
    <row r="3806" ht="14.5" customHeight="1" spans="11:29" x14ac:dyDescent="0.25">
      <c r="K3806" s="128"/>
      <c r="X3806" s="234">
        <v>2022</v>
      </c>
      <c r="Y3806" s="234">
        <v>6</v>
      </c>
      <c r="Z3806" s="234">
        <v>8</v>
      </c>
      <c r="AA3806" s="235">
        <v>0.5</v>
      </c>
      <c r="AB3806" s="236">
        <v>20.3</v>
      </c>
      <c r="AC3806" s="127">
        <f t="shared" si="74"/>
        <v>20</v>
      </c>
    </row>
    <row r="3807" ht="14.5" customHeight="1" spans="11:29" x14ac:dyDescent="0.25">
      <c r="K3807" s="128"/>
      <c r="X3807" s="234">
        <v>2022</v>
      </c>
      <c r="Y3807" s="234">
        <v>6</v>
      </c>
      <c r="Z3807" s="234">
        <v>8</v>
      </c>
      <c r="AA3807" s="235">
        <v>0.5416666666678793</v>
      </c>
      <c r="AB3807" s="236">
        <v>20.5</v>
      </c>
      <c r="AC3807" s="127">
        <f t="shared" si="74"/>
        <v>21</v>
      </c>
    </row>
    <row r="3808" ht="14.5" customHeight="1" spans="11:29" x14ac:dyDescent="0.25">
      <c r="K3808" s="128"/>
      <c r="X3808" s="234">
        <v>2022</v>
      </c>
      <c r="Y3808" s="234">
        <v>6</v>
      </c>
      <c r="Z3808" s="234">
        <v>8</v>
      </c>
      <c r="AA3808" s="235">
        <v>0.5833333333321207</v>
      </c>
      <c r="AB3808" s="236">
        <v>20.5</v>
      </c>
      <c r="AC3808" s="127">
        <f t="shared" si="74"/>
        <v>21</v>
      </c>
    </row>
    <row r="3809" ht="14.5" customHeight="1" spans="11:29" x14ac:dyDescent="0.25">
      <c r="K3809" s="128"/>
      <c r="X3809" s="234">
        <v>2022</v>
      </c>
      <c r="Y3809" s="234">
        <v>6</v>
      </c>
      <c r="Z3809" s="234">
        <v>8</v>
      </c>
      <c r="AA3809" s="235">
        <v>0.625</v>
      </c>
      <c r="AB3809" s="236">
        <v>21.4</v>
      </c>
      <c r="AC3809" s="127">
        <f t="shared" si="74"/>
        <v>21</v>
      </c>
    </row>
    <row r="3810" ht="14.5" customHeight="1" spans="11:29" x14ac:dyDescent="0.25">
      <c r="K3810" s="128"/>
      <c r="X3810" s="234">
        <v>2022</v>
      </c>
      <c r="Y3810" s="234">
        <v>6</v>
      </c>
      <c r="Z3810" s="234">
        <v>8</v>
      </c>
      <c r="AA3810" s="235">
        <v>0.6666666666678793</v>
      </c>
      <c r="AB3810" s="236">
        <v>21.2</v>
      </c>
      <c r="AC3810" s="127">
        <f t="shared" si="74"/>
        <v>21</v>
      </c>
    </row>
    <row r="3811" ht="14.5" customHeight="1" spans="11:29" x14ac:dyDescent="0.25">
      <c r="K3811" s="128"/>
      <c r="X3811" s="234">
        <v>2022</v>
      </c>
      <c r="Y3811" s="234">
        <v>6</v>
      </c>
      <c r="Z3811" s="234">
        <v>8</v>
      </c>
      <c r="AA3811" s="235">
        <v>0.7083333333321207</v>
      </c>
      <c r="AB3811" s="236">
        <v>20.2</v>
      </c>
      <c r="AC3811" s="127">
        <f t="shared" si="74"/>
        <v>20</v>
      </c>
    </row>
    <row r="3812" ht="14.5" customHeight="1" spans="11:29" x14ac:dyDescent="0.25">
      <c r="K3812" s="128"/>
      <c r="X3812" s="234">
        <v>2022</v>
      </c>
      <c r="Y3812" s="234">
        <v>6</v>
      </c>
      <c r="Z3812" s="234">
        <v>8</v>
      </c>
      <c r="AA3812" s="235">
        <v>0.75</v>
      </c>
      <c r="AB3812" s="236">
        <v>19.6</v>
      </c>
      <c r="AC3812" s="127">
        <f t="shared" si="74"/>
        <v>20</v>
      </c>
    </row>
    <row r="3813" ht="14.5" customHeight="1" spans="11:29" x14ac:dyDescent="0.25">
      <c r="K3813" s="128"/>
      <c r="X3813" s="234">
        <v>2022</v>
      </c>
      <c r="Y3813" s="234">
        <v>6</v>
      </c>
      <c r="Z3813" s="234">
        <v>8</v>
      </c>
      <c r="AA3813" s="235">
        <v>0.7916666666678793</v>
      </c>
      <c r="AB3813" s="236">
        <v>19</v>
      </c>
      <c r="AC3813" s="127">
        <f t="shared" si="74"/>
        <v>19</v>
      </c>
    </row>
    <row r="3814" ht="14.5" customHeight="1" spans="11:29" x14ac:dyDescent="0.25">
      <c r="K3814" s="128"/>
      <c r="X3814" s="234">
        <v>2022</v>
      </c>
      <c r="Y3814" s="234">
        <v>6</v>
      </c>
      <c r="Z3814" s="234">
        <v>8</v>
      </c>
      <c r="AA3814" s="235">
        <v>0.8333333333321207</v>
      </c>
      <c r="AB3814" s="236">
        <v>18</v>
      </c>
      <c r="AC3814" s="127">
        <f t="shared" si="74"/>
        <v>18</v>
      </c>
    </row>
    <row r="3815" ht="14.5" customHeight="1" spans="11:29" x14ac:dyDescent="0.25">
      <c r="K3815" s="128"/>
      <c r="X3815" s="234">
        <v>2022</v>
      </c>
      <c r="Y3815" s="234">
        <v>6</v>
      </c>
      <c r="Z3815" s="234">
        <v>8</v>
      </c>
      <c r="AA3815" s="235">
        <v>0.875</v>
      </c>
      <c r="AB3815" s="236">
        <v>16.1</v>
      </c>
      <c r="AC3815" s="127">
        <f t="shared" si="74"/>
        <v>16</v>
      </c>
    </row>
    <row r="3816" ht="14.5" customHeight="1" spans="11:29" x14ac:dyDescent="0.25">
      <c r="K3816" s="128"/>
      <c r="X3816" s="234">
        <v>2022</v>
      </c>
      <c r="Y3816" s="234">
        <v>6</v>
      </c>
      <c r="Z3816" s="234">
        <v>8</v>
      </c>
      <c r="AA3816" s="235">
        <v>0.9166666666678793</v>
      </c>
      <c r="AB3816" s="236">
        <v>13.3</v>
      </c>
      <c r="AC3816" s="127">
        <f t="shared" si="74"/>
        <v>13</v>
      </c>
    </row>
    <row r="3817" ht="14.5" customHeight="1" spans="11:29" x14ac:dyDescent="0.25">
      <c r="K3817" s="128"/>
      <c r="X3817" s="234">
        <v>2022</v>
      </c>
      <c r="Y3817" s="234">
        <v>6</v>
      </c>
      <c r="Z3817" s="234">
        <v>8</v>
      </c>
      <c r="AA3817" s="235">
        <v>0.9583333333321207</v>
      </c>
      <c r="AB3817" s="236">
        <v>11</v>
      </c>
      <c r="AC3817" s="127">
        <f t="shared" si="74"/>
        <v>11</v>
      </c>
    </row>
    <row r="3818" ht="14.5" customHeight="1" spans="11:29" x14ac:dyDescent="0.25">
      <c r="K3818" s="128"/>
      <c r="X3818" s="234">
        <v>2022</v>
      </c>
      <c r="Y3818" s="234">
        <v>6</v>
      </c>
      <c r="Z3818" s="234">
        <v>9</v>
      </c>
      <c r="AA3818" s="235">
        <v>0</v>
      </c>
      <c r="AB3818" s="236">
        <v>9.8</v>
      </c>
      <c r="AC3818" s="127">
        <f t="shared" si="74"/>
        <v>10</v>
      </c>
    </row>
    <row r="3819" ht="14.5" customHeight="1" spans="11:29" x14ac:dyDescent="0.25">
      <c r="K3819" s="128"/>
      <c r="X3819" s="234">
        <v>2022</v>
      </c>
      <c r="Y3819" s="234">
        <v>6</v>
      </c>
      <c r="Z3819" s="234">
        <v>9</v>
      </c>
      <c r="AA3819" s="235">
        <v>0.041666666667879326</v>
      </c>
      <c r="AB3819" s="236">
        <v>10.7</v>
      </c>
      <c r="AC3819" s="127">
        <f t="shared" si="74"/>
        <v>11</v>
      </c>
    </row>
    <row r="3820" ht="14.5" customHeight="1" spans="11:29" x14ac:dyDescent="0.25">
      <c r="K3820" s="128"/>
      <c r="X3820" s="234">
        <v>2022</v>
      </c>
      <c r="Y3820" s="234">
        <v>6</v>
      </c>
      <c r="Z3820" s="234">
        <v>9</v>
      </c>
      <c r="AA3820" s="235">
        <v>0.08333333333212067</v>
      </c>
      <c r="AB3820" s="236">
        <v>9.8</v>
      </c>
      <c r="AC3820" s="127">
        <f t="shared" si="74"/>
        <v>10</v>
      </c>
    </row>
    <row r="3821" ht="14.5" customHeight="1" spans="11:29" x14ac:dyDescent="0.25">
      <c r="K3821" s="128"/>
      <c r="X3821" s="234">
        <v>2022</v>
      </c>
      <c r="Y3821" s="234">
        <v>6</v>
      </c>
      <c r="Z3821" s="234">
        <v>9</v>
      </c>
      <c r="AA3821" s="235">
        <v>0.125</v>
      </c>
      <c r="AB3821" s="236">
        <v>8.7</v>
      </c>
      <c r="AC3821" s="127">
        <f t="shared" si="74"/>
        <v>9</v>
      </c>
    </row>
    <row r="3822" ht="14.5" customHeight="1" spans="11:29" x14ac:dyDescent="0.25">
      <c r="K3822" s="128"/>
      <c r="X3822" s="234">
        <v>2022</v>
      </c>
      <c r="Y3822" s="234">
        <v>6</v>
      </c>
      <c r="Z3822" s="234">
        <v>9</v>
      </c>
      <c r="AA3822" s="235">
        <v>0.16666666666787933</v>
      </c>
      <c r="AB3822" s="236">
        <v>9.2</v>
      </c>
      <c r="AC3822" s="127">
        <f t="shared" si="74"/>
        <v>9</v>
      </c>
    </row>
    <row r="3823" ht="14.5" customHeight="1" spans="11:29" x14ac:dyDescent="0.25">
      <c r="K3823" s="128"/>
      <c r="X3823" s="234">
        <v>2022</v>
      </c>
      <c r="Y3823" s="234">
        <v>6</v>
      </c>
      <c r="Z3823" s="234">
        <v>9</v>
      </c>
      <c r="AA3823" s="235">
        <v>0.20833333333212067</v>
      </c>
      <c r="AB3823" s="236">
        <v>7.5</v>
      </c>
      <c r="AC3823" s="127">
        <f t="shared" si="74"/>
        <v>8</v>
      </c>
    </row>
    <row r="3824" ht="14.5" customHeight="1" spans="11:29" x14ac:dyDescent="0.25">
      <c r="K3824" s="128"/>
      <c r="X3824" s="234">
        <v>2022</v>
      </c>
      <c r="Y3824" s="234">
        <v>6</v>
      </c>
      <c r="Z3824" s="234">
        <v>9</v>
      </c>
      <c r="AA3824" s="235">
        <v>0.25</v>
      </c>
      <c r="AB3824" s="236">
        <v>11.7</v>
      </c>
      <c r="AC3824" s="127">
        <f t="shared" si="74"/>
        <v>12</v>
      </c>
    </row>
    <row r="3825" ht="14.5" customHeight="1" spans="11:29" x14ac:dyDescent="0.25">
      <c r="K3825" s="128"/>
      <c r="X3825" s="234">
        <v>2022</v>
      </c>
      <c r="Y3825" s="234">
        <v>6</v>
      </c>
      <c r="Z3825" s="234">
        <v>9</v>
      </c>
      <c r="AA3825" s="235">
        <v>0.2916666666678793</v>
      </c>
      <c r="AB3825" s="236">
        <v>13.4</v>
      </c>
      <c r="AC3825" s="127">
        <f t="shared" si="74"/>
        <v>13</v>
      </c>
    </row>
    <row r="3826" ht="14.5" customHeight="1" spans="11:29" x14ac:dyDescent="0.25">
      <c r="K3826" s="128"/>
      <c r="X3826" s="234">
        <v>2022</v>
      </c>
      <c r="Y3826" s="234">
        <v>6</v>
      </c>
      <c r="Z3826" s="234">
        <v>9</v>
      </c>
      <c r="AA3826" s="235">
        <v>0.3333333333321207</v>
      </c>
      <c r="AB3826" s="236">
        <v>16.6</v>
      </c>
      <c r="AC3826" s="127">
        <f t="shared" si="74"/>
        <v>17</v>
      </c>
    </row>
    <row r="3827" ht="14.5" customHeight="1" spans="11:29" x14ac:dyDescent="0.25">
      <c r="K3827" s="128"/>
      <c r="X3827" s="234">
        <v>2022</v>
      </c>
      <c r="Y3827" s="234">
        <v>6</v>
      </c>
      <c r="Z3827" s="234">
        <v>9</v>
      </c>
      <c r="AA3827" s="235">
        <v>0.375</v>
      </c>
      <c r="AB3827" s="236">
        <v>17.8</v>
      </c>
      <c r="AC3827" s="127">
        <f t="shared" si="74"/>
        <v>18</v>
      </c>
    </row>
    <row r="3828" ht="14.5" customHeight="1" spans="11:29" x14ac:dyDescent="0.25">
      <c r="K3828" s="128"/>
      <c r="X3828" s="234">
        <v>2022</v>
      </c>
      <c r="Y3828" s="234">
        <v>6</v>
      </c>
      <c r="Z3828" s="234">
        <v>9</v>
      </c>
      <c r="AA3828" s="235">
        <v>0.4166666666678793</v>
      </c>
      <c r="AB3828" s="236">
        <v>18.5</v>
      </c>
      <c r="AC3828" s="127">
        <f t="shared" si="74"/>
        <v>19</v>
      </c>
    </row>
    <row r="3829" ht="14.5" customHeight="1" spans="11:29" x14ac:dyDescent="0.25">
      <c r="K3829" s="128"/>
      <c r="X3829" s="234">
        <v>2022</v>
      </c>
      <c r="Y3829" s="234">
        <v>6</v>
      </c>
      <c r="Z3829" s="234">
        <v>9</v>
      </c>
      <c r="AA3829" s="235">
        <v>0.4583333333321207</v>
      </c>
      <c r="AB3829" s="236">
        <v>19.4</v>
      </c>
      <c r="AC3829" s="127">
        <f t="shared" si="74"/>
        <v>19</v>
      </c>
    </row>
    <row r="3830" ht="14.5" customHeight="1" spans="11:29" x14ac:dyDescent="0.25">
      <c r="K3830" s="128"/>
      <c r="X3830" s="234">
        <v>2022</v>
      </c>
      <c r="Y3830" s="234">
        <v>6</v>
      </c>
      <c r="Z3830" s="234">
        <v>9</v>
      </c>
      <c r="AA3830" s="235">
        <v>0.5</v>
      </c>
      <c r="AB3830" s="236">
        <v>20.9</v>
      </c>
      <c r="AC3830" s="127">
        <f t="shared" si="74"/>
        <v>21</v>
      </c>
    </row>
    <row r="3831" ht="14.5" customHeight="1" spans="11:29" x14ac:dyDescent="0.25">
      <c r="K3831" s="128"/>
      <c r="X3831" s="234">
        <v>2022</v>
      </c>
      <c r="Y3831" s="234">
        <v>6</v>
      </c>
      <c r="Z3831" s="234">
        <v>9</v>
      </c>
      <c r="AA3831" s="235">
        <v>0.5416666666678793</v>
      </c>
      <c r="AB3831" s="236">
        <v>20.1</v>
      </c>
      <c r="AC3831" s="127">
        <f t="shared" si="74"/>
        <v>20</v>
      </c>
    </row>
    <row r="3832" ht="14.5" customHeight="1" spans="11:29" x14ac:dyDescent="0.25">
      <c r="K3832" s="128"/>
      <c r="X3832" s="234">
        <v>2022</v>
      </c>
      <c r="Y3832" s="234">
        <v>6</v>
      </c>
      <c r="Z3832" s="234">
        <v>9</v>
      </c>
      <c r="AA3832" s="235">
        <v>0.5833333333321207</v>
      </c>
      <c r="AB3832" s="236">
        <v>20.6</v>
      </c>
      <c r="AC3832" s="127">
        <f t="shared" si="74"/>
        <v>21</v>
      </c>
    </row>
    <row r="3833" ht="14.5" customHeight="1" spans="11:29" x14ac:dyDescent="0.25">
      <c r="K3833" s="128"/>
      <c r="X3833" s="234">
        <v>2022</v>
      </c>
      <c r="Y3833" s="234">
        <v>6</v>
      </c>
      <c r="Z3833" s="234">
        <v>9</v>
      </c>
      <c r="AA3833" s="235">
        <v>0.625</v>
      </c>
      <c r="AB3833" s="236">
        <v>22.2</v>
      </c>
      <c r="AC3833" s="127">
        <f t="shared" si="74"/>
        <v>22</v>
      </c>
    </row>
    <row r="3834" ht="14.5" customHeight="1" spans="11:29" x14ac:dyDescent="0.25">
      <c r="K3834" s="128"/>
      <c r="X3834" s="234">
        <v>2022</v>
      </c>
      <c r="Y3834" s="234">
        <v>6</v>
      </c>
      <c r="Z3834" s="234">
        <v>9</v>
      </c>
      <c r="AA3834" s="235">
        <v>0.6666666666678793</v>
      </c>
      <c r="AB3834" s="236">
        <v>22</v>
      </c>
      <c r="AC3834" s="127">
        <f t="shared" si="74"/>
        <v>22</v>
      </c>
    </row>
    <row r="3835" ht="14.5" customHeight="1" spans="11:29" x14ac:dyDescent="0.25">
      <c r="K3835" s="128"/>
      <c r="X3835" s="234">
        <v>2022</v>
      </c>
      <c r="Y3835" s="234">
        <v>6</v>
      </c>
      <c r="Z3835" s="234">
        <v>9</v>
      </c>
      <c r="AA3835" s="235">
        <v>0.7083333333321207</v>
      </c>
      <c r="AB3835" s="236">
        <v>21.1</v>
      </c>
      <c r="AC3835" s="127">
        <f t="shared" si="74"/>
        <v>21</v>
      </c>
    </row>
    <row r="3836" ht="14.5" customHeight="1" spans="11:29" x14ac:dyDescent="0.25">
      <c r="K3836" s="128"/>
      <c r="X3836" s="234">
        <v>2022</v>
      </c>
      <c r="Y3836" s="234">
        <v>6</v>
      </c>
      <c r="Z3836" s="234">
        <v>9</v>
      </c>
      <c r="AA3836" s="235">
        <v>0.75</v>
      </c>
      <c r="AB3836" s="236">
        <v>20.3</v>
      </c>
      <c r="AC3836" s="127">
        <f t="shared" si="74"/>
        <v>20</v>
      </c>
    </row>
    <row r="3837" ht="14.5" customHeight="1" spans="11:29" x14ac:dyDescent="0.25">
      <c r="K3837" s="128"/>
      <c r="X3837" s="234">
        <v>2022</v>
      </c>
      <c r="Y3837" s="234">
        <v>6</v>
      </c>
      <c r="Z3837" s="234">
        <v>9</v>
      </c>
      <c r="AA3837" s="235">
        <v>0.7916666666678793</v>
      </c>
      <c r="AB3837" s="236">
        <v>19.5</v>
      </c>
      <c r="AC3837" s="127">
        <f t="shared" si="74"/>
        <v>20</v>
      </c>
    </row>
    <row r="3838" ht="14.5" customHeight="1" spans="11:29" x14ac:dyDescent="0.25">
      <c r="K3838" s="128"/>
      <c r="X3838" s="234">
        <v>2022</v>
      </c>
      <c r="Y3838" s="234">
        <v>6</v>
      </c>
      <c r="Z3838" s="234">
        <v>9</v>
      </c>
      <c r="AA3838" s="235">
        <v>0.8333333333321207</v>
      </c>
      <c r="AB3838" s="236">
        <v>18.5</v>
      </c>
      <c r="AC3838" s="127">
        <f t="shared" si="74"/>
        <v>19</v>
      </c>
    </row>
    <row r="3839" ht="14.5" customHeight="1" spans="11:29" x14ac:dyDescent="0.25">
      <c r="K3839" s="128"/>
      <c r="X3839" s="234">
        <v>2022</v>
      </c>
      <c r="Y3839" s="234">
        <v>6</v>
      </c>
      <c r="Z3839" s="234">
        <v>9</v>
      </c>
      <c r="AA3839" s="235">
        <v>0.875</v>
      </c>
      <c r="AB3839" s="236">
        <v>17.3</v>
      </c>
      <c r="AC3839" s="127">
        <f t="shared" si="74"/>
        <v>17</v>
      </c>
    </row>
    <row r="3840" ht="14.5" customHeight="1" spans="11:29" x14ac:dyDescent="0.25">
      <c r="K3840" s="128"/>
      <c r="X3840" s="234">
        <v>2022</v>
      </c>
      <c r="Y3840" s="234">
        <v>6</v>
      </c>
      <c r="Z3840" s="234">
        <v>9</v>
      </c>
      <c r="AA3840" s="235">
        <v>0.9166666666678793</v>
      </c>
      <c r="AB3840" s="236">
        <v>15.8</v>
      </c>
      <c r="AC3840" s="127">
        <f t="shared" si="74"/>
        <v>16</v>
      </c>
    </row>
    <row r="3841" ht="14.5" customHeight="1" spans="11:29" x14ac:dyDescent="0.25">
      <c r="K3841" s="128"/>
      <c r="X3841" s="234">
        <v>2022</v>
      </c>
      <c r="Y3841" s="234">
        <v>6</v>
      </c>
      <c r="Z3841" s="234">
        <v>9</v>
      </c>
      <c r="AA3841" s="235">
        <v>0.9583333333321207</v>
      </c>
      <c r="AB3841" s="236">
        <v>14.8</v>
      </c>
      <c r="AC3841" s="127">
        <f t="shared" si="74"/>
        <v>15</v>
      </c>
    </row>
    <row r="3842" ht="14.5" customHeight="1" spans="11:29" x14ac:dyDescent="0.25">
      <c r="K3842" s="128"/>
      <c r="X3842" s="234">
        <v>2022</v>
      </c>
      <c r="Y3842" s="234">
        <v>6</v>
      </c>
      <c r="Z3842" s="234">
        <v>10</v>
      </c>
      <c r="AA3842" s="235">
        <v>0</v>
      </c>
      <c r="AB3842" s="236">
        <v>13.7</v>
      </c>
      <c r="AC3842" s="127">
        <f t="shared" si="74"/>
        <v>14</v>
      </c>
    </row>
    <row r="3843" ht="14.5" customHeight="1" spans="11:29" x14ac:dyDescent="0.25">
      <c r="K3843" s="128"/>
      <c r="X3843" s="234">
        <v>2022</v>
      </c>
      <c r="Y3843" s="234">
        <v>6</v>
      </c>
      <c r="Z3843" s="234">
        <v>10</v>
      </c>
      <c r="AA3843" s="235">
        <v>0.041666666667879326</v>
      </c>
      <c r="AB3843" s="236">
        <v>12.8</v>
      </c>
      <c r="AC3843" s="127">
        <f t="shared" si="74"/>
        <v>13</v>
      </c>
    </row>
    <row r="3844" ht="14.5" customHeight="1" spans="11:29" x14ac:dyDescent="0.25">
      <c r="K3844" s="128"/>
      <c r="X3844" s="234">
        <v>2022</v>
      </c>
      <c r="Y3844" s="234">
        <v>6</v>
      </c>
      <c r="Z3844" s="234">
        <v>10</v>
      </c>
      <c r="AA3844" s="235">
        <v>0.08333333333212067</v>
      </c>
      <c r="AB3844" s="236">
        <v>12.1</v>
      </c>
      <c r="AC3844" s="127">
        <f t="shared" si="74"/>
        <v>12</v>
      </c>
    </row>
    <row r="3845" ht="14.5" customHeight="1" spans="11:29" x14ac:dyDescent="0.25">
      <c r="K3845" s="128"/>
      <c r="X3845" s="234">
        <v>2022</v>
      </c>
      <c r="Y3845" s="234">
        <v>6</v>
      </c>
      <c r="Z3845" s="234">
        <v>10</v>
      </c>
      <c r="AA3845" s="235">
        <v>0.125</v>
      </c>
      <c r="AB3845" s="236">
        <v>12</v>
      </c>
      <c r="AC3845" s="127">
        <f t="shared" si="74"/>
        <v>12</v>
      </c>
    </row>
    <row r="3846" ht="14.5" customHeight="1" spans="11:29" x14ac:dyDescent="0.25">
      <c r="K3846" s="128"/>
      <c r="X3846" s="234">
        <v>2022</v>
      </c>
      <c r="Y3846" s="234">
        <v>6</v>
      </c>
      <c r="Z3846" s="234">
        <v>10</v>
      </c>
      <c r="AA3846" s="235">
        <v>0.16666666666787933</v>
      </c>
      <c r="AB3846" s="236">
        <v>8.3</v>
      </c>
      <c r="AC3846" s="127">
        <f t="shared" si="74"/>
        <v>8</v>
      </c>
    </row>
    <row r="3847" ht="14.5" customHeight="1" spans="11:29" x14ac:dyDescent="0.25">
      <c r="K3847" s="128"/>
      <c r="X3847" s="234">
        <v>2022</v>
      </c>
      <c r="Y3847" s="234">
        <v>6</v>
      </c>
      <c r="Z3847" s="234">
        <v>10</v>
      </c>
      <c r="AA3847" s="235">
        <v>0.20833333333212067</v>
      </c>
      <c r="AB3847" s="236">
        <v>12.2</v>
      </c>
      <c r="AC3847" s="127">
        <f t="shared" si="74"/>
        <v>12</v>
      </c>
    </row>
    <row r="3848" ht="14.5" customHeight="1" spans="11:29" x14ac:dyDescent="0.25">
      <c r="K3848" s="128"/>
      <c r="X3848" s="234">
        <v>2022</v>
      </c>
      <c r="Y3848" s="234">
        <v>6</v>
      </c>
      <c r="Z3848" s="234">
        <v>10</v>
      </c>
      <c r="AA3848" s="235">
        <v>0.25</v>
      </c>
      <c r="AB3848" s="236">
        <v>15.7</v>
      </c>
      <c r="AC3848" s="127">
        <f t="shared" si="74"/>
        <v>16</v>
      </c>
    </row>
    <row r="3849" ht="14.5" customHeight="1" spans="11:29" x14ac:dyDescent="0.25">
      <c r="K3849" s="128"/>
      <c r="X3849" s="234">
        <v>2022</v>
      </c>
      <c r="Y3849" s="234">
        <v>6</v>
      </c>
      <c r="Z3849" s="234">
        <v>10</v>
      </c>
      <c r="AA3849" s="235">
        <v>0.2916666666678793</v>
      </c>
      <c r="AB3849" s="236">
        <v>16.8</v>
      </c>
      <c r="AC3849" s="127">
        <f t="shared" si="74"/>
        <v>17</v>
      </c>
    </row>
    <row r="3850" ht="14.5" customHeight="1" spans="11:29" x14ac:dyDescent="0.25">
      <c r="K3850" s="128"/>
      <c r="X3850" s="234">
        <v>2022</v>
      </c>
      <c r="Y3850" s="234">
        <v>6</v>
      </c>
      <c r="Z3850" s="234">
        <v>10</v>
      </c>
      <c r="AA3850" s="235">
        <v>0.3333333333321207</v>
      </c>
      <c r="AB3850" s="236">
        <v>18.6</v>
      </c>
      <c r="AC3850" s="127">
        <f t="shared" si="74"/>
        <v>19</v>
      </c>
    </row>
    <row r="3851" ht="14.5" customHeight="1" spans="11:29" x14ac:dyDescent="0.25">
      <c r="K3851" s="128"/>
      <c r="X3851" s="234">
        <v>2022</v>
      </c>
      <c r="Y3851" s="234">
        <v>6</v>
      </c>
      <c r="Z3851" s="234">
        <v>10</v>
      </c>
      <c r="AA3851" s="235">
        <v>0.375</v>
      </c>
      <c r="AB3851" s="236">
        <v>19.2</v>
      </c>
      <c r="AC3851" s="127">
        <f t="shared" ref="AC3851:AC3914" si="75">ROUND(AB3851,0)</f>
        <v>19</v>
      </c>
    </row>
    <row r="3852" ht="14.5" customHeight="1" spans="11:29" x14ac:dyDescent="0.25">
      <c r="K3852" s="128"/>
      <c r="X3852" s="234">
        <v>2022</v>
      </c>
      <c r="Y3852" s="234">
        <v>6</v>
      </c>
      <c r="Z3852" s="234">
        <v>10</v>
      </c>
      <c r="AA3852" s="235">
        <v>0.4166666666678793</v>
      </c>
      <c r="AB3852" s="236">
        <v>20.3</v>
      </c>
      <c r="AC3852" s="127">
        <f t="shared" si="75"/>
        <v>20</v>
      </c>
    </row>
    <row r="3853" ht="14.5" customHeight="1" spans="11:29" x14ac:dyDescent="0.25">
      <c r="K3853" s="128"/>
      <c r="X3853" s="234">
        <v>2022</v>
      </c>
      <c r="Y3853" s="234">
        <v>6</v>
      </c>
      <c r="Z3853" s="234">
        <v>10</v>
      </c>
      <c r="AA3853" s="235">
        <v>0.4583333333321207</v>
      </c>
      <c r="AB3853" s="236">
        <v>21.1</v>
      </c>
      <c r="AC3853" s="127">
        <f t="shared" si="75"/>
        <v>21</v>
      </c>
    </row>
    <row r="3854" ht="14.5" customHeight="1" spans="11:29" x14ac:dyDescent="0.25">
      <c r="K3854" s="128"/>
      <c r="X3854" s="234">
        <v>2022</v>
      </c>
      <c r="Y3854" s="234">
        <v>6</v>
      </c>
      <c r="Z3854" s="234">
        <v>10</v>
      </c>
      <c r="AA3854" s="235">
        <v>0.5</v>
      </c>
      <c r="AB3854" s="236">
        <v>22.3</v>
      </c>
      <c r="AC3854" s="127">
        <f t="shared" si="75"/>
        <v>22</v>
      </c>
    </row>
    <row r="3855" ht="14.5" customHeight="1" spans="11:29" x14ac:dyDescent="0.25">
      <c r="K3855" s="128"/>
      <c r="X3855" s="234">
        <v>2022</v>
      </c>
      <c r="Y3855" s="234">
        <v>6</v>
      </c>
      <c r="Z3855" s="234">
        <v>10</v>
      </c>
      <c r="AA3855" s="235">
        <v>0.5416666666678793</v>
      </c>
      <c r="AB3855" s="236">
        <v>22.9</v>
      </c>
      <c r="AC3855" s="127">
        <f t="shared" si="75"/>
        <v>23</v>
      </c>
    </row>
    <row r="3856" ht="14.5" customHeight="1" spans="11:29" x14ac:dyDescent="0.25">
      <c r="K3856" s="128"/>
      <c r="X3856" s="234">
        <v>2022</v>
      </c>
      <c r="Y3856" s="234">
        <v>6</v>
      </c>
      <c r="Z3856" s="234">
        <v>10</v>
      </c>
      <c r="AA3856" s="235">
        <v>0.5833333333321207</v>
      </c>
      <c r="AB3856" s="236">
        <v>22.9</v>
      </c>
      <c r="AC3856" s="127">
        <f t="shared" si="75"/>
        <v>23</v>
      </c>
    </row>
    <row r="3857" ht="14.5" customHeight="1" spans="11:29" x14ac:dyDescent="0.25">
      <c r="K3857" s="128"/>
      <c r="X3857" s="234">
        <v>2022</v>
      </c>
      <c r="Y3857" s="234">
        <v>6</v>
      </c>
      <c r="Z3857" s="234">
        <v>10</v>
      </c>
      <c r="AA3857" s="235">
        <v>0.625</v>
      </c>
      <c r="AB3857" s="236">
        <v>22.8</v>
      </c>
      <c r="AC3857" s="127">
        <f t="shared" si="75"/>
        <v>23</v>
      </c>
    </row>
    <row r="3858" ht="14.5" customHeight="1" spans="11:29" x14ac:dyDescent="0.25">
      <c r="K3858" s="128"/>
      <c r="X3858" s="234">
        <v>2022</v>
      </c>
      <c r="Y3858" s="234">
        <v>6</v>
      </c>
      <c r="Z3858" s="234">
        <v>10</v>
      </c>
      <c r="AA3858" s="235">
        <v>0.6666666666678793</v>
      </c>
      <c r="AB3858" s="236">
        <v>23</v>
      </c>
      <c r="AC3858" s="127">
        <f t="shared" si="75"/>
        <v>23</v>
      </c>
    </row>
    <row r="3859" ht="14.5" customHeight="1" spans="11:29" x14ac:dyDescent="0.25">
      <c r="K3859" s="128"/>
      <c r="X3859" s="234">
        <v>2022</v>
      </c>
      <c r="Y3859" s="234">
        <v>6</v>
      </c>
      <c r="Z3859" s="234">
        <v>10</v>
      </c>
      <c r="AA3859" s="235">
        <v>0.7083333333321207</v>
      </c>
      <c r="AB3859" s="236">
        <v>22.4</v>
      </c>
      <c r="AC3859" s="127">
        <f t="shared" si="75"/>
        <v>22</v>
      </c>
    </row>
    <row r="3860" ht="14.5" customHeight="1" spans="11:29" x14ac:dyDescent="0.25">
      <c r="K3860" s="128"/>
      <c r="X3860" s="234">
        <v>2022</v>
      </c>
      <c r="Y3860" s="234">
        <v>6</v>
      </c>
      <c r="Z3860" s="234">
        <v>10</v>
      </c>
      <c r="AA3860" s="235">
        <v>0.75</v>
      </c>
      <c r="AB3860" s="236">
        <v>21.8</v>
      </c>
      <c r="AC3860" s="127">
        <f t="shared" si="75"/>
        <v>22</v>
      </c>
    </row>
    <row r="3861" ht="14.5" customHeight="1" spans="11:29" x14ac:dyDescent="0.25">
      <c r="K3861" s="128"/>
      <c r="X3861" s="234">
        <v>2022</v>
      </c>
      <c r="Y3861" s="234">
        <v>6</v>
      </c>
      <c r="Z3861" s="234">
        <v>10</v>
      </c>
      <c r="AA3861" s="235">
        <v>0.7916666666678793</v>
      </c>
      <c r="AB3861" s="236">
        <v>21.2</v>
      </c>
      <c r="AC3861" s="127">
        <f t="shared" si="75"/>
        <v>21</v>
      </c>
    </row>
    <row r="3862" ht="14.5" customHeight="1" spans="11:29" x14ac:dyDescent="0.25">
      <c r="K3862" s="128"/>
      <c r="X3862" s="234">
        <v>2022</v>
      </c>
      <c r="Y3862" s="234">
        <v>6</v>
      </c>
      <c r="Z3862" s="234">
        <v>10</v>
      </c>
      <c r="AA3862" s="235">
        <v>0.8333333333321207</v>
      </c>
      <c r="AB3862" s="236">
        <v>19</v>
      </c>
      <c r="AC3862" s="127">
        <f t="shared" si="75"/>
        <v>19</v>
      </c>
    </row>
    <row r="3863" ht="14.5" customHeight="1" spans="11:29" x14ac:dyDescent="0.25">
      <c r="K3863" s="128"/>
      <c r="X3863" s="234">
        <v>2022</v>
      </c>
      <c r="Y3863" s="234">
        <v>6</v>
      </c>
      <c r="Z3863" s="234">
        <v>10</v>
      </c>
      <c r="AA3863" s="235">
        <v>0.875</v>
      </c>
      <c r="AB3863" s="236">
        <v>17.7</v>
      </c>
      <c r="AC3863" s="127">
        <f t="shared" si="75"/>
        <v>18</v>
      </c>
    </row>
    <row r="3864" ht="14.5" customHeight="1" spans="11:29" x14ac:dyDescent="0.25">
      <c r="K3864" s="128"/>
      <c r="X3864" s="234">
        <v>2022</v>
      </c>
      <c r="Y3864" s="234">
        <v>6</v>
      </c>
      <c r="Z3864" s="234">
        <v>10</v>
      </c>
      <c r="AA3864" s="235">
        <v>0.9166666666678793</v>
      </c>
      <c r="AB3864" s="236">
        <v>16.6</v>
      </c>
      <c r="AC3864" s="127">
        <f t="shared" si="75"/>
        <v>17</v>
      </c>
    </row>
    <row r="3865" ht="14.5" customHeight="1" spans="11:29" x14ac:dyDescent="0.25">
      <c r="K3865" s="128"/>
      <c r="X3865" s="234">
        <v>2022</v>
      </c>
      <c r="Y3865" s="234">
        <v>6</v>
      </c>
      <c r="Z3865" s="234">
        <v>10</v>
      </c>
      <c r="AA3865" s="235">
        <v>0.9583333333321207</v>
      </c>
      <c r="AB3865" s="236">
        <v>15.1</v>
      </c>
      <c r="AC3865" s="127">
        <f t="shared" si="75"/>
        <v>15</v>
      </c>
    </row>
    <row r="3866" ht="14.5" customHeight="1" spans="11:29" x14ac:dyDescent="0.25">
      <c r="K3866" s="128"/>
      <c r="X3866" s="234">
        <v>2022</v>
      </c>
      <c r="Y3866" s="234">
        <v>6</v>
      </c>
      <c r="Z3866" s="234">
        <v>11</v>
      </c>
      <c r="AA3866" s="235">
        <v>0</v>
      </c>
      <c r="AB3866" s="236">
        <v>14.7</v>
      </c>
      <c r="AC3866" s="127">
        <f t="shared" si="75"/>
        <v>15</v>
      </c>
    </row>
    <row r="3867" ht="14.5" customHeight="1" spans="11:29" x14ac:dyDescent="0.25">
      <c r="K3867" s="128"/>
      <c r="X3867" s="234">
        <v>2022</v>
      </c>
      <c r="Y3867" s="234">
        <v>6</v>
      </c>
      <c r="Z3867" s="234">
        <v>11</v>
      </c>
      <c r="AA3867" s="235">
        <v>0.041666666667879326</v>
      </c>
      <c r="AB3867" s="236">
        <v>14</v>
      </c>
      <c r="AC3867" s="127">
        <f t="shared" si="75"/>
        <v>14</v>
      </c>
    </row>
    <row r="3868" ht="14.5" customHeight="1" spans="11:29" x14ac:dyDescent="0.25">
      <c r="K3868" s="128"/>
      <c r="X3868" s="234">
        <v>2022</v>
      </c>
      <c r="Y3868" s="234">
        <v>6</v>
      </c>
      <c r="Z3868" s="234">
        <v>11</v>
      </c>
      <c r="AA3868" s="235">
        <v>0.08333333333212067</v>
      </c>
      <c r="AB3868" s="236">
        <v>11.6</v>
      </c>
      <c r="AC3868" s="127">
        <f t="shared" si="75"/>
        <v>12</v>
      </c>
    </row>
    <row r="3869" ht="14.5" customHeight="1" spans="11:29" x14ac:dyDescent="0.25">
      <c r="K3869" s="128"/>
      <c r="X3869" s="234">
        <v>2022</v>
      </c>
      <c r="Y3869" s="234">
        <v>6</v>
      </c>
      <c r="Z3869" s="234">
        <v>11</v>
      </c>
      <c r="AA3869" s="235">
        <v>0.125</v>
      </c>
      <c r="AB3869" s="236">
        <v>14.3</v>
      </c>
      <c r="AC3869" s="127">
        <f t="shared" si="75"/>
        <v>14</v>
      </c>
    </row>
    <row r="3870" ht="14.5" customHeight="1" spans="11:29" x14ac:dyDescent="0.25">
      <c r="K3870" s="128"/>
      <c r="X3870" s="234">
        <v>2022</v>
      </c>
      <c r="Y3870" s="234">
        <v>6</v>
      </c>
      <c r="Z3870" s="234">
        <v>11</v>
      </c>
      <c r="AA3870" s="235">
        <v>0.16666666666787933</v>
      </c>
      <c r="AB3870" s="236">
        <v>15.6</v>
      </c>
      <c r="AC3870" s="127">
        <f t="shared" si="75"/>
        <v>16</v>
      </c>
    </row>
    <row r="3871" ht="14.5" customHeight="1" spans="11:29" x14ac:dyDescent="0.25">
      <c r="K3871" s="128"/>
      <c r="X3871" s="234">
        <v>2022</v>
      </c>
      <c r="Y3871" s="234">
        <v>6</v>
      </c>
      <c r="Z3871" s="234">
        <v>11</v>
      </c>
      <c r="AA3871" s="235">
        <v>0.20833333333212067</v>
      </c>
      <c r="AB3871" s="236">
        <v>14.5</v>
      </c>
      <c r="AC3871" s="127">
        <f t="shared" si="75"/>
        <v>15</v>
      </c>
    </row>
    <row r="3872" ht="14.5" customHeight="1" spans="11:29" x14ac:dyDescent="0.25">
      <c r="K3872" s="128"/>
      <c r="X3872" s="234">
        <v>2022</v>
      </c>
      <c r="Y3872" s="234">
        <v>6</v>
      </c>
      <c r="Z3872" s="234">
        <v>11</v>
      </c>
      <c r="AA3872" s="235">
        <v>0.25</v>
      </c>
      <c r="AB3872" s="236">
        <v>14.4</v>
      </c>
      <c r="AC3872" s="127">
        <f t="shared" si="75"/>
        <v>14</v>
      </c>
    </row>
    <row r="3873" ht="14.5" customHeight="1" spans="11:29" x14ac:dyDescent="0.25">
      <c r="K3873" s="128"/>
      <c r="X3873" s="234">
        <v>2022</v>
      </c>
      <c r="Y3873" s="234">
        <v>6</v>
      </c>
      <c r="Z3873" s="234">
        <v>11</v>
      </c>
      <c r="AA3873" s="235">
        <v>0.2916666666678793</v>
      </c>
      <c r="AB3873" s="236">
        <v>15.7</v>
      </c>
      <c r="AC3873" s="127">
        <f t="shared" si="75"/>
        <v>16</v>
      </c>
    </row>
    <row r="3874" ht="14.5" customHeight="1" spans="11:29" x14ac:dyDescent="0.25">
      <c r="K3874" s="128"/>
      <c r="X3874" s="234">
        <v>2022</v>
      </c>
      <c r="Y3874" s="234">
        <v>6</v>
      </c>
      <c r="Z3874" s="234">
        <v>11</v>
      </c>
      <c r="AA3874" s="235">
        <v>0.3333333333321207</v>
      </c>
      <c r="AB3874" s="236">
        <v>17.3</v>
      </c>
      <c r="AC3874" s="127">
        <f t="shared" si="75"/>
        <v>17</v>
      </c>
    </row>
    <row r="3875" ht="14.5" customHeight="1" spans="11:29" x14ac:dyDescent="0.25">
      <c r="K3875" s="128"/>
      <c r="X3875" s="234">
        <v>2022</v>
      </c>
      <c r="Y3875" s="234">
        <v>6</v>
      </c>
      <c r="Z3875" s="234">
        <v>11</v>
      </c>
      <c r="AA3875" s="235">
        <v>0.375</v>
      </c>
      <c r="AB3875" s="236">
        <v>18.6</v>
      </c>
      <c r="AC3875" s="127">
        <f t="shared" si="75"/>
        <v>19</v>
      </c>
    </row>
    <row r="3876" ht="14.5" customHeight="1" spans="11:29" x14ac:dyDescent="0.25">
      <c r="K3876" s="128"/>
      <c r="X3876" s="234">
        <v>2022</v>
      </c>
      <c r="Y3876" s="234">
        <v>6</v>
      </c>
      <c r="Z3876" s="234">
        <v>11</v>
      </c>
      <c r="AA3876" s="235">
        <v>0.4166666666678793</v>
      </c>
      <c r="AB3876" s="236">
        <v>19.3</v>
      </c>
      <c r="AC3876" s="127">
        <f t="shared" si="75"/>
        <v>19</v>
      </c>
    </row>
    <row r="3877" ht="14.5" customHeight="1" spans="11:29" x14ac:dyDescent="0.25">
      <c r="K3877" s="128"/>
      <c r="X3877" s="234">
        <v>2022</v>
      </c>
      <c r="Y3877" s="234">
        <v>6</v>
      </c>
      <c r="Z3877" s="234">
        <v>11</v>
      </c>
      <c r="AA3877" s="235">
        <v>0.4583333333321207</v>
      </c>
      <c r="AB3877" s="236">
        <v>18</v>
      </c>
      <c r="AC3877" s="127">
        <f t="shared" si="75"/>
        <v>18</v>
      </c>
    </row>
    <row r="3878" ht="14.5" customHeight="1" spans="11:29" x14ac:dyDescent="0.25">
      <c r="K3878" s="128"/>
      <c r="X3878" s="234">
        <v>2022</v>
      </c>
      <c r="Y3878" s="234">
        <v>6</v>
      </c>
      <c r="Z3878" s="234">
        <v>11</v>
      </c>
      <c r="AA3878" s="235">
        <v>0.5</v>
      </c>
      <c r="AB3878" s="236">
        <v>16.6</v>
      </c>
      <c r="AC3878" s="127">
        <f t="shared" si="75"/>
        <v>17</v>
      </c>
    </row>
    <row r="3879" ht="14.5" customHeight="1" spans="11:29" x14ac:dyDescent="0.25">
      <c r="K3879" s="128"/>
      <c r="X3879" s="234">
        <v>2022</v>
      </c>
      <c r="Y3879" s="234">
        <v>6</v>
      </c>
      <c r="Z3879" s="234">
        <v>11</v>
      </c>
      <c r="AA3879" s="235">
        <v>0.5416666666678793</v>
      </c>
      <c r="AB3879" s="236">
        <v>19.3</v>
      </c>
      <c r="AC3879" s="127">
        <f t="shared" si="75"/>
        <v>19</v>
      </c>
    </row>
    <row r="3880" ht="14.5" customHeight="1" spans="11:29" x14ac:dyDescent="0.25">
      <c r="K3880" s="128"/>
      <c r="X3880" s="234">
        <v>2022</v>
      </c>
      <c r="Y3880" s="234">
        <v>6</v>
      </c>
      <c r="Z3880" s="234">
        <v>11</v>
      </c>
      <c r="AA3880" s="235">
        <v>0.5833333333321207</v>
      </c>
      <c r="AB3880" s="236">
        <v>20.2</v>
      </c>
      <c r="AC3880" s="127">
        <f t="shared" si="75"/>
        <v>20</v>
      </c>
    </row>
    <row r="3881" ht="14.5" customHeight="1" spans="11:29" x14ac:dyDescent="0.25">
      <c r="K3881" s="128"/>
      <c r="X3881" s="234">
        <v>2022</v>
      </c>
      <c r="Y3881" s="234">
        <v>6</v>
      </c>
      <c r="Z3881" s="234">
        <v>11</v>
      </c>
      <c r="AA3881" s="235">
        <v>0.625</v>
      </c>
      <c r="AB3881" s="236">
        <v>20.7</v>
      </c>
      <c r="AC3881" s="127">
        <f t="shared" si="75"/>
        <v>21</v>
      </c>
    </row>
    <row r="3882" ht="14.5" customHeight="1" spans="11:29" x14ac:dyDescent="0.25">
      <c r="K3882" s="128"/>
      <c r="X3882" s="234">
        <v>2022</v>
      </c>
      <c r="Y3882" s="234">
        <v>6</v>
      </c>
      <c r="Z3882" s="234">
        <v>11</v>
      </c>
      <c r="AA3882" s="235">
        <v>0.6666666666678793</v>
      </c>
      <c r="AB3882" s="236">
        <v>20.5</v>
      </c>
      <c r="AC3882" s="127">
        <f t="shared" si="75"/>
        <v>21</v>
      </c>
    </row>
    <row r="3883" ht="14.5" customHeight="1" spans="11:29" x14ac:dyDescent="0.25">
      <c r="K3883" s="128"/>
      <c r="X3883" s="234">
        <v>2022</v>
      </c>
      <c r="Y3883" s="234">
        <v>6</v>
      </c>
      <c r="Z3883" s="234">
        <v>11</v>
      </c>
      <c r="AA3883" s="235">
        <v>0.7083333333321207</v>
      </c>
      <c r="AB3883" s="236">
        <v>19.7</v>
      </c>
      <c r="AC3883" s="127">
        <f t="shared" si="75"/>
        <v>20</v>
      </c>
    </row>
    <row r="3884" ht="14.5" customHeight="1" spans="11:29" x14ac:dyDescent="0.25">
      <c r="K3884" s="128"/>
      <c r="X3884" s="234">
        <v>2022</v>
      </c>
      <c r="Y3884" s="234">
        <v>6</v>
      </c>
      <c r="Z3884" s="234">
        <v>11</v>
      </c>
      <c r="AA3884" s="235">
        <v>0.75</v>
      </c>
      <c r="AB3884" s="236">
        <v>18.8</v>
      </c>
      <c r="AC3884" s="127">
        <f t="shared" si="75"/>
        <v>19</v>
      </c>
    </row>
    <row r="3885" ht="14.5" customHeight="1" spans="11:29" x14ac:dyDescent="0.25">
      <c r="K3885" s="128"/>
      <c r="X3885" s="234">
        <v>2022</v>
      </c>
      <c r="Y3885" s="234">
        <v>6</v>
      </c>
      <c r="Z3885" s="234">
        <v>11</v>
      </c>
      <c r="AA3885" s="235">
        <v>0.7916666666678793</v>
      </c>
      <c r="AB3885" s="236">
        <v>17.5</v>
      </c>
      <c r="AC3885" s="127">
        <f t="shared" si="75"/>
        <v>18</v>
      </c>
    </row>
    <row r="3886" ht="14.5" customHeight="1" spans="11:29" x14ac:dyDescent="0.25">
      <c r="K3886" s="128"/>
      <c r="X3886" s="234">
        <v>2022</v>
      </c>
      <c r="Y3886" s="234">
        <v>6</v>
      </c>
      <c r="Z3886" s="234">
        <v>11</v>
      </c>
      <c r="AA3886" s="235">
        <v>0.8333333333321207</v>
      </c>
      <c r="AB3886" s="236">
        <v>16</v>
      </c>
      <c r="AC3886" s="127">
        <f t="shared" si="75"/>
        <v>16</v>
      </c>
    </row>
    <row r="3887" ht="14.5" customHeight="1" spans="11:29" x14ac:dyDescent="0.25">
      <c r="K3887" s="128"/>
      <c r="X3887" s="234">
        <v>2022</v>
      </c>
      <c r="Y3887" s="234">
        <v>6</v>
      </c>
      <c r="Z3887" s="234">
        <v>11</v>
      </c>
      <c r="AA3887" s="235">
        <v>0.875</v>
      </c>
      <c r="AB3887" s="236">
        <v>13.3</v>
      </c>
      <c r="AC3887" s="127">
        <f t="shared" si="75"/>
        <v>13</v>
      </c>
    </row>
    <row r="3888" ht="14.5" customHeight="1" spans="11:29" x14ac:dyDescent="0.25">
      <c r="K3888" s="128"/>
      <c r="X3888" s="234">
        <v>2022</v>
      </c>
      <c r="Y3888" s="234">
        <v>6</v>
      </c>
      <c r="Z3888" s="234">
        <v>11</v>
      </c>
      <c r="AA3888" s="235">
        <v>0.9166666666678793</v>
      </c>
      <c r="AB3888" s="236">
        <v>11.8</v>
      </c>
      <c r="AC3888" s="127">
        <f t="shared" si="75"/>
        <v>12</v>
      </c>
    </row>
    <row r="3889" ht="14.5" customHeight="1" spans="11:29" x14ac:dyDescent="0.25">
      <c r="K3889" s="128"/>
      <c r="X3889" s="234">
        <v>2022</v>
      </c>
      <c r="Y3889" s="234">
        <v>6</v>
      </c>
      <c r="Z3889" s="234">
        <v>11</v>
      </c>
      <c r="AA3889" s="235">
        <v>0.9583333333321207</v>
      </c>
      <c r="AB3889" s="236">
        <v>12</v>
      </c>
      <c r="AC3889" s="127">
        <f t="shared" si="75"/>
        <v>12</v>
      </c>
    </row>
    <row r="3890" ht="14.5" customHeight="1" spans="11:29" x14ac:dyDescent="0.25">
      <c r="K3890" s="128"/>
      <c r="X3890" s="234">
        <v>2022</v>
      </c>
      <c r="Y3890" s="234">
        <v>6</v>
      </c>
      <c r="Z3890" s="234">
        <v>12</v>
      </c>
      <c r="AA3890" s="235">
        <v>0</v>
      </c>
      <c r="AB3890" s="236">
        <v>10.9</v>
      </c>
      <c r="AC3890" s="127">
        <f t="shared" si="75"/>
        <v>11</v>
      </c>
    </row>
    <row r="3891" ht="14.5" customHeight="1" spans="11:29" x14ac:dyDescent="0.25">
      <c r="K3891" s="128"/>
      <c r="X3891" s="234">
        <v>2022</v>
      </c>
      <c r="Y3891" s="234">
        <v>6</v>
      </c>
      <c r="Z3891" s="234">
        <v>12</v>
      </c>
      <c r="AA3891" s="235">
        <v>0.041666666667879326</v>
      </c>
      <c r="AB3891" s="236">
        <v>10</v>
      </c>
      <c r="AC3891" s="127">
        <f t="shared" si="75"/>
        <v>10</v>
      </c>
    </row>
    <row r="3892" ht="14.5" customHeight="1" spans="11:29" x14ac:dyDescent="0.25">
      <c r="K3892" s="128"/>
      <c r="X3892" s="234">
        <v>2022</v>
      </c>
      <c r="Y3892" s="234">
        <v>6</v>
      </c>
      <c r="Z3892" s="234">
        <v>12</v>
      </c>
      <c r="AA3892" s="235">
        <v>0.08333333333212067</v>
      </c>
      <c r="AB3892" s="236">
        <v>7.9</v>
      </c>
      <c r="AC3892" s="127">
        <f t="shared" si="75"/>
        <v>8</v>
      </c>
    </row>
    <row r="3893" ht="14.5" customHeight="1" spans="11:29" x14ac:dyDescent="0.25">
      <c r="K3893" s="128"/>
      <c r="X3893" s="234">
        <v>2022</v>
      </c>
      <c r="Y3893" s="234">
        <v>6</v>
      </c>
      <c r="Z3893" s="234">
        <v>12</v>
      </c>
      <c r="AA3893" s="235">
        <v>0.125</v>
      </c>
      <c r="AB3893" s="236">
        <v>8.3</v>
      </c>
      <c r="AC3893" s="127">
        <f t="shared" si="75"/>
        <v>8</v>
      </c>
    </row>
    <row r="3894" ht="14.5" customHeight="1" spans="11:29" x14ac:dyDescent="0.25">
      <c r="K3894" s="128"/>
      <c r="X3894" s="234">
        <v>2022</v>
      </c>
      <c r="Y3894" s="234">
        <v>6</v>
      </c>
      <c r="Z3894" s="234">
        <v>12</v>
      </c>
      <c r="AA3894" s="235">
        <v>0.16666666666787933</v>
      </c>
      <c r="AB3894" s="236">
        <v>7.6</v>
      </c>
      <c r="AC3894" s="127">
        <f t="shared" si="75"/>
        <v>8</v>
      </c>
    </row>
    <row r="3895" ht="14.5" customHeight="1" spans="11:29" x14ac:dyDescent="0.25">
      <c r="K3895" s="128"/>
      <c r="X3895" s="234">
        <v>2022</v>
      </c>
      <c r="Y3895" s="234">
        <v>6</v>
      </c>
      <c r="Z3895" s="234">
        <v>12</v>
      </c>
      <c r="AA3895" s="235">
        <v>0.20833333333212067</v>
      </c>
      <c r="AB3895" s="236">
        <v>8.3</v>
      </c>
      <c r="AC3895" s="127">
        <f t="shared" si="75"/>
        <v>8</v>
      </c>
    </row>
    <row r="3896" ht="14.5" customHeight="1" spans="11:29" x14ac:dyDescent="0.25">
      <c r="K3896" s="128"/>
      <c r="X3896" s="234">
        <v>2022</v>
      </c>
      <c r="Y3896" s="234">
        <v>6</v>
      </c>
      <c r="Z3896" s="234">
        <v>12</v>
      </c>
      <c r="AA3896" s="235">
        <v>0.25</v>
      </c>
      <c r="AB3896" s="236">
        <v>10.5</v>
      </c>
      <c r="AC3896" s="127">
        <f t="shared" si="75"/>
        <v>11</v>
      </c>
    </row>
    <row r="3897" ht="14.5" customHeight="1" spans="11:29" x14ac:dyDescent="0.25">
      <c r="K3897" s="128"/>
      <c r="X3897" s="234">
        <v>2022</v>
      </c>
      <c r="Y3897" s="234">
        <v>6</v>
      </c>
      <c r="Z3897" s="234">
        <v>12</v>
      </c>
      <c r="AA3897" s="235">
        <v>0.2916666666678793</v>
      </c>
      <c r="AB3897" s="236">
        <v>12.8</v>
      </c>
      <c r="AC3897" s="127">
        <f t="shared" si="75"/>
        <v>13</v>
      </c>
    </row>
    <row r="3898" ht="14.5" customHeight="1" spans="11:29" x14ac:dyDescent="0.25">
      <c r="K3898" s="128"/>
      <c r="X3898" s="234">
        <v>2022</v>
      </c>
      <c r="Y3898" s="234">
        <v>6</v>
      </c>
      <c r="Z3898" s="234">
        <v>12</v>
      </c>
      <c r="AA3898" s="235">
        <v>0.3333333333321207</v>
      </c>
      <c r="AB3898" s="236">
        <v>13</v>
      </c>
      <c r="AC3898" s="127">
        <f t="shared" si="75"/>
        <v>13</v>
      </c>
    </row>
    <row r="3899" ht="14.5" customHeight="1" spans="11:29" x14ac:dyDescent="0.25">
      <c r="K3899" s="128"/>
      <c r="X3899" s="234">
        <v>2022</v>
      </c>
      <c r="Y3899" s="234">
        <v>6</v>
      </c>
      <c r="Z3899" s="234">
        <v>12</v>
      </c>
      <c r="AA3899" s="235">
        <v>0.375</v>
      </c>
      <c r="AB3899" s="236">
        <v>13.9</v>
      </c>
      <c r="AC3899" s="127">
        <f t="shared" si="75"/>
        <v>14</v>
      </c>
    </row>
    <row r="3900" ht="14.5" customHeight="1" spans="11:29" x14ac:dyDescent="0.25">
      <c r="K3900" s="128"/>
      <c r="X3900" s="234">
        <v>2022</v>
      </c>
      <c r="Y3900" s="234">
        <v>6</v>
      </c>
      <c r="Z3900" s="234">
        <v>12</v>
      </c>
      <c r="AA3900" s="235">
        <v>0.4166666666678793</v>
      </c>
      <c r="AB3900" s="236">
        <v>13.9</v>
      </c>
      <c r="AC3900" s="127">
        <f t="shared" si="75"/>
        <v>14</v>
      </c>
    </row>
    <row r="3901" ht="14.5" customHeight="1" spans="11:29" x14ac:dyDescent="0.25">
      <c r="K3901" s="128"/>
      <c r="X3901" s="234">
        <v>2022</v>
      </c>
      <c r="Y3901" s="234">
        <v>6</v>
      </c>
      <c r="Z3901" s="234">
        <v>12</v>
      </c>
      <c r="AA3901" s="235">
        <v>0.4583333333321207</v>
      </c>
      <c r="AB3901" s="236">
        <v>14.6</v>
      </c>
      <c r="AC3901" s="127">
        <f t="shared" si="75"/>
        <v>15</v>
      </c>
    </row>
    <row r="3902" ht="14.5" customHeight="1" spans="11:29" x14ac:dyDescent="0.25">
      <c r="K3902" s="128"/>
      <c r="X3902" s="234">
        <v>2022</v>
      </c>
      <c r="Y3902" s="234">
        <v>6</v>
      </c>
      <c r="Z3902" s="234">
        <v>12</v>
      </c>
      <c r="AA3902" s="235">
        <v>0.5</v>
      </c>
      <c r="AB3902" s="236">
        <v>16.9</v>
      </c>
      <c r="AC3902" s="127">
        <f t="shared" si="75"/>
        <v>17</v>
      </c>
    </row>
    <row r="3903" ht="14.5" customHeight="1" spans="11:29" x14ac:dyDescent="0.25">
      <c r="K3903" s="128"/>
      <c r="X3903" s="234">
        <v>2022</v>
      </c>
      <c r="Y3903" s="234">
        <v>6</v>
      </c>
      <c r="Z3903" s="234">
        <v>12</v>
      </c>
      <c r="AA3903" s="235">
        <v>0.5416666666678793</v>
      </c>
      <c r="AB3903" s="236">
        <v>16.3</v>
      </c>
      <c r="AC3903" s="127">
        <f t="shared" si="75"/>
        <v>16</v>
      </c>
    </row>
    <row r="3904" ht="14.5" customHeight="1" spans="11:29" x14ac:dyDescent="0.25">
      <c r="K3904" s="128"/>
      <c r="X3904" s="234">
        <v>2022</v>
      </c>
      <c r="Y3904" s="234">
        <v>6</v>
      </c>
      <c r="Z3904" s="234">
        <v>12</v>
      </c>
      <c r="AA3904" s="235">
        <v>0.5833333333321207</v>
      </c>
      <c r="AB3904" s="236">
        <v>18</v>
      </c>
      <c r="AC3904" s="127">
        <f t="shared" si="75"/>
        <v>18</v>
      </c>
    </row>
    <row r="3905" ht="14.5" customHeight="1" spans="11:29" x14ac:dyDescent="0.25">
      <c r="K3905" s="128"/>
      <c r="X3905" s="234">
        <v>2022</v>
      </c>
      <c r="Y3905" s="234">
        <v>6</v>
      </c>
      <c r="Z3905" s="234">
        <v>12</v>
      </c>
      <c r="AA3905" s="235">
        <v>0.625</v>
      </c>
      <c r="AB3905" s="236">
        <v>15.8</v>
      </c>
      <c r="AC3905" s="127">
        <f t="shared" si="75"/>
        <v>16</v>
      </c>
    </row>
    <row r="3906" ht="14.5" customHeight="1" spans="11:29" x14ac:dyDescent="0.25">
      <c r="K3906" s="128"/>
      <c r="X3906" s="234">
        <v>2022</v>
      </c>
      <c r="Y3906" s="234">
        <v>6</v>
      </c>
      <c r="Z3906" s="234">
        <v>12</v>
      </c>
      <c r="AA3906" s="235">
        <v>0.6666666666678793</v>
      </c>
      <c r="AB3906" s="236">
        <v>13.9</v>
      </c>
      <c r="AC3906" s="127">
        <f t="shared" si="75"/>
        <v>14</v>
      </c>
    </row>
    <row r="3907" ht="14.5" customHeight="1" spans="11:29" x14ac:dyDescent="0.25">
      <c r="K3907" s="128"/>
      <c r="X3907" s="234">
        <v>2022</v>
      </c>
      <c r="Y3907" s="234">
        <v>6</v>
      </c>
      <c r="Z3907" s="234">
        <v>12</v>
      </c>
      <c r="AA3907" s="235">
        <v>0.7083333333321207</v>
      </c>
      <c r="AB3907" s="236">
        <v>16</v>
      </c>
      <c r="AC3907" s="127">
        <f t="shared" si="75"/>
        <v>16</v>
      </c>
    </row>
    <row r="3908" ht="14.5" customHeight="1" spans="11:29" x14ac:dyDescent="0.25">
      <c r="K3908" s="128"/>
      <c r="X3908" s="234">
        <v>2022</v>
      </c>
      <c r="Y3908" s="234">
        <v>6</v>
      </c>
      <c r="Z3908" s="234">
        <v>12</v>
      </c>
      <c r="AA3908" s="235">
        <v>0.75</v>
      </c>
      <c r="AB3908" s="236">
        <v>14.8</v>
      </c>
      <c r="AC3908" s="127">
        <f t="shared" si="75"/>
        <v>15</v>
      </c>
    </row>
    <row r="3909" ht="14.5" customHeight="1" spans="11:29" x14ac:dyDescent="0.25">
      <c r="K3909" s="128"/>
      <c r="X3909" s="234">
        <v>2022</v>
      </c>
      <c r="Y3909" s="234">
        <v>6</v>
      </c>
      <c r="Z3909" s="234">
        <v>12</v>
      </c>
      <c r="AA3909" s="235">
        <v>0.7916666666678793</v>
      </c>
      <c r="AB3909" s="236">
        <v>12.6</v>
      </c>
      <c r="AC3909" s="127">
        <f t="shared" si="75"/>
        <v>13</v>
      </c>
    </row>
    <row r="3910" ht="14.5" customHeight="1" spans="11:29" x14ac:dyDescent="0.25">
      <c r="K3910" s="128"/>
      <c r="X3910" s="234">
        <v>2022</v>
      </c>
      <c r="Y3910" s="234">
        <v>6</v>
      </c>
      <c r="Z3910" s="234">
        <v>12</v>
      </c>
      <c r="AA3910" s="235">
        <v>0.8333333333321207</v>
      </c>
      <c r="AB3910" s="236">
        <v>11.7</v>
      </c>
      <c r="AC3910" s="127">
        <f t="shared" si="75"/>
        <v>12</v>
      </c>
    </row>
    <row r="3911" ht="14.5" customHeight="1" spans="11:29" x14ac:dyDescent="0.25">
      <c r="K3911" s="128"/>
      <c r="X3911" s="234">
        <v>2022</v>
      </c>
      <c r="Y3911" s="234">
        <v>6</v>
      </c>
      <c r="Z3911" s="234">
        <v>12</v>
      </c>
      <c r="AA3911" s="235">
        <v>0.875</v>
      </c>
      <c r="AB3911" s="236">
        <v>10.8</v>
      </c>
      <c r="AC3911" s="127">
        <f t="shared" si="75"/>
        <v>11</v>
      </c>
    </row>
    <row r="3912" ht="14.5" customHeight="1" spans="11:29" x14ac:dyDescent="0.25">
      <c r="K3912" s="128"/>
      <c r="X3912" s="234">
        <v>2022</v>
      </c>
      <c r="Y3912" s="234">
        <v>6</v>
      </c>
      <c r="Z3912" s="234">
        <v>12</v>
      </c>
      <c r="AA3912" s="235">
        <v>0.9166666666678793</v>
      </c>
      <c r="AB3912" s="236">
        <v>11</v>
      </c>
      <c r="AC3912" s="127">
        <f t="shared" si="75"/>
        <v>11</v>
      </c>
    </row>
    <row r="3913" ht="14.5" customHeight="1" spans="11:29" x14ac:dyDescent="0.25">
      <c r="K3913" s="128"/>
      <c r="X3913" s="234">
        <v>2022</v>
      </c>
      <c r="Y3913" s="234">
        <v>6</v>
      </c>
      <c r="Z3913" s="234">
        <v>12</v>
      </c>
      <c r="AA3913" s="235">
        <v>0.9583333333321207</v>
      </c>
      <c r="AB3913" s="236">
        <v>11.1</v>
      </c>
      <c r="AC3913" s="127">
        <f t="shared" si="75"/>
        <v>11</v>
      </c>
    </row>
    <row r="3914" ht="14.5" customHeight="1" spans="11:29" x14ac:dyDescent="0.25">
      <c r="K3914" s="128"/>
      <c r="X3914" s="234">
        <v>2022</v>
      </c>
      <c r="Y3914" s="234">
        <v>6</v>
      </c>
      <c r="Z3914" s="234">
        <v>13</v>
      </c>
      <c r="AA3914" s="235">
        <v>0</v>
      </c>
      <c r="AB3914" s="236">
        <v>10.7</v>
      </c>
      <c r="AC3914" s="127">
        <f t="shared" si="75"/>
        <v>11</v>
      </c>
    </row>
    <row r="3915" ht="14.5" customHeight="1" spans="11:29" x14ac:dyDescent="0.25">
      <c r="K3915" s="128"/>
      <c r="X3915" s="234">
        <v>2022</v>
      </c>
      <c r="Y3915" s="234">
        <v>6</v>
      </c>
      <c r="Z3915" s="234">
        <v>13</v>
      </c>
      <c r="AA3915" s="235">
        <v>0.041666666667879326</v>
      </c>
      <c r="AB3915" s="236">
        <v>10.5</v>
      </c>
      <c r="AC3915" s="127">
        <f t="shared" ref="AC3915:AC3978" si="76">ROUND(AB3915,0)</f>
        <v>11</v>
      </c>
    </row>
    <row r="3916" ht="14.5" customHeight="1" spans="11:29" x14ac:dyDescent="0.25">
      <c r="K3916" s="128"/>
      <c r="X3916" s="234">
        <v>2022</v>
      </c>
      <c r="Y3916" s="234">
        <v>6</v>
      </c>
      <c r="Z3916" s="234">
        <v>13</v>
      </c>
      <c r="AA3916" s="235">
        <v>0.08333333333212067</v>
      </c>
      <c r="AB3916" s="236">
        <v>10.4</v>
      </c>
      <c r="AC3916" s="127">
        <f t="shared" si="76"/>
        <v>10</v>
      </c>
    </row>
    <row r="3917" ht="14.5" customHeight="1" spans="11:29" x14ac:dyDescent="0.25">
      <c r="K3917" s="128"/>
      <c r="X3917" s="234">
        <v>2022</v>
      </c>
      <c r="Y3917" s="234">
        <v>6</v>
      </c>
      <c r="Z3917" s="234">
        <v>13</v>
      </c>
      <c r="AA3917" s="235">
        <v>0.125</v>
      </c>
      <c r="AB3917" s="236">
        <v>9.9</v>
      </c>
      <c r="AC3917" s="127">
        <f t="shared" si="76"/>
        <v>10</v>
      </c>
    </row>
    <row r="3918" ht="14.5" customHeight="1" spans="11:29" x14ac:dyDescent="0.25">
      <c r="K3918" s="128"/>
      <c r="X3918" s="234">
        <v>2022</v>
      </c>
      <c r="Y3918" s="234">
        <v>6</v>
      </c>
      <c r="Z3918" s="234">
        <v>13</v>
      </c>
      <c r="AA3918" s="235">
        <v>0.16666666666787933</v>
      </c>
      <c r="AB3918" s="236">
        <v>9.5</v>
      </c>
      <c r="AC3918" s="127">
        <f t="shared" si="76"/>
        <v>10</v>
      </c>
    </row>
    <row r="3919" ht="14.5" customHeight="1" spans="11:29" x14ac:dyDescent="0.25">
      <c r="K3919" s="128"/>
      <c r="X3919" s="234">
        <v>2022</v>
      </c>
      <c r="Y3919" s="234">
        <v>6</v>
      </c>
      <c r="Z3919" s="234">
        <v>13</v>
      </c>
      <c r="AA3919" s="235">
        <v>0.20833333333212067</v>
      </c>
      <c r="AB3919" s="236">
        <v>9.7</v>
      </c>
      <c r="AC3919" s="127">
        <f t="shared" si="76"/>
        <v>10</v>
      </c>
    </row>
    <row r="3920" ht="14.5" customHeight="1" spans="11:29" x14ac:dyDescent="0.25">
      <c r="K3920" s="128"/>
      <c r="X3920" s="234">
        <v>2022</v>
      </c>
      <c r="Y3920" s="234">
        <v>6</v>
      </c>
      <c r="Z3920" s="234">
        <v>13</v>
      </c>
      <c r="AA3920" s="235">
        <v>0.25</v>
      </c>
      <c r="AB3920" s="236">
        <v>9.4</v>
      </c>
      <c r="AC3920" s="127">
        <f t="shared" si="76"/>
        <v>9</v>
      </c>
    </row>
    <row r="3921" ht="14.5" customHeight="1" spans="11:29" x14ac:dyDescent="0.25">
      <c r="K3921" s="128"/>
      <c r="X3921" s="234">
        <v>2022</v>
      </c>
      <c r="Y3921" s="234">
        <v>6</v>
      </c>
      <c r="Z3921" s="234">
        <v>13</v>
      </c>
      <c r="AA3921" s="235">
        <v>0.2916666666678793</v>
      </c>
      <c r="AB3921" s="236">
        <v>9.6</v>
      </c>
      <c r="AC3921" s="127">
        <f t="shared" si="76"/>
        <v>10</v>
      </c>
    </row>
    <row r="3922" ht="14.5" customHeight="1" spans="11:29" x14ac:dyDescent="0.25">
      <c r="K3922" s="128"/>
      <c r="X3922" s="234">
        <v>2022</v>
      </c>
      <c r="Y3922" s="234">
        <v>6</v>
      </c>
      <c r="Z3922" s="234">
        <v>13</v>
      </c>
      <c r="AA3922" s="235">
        <v>0.3333333333321207</v>
      </c>
      <c r="AB3922" s="236">
        <v>10.3</v>
      </c>
      <c r="AC3922" s="127">
        <f t="shared" si="76"/>
        <v>10</v>
      </c>
    </row>
    <row r="3923" ht="14.5" customHeight="1" spans="11:29" x14ac:dyDescent="0.25">
      <c r="K3923" s="128"/>
      <c r="X3923" s="234">
        <v>2022</v>
      </c>
      <c r="Y3923" s="234">
        <v>6</v>
      </c>
      <c r="Z3923" s="234">
        <v>13</v>
      </c>
      <c r="AA3923" s="235">
        <v>0.375</v>
      </c>
      <c r="AB3923" s="236">
        <v>11.3</v>
      </c>
      <c r="AC3923" s="127">
        <f t="shared" si="76"/>
        <v>11</v>
      </c>
    </row>
    <row r="3924" ht="14.5" customHeight="1" spans="11:29" x14ac:dyDescent="0.25">
      <c r="K3924" s="128"/>
      <c r="X3924" s="234">
        <v>2022</v>
      </c>
      <c r="Y3924" s="234">
        <v>6</v>
      </c>
      <c r="Z3924" s="234">
        <v>13</v>
      </c>
      <c r="AA3924" s="235">
        <v>0.4166666666678793</v>
      </c>
      <c r="AB3924" s="236">
        <v>12.2</v>
      </c>
      <c r="AC3924" s="127">
        <f t="shared" si="76"/>
        <v>12</v>
      </c>
    </row>
    <row r="3925" ht="14.5" customHeight="1" spans="11:29" x14ac:dyDescent="0.25">
      <c r="K3925" s="128"/>
      <c r="X3925" s="234">
        <v>2022</v>
      </c>
      <c r="Y3925" s="234">
        <v>6</v>
      </c>
      <c r="Z3925" s="234">
        <v>13</v>
      </c>
      <c r="AA3925" s="235">
        <v>0.4583333333321207</v>
      </c>
      <c r="AB3925" s="236">
        <v>13.3</v>
      </c>
      <c r="AC3925" s="127">
        <f t="shared" si="76"/>
        <v>13</v>
      </c>
    </row>
    <row r="3926" ht="14.5" customHeight="1" spans="11:29" x14ac:dyDescent="0.25">
      <c r="K3926" s="128"/>
      <c r="X3926" s="234">
        <v>2022</v>
      </c>
      <c r="Y3926" s="234">
        <v>6</v>
      </c>
      <c r="Z3926" s="234">
        <v>13</v>
      </c>
      <c r="AA3926" s="235">
        <v>0.5</v>
      </c>
      <c r="AB3926" s="236">
        <v>14.5</v>
      </c>
      <c r="AC3926" s="127">
        <f t="shared" si="76"/>
        <v>15</v>
      </c>
    </row>
    <row r="3927" ht="14.5" customHeight="1" spans="11:29" x14ac:dyDescent="0.25">
      <c r="K3927" s="128"/>
      <c r="X3927" s="234">
        <v>2022</v>
      </c>
      <c r="Y3927" s="234">
        <v>6</v>
      </c>
      <c r="Z3927" s="234">
        <v>13</v>
      </c>
      <c r="AA3927" s="235">
        <v>0.5416666666678793</v>
      </c>
      <c r="AB3927" s="236">
        <v>13.1</v>
      </c>
      <c r="AC3927" s="127">
        <f t="shared" si="76"/>
        <v>13</v>
      </c>
    </row>
    <row r="3928" ht="14.5" customHeight="1" spans="11:29" x14ac:dyDescent="0.25">
      <c r="K3928" s="128"/>
      <c r="X3928" s="234">
        <v>2022</v>
      </c>
      <c r="Y3928" s="234">
        <v>6</v>
      </c>
      <c r="Z3928" s="234">
        <v>13</v>
      </c>
      <c r="AA3928" s="235">
        <v>0.5833333333321207</v>
      </c>
      <c r="AB3928" s="236">
        <v>9.9</v>
      </c>
      <c r="AC3928" s="127">
        <f t="shared" si="76"/>
        <v>10</v>
      </c>
    </row>
    <row r="3929" ht="14.5" customHeight="1" spans="11:29" x14ac:dyDescent="0.25">
      <c r="K3929" s="128"/>
      <c r="X3929" s="234">
        <v>2022</v>
      </c>
      <c r="Y3929" s="234">
        <v>6</v>
      </c>
      <c r="Z3929" s="234">
        <v>13</v>
      </c>
      <c r="AA3929" s="235">
        <v>0.625</v>
      </c>
      <c r="AB3929" s="236">
        <v>10.7</v>
      </c>
      <c r="AC3929" s="127">
        <f t="shared" si="76"/>
        <v>11</v>
      </c>
    </row>
    <row r="3930" ht="14.5" customHeight="1" spans="11:29" x14ac:dyDescent="0.25">
      <c r="K3930" s="128"/>
      <c r="X3930" s="234">
        <v>2022</v>
      </c>
      <c r="Y3930" s="234">
        <v>6</v>
      </c>
      <c r="Z3930" s="234">
        <v>13</v>
      </c>
      <c r="AA3930" s="235">
        <v>0.6666666666678793</v>
      </c>
      <c r="AB3930" s="236">
        <v>10</v>
      </c>
      <c r="AC3930" s="127">
        <f t="shared" si="76"/>
        <v>10</v>
      </c>
    </row>
    <row r="3931" ht="14.5" customHeight="1" spans="11:29" x14ac:dyDescent="0.25">
      <c r="K3931" s="128"/>
      <c r="X3931" s="234">
        <v>2022</v>
      </c>
      <c r="Y3931" s="234">
        <v>6</v>
      </c>
      <c r="Z3931" s="234">
        <v>13</v>
      </c>
      <c r="AA3931" s="235">
        <v>0.7083333333321207</v>
      </c>
      <c r="AB3931" s="236">
        <v>9.6</v>
      </c>
      <c r="AC3931" s="127">
        <f t="shared" si="76"/>
        <v>10</v>
      </c>
    </row>
    <row r="3932" ht="14.5" customHeight="1" spans="11:29" x14ac:dyDescent="0.25">
      <c r="K3932" s="128"/>
      <c r="X3932" s="234">
        <v>2022</v>
      </c>
      <c r="Y3932" s="234">
        <v>6</v>
      </c>
      <c r="Z3932" s="234">
        <v>13</v>
      </c>
      <c r="AA3932" s="235">
        <v>0.75</v>
      </c>
      <c r="AB3932" s="236">
        <v>9.2</v>
      </c>
      <c r="AC3932" s="127">
        <f t="shared" si="76"/>
        <v>9</v>
      </c>
    </row>
    <row r="3933" ht="14.5" customHeight="1" spans="11:29" x14ac:dyDescent="0.25">
      <c r="K3933" s="128"/>
      <c r="X3933" s="234">
        <v>2022</v>
      </c>
      <c r="Y3933" s="234">
        <v>6</v>
      </c>
      <c r="Z3933" s="234">
        <v>13</v>
      </c>
      <c r="AA3933" s="235">
        <v>0.7916666666678793</v>
      </c>
      <c r="AB3933" s="236">
        <v>9.3</v>
      </c>
      <c r="AC3933" s="127">
        <f t="shared" si="76"/>
        <v>9</v>
      </c>
    </row>
    <row r="3934" ht="14.5" customHeight="1" spans="11:29" x14ac:dyDescent="0.25">
      <c r="K3934" s="128"/>
      <c r="X3934" s="234">
        <v>2022</v>
      </c>
      <c r="Y3934" s="234">
        <v>6</v>
      </c>
      <c r="Z3934" s="234">
        <v>13</v>
      </c>
      <c r="AA3934" s="235">
        <v>0.8333333333321207</v>
      </c>
      <c r="AB3934" s="236">
        <v>9.3</v>
      </c>
      <c r="AC3934" s="127">
        <f t="shared" si="76"/>
        <v>9</v>
      </c>
    </row>
    <row r="3935" ht="14.5" customHeight="1" spans="11:29" x14ac:dyDescent="0.25">
      <c r="K3935" s="128"/>
      <c r="X3935" s="234">
        <v>2022</v>
      </c>
      <c r="Y3935" s="234">
        <v>6</v>
      </c>
      <c r="Z3935" s="234">
        <v>13</v>
      </c>
      <c r="AA3935" s="235">
        <v>0.875</v>
      </c>
      <c r="AB3935" s="236">
        <v>9.2</v>
      </c>
      <c r="AC3935" s="127">
        <f t="shared" si="76"/>
        <v>9</v>
      </c>
    </row>
    <row r="3936" ht="14.5" customHeight="1" spans="11:29" x14ac:dyDescent="0.25">
      <c r="K3936" s="128"/>
      <c r="X3936" s="234">
        <v>2022</v>
      </c>
      <c r="Y3936" s="234">
        <v>6</v>
      </c>
      <c r="Z3936" s="234">
        <v>13</v>
      </c>
      <c r="AA3936" s="235">
        <v>0.9166666666678793</v>
      </c>
      <c r="AB3936" s="236">
        <v>9.6</v>
      </c>
      <c r="AC3936" s="127">
        <f t="shared" si="76"/>
        <v>10</v>
      </c>
    </row>
    <row r="3937" ht="14.5" customHeight="1" spans="11:29" x14ac:dyDescent="0.25">
      <c r="K3937" s="128"/>
      <c r="X3937" s="234">
        <v>2022</v>
      </c>
      <c r="Y3937" s="234">
        <v>6</v>
      </c>
      <c r="Z3937" s="234">
        <v>13</v>
      </c>
      <c r="AA3937" s="235">
        <v>0.9583333333321207</v>
      </c>
      <c r="AB3937" s="236">
        <v>9.4</v>
      </c>
      <c r="AC3937" s="127">
        <f t="shared" si="76"/>
        <v>9</v>
      </c>
    </row>
    <row r="3938" ht="14.5" customHeight="1" spans="11:29" x14ac:dyDescent="0.25">
      <c r="K3938" s="128"/>
      <c r="X3938" s="234">
        <v>2022</v>
      </c>
      <c r="Y3938" s="234">
        <v>6</v>
      </c>
      <c r="Z3938" s="234">
        <v>14</v>
      </c>
      <c r="AA3938" s="235">
        <v>0</v>
      </c>
      <c r="AB3938" s="236">
        <v>9.2</v>
      </c>
      <c r="AC3938" s="127">
        <f t="shared" si="76"/>
        <v>9</v>
      </c>
    </row>
    <row r="3939" ht="14.5" customHeight="1" spans="11:29" x14ac:dyDescent="0.25">
      <c r="K3939" s="128"/>
      <c r="X3939" s="234">
        <v>2022</v>
      </c>
      <c r="Y3939" s="234">
        <v>6</v>
      </c>
      <c r="Z3939" s="234">
        <v>14</v>
      </c>
      <c r="AA3939" s="235">
        <v>0.041666666667879326</v>
      </c>
      <c r="AB3939" s="236">
        <v>9.3</v>
      </c>
      <c r="AC3939" s="127">
        <f t="shared" si="76"/>
        <v>9</v>
      </c>
    </row>
    <row r="3940" ht="14.5" customHeight="1" spans="11:29" x14ac:dyDescent="0.25">
      <c r="K3940" s="128"/>
      <c r="X3940" s="234">
        <v>2022</v>
      </c>
      <c r="Y3940" s="234">
        <v>6</v>
      </c>
      <c r="Z3940" s="234">
        <v>14</v>
      </c>
      <c r="AA3940" s="235">
        <v>0.08333333333212067</v>
      </c>
      <c r="AB3940" s="236">
        <v>9.3</v>
      </c>
      <c r="AC3940" s="127">
        <f t="shared" si="76"/>
        <v>9</v>
      </c>
    </row>
    <row r="3941" ht="14.5" customHeight="1" spans="11:29" x14ac:dyDescent="0.25">
      <c r="K3941" s="128"/>
      <c r="X3941" s="234">
        <v>2022</v>
      </c>
      <c r="Y3941" s="234">
        <v>6</v>
      </c>
      <c r="Z3941" s="234">
        <v>14</v>
      </c>
      <c r="AA3941" s="235">
        <v>0.125</v>
      </c>
      <c r="AB3941" s="236">
        <v>9.4</v>
      </c>
      <c r="AC3941" s="127">
        <f t="shared" si="76"/>
        <v>9</v>
      </c>
    </row>
    <row r="3942" ht="14.5" customHeight="1" spans="11:29" x14ac:dyDescent="0.25">
      <c r="K3942" s="128"/>
      <c r="X3942" s="234">
        <v>2022</v>
      </c>
      <c r="Y3942" s="234">
        <v>6</v>
      </c>
      <c r="Z3942" s="234">
        <v>14</v>
      </c>
      <c r="AA3942" s="235">
        <v>0.16666666666787933</v>
      </c>
      <c r="AB3942" s="236">
        <v>9.1</v>
      </c>
      <c r="AC3942" s="127">
        <f t="shared" si="76"/>
        <v>9</v>
      </c>
    </row>
    <row r="3943" ht="14.5" customHeight="1" spans="11:29" x14ac:dyDescent="0.25">
      <c r="K3943" s="128"/>
      <c r="X3943" s="234">
        <v>2022</v>
      </c>
      <c r="Y3943" s="234">
        <v>6</v>
      </c>
      <c r="Z3943" s="234">
        <v>14</v>
      </c>
      <c r="AA3943" s="235">
        <v>0.20833333333212067</v>
      </c>
      <c r="AB3943" s="236">
        <v>9.3</v>
      </c>
      <c r="AC3943" s="127">
        <f t="shared" si="76"/>
        <v>9</v>
      </c>
    </row>
    <row r="3944" ht="14.5" customHeight="1" spans="11:29" x14ac:dyDescent="0.25">
      <c r="K3944" s="128"/>
      <c r="X3944" s="234">
        <v>2022</v>
      </c>
      <c r="Y3944" s="234">
        <v>6</v>
      </c>
      <c r="Z3944" s="234">
        <v>14</v>
      </c>
      <c r="AA3944" s="235">
        <v>0.25</v>
      </c>
      <c r="AB3944" s="236">
        <v>9</v>
      </c>
      <c r="AC3944" s="127">
        <f t="shared" si="76"/>
        <v>9</v>
      </c>
    </row>
    <row r="3945" ht="14.5" customHeight="1" spans="11:29" x14ac:dyDescent="0.25">
      <c r="K3945" s="128"/>
      <c r="X3945" s="234">
        <v>2022</v>
      </c>
      <c r="Y3945" s="234">
        <v>6</v>
      </c>
      <c r="Z3945" s="234">
        <v>14</v>
      </c>
      <c r="AA3945" s="235">
        <v>0.2916666666678793</v>
      </c>
      <c r="AB3945" s="236">
        <v>8.6</v>
      </c>
      <c r="AC3945" s="127">
        <f t="shared" si="76"/>
        <v>9</v>
      </c>
    </row>
    <row r="3946" ht="14.5" customHeight="1" spans="11:29" x14ac:dyDescent="0.25">
      <c r="K3946" s="128"/>
      <c r="X3946" s="234">
        <v>2022</v>
      </c>
      <c r="Y3946" s="234">
        <v>6</v>
      </c>
      <c r="Z3946" s="234">
        <v>14</v>
      </c>
      <c r="AA3946" s="235">
        <v>0.3333333333321207</v>
      </c>
      <c r="AB3946" s="236">
        <v>8.6</v>
      </c>
      <c r="AC3946" s="127">
        <f t="shared" si="76"/>
        <v>9</v>
      </c>
    </row>
    <row r="3947" ht="14.5" customHeight="1" spans="11:29" x14ac:dyDescent="0.25">
      <c r="K3947" s="128"/>
      <c r="X3947" s="234">
        <v>2022</v>
      </c>
      <c r="Y3947" s="234">
        <v>6</v>
      </c>
      <c r="Z3947" s="234">
        <v>14</v>
      </c>
      <c r="AA3947" s="235">
        <v>0.375</v>
      </c>
      <c r="AB3947" s="236">
        <v>8.9</v>
      </c>
      <c r="AC3947" s="127">
        <f t="shared" si="76"/>
        <v>9</v>
      </c>
    </row>
    <row r="3948" ht="14.5" customHeight="1" spans="11:29" x14ac:dyDescent="0.25">
      <c r="K3948" s="128"/>
      <c r="X3948" s="234">
        <v>2022</v>
      </c>
      <c r="Y3948" s="234">
        <v>6</v>
      </c>
      <c r="Z3948" s="234">
        <v>14</v>
      </c>
      <c r="AA3948" s="235">
        <v>0.4166666666678793</v>
      </c>
      <c r="AB3948" s="236">
        <v>9.3</v>
      </c>
      <c r="AC3948" s="127">
        <f t="shared" si="76"/>
        <v>9</v>
      </c>
    </row>
    <row r="3949" ht="14.5" customHeight="1" spans="11:29" x14ac:dyDescent="0.25">
      <c r="K3949" s="128"/>
      <c r="X3949" s="234">
        <v>2022</v>
      </c>
      <c r="Y3949" s="234">
        <v>6</v>
      </c>
      <c r="Z3949" s="234">
        <v>14</v>
      </c>
      <c r="AA3949" s="235">
        <v>0.4583333333321207</v>
      </c>
      <c r="AB3949" s="236">
        <v>8.9</v>
      </c>
      <c r="AC3949" s="127">
        <f t="shared" si="76"/>
        <v>9</v>
      </c>
    </row>
    <row r="3950" ht="14.5" customHeight="1" spans="11:29" x14ac:dyDescent="0.25">
      <c r="K3950" s="128"/>
      <c r="X3950" s="234">
        <v>2022</v>
      </c>
      <c r="Y3950" s="234">
        <v>6</v>
      </c>
      <c r="Z3950" s="234">
        <v>14</v>
      </c>
      <c r="AA3950" s="235">
        <v>0.5</v>
      </c>
      <c r="AB3950" s="236">
        <v>8.7</v>
      </c>
      <c r="AC3950" s="127">
        <f t="shared" si="76"/>
        <v>9</v>
      </c>
    </row>
    <row r="3951" ht="14.5" customHeight="1" spans="11:29" x14ac:dyDescent="0.25">
      <c r="K3951" s="128"/>
      <c r="X3951" s="234">
        <v>2022</v>
      </c>
      <c r="Y3951" s="234">
        <v>6</v>
      </c>
      <c r="Z3951" s="234">
        <v>14</v>
      </c>
      <c r="AA3951" s="235">
        <v>0.5416666666678793</v>
      </c>
      <c r="AB3951" s="236">
        <v>9.6</v>
      </c>
      <c r="AC3951" s="127">
        <f t="shared" si="76"/>
        <v>10</v>
      </c>
    </row>
    <row r="3952" ht="14.5" customHeight="1" spans="11:29" x14ac:dyDescent="0.25">
      <c r="K3952" s="128"/>
      <c r="X3952" s="234">
        <v>2022</v>
      </c>
      <c r="Y3952" s="234">
        <v>6</v>
      </c>
      <c r="Z3952" s="234">
        <v>14</v>
      </c>
      <c r="AA3952" s="235">
        <v>0.5833333333321207</v>
      </c>
      <c r="AB3952" s="236">
        <v>10.1</v>
      </c>
      <c r="AC3952" s="127">
        <f t="shared" si="76"/>
        <v>10</v>
      </c>
    </row>
    <row r="3953" ht="14.5" customHeight="1" spans="11:29" x14ac:dyDescent="0.25">
      <c r="K3953" s="128"/>
      <c r="X3953" s="234">
        <v>2022</v>
      </c>
      <c r="Y3953" s="234">
        <v>6</v>
      </c>
      <c r="Z3953" s="234">
        <v>14</v>
      </c>
      <c r="AA3953" s="235">
        <v>0.625</v>
      </c>
      <c r="AB3953" s="236">
        <v>11</v>
      </c>
      <c r="AC3953" s="127">
        <f t="shared" si="76"/>
        <v>11</v>
      </c>
    </row>
    <row r="3954" ht="14.5" customHeight="1" spans="11:29" x14ac:dyDescent="0.25">
      <c r="K3954" s="128"/>
      <c r="X3954" s="234">
        <v>2022</v>
      </c>
      <c r="Y3954" s="234">
        <v>6</v>
      </c>
      <c r="Z3954" s="234">
        <v>14</v>
      </c>
      <c r="AA3954" s="235">
        <v>0.6666666666678793</v>
      </c>
      <c r="AB3954" s="236">
        <v>9.9</v>
      </c>
      <c r="AC3954" s="127">
        <f t="shared" si="76"/>
        <v>10</v>
      </c>
    </row>
    <row r="3955" ht="14.5" customHeight="1" spans="11:29" x14ac:dyDescent="0.25">
      <c r="K3955" s="128"/>
      <c r="X3955" s="234">
        <v>2022</v>
      </c>
      <c r="Y3955" s="234">
        <v>6</v>
      </c>
      <c r="Z3955" s="234">
        <v>14</v>
      </c>
      <c r="AA3955" s="235">
        <v>0.7083333333321207</v>
      </c>
      <c r="AB3955" s="236">
        <v>9.6</v>
      </c>
      <c r="AC3955" s="127">
        <f t="shared" si="76"/>
        <v>10</v>
      </c>
    </row>
    <row r="3956" ht="14.5" customHeight="1" spans="11:29" x14ac:dyDescent="0.25">
      <c r="K3956" s="128"/>
      <c r="X3956" s="234">
        <v>2022</v>
      </c>
      <c r="Y3956" s="234">
        <v>6</v>
      </c>
      <c r="Z3956" s="234">
        <v>14</v>
      </c>
      <c r="AA3956" s="235">
        <v>0.75</v>
      </c>
      <c r="AB3956" s="236">
        <v>9</v>
      </c>
      <c r="AC3956" s="127">
        <f t="shared" si="76"/>
        <v>9</v>
      </c>
    </row>
    <row r="3957" ht="14.5" customHeight="1" spans="11:29" x14ac:dyDescent="0.25">
      <c r="K3957" s="128"/>
      <c r="X3957" s="234">
        <v>2022</v>
      </c>
      <c r="Y3957" s="234">
        <v>6</v>
      </c>
      <c r="Z3957" s="234">
        <v>14</v>
      </c>
      <c r="AA3957" s="235">
        <v>0.7916666666678793</v>
      </c>
      <c r="AB3957" s="236">
        <v>8.5</v>
      </c>
      <c r="AC3957" s="127">
        <f t="shared" si="76"/>
        <v>9</v>
      </c>
    </row>
    <row r="3958" ht="14.5" customHeight="1" spans="11:29" x14ac:dyDescent="0.25">
      <c r="K3958" s="128"/>
      <c r="X3958" s="234">
        <v>2022</v>
      </c>
      <c r="Y3958" s="234">
        <v>6</v>
      </c>
      <c r="Z3958" s="234">
        <v>14</v>
      </c>
      <c r="AA3958" s="235">
        <v>0.8333333333321207</v>
      </c>
      <c r="AB3958" s="236">
        <v>8.6</v>
      </c>
      <c r="AC3958" s="127">
        <f t="shared" si="76"/>
        <v>9</v>
      </c>
    </row>
    <row r="3959" ht="14.5" customHeight="1" spans="11:29" x14ac:dyDescent="0.25">
      <c r="K3959" s="128"/>
      <c r="X3959" s="234">
        <v>2022</v>
      </c>
      <c r="Y3959" s="234">
        <v>6</v>
      </c>
      <c r="Z3959" s="234">
        <v>14</v>
      </c>
      <c r="AA3959" s="235">
        <v>0.875</v>
      </c>
      <c r="AB3959" s="236">
        <v>9</v>
      </c>
      <c r="AC3959" s="127">
        <f t="shared" si="76"/>
        <v>9</v>
      </c>
    </row>
    <row r="3960" ht="14.5" customHeight="1" spans="11:29" x14ac:dyDescent="0.25">
      <c r="K3960" s="128"/>
      <c r="X3960" s="234">
        <v>2022</v>
      </c>
      <c r="Y3960" s="234">
        <v>6</v>
      </c>
      <c r="Z3960" s="234">
        <v>14</v>
      </c>
      <c r="AA3960" s="235">
        <v>0.9166666666678793</v>
      </c>
      <c r="AB3960" s="236">
        <v>9.3</v>
      </c>
      <c r="AC3960" s="127">
        <f t="shared" si="76"/>
        <v>9</v>
      </c>
    </row>
    <row r="3961" ht="14.5" customHeight="1" spans="11:29" x14ac:dyDescent="0.25">
      <c r="K3961" s="128"/>
      <c r="X3961" s="234">
        <v>2022</v>
      </c>
      <c r="Y3961" s="234">
        <v>6</v>
      </c>
      <c r="Z3961" s="234">
        <v>14</v>
      </c>
      <c r="AA3961" s="235">
        <v>0.9583333333321207</v>
      </c>
      <c r="AB3961" s="236">
        <v>9.6</v>
      </c>
      <c r="AC3961" s="127">
        <f t="shared" si="76"/>
        <v>10</v>
      </c>
    </row>
    <row r="3962" ht="14.5" customHeight="1" spans="11:29" x14ac:dyDescent="0.25">
      <c r="K3962" s="128"/>
      <c r="X3962" s="234">
        <v>2022</v>
      </c>
      <c r="Y3962" s="234">
        <v>6</v>
      </c>
      <c r="Z3962" s="234">
        <v>15</v>
      </c>
      <c r="AA3962" s="235">
        <v>0</v>
      </c>
      <c r="AB3962" s="236">
        <v>9.4</v>
      </c>
      <c r="AC3962" s="127">
        <f t="shared" si="76"/>
        <v>9</v>
      </c>
    </row>
    <row r="3963" ht="14.5" customHeight="1" spans="11:29" x14ac:dyDescent="0.25">
      <c r="K3963" s="128"/>
      <c r="X3963" s="234">
        <v>2022</v>
      </c>
      <c r="Y3963" s="234">
        <v>6</v>
      </c>
      <c r="Z3963" s="234">
        <v>15</v>
      </c>
      <c r="AA3963" s="235">
        <v>0.041666666667879326</v>
      </c>
      <c r="AB3963" s="236">
        <v>9.4</v>
      </c>
      <c r="AC3963" s="127">
        <f t="shared" si="76"/>
        <v>9</v>
      </c>
    </row>
    <row r="3964" ht="14.5" customHeight="1" spans="11:29" x14ac:dyDescent="0.25">
      <c r="K3964" s="128"/>
      <c r="X3964" s="234">
        <v>2022</v>
      </c>
      <c r="Y3964" s="234">
        <v>6</v>
      </c>
      <c r="Z3964" s="234">
        <v>15</v>
      </c>
      <c r="AA3964" s="235">
        <v>0.08333333333212067</v>
      </c>
      <c r="AB3964" s="236">
        <v>9.2</v>
      </c>
      <c r="AC3964" s="127">
        <f t="shared" si="76"/>
        <v>9</v>
      </c>
    </row>
    <row r="3965" ht="14.5" customHeight="1" spans="11:29" x14ac:dyDescent="0.25">
      <c r="K3965" s="128"/>
      <c r="X3965" s="234">
        <v>2022</v>
      </c>
      <c r="Y3965" s="234">
        <v>6</v>
      </c>
      <c r="Z3965" s="234">
        <v>15</v>
      </c>
      <c r="AA3965" s="235">
        <v>0.125</v>
      </c>
      <c r="AB3965" s="236">
        <v>9.1</v>
      </c>
      <c r="AC3965" s="127">
        <f t="shared" si="76"/>
        <v>9</v>
      </c>
    </row>
    <row r="3966" ht="14.5" customHeight="1" spans="11:29" x14ac:dyDescent="0.25">
      <c r="K3966" s="128"/>
      <c r="X3966" s="234">
        <v>2022</v>
      </c>
      <c r="Y3966" s="234">
        <v>6</v>
      </c>
      <c r="Z3966" s="234">
        <v>15</v>
      </c>
      <c r="AA3966" s="235">
        <v>0.16666666666787933</v>
      </c>
      <c r="AB3966" s="236">
        <v>9.6</v>
      </c>
      <c r="AC3966" s="127">
        <f t="shared" si="76"/>
        <v>10</v>
      </c>
    </row>
    <row r="3967" ht="14.5" customHeight="1" spans="11:29" x14ac:dyDescent="0.25">
      <c r="K3967" s="128"/>
      <c r="X3967" s="234">
        <v>2022</v>
      </c>
      <c r="Y3967" s="234">
        <v>6</v>
      </c>
      <c r="Z3967" s="234">
        <v>15</v>
      </c>
      <c r="AA3967" s="235">
        <v>0.20833333333212067</v>
      </c>
      <c r="AB3967" s="236">
        <v>9.7</v>
      </c>
      <c r="AC3967" s="127">
        <f t="shared" si="76"/>
        <v>10</v>
      </c>
    </row>
    <row r="3968" ht="14.5" customHeight="1" spans="11:29" x14ac:dyDescent="0.25">
      <c r="K3968" s="128"/>
      <c r="X3968" s="234">
        <v>2022</v>
      </c>
      <c r="Y3968" s="234">
        <v>6</v>
      </c>
      <c r="Z3968" s="234">
        <v>15</v>
      </c>
      <c r="AA3968" s="235">
        <v>0.25</v>
      </c>
      <c r="AB3968" s="236">
        <v>10.1</v>
      </c>
      <c r="AC3968" s="127">
        <f t="shared" si="76"/>
        <v>10</v>
      </c>
    </row>
    <row r="3969" ht="14.5" customHeight="1" spans="11:29" x14ac:dyDescent="0.25">
      <c r="K3969" s="128"/>
      <c r="X3969" s="234">
        <v>2022</v>
      </c>
      <c r="Y3969" s="234">
        <v>6</v>
      </c>
      <c r="Z3969" s="234">
        <v>15</v>
      </c>
      <c r="AA3969" s="235">
        <v>0.2916666666678793</v>
      </c>
      <c r="AB3969" s="236">
        <v>10.8</v>
      </c>
      <c r="AC3969" s="127">
        <f t="shared" si="76"/>
        <v>11</v>
      </c>
    </row>
    <row r="3970" ht="14.5" customHeight="1" spans="11:29" x14ac:dyDescent="0.25">
      <c r="K3970" s="128"/>
      <c r="X3970" s="234">
        <v>2022</v>
      </c>
      <c r="Y3970" s="234">
        <v>6</v>
      </c>
      <c r="Z3970" s="234">
        <v>15</v>
      </c>
      <c r="AA3970" s="235">
        <v>0.3333333333321207</v>
      </c>
      <c r="AB3970" s="236">
        <v>11.4</v>
      </c>
      <c r="AC3970" s="127">
        <f t="shared" si="76"/>
        <v>11</v>
      </c>
    </row>
    <row r="3971" ht="14.5" customHeight="1" spans="11:29" x14ac:dyDescent="0.25">
      <c r="K3971" s="128"/>
      <c r="X3971" s="234">
        <v>2022</v>
      </c>
      <c r="Y3971" s="234">
        <v>6</v>
      </c>
      <c r="Z3971" s="234">
        <v>15</v>
      </c>
      <c r="AA3971" s="235">
        <v>0.375</v>
      </c>
      <c r="AB3971" s="236">
        <v>11.4</v>
      </c>
      <c r="AC3971" s="127">
        <f t="shared" si="76"/>
        <v>11</v>
      </c>
    </row>
    <row r="3972" ht="14.5" customHeight="1" spans="11:29" x14ac:dyDescent="0.25">
      <c r="K3972" s="128"/>
      <c r="X3972" s="234">
        <v>2022</v>
      </c>
      <c r="Y3972" s="234">
        <v>6</v>
      </c>
      <c r="Z3972" s="234">
        <v>15</v>
      </c>
      <c r="AA3972" s="235">
        <v>0.4166666666678793</v>
      </c>
      <c r="AB3972" s="236">
        <v>12.4</v>
      </c>
      <c r="AC3972" s="127">
        <f t="shared" si="76"/>
        <v>12</v>
      </c>
    </row>
    <row r="3973" ht="14.5" customHeight="1" spans="11:29" x14ac:dyDescent="0.25">
      <c r="K3973" s="128"/>
      <c r="X3973" s="234">
        <v>2022</v>
      </c>
      <c r="Y3973" s="234">
        <v>6</v>
      </c>
      <c r="Z3973" s="234">
        <v>15</v>
      </c>
      <c r="AA3973" s="235">
        <v>0.4583333333321207</v>
      </c>
      <c r="AB3973" s="236">
        <v>12.6</v>
      </c>
      <c r="AC3973" s="127">
        <f t="shared" si="76"/>
        <v>13</v>
      </c>
    </row>
    <row r="3974" ht="14.5" customHeight="1" spans="11:29" x14ac:dyDescent="0.25">
      <c r="K3974" s="128"/>
      <c r="X3974" s="234">
        <v>2022</v>
      </c>
      <c r="Y3974" s="234">
        <v>6</v>
      </c>
      <c r="Z3974" s="234">
        <v>15</v>
      </c>
      <c r="AA3974" s="235">
        <v>0.5</v>
      </c>
      <c r="AB3974" s="236">
        <v>13.1</v>
      </c>
      <c r="AC3974" s="127">
        <f t="shared" si="76"/>
        <v>13</v>
      </c>
    </row>
    <row r="3975" ht="14.5" customHeight="1" spans="11:29" x14ac:dyDescent="0.25">
      <c r="K3975" s="128"/>
      <c r="X3975" s="234">
        <v>2022</v>
      </c>
      <c r="Y3975" s="234">
        <v>6</v>
      </c>
      <c r="Z3975" s="234">
        <v>15</v>
      </c>
      <c r="AA3975" s="235">
        <v>0.5416666666678793</v>
      </c>
      <c r="AB3975" s="236">
        <v>14</v>
      </c>
      <c r="AC3975" s="127">
        <f t="shared" si="76"/>
        <v>14</v>
      </c>
    </row>
    <row r="3976" ht="14.5" customHeight="1" spans="11:29" x14ac:dyDescent="0.25">
      <c r="K3976" s="128"/>
      <c r="X3976" s="234">
        <v>2022</v>
      </c>
      <c r="Y3976" s="234">
        <v>6</v>
      </c>
      <c r="Z3976" s="234">
        <v>15</v>
      </c>
      <c r="AA3976" s="235">
        <v>0.5833333333321207</v>
      </c>
      <c r="AB3976" s="236">
        <v>14.6</v>
      </c>
      <c r="AC3976" s="127">
        <f t="shared" si="76"/>
        <v>15</v>
      </c>
    </row>
    <row r="3977" ht="14.5" customHeight="1" spans="11:29" x14ac:dyDescent="0.25">
      <c r="K3977" s="128"/>
      <c r="X3977" s="234">
        <v>2022</v>
      </c>
      <c r="Y3977" s="234">
        <v>6</v>
      </c>
      <c r="Z3977" s="234">
        <v>15</v>
      </c>
      <c r="AA3977" s="235">
        <v>0.625</v>
      </c>
      <c r="AB3977" s="236">
        <v>15.1</v>
      </c>
      <c r="AC3977" s="127">
        <f t="shared" si="76"/>
        <v>15</v>
      </c>
    </row>
    <row r="3978" ht="14.5" customHeight="1" spans="11:29" x14ac:dyDescent="0.25">
      <c r="K3978" s="128"/>
      <c r="X3978" s="234">
        <v>2022</v>
      </c>
      <c r="Y3978" s="234">
        <v>6</v>
      </c>
      <c r="Z3978" s="234">
        <v>15</v>
      </c>
      <c r="AA3978" s="235">
        <v>0.6666666666678793</v>
      </c>
      <c r="AB3978" s="236">
        <v>14.2</v>
      </c>
      <c r="AC3978" s="127">
        <f t="shared" si="76"/>
        <v>14</v>
      </c>
    </row>
    <row r="3979" ht="14.5" customHeight="1" spans="11:29" x14ac:dyDescent="0.25">
      <c r="K3979" s="128"/>
      <c r="X3979" s="234">
        <v>2022</v>
      </c>
      <c r="Y3979" s="234">
        <v>6</v>
      </c>
      <c r="Z3979" s="234">
        <v>15</v>
      </c>
      <c r="AA3979" s="235">
        <v>0.7083333333321207</v>
      </c>
      <c r="AB3979" s="236">
        <v>14.3</v>
      </c>
      <c r="AC3979" s="127">
        <f t="shared" ref="AC3979:AC4042" si="77">ROUND(AB3979,0)</f>
        <v>14</v>
      </c>
    </row>
    <row r="3980" ht="14.5" customHeight="1" spans="11:29" x14ac:dyDescent="0.25">
      <c r="K3980" s="128"/>
      <c r="X3980" s="234">
        <v>2022</v>
      </c>
      <c r="Y3980" s="234">
        <v>6</v>
      </c>
      <c r="Z3980" s="234">
        <v>15</v>
      </c>
      <c r="AA3980" s="235">
        <v>0.75</v>
      </c>
      <c r="AB3980" s="236">
        <v>14.4</v>
      </c>
      <c r="AC3980" s="127">
        <f t="shared" si="77"/>
        <v>14</v>
      </c>
    </row>
    <row r="3981" ht="14.5" customHeight="1" spans="11:29" x14ac:dyDescent="0.25">
      <c r="K3981" s="128"/>
      <c r="X3981" s="234">
        <v>2022</v>
      </c>
      <c r="Y3981" s="234">
        <v>6</v>
      </c>
      <c r="Z3981" s="234">
        <v>15</v>
      </c>
      <c r="AA3981" s="235">
        <v>0.7916666666678793</v>
      </c>
      <c r="AB3981" s="236">
        <v>14</v>
      </c>
      <c r="AC3981" s="127">
        <f t="shared" si="77"/>
        <v>14</v>
      </c>
    </row>
    <row r="3982" ht="14.5" customHeight="1" spans="11:29" x14ac:dyDescent="0.25">
      <c r="K3982" s="128"/>
      <c r="X3982" s="234">
        <v>2022</v>
      </c>
      <c r="Y3982" s="234">
        <v>6</v>
      </c>
      <c r="Z3982" s="234">
        <v>15</v>
      </c>
      <c r="AA3982" s="235">
        <v>0.8333333333321207</v>
      </c>
      <c r="AB3982" s="236">
        <v>13.3</v>
      </c>
      <c r="AC3982" s="127">
        <f t="shared" si="77"/>
        <v>13</v>
      </c>
    </row>
    <row r="3983" ht="14.5" customHeight="1" spans="11:29" x14ac:dyDescent="0.25">
      <c r="K3983" s="128"/>
      <c r="X3983" s="234">
        <v>2022</v>
      </c>
      <c r="Y3983" s="234">
        <v>6</v>
      </c>
      <c r="Z3983" s="234">
        <v>15</v>
      </c>
      <c r="AA3983" s="235">
        <v>0.875</v>
      </c>
      <c r="AB3983" s="236">
        <v>11.6</v>
      </c>
      <c r="AC3983" s="127">
        <f t="shared" si="77"/>
        <v>12</v>
      </c>
    </row>
    <row r="3984" ht="14.5" customHeight="1" spans="11:29" x14ac:dyDescent="0.25">
      <c r="K3984" s="128"/>
      <c r="X3984" s="234">
        <v>2022</v>
      </c>
      <c r="Y3984" s="234">
        <v>6</v>
      </c>
      <c r="Z3984" s="234">
        <v>15</v>
      </c>
      <c r="AA3984" s="235">
        <v>0.9166666666678793</v>
      </c>
      <c r="AB3984" s="236">
        <v>10.6</v>
      </c>
      <c r="AC3984" s="127">
        <f t="shared" si="77"/>
        <v>11</v>
      </c>
    </row>
    <row r="3985" ht="14.5" customHeight="1" spans="11:29" x14ac:dyDescent="0.25">
      <c r="K3985" s="128"/>
      <c r="X3985" s="234">
        <v>2022</v>
      </c>
      <c r="Y3985" s="234">
        <v>6</v>
      </c>
      <c r="Z3985" s="234">
        <v>15</v>
      </c>
      <c r="AA3985" s="235">
        <v>0.9583333333321207</v>
      </c>
      <c r="AB3985" s="236">
        <v>9.6</v>
      </c>
      <c r="AC3985" s="127">
        <f t="shared" si="77"/>
        <v>10</v>
      </c>
    </row>
    <row r="3986" ht="14.5" customHeight="1" spans="11:29" x14ac:dyDescent="0.25">
      <c r="K3986" s="128"/>
      <c r="X3986" s="234">
        <v>2022</v>
      </c>
      <c r="Y3986" s="234">
        <v>6</v>
      </c>
      <c r="Z3986" s="234">
        <v>16</v>
      </c>
      <c r="AA3986" s="235">
        <v>0</v>
      </c>
      <c r="AB3986" s="236">
        <v>10.2</v>
      </c>
      <c r="AC3986" s="127">
        <f t="shared" si="77"/>
        <v>10</v>
      </c>
    </row>
    <row r="3987" ht="14.5" customHeight="1" spans="11:29" x14ac:dyDescent="0.25">
      <c r="K3987" s="128"/>
      <c r="X3987" s="234">
        <v>2022</v>
      </c>
      <c r="Y3987" s="234">
        <v>6</v>
      </c>
      <c r="Z3987" s="234">
        <v>16</v>
      </c>
      <c r="AA3987" s="235">
        <v>0.041666666667879326</v>
      </c>
      <c r="AB3987" s="236">
        <v>9.4</v>
      </c>
      <c r="AC3987" s="127">
        <f t="shared" si="77"/>
        <v>9</v>
      </c>
    </row>
    <row r="3988" ht="14.5" customHeight="1" spans="11:29" x14ac:dyDescent="0.25">
      <c r="K3988" s="128"/>
      <c r="X3988" s="234">
        <v>2022</v>
      </c>
      <c r="Y3988" s="234">
        <v>6</v>
      </c>
      <c r="Z3988" s="234">
        <v>16</v>
      </c>
      <c r="AA3988" s="235">
        <v>0.08333333333212067</v>
      </c>
      <c r="AB3988" s="236">
        <v>9.2</v>
      </c>
      <c r="AC3988" s="127">
        <f t="shared" si="77"/>
        <v>9</v>
      </c>
    </row>
    <row r="3989" ht="14.5" customHeight="1" spans="11:29" x14ac:dyDescent="0.25">
      <c r="K3989" s="128"/>
      <c r="X3989" s="234">
        <v>2022</v>
      </c>
      <c r="Y3989" s="234">
        <v>6</v>
      </c>
      <c r="Z3989" s="234">
        <v>16</v>
      </c>
      <c r="AA3989" s="235">
        <v>0.125</v>
      </c>
      <c r="AB3989" s="236">
        <v>8.8</v>
      </c>
      <c r="AC3989" s="127">
        <f t="shared" si="77"/>
        <v>9</v>
      </c>
    </row>
    <row r="3990" ht="14.5" customHeight="1" spans="11:29" x14ac:dyDescent="0.25">
      <c r="K3990" s="128"/>
      <c r="X3990" s="234">
        <v>2022</v>
      </c>
      <c r="Y3990" s="234">
        <v>6</v>
      </c>
      <c r="Z3990" s="234">
        <v>16</v>
      </c>
      <c r="AA3990" s="235">
        <v>0.16666666666787933</v>
      </c>
      <c r="AB3990" s="236">
        <v>8.6</v>
      </c>
      <c r="AC3990" s="127">
        <f t="shared" si="77"/>
        <v>9</v>
      </c>
    </row>
    <row r="3991" ht="14.5" customHeight="1" spans="11:29" x14ac:dyDescent="0.25">
      <c r="K3991" s="128"/>
      <c r="X3991" s="234">
        <v>2022</v>
      </c>
      <c r="Y3991" s="234">
        <v>6</v>
      </c>
      <c r="Z3991" s="234">
        <v>16</v>
      </c>
      <c r="AA3991" s="235">
        <v>0.20833333333212067</v>
      </c>
      <c r="AB3991" s="236">
        <v>9.6</v>
      </c>
      <c r="AC3991" s="127">
        <f t="shared" si="77"/>
        <v>10</v>
      </c>
    </row>
    <row r="3992" ht="14.5" customHeight="1" spans="11:29" x14ac:dyDescent="0.25">
      <c r="K3992" s="128"/>
      <c r="X3992" s="234">
        <v>2022</v>
      </c>
      <c r="Y3992" s="234">
        <v>6</v>
      </c>
      <c r="Z3992" s="234">
        <v>16</v>
      </c>
      <c r="AA3992" s="235">
        <v>0.25</v>
      </c>
      <c r="AB3992" s="236">
        <v>10.6</v>
      </c>
      <c r="AC3992" s="127">
        <f t="shared" si="77"/>
        <v>11</v>
      </c>
    </row>
    <row r="3993" ht="14.5" customHeight="1" spans="11:29" x14ac:dyDescent="0.25">
      <c r="K3993" s="128"/>
      <c r="X3993" s="234">
        <v>2022</v>
      </c>
      <c r="Y3993" s="234">
        <v>6</v>
      </c>
      <c r="Z3993" s="234">
        <v>16</v>
      </c>
      <c r="AA3993" s="235">
        <v>0.2916666666678793</v>
      </c>
      <c r="AB3993" s="236">
        <v>12</v>
      </c>
      <c r="AC3993" s="127">
        <f t="shared" si="77"/>
        <v>12</v>
      </c>
    </row>
    <row r="3994" ht="14.5" customHeight="1" spans="11:29" x14ac:dyDescent="0.25">
      <c r="K3994" s="128"/>
      <c r="X3994" s="234">
        <v>2022</v>
      </c>
      <c r="Y3994" s="234">
        <v>6</v>
      </c>
      <c r="Z3994" s="234">
        <v>16</v>
      </c>
      <c r="AA3994" s="235">
        <v>0.3333333333321207</v>
      </c>
      <c r="AB3994" s="236">
        <v>13.1</v>
      </c>
      <c r="AC3994" s="127">
        <f t="shared" si="77"/>
        <v>13</v>
      </c>
    </row>
    <row r="3995" ht="14.5" customHeight="1" spans="11:29" x14ac:dyDescent="0.25">
      <c r="K3995" s="128"/>
      <c r="X3995" s="234">
        <v>2022</v>
      </c>
      <c r="Y3995" s="234">
        <v>6</v>
      </c>
      <c r="Z3995" s="234">
        <v>16</v>
      </c>
      <c r="AA3995" s="235">
        <v>0.375</v>
      </c>
      <c r="AB3995" s="236">
        <v>15.3</v>
      </c>
      <c r="AC3995" s="127">
        <f t="shared" si="77"/>
        <v>15</v>
      </c>
    </row>
    <row r="3996" ht="14.5" customHeight="1" spans="11:29" x14ac:dyDescent="0.25">
      <c r="K3996" s="128"/>
      <c r="X3996" s="234">
        <v>2022</v>
      </c>
      <c r="Y3996" s="234">
        <v>6</v>
      </c>
      <c r="Z3996" s="234">
        <v>16</v>
      </c>
      <c r="AA3996" s="235">
        <v>0.4166666666678793</v>
      </c>
      <c r="AB3996" s="236">
        <v>15.8</v>
      </c>
      <c r="AC3996" s="127">
        <f t="shared" si="77"/>
        <v>16</v>
      </c>
    </row>
    <row r="3997" ht="14.5" customHeight="1" spans="11:29" x14ac:dyDescent="0.25">
      <c r="K3997" s="128"/>
      <c r="X3997" s="234">
        <v>2022</v>
      </c>
      <c r="Y3997" s="234">
        <v>6</v>
      </c>
      <c r="Z3997" s="234">
        <v>16</v>
      </c>
      <c r="AA3997" s="235">
        <v>0.4583333333321207</v>
      </c>
      <c r="AB3997" s="236">
        <v>16.1</v>
      </c>
      <c r="AC3997" s="127">
        <f t="shared" si="77"/>
        <v>16</v>
      </c>
    </row>
    <row r="3998" ht="14.5" customHeight="1" spans="11:29" x14ac:dyDescent="0.25">
      <c r="K3998" s="128"/>
      <c r="X3998" s="234">
        <v>2022</v>
      </c>
      <c r="Y3998" s="234">
        <v>6</v>
      </c>
      <c r="Z3998" s="234">
        <v>16</v>
      </c>
      <c r="AA3998" s="235">
        <v>0.5</v>
      </c>
      <c r="AB3998" s="236">
        <v>16.4</v>
      </c>
      <c r="AC3998" s="127">
        <f t="shared" si="77"/>
        <v>16</v>
      </c>
    </row>
    <row r="3999" ht="14.5" customHeight="1" spans="11:29" x14ac:dyDescent="0.25">
      <c r="K3999" s="128"/>
      <c r="X3999" s="234">
        <v>2022</v>
      </c>
      <c r="Y3999" s="234">
        <v>6</v>
      </c>
      <c r="Z3999" s="234">
        <v>16</v>
      </c>
      <c r="AA3999" s="235">
        <v>0.5416666666678793</v>
      </c>
      <c r="AB3999" s="236">
        <v>16.7</v>
      </c>
      <c r="AC3999" s="127">
        <f t="shared" si="77"/>
        <v>17</v>
      </c>
    </row>
    <row r="4000" ht="14.5" customHeight="1" spans="11:29" x14ac:dyDescent="0.25">
      <c r="K4000" s="128"/>
      <c r="X4000" s="234">
        <v>2022</v>
      </c>
      <c r="Y4000" s="234">
        <v>6</v>
      </c>
      <c r="Z4000" s="234">
        <v>16</v>
      </c>
      <c r="AA4000" s="235">
        <v>0.5833333333321207</v>
      </c>
      <c r="AB4000" s="236">
        <v>16.8</v>
      </c>
      <c r="AC4000" s="127">
        <f t="shared" si="77"/>
        <v>17</v>
      </c>
    </row>
    <row r="4001" ht="14.5" customHeight="1" spans="11:29" x14ac:dyDescent="0.25">
      <c r="K4001" s="128"/>
      <c r="X4001" s="234">
        <v>2022</v>
      </c>
      <c r="Y4001" s="234">
        <v>6</v>
      </c>
      <c r="Z4001" s="234">
        <v>16</v>
      </c>
      <c r="AA4001" s="235">
        <v>0.625</v>
      </c>
      <c r="AB4001" s="236">
        <v>17.1</v>
      </c>
      <c r="AC4001" s="127">
        <f t="shared" si="77"/>
        <v>17</v>
      </c>
    </row>
    <row r="4002" ht="14.5" customHeight="1" spans="11:29" x14ac:dyDescent="0.25">
      <c r="K4002" s="128"/>
      <c r="X4002" s="234">
        <v>2022</v>
      </c>
      <c r="Y4002" s="234">
        <v>6</v>
      </c>
      <c r="Z4002" s="234">
        <v>16</v>
      </c>
      <c r="AA4002" s="235">
        <v>0.6666666666678793</v>
      </c>
      <c r="AB4002" s="236">
        <v>17.3</v>
      </c>
      <c r="AC4002" s="127">
        <f t="shared" si="77"/>
        <v>17</v>
      </c>
    </row>
    <row r="4003" ht="14.5" customHeight="1" spans="11:29" x14ac:dyDescent="0.25">
      <c r="K4003" s="128"/>
      <c r="X4003" s="234">
        <v>2022</v>
      </c>
      <c r="Y4003" s="234">
        <v>6</v>
      </c>
      <c r="Z4003" s="234">
        <v>16</v>
      </c>
      <c r="AA4003" s="235">
        <v>0.7083333333321207</v>
      </c>
      <c r="AB4003" s="236">
        <v>17.4</v>
      </c>
      <c r="AC4003" s="127">
        <f t="shared" si="77"/>
        <v>17</v>
      </c>
    </row>
    <row r="4004" ht="14.5" customHeight="1" spans="11:29" x14ac:dyDescent="0.25">
      <c r="K4004" s="128"/>
      <c r="X4004" s="234">
        <v>2022</v>
      </c>
      <c r="Y4004" s="234">
        <v>6</v>
      </c>
      <c r="Z4004" s="234">
        <v>16</v>
      </c>
      <c r="AA4004" s="235">
        <v>0.75</v>
      </c>
      <c r="AB4004" s="236">
        <v>17.9</v>
      </c>
      <c r="AC4004" s="127">
        <f t="shared" si="77"/>
        <v>18</v>
      </c>
    </row>
    <row r="4005" ht="14.5" customHeight="1" spans="11:29" x14ac:dyDescent="0.25">
      <c r="K4005" s="128"/>
      <c r="X4005" s="234">
        <v>2022</v>
      </c>
      <c r="Y4005" s="234">
        <v>6</v>
      </c>
      <c r="Z4005" s="234">
        <v>16</v>
      </c>
      <c r="AA4005" s="235">
        <v>0.7916666666678793</v>
      </c>
      <c r="AB4005" s="236">
        <v>17.4</v>
      </c>
      <c r="AC4005" s="127">
        <f t="shared" si="77"/>
        <v>17</v>
      </c>
    </row>
    <row r="4006" ht="14.5" customHeight="1" spans="11:29" x14ac:dyDescent="0.25">
      <c r="K4006" s="128"/>
      <c r="X4006" s="234">
        <v>2022</v>
      </c>
      <c r="Y4006" s="234">
        <v>6</v>
      </c>
      <c r="Z4006" s="234">
        <v>16</v>
      </c>
      <c r="AA4006" s="235">
        <v>0.8333333333321207</v>
      </c>
      <c r="AB4006" s="236">
        <v>16.6</v>
      </c>
      <c r="AC4006" s="127">
        <f t="shared" si="77"/>
        <v>17</v>
      </c>
    </row>
    <row r="4007" ht="14.5" customHeight="1" spans="11:29" x14ac:dyDescent="0.25">
      <c r="K4007" s="128"/>
      <c r="X4007" s="234">
        <v>2022</v>
      </c>
      <c r="Y4007" s="234">
        <v>6</v>
      </c>
      <c r="Z4007" s="234">
        <v>16</v>
      </c>
      <c r="AA4007" s="235">
        <v>0.875</v>
      </c>
      <c r="AB4007" s="236">
        <v>15.9</v>
      </c>
      <c r="AC4007" s="127">
        <f t="shared" si="77"/>
        <v>16</v>
      </c>
    </row>
    <row r="4008" ht="14.5" customHeight="1" spans="11:29" x14ac:dyDescent="0.25">
      <c r="K4008" s="128"/>
      <c r="X4008" s="234">
        <v>2022</v>
      </c>
      <c r="Y4008" s="234">
        <v>6</v>
      </c>
      <c r="Z4008" s="234">
        <v>16</v>
      </c>
      <c r="AA4008" s="235">
        <v>0.9166666666678793</v>
      </c>
      <c r="AB4008" s="236">
        <v>15</v>
      </c>
      <c r="AC4008" s="127">
        <f t="shared" si="77"/>
        <v>15</v>
      </c>
    </row>
    <row r="4009" ht="14.5" customHeight="1" spans="11:29" x14ac:dyDescent="0.25">
      <c r="K4009" s="128"/>
      <c r="X4009" s="234">
        <v>2022</v>
      </c>
      <c r="Y4009" s="234">
        <v>6</v>
      </c>
      <c r="Z4009" s="234">
        <v>16</v>
      </c>
      <c r="AA4009" s="235">
        <v>0.9583333333321207</v>
      </c>
      <c r="AB4009" s="236">
        <v>13</v>
      </c>
      <c r="AC4009" s="127">
        <f t="shared" si="77"/>
        <v>13</v>
      </c>
    </row>
    <row r="4010" ht="14.5" customHeight="1" spans="11:29" x14ac:dyDescent="0.25">
      <c r="K4010" s="128"/>
      <c r="X4010" s="234">
        <v>2022</v>
      </c>
      <c r="Y4010" s="234">
        <v>6</v>
      </c>
      <c r="Z4010" s="234">
        <v>17</v>
      </c>
      <c r="AA4010" s="235">
        <v>0</v>
      </c>
      <c r="AB4010" s="236">
        <v>13.1</v>
      </c>
      <c r="AC4010" s="127">
        <f t="shared" si="77"/>
        <v>13</v>
      </c>
    </row>
    <row r="4011" ht="14.5" customHeight="1" spans="11:29" x14ac:dyDescent="0.25">
      <c r="K4011" s="128"/>
      <c r="X4011" s="234">
        <v>2022</v>
      </c>
      <c r="Y4011" s="234">
        <v>6</v>
      </c>
      <c r="Z4011" s="234">
        <v>17</v>
      </c>
      <c r="AA4011" s="235">
        <v>0.041666666667879326</v>
      </c>
      <c r="AB4011" s="236">
        <v>13.8</v>
      </c>
      <c r="AC4011" s="127">
        <f t="shared" si="77"/>
        <v>14</v>
      </c>
    </row>
    <row r="4012" ht="14.5" customHeight="1" spans="11:29" x14ac:dyDescent="0.25">
      <c r="K4012" s="128"/>
      <c r="X4012" s="234">
        <v>2022</v>
      </c>
      <c r="Y4012" s="234">
        <v>6</v>
      </c>
      <c r="Z4012" s="234">
        <v>17</v>
      </c>
      <c r="AA4012" s="235">
        <v>0.08333333333212067</v>
      </c>
      <c r="AB4012" s="236">
        <v>12.9</v>
      </c>
      <c r="AC4012" s="127">
        <f t="shared" si="77"/>
        <v>13</v>
      </c>
    </row>
    <row r="4013" ht="14.5" customHeight="1" spans="11:29" x14ac:dyDescent="0.25">
      <c r="K4013" s="128"/>
      <c r="X4013" s="234">
        <v>2022</v>
      </c>
      <c r="Y4013" s="234">
        <v>6</v>
      </c>
      <c r="Z4013" s="234">
        <v>17</v>
      </c>
      <c r="AA4013" s="235">
        <v>0.125</v>
      </c>
      <c r="AB4013" s="236">
        <v>12.2</v>
      </c>
      <c r="AC4013" s="127">
        <f t="shared" si="77"/>
        <v>12</v>
      </c>
    </row>
    <row r="4014" ht="14.5" customHeight="1" spans="11:29" x14ac:dyDescent="0.25">
      <c r="K4014" s="128"/>
      <c r="X4014" s="234">
        <v>2022</v>
      </c>
      <c r="Y4014" s="234">
        <v>6</v>
      </c>
      <c r="Z4014" s="234">
        <v>17</v>
      </c>
      <c r="AA4014" s="235">
        <v>0.16666666666787933</v>
      </c>
      <c r="AB4014" s="236">
        <v>11.9</v>
      </c>
      <c r="AC4014" s="127">
        <f t="shared" si="77"/>
        <v>12</v>
      </c>
    </row>
    <row r="4015" ht="14.5" customHeight="1" spans="11:29" x14ac:dyDescent="0.25">
      <c r="K4015" s="128"/>
      <c r="X4015" s="234">
        <v>2022</v>
      </c>
      <c r="Y4015" s="234">
        <v>6</v>
      </c>
      <c r="Z4015" s="234">
        <v>17</v>
      </c>
      <c r="AA4015" s="235">
        <v>0.20833333333212067</v>
      </c>
      <c r="AB4015" s="236">
        <v>11.7</v>
      </c>
      <c r="AC4015" s="127">
        <f t="shared" si="77"/>
        <v>12</v>
      </c>
    </row>
    <row r="4016" ht="14.5" customHeight="1" spans="11:29" x14ac:dyDescent="0.25">
      <c r="K4016" s="128"/>
      <c r="X4016" s="234">
        <v>2022</v>
      </c>
      <c r="Y4016" s="234">
        <v>6</v>
      </c>
      <c r="Z4016" s="234">
        <v>17</v>
      </c>
      <c r="AA4016" s="235">
        <v>0.25</v>
      </c>
      <c r="AB4016" s="236">
        <v>12.1</v>
      </c>
      <c r="AC4016" s="127">
        <f t="shared" si="77"/>
        <v>12</v>
      </c>
    </row>
    <row r="4017" ht="14.5" customHeight="1" spans="11:29" x14ac:dyDescent="0.25">
      <c r="K4017" s="128"/>
      <c r="X4017" s="234">
        <v>2022</v>
      </c>
      <c r="Y4017" s="234">
        <v>6</v>
      </c>
      <c r="Z4017" s="234">
        <v>17</v>
      </c>
      <c r="AA4017" s="235">
        <v>0.2916666666678793</v>
      </c>
      <c r="AB4017" s="236">
        <v>12.3</v>
      </c>
      <c r="AC4017" s="127">
        <f t="shared" si="77"/>
        <v>12</v>
      </c>
    </row>
    <row r="4018" ht="14.5" customHeight="1" spans="11:29" x14ac:dyDescent="0.25">
      <c r="K4018" s="128"/>
      <c r="X4018" s="234">
        <v>2022</v>
      </c>
      <c r="Y4018" s="234">
        <v>6</v>
      </c>
      <c r="Z4018" s="234">
        <v>17</v>
      </c>
      <c r="AA4018" s="235">
        <v>0.3333333333321207</v>
      </c>
      <c r="AB4018" s="236">
        <v>13.6</v>
      </c>
      <c r="AC4018" s="127">
        <f t="shared" si="77"/>
        <v>14</v>
      </c>
    </row>
    <row r="4019" ht="14.5" customHeight="1" spans="11:29" x14ac:dyDescent="0.25">
      <c r="K4019" s="128"/>
      <c r="X4019" s="234">
        <v>2022</v>
      </c>
      <c r="Y4019" s="234">
        <v>6</v>
      </c>
      <c r="Z4019" s="234">
        <v>17</v>
      </c>
      <c r="AA4019" s="235">
        <v>0.375</v>
      </c>
      <c r="AB4019" s="236">
        <v>16.9</v>
      </c>
      <c r="AC4019" s="127">
        <f t="shared" si="77"/>
        <v>17</v>
      </c>
    </row>
    <row r="4020" ht="14.5" customHeight="1" spans="11:29" x14ac:dyDescent="0.25">
      <c r="K4020" s="128"/>
      <c r="X4020" s="234">
        <v>2022</v>
      </c>
      <c r="Y4020" s="234">
        <v>6</v>
      </c>
      <c r="Z4020" s="234">
        <v>17</v>
      </c>
      <c r="AA4020" s="235">
        <v>0.4166666666678793</v>
      </c>
      <c r="AB4020" s="236">
        <v>17.1</v>
      </c>
      <c r="AC4020" s="127">
        <f t="shared" si="77"/>
        <v>17</v>
      </c>
    </row>
    <row r="4021" ht="14.5" customHeight="1" spans="11:29" x14ac:dyDescent="0.25">
      <c r="K4021" s="128"/>
      <c r="X4021" s="234">
        <v>2022</v>
      </c>
      <c r="Y4021" s="234">
        <v>6</v>
      </c>
      <c r="Z4021" s="234">
        <v>17</v>
      </c>
      <c r="AA4021" s="235">
        <v>0.4583333333321207</v>
      </c>
      <c r="AB4021" s="236">
        <v>18.3</v>
      </c>
      <c r="AC4021" s="127">
        <f t="shared" si="77"/>
        <v>18</v>
      </c>
    </row>
    <row r="4022" ht="14.5" customHeight="1" spans="11:29" x14ac:dyDescent="0.25">
      <c r="K4022" s="128"/>
      <c r="X4022" s="234">
        <v>2022</v>
      </c>
      <c r="Y4022" s="234">
        <v>6</v>
      </c>
      <c r="Z4022" s="234">
        <v>17</v>
      </c>
      <c r="AA4022" s="235">
        <v>0.5</v>
      </c>
      <c r="AB4022" s="236">
        <v>18.5</v>
      </c>
      <c r="AC4022" s="127">
        <f t="shared" si="77"/>
        <v>19</v>
      </c>
    </row>
    <row r="4023" ht="14.5" customHeight="1" spans="11:29" x14ac:dyDescent="0.25">
      <c r="K4023" s="128"/>
      <c r="X4023" s="234">
        <v>2022</v>
      </c>
      <c r="Y4023" s="234">
        <v>6</v>
      </c>
      <c r="Z4023" s="234">
        <v>17</v>
      </c>
      <c r="AA4023" s="235">
        <v>0.5416666666678793</v>
      </c>
      <c r="AB4023" s="236">
        <v>18.5</v>
      </c>
      <c r="AC4023" s="127">
        <f t="shared" si="77"/>
        <v>19</v>
      </c>
    </row>
    <row r="4024" ht="14.5" customHeight="1" spans="11:29" x14ac:dyDescent="0.25">
      <c r="K4024" s="128"/>
      <c r="X4024" s="234">
        <v>2022</v>
      </c>
      <c r="Y4024" s="234">
        <v>6</v>
      </c>
      <c r="Z4024" s="234">
        <v>17</v>
      </c>
      <c r="AA4024" s="235">
        <v>0.5833333333321207</v>
      </c>
      <c r="AB4024" s="236">
        <v>18.6</v>
      </c>
      <c r="AC4024" s="127">
        <f t="shared" si="77"/>
        <v>19</v>
      </c>
    </row>
    <row r="4025" ht="14.5" customHeight="1" spans="11:29" x14ac:dyDescent="0.25">
      <c r="K4025" s="128"/>
      <c r="X4025" s="234">
        <v>2022</v>
      </c>
      <c r="Y4025" s="234">
        <v>6</v>
      </c>
      <c r="Z4025" s="234">
        <v>17</v>
      </c>
      <c r="AA4025" s="235">
        <v>0.625</v>
      </c>
      <c r="AB4025" s="236">
        <v>18</v>
      </c>
      <c r="AC4025" s="127">
        <f t="shared" si="77"/>
        <v>18</v>
      </c>
    </row>
    <row r="4026" ht="14.5" customHeight="1" spans="11:29" x14ac:dyDescent="0.25">
      <c r="K4026" s="128"/>
      <c r="X4026" s="234">
        <v>2022</v>
      </c>
      <c r="Y4026" s="234">
        <v>6</v>
      </c>
      <c r="Z4026" s="234">
        <v>17</v>
      </c>
      <c r="AA4026" s="235">
        <v>0.6666666666678793</v>
      </c>
      <c r="AB4026" s="236">
        <v>19.1</v>
      </c>
      <c r="AC4026" s="127">
        <f t="shared" si="77"/>
        <v>19</v>
      </c>
    </row>
    <row r="4027" ht="14.5" customHeight="1" spans="11:29" x14ac:dyDescent="0.25">
      <c r="K4027" s="128"/>
      <c r="X4027" s="234">
        <v>2022</v>
      </c>
      <c r="Y4027" s="234">
        <v>6</v>
      </c>
      <c r="Z4027" s="234">
        <v>17</v>
      </c>
      <c r="AA4027" s="235">
        <v>0.7083333333321207</v>
      </c>
      <c r="AB4027" s="236">
        <v>19.1</v>
      </c>
      <c r="AC4027" s="127">
        <f t="shared" si="77"/>
        <v>19</v>
      </c>
    </row>
    <row r="4028" ht="14.5" customHeight="1" spans="11:29" x14ac:dyDescent="0.25">
      <c r="K4028" s="128"/>
      <c r="X4028" s="234">
        <v>2022</v>
      </c>
      <c r="Y4028" s="234">
        <v>6</v>
      </c>
      <c r="Z4028" s="234">
        <v>17</v>
      </c>
      <c r="AA4028" s="235">
        <v>0.75</v>
      </c>
      <c r="AB4028" s="236">
        <v>18.9</v>
      </c>
      <c r="AC4028" s="127">
        <f t="shared" si="77"/>
        <v>19</v>
      </c>
    </row>
    <row r="4029" ht="14.5" customHeight="1" spans="11:29" x14ac:dyDescent="0.25">
      <c r="K4029" s="128"/>
      <c r="X4029" s="234">
        <v>2022</v>
      </c>
      <c r="Y4029" s="234">
        <v>6</v>
      </c>
      <c r="Z4029" s="234">
        <v>17</v>
      </c>
      <c r="AA4029" s="235">
        <v>0.7916666666678793</v>
      </c>
      <c r="AB4029" s="236">
        <v>17.6</v>
      </c>
      <c r="AC4029" s="127">
        <f t="shared" si="77"/>
        <v>18</v>
      </c>
    </row>
    <row r="4030" ht="14.5" customHeight="1" spans="11:29" x14ac:dyDescent="0.25">
      <c r="K4030" s="128"/>
      <c r="X4030" s="234">
        <v>2022</v>
      </c>
      <c r="Y4030" s="234">
        <v>6</v>
      </c>
      <c r="Z4030" s="234">
        <v>17</v>
      </c>
      <c r="AA4030" s="235">
        <v>0.8333333333321207</v>
      </c>
      <c r="AB4030" s="236">
        <v>16.1</v>
      </c>
      <c r="AC4030" s="127">
        <f t="shared" si="77"/>
        <v>16</v>
      </c>
    </row>
    <row r="4031" ht="14.5" customHeight="1" spans="11:29" x14ac:dyDescent="0.25">
      <c r="K4031" s="128"/>
      <c r="X4031" s="234">
        <v>2022</v>
      </c>
      <c r="Y4031" s="234">
        <v>6</v>
      </c>
      <c r="Z4031" s="234">
        <v>17</v>
      </c>
      <c r="AA4031" s="235">
        <v>0.875</v>
      </c>
      <c r="AB4031" s="236">
        <v>15.7</v>
      </c>
      <c r="AC4031" s="127">
        <f t="shared" si="77"/>
        <v>16</v>
      </c>
    </row>
    <row r="4032" ht="14.5" customHeight="1" spans="11:29" x14ac:dyDescent="0.25">
      <c r="K4032" s="128"/>
      <c r="X4032" s="234">
        <v>2022</v>
      </c>
      <c r="Y4032" s="234">
        <v>6</v>
      </c>
      <c r="Z4032" s="234">
        <v>17</v>
      </c>
      <c r="AA4032" s="235">
        <v>0.9166666666678793</v>
      </c>
      <c r="AB4032" s="236">
        <v>15.1</v>
      </c>
      <c r="AC4032" s="127">
        <f t="shared" si="77"/>
        <v>15</v>
      </c>
    </row>
    <row r="4033" ht="14.5" customHeight="1" spans="11:29" x14ac:dyDescent="0.25">
      <c r="K4033" s="128"/>
      <c r="X4033" s="234">
        <v>2022</v>
      </c>
      <c r="Y4033" s="234">
        <v>6</v>
      </c>
      <c r="Z4033" s="234">
        <v>17</v>
      </c>
      <c r="AA4033" s="235">
        <v>0.9583333333321207</v>
      </c>
      <c r="AB4033" s="236">
        <v>14.4</v>
      </c>
      <c r="AC4033" s="127">
        <f t="shared" si="77"/>
        <v>14</v>
      </c>
    </row>
    <row r="4034" ht="14.5" customHeight="1" spans="11:29" x14ac:dyDescent="0.25">
      <c r="K4034" s="128"/>
      <c r="X4034" s="234">
        <v>2022</v>
      </c>
      <c r="Y4034" s="234">
        <v>6</v>
      </c>
      <c r="Z4034" s="234">
        <v>18</v>
      </c>
      <c r="AA4034" s="235">
        <v>0</v>
      </c>
      <c r="AB4034" s="236">
        <v>14.1</v>
      </c>
      <c r="AC4034" s="127">
        <f t="shared" si="77"/>
        <v>14</v>
      </c>
    </row>
    <row r="4035" ht="14.5" customHeight="1" spans="11:29" x14ac:dyDescent="0.25">
      <c r="K4035" s="128"/>
      <c r="X4035" s="234">
        <v>2022</v>
      </c>
      <c r="Y4035" s="234">
        <v>6</v>
      </c>
      <c r="Z4035" s="234">
        <v>18</v>
      </c>
      <c r="AA4035" s="235">
        <v>0.041666666667879326</v>
      </c>
      <c r="AB4035" s="236">
        <v>14.2</v>
      </c>
      <c r="AC4035" s="127">
        <f t="shared" si="77"/>
        <v>14</v>
      </c>
    </row>
    <row r="4036" ht="14.5" customHeight="1" spans="11:29" x14ac:dyDescent="0.25">
      <c r="K4036" s="128"/>
      <c r="X4036" s="234">
        <v>2022</v>
      </c>
      <c r="Y4036" s="234">
        <v>6</v>
      </c>
      <c r="Z4036" s="234">
        <v>18</v>
      </c>
      <c r="AA4036" s="235">
        <v>0.08333333333212067</v>
      </c>
      <c r="AB4036" s="236">
        <v>13.9</v>
      </c>
      <c r="AC4036" s="127">
        <f t="shared" si="77"/>
        <v>14</v>
      </c>
    </row>
    <row r="4037" ht="14.5" customHeight="1" spans="11:29" x14ac:dyDescent="0.25">
      <c r="K4037" s="128"/>
      <c r="X4037" s="234">
        <v>2022</v>
      </c>
      <c r="Y4037" s="234">
        <v>6</v>
      </c>
      <c r="Z4037" s="234">
        <v>18</v>
      </c>
      <c r="AA4037" s="235">
        <v>0.125</v>
      </c>
      <c r="AB4037" s="236">
        <v>13.1</v>
      </c>
      <c r="AC4037" s="127">
        <f t="shared" si="77"/>
        <v>13</v>
      </c>
    </row>
    <row r="4038" ht="14.5" customHeight="1" spans="11:29" x14ac:dyDescent="0.25">
      <c r="K4038" s="128"/>
      <c r="X4038" s="234">
        <v>2022</v>
      </c>
      <c r="Y4038" s="234">
        <v>6</v>
      </c>
      <c r="Z4038" s="234">
        <v>18</v>
      </c>
      <c r="AA4038" s="235">
        <v>0.16666666666787933</v>
      </c>
      <c r="AB4038" s="236">
        <v>13.3</v>
      </c>
      <c r="AC4038" s="127">
        <f t="shared" si="77"/>
        <v>13</v>
      </c>
    </row>
    <row r="4039" ht="14.5" customHeight="1" spans="11:29" x14ac:dyDescent="0.25">
      <c r="K4039" s="128"/>
      <c r="X4039" s="234">
        <v>2022</v>
      </c>
      <c r="Y4039" s="234">
        <v>6</v>
      </c>
      <c r="Z4039" s="234">
        <v>18</v>
      </c>
      <c r="AA4039" s="235">
        <v>0.20833333333212067</v>
      </c>
      <c r="AB4039" s="236">
        <v>13</v>
      </c>
      <c r="AC4039" s="127">
        <f t="shared" si="77"/>
        <v>13</v>
      </c>
    </row>
    <row r="4040" ht="14.5" customHeight="1" spans="11:29" x14ac:dyDescent="0.25">
      <c r="K4040" s="128"/>
      <c r="X4040" s="234">
        <v>2022</v>
      </c>
      <c r="Y4040" s="234">
        <v>6</v>
      </c>
      <c r="Z4040" s="234">
        <v>18</v>
      </c>
      <c r="AA4040" s="235">
        <v>0.25</v>
      </c>
      <c r="AB4040" s="236">
        <v>13.1</v>
      </c>
      <c r="AC4040" s="127">
        <f t="shared" si="77"/>
        <v>13</v>
      </c>
    </row>
    <row r="4041" ht="14.5" customHeight="1" spans="11:29" x14ac:dyDescent="0.25">
      <c r="K4041" s="128"/>
      <c r="X4041" s="234">
        <v>2022</v>
      </c>
      <c r="Y4041" s="234">
        <v>6</v>
      </c>
      <c r="Z4041" s="234">
        <v>18</v>
      </c>
      <c r="AA4041" s="235">
        <v>0.2916666666678793</v>
      </c>
      <c r="AB4041" s="236">
        <v>12.9</v>
      </c>
      <c r="AC4041" s="127">
        <f t="shared" si="77"/>
        <v>13</v>
      </c>
    </row>
    <row r="4042" ht="14.5" customHeight="1" spans="11:29" x14ac:dyDescent="0.25">
      <c r="K4042" s="128"/>
      <c r="X4042" s="234">
        <v>2022</v>
      </c>
      <c r="Y4042" s="234">
        <v>6</v>
      </c>
      <c r="Z4042" s="234">
        <v>18</v>
      </c>
      <c r="AA4042" s="235">
        <v>0.3333333333321207</v>
      </c>
      <c r="AB4042" s="236">
        <v>13.3</v>
      </c>
      <c r="AC4042" s="127">
        <f t="shared" si="77"/>
        <v>13</v>
      </c>
    </row>
    <row r="4043" ht="14.5" customHeight="1" spans="11:29" x14ac:dyDescent="0.25">
      <c r="K4043" s="128"/>
      <c r="X4043" s="234">
        <v>2022</v>
      </c>
      <c r="Y4043" s="234">
        <v>6</v>
      </c>
      <c r="Z4043" s="234">
        <v>18</v>
      </c>
      <c r="AA4043" s="235">
        <v>0.375</v>
      </c>
      <c r="AB4043" s="236">
        <v>13.9</v>
      </c>
      <c r="AC4043" s="127">
        <f t="shared" ref="AC4043:AC4106" si="78">ROUND(AB4043,0)</f>
        <v>14</v>
      </c>
    </row>
    <row r="4044" ht="14.5" customHeight="1" spans="11:29" x14ac:dyDescent="0.25">
      <c r="K4044" s="128"/>
      <c r="X4044" s="234">
        <v>2022</v>
      </c>
      <c r="Y4044" s="234">
        <v>6</v>
      </c>
      <c r="Z4044" s="234">
        <v>18</v>
      </c>
      <c r="AA4044" s="235">
        <v>0.4166666666678793</v>
      </c>
      <c r="AB4044" s="236">
        <v>14.7</v>
      </c>
      <c r="AC4044" s="127">
        <f t="shared" si="78"/>
        <v>15</v>
      </c>
    </row>
    <row r="4045" ht="14.5" customHeight="1" spans="11:29" x14ac:dyDescent="0.25">
      <c r="K4045" s="128"/>
      <c r="X4045" s="234">
        <v>2022</v>
      </c>
      <c r="Y4045" s="234">
        <v>6</v>
      </c>
      <c r="Z4045" s="234">
        <v>18</v>
      </c>
      <c r="AA4045" s="235">
        <v>0.4583333333321207</v>
      </c>
      <c r="AB4045" s="236">
        <v>16.7</v>
      </c>
      <c r="AC4045" s="127">
        <f t="shared" si="78"/>
        <v>17</v>
      </c>
    </row>
    <row r="4046" ht="14.5" customHeight="1" spans="11:29" x14ac:dyDescent="0.25">
      <c r="K4046" s="128"/>
      <c r="X4046" s="234">
        <v>2022</v>
      </c>
      <c r="Y4046" s="234">
        <v>6</v>
      </c>
      <c r="Z4046" s="234">
        <v>18</v>
      </c>
      <c r="AA4046" s="235">
        <v>0.5</v>
      </c>
      <c r="AB4046" s="236">
        <v>18</v>
      </c>
      <c r="AC4046" s="127">
        <f t="shared" si="78"/>
        <v>18</v>
      </c>
    </row>
    <row r="4047" ht="14.5" customHeight="1" spans="11:29" x14ac:dyDescent="0.25">
      <c r="K4047" s="128"/>
      <c r="X4047" s="234">
        <v>2022</v>
      </c>
      <c r="Y4047" s="234">
        <v>6</v>
      </c>
      <c r="Z4047" s="234">
        <v>18</v>
      </c>
      <c r="AA4047" s="235">
        <v>0.5416666666678793</v>
      </c>
      <c r="AB4047" s="236">
        <v>19</v>
      </c>
      <c r="AC4047" s="127">
        <f t="shared" si="78"/>
        <v>19</v>
      </c>
    </row>
    <row r="4048" ht="14.5" customHeight="1" spans="11:29" x14ac:dyDescent="0.25">
      <c r="K4048" s="128"/>
      <c r="X4048" s="234">
        <v>2022</v>
      </c>
      <c r="Y4048" s="234">
        <v>6</v>
      </c>
      <c r="Z4048" s="234">
        <v>18</v>
      </c>
      <c r="AA4048" s="235">
        <v>0.5833333333321207</v>
      </c>
      <c r="AB4048" s="236">
        <v>19.7</v>
      </c>
      <c r="AC4048" s="127">
        <f t="shared" si="78"/>
        <v>20</v>
      </c>
    </row>
    <row r="4049" ht="14.5" customHeight="1" spans="11:29" x14ac:dyDescent="0.25">
      <c r="K4049" s="128"/>
      <c r="X4049" s="234">
        <v>2022</v>
      </c>
      <c r="Y4049" s="234">
        <v>6</v>
      </c>
      <c r="Z4049" s="234">
        <v>18</v>
      </c>
      <c r="AA4049" s="235">
        <v>0.625</v>
      </c>
      <c r="AB4049" s="236">
        <v>14.8</v>
      </c>
      <c r="AC4049" s="127">
        <f t="shared" si="78"/>
        <v>15</v>
      </c>
    </row>
    <row r="4050" ht="14.5" customHeight="1" spans="11:29" x14ac:dyDescent="0.25">
      <c r="K4050" s="128"/>
      <c r="X4050" s="234">
        <v>2022</v>
      </c>
      <c r="Y4050" s="234">
        <v>6</v>
      </c>
      <c r="Z4050" s="234">
        <v>18</v>
      </c>
      <c r="AA4050" s="235">
        <v>0.6666666666678793</v>
      </c>
      <c r="AB4050" s="236">
        <v>18.6</v>
      </c>
      <c r="AC4050" s="127">
        <f t="shared" si="78"/>
        <v>19</v>
      </c>
    </row>
    <row r="4051" ht="14.5" customHeight="1" spans="11:29" x14ac:dyDescent="0.25">
      <c r="K4051" s="128"/>
      <c r="X4051" s="234">
        <v>2022</v>
      </c>
      <c r="Y4051" s="234">
        <v>6</v>
      </c>
      <c r="Z4051" s="234">
        <v>18</v>
      </c>
      <c r="AA4051" s="235">
        <v>0.7083333333321207</v>
      </c>
      <c r="AB4051" s="236">
        <v>18.7</v>
      </c>
      <c r="AC4051" s="127">
        <f t="shared" si="78"/>
        <v>19</v>
      </c>
    </row>
    <row r="4052" ht="14.5" customHeight="1" spans="11:29" x14ac:dyDescent="0.25">
      <c r="K4052" s="128"/>
      <c r="X4052" s="234">
        <v>2022</v>
      </c>
      <c r="Y4052" s="234">
        <v>6</v>
      </c>
      <c r="Z4052" s="234">
        <v>18</v>
      </c>
      <c r="AA4052" s="235">
        <v>0.75</v>
      </c>
      <c r="AB4052" s="236">
        <v>18.4</v>
      </c>
      <c r="AC4052" s="127">
        <f t="shared" si="78"/>
        <v>18</v>
      </c>
    </row>
    <row r="4053" ht="14.5" customHeight="1" spans="11:29" x14ac:dyDescent="0.25">
      <c r="K4053" s="128"/>
      <c r="X4053" s="234">
        <v>2022</v>
      </c>
      <c r="Y4053" s="234">
        <v>6</v>
      </c>
      <c r="Z4053" s="234">
        <v>18</v>
      </c>
      <c r="AA4053" s="235">
        <v>0.7916666666678793</v>
      </c>
      <c r="AB4053" s="236">
        <v>16.4</v>
      </c>
      <c r="AC4053" s="127">
        <f t="shared" si="78"/>
        <v>16</v>
      </c>
    </row>
    <row r="4054" ht="14.5" customHeight="1" spans="11:29" x14ac:dyDescent="0.25">
      <c r="K4054" s="128"/>
      <c r="X4054" s="234">
        <v>2022</v>
      </c>
      <c r="Y4054" s="234">
        <v>6</v>
      </c>
      <c r="Z4054" s="234">
        <v>18</v>
      </c>
      <c r="AA4054" s="235">
        <v>0.8333333333321207</v>
      </c>
      <c r="AB4054" s="236">
        <v>14.9</v>
      </c>
      <c r="AC4054" s="127">
        <f t="shared" si="78"/>
        <v>15</v>
      </c>
    </row>
    <row r="4055" ht="14.5" customHeight="1" spans="11:29" x14ac:dyDescent="0.25">
      <c r="K4055" s="128"/>
      <c r="X4055" s="234">
        <v>2022</v>
      </c>
      <c r="Y4055" s="234">
        <v>6</v>
      </c>
      <c r="Z4055" s="234">
        <v>18</v>
      </c>
      <c r="AA4055" s="235">
        <v>0.875</v>
      </c>
      <c r="AB4055" s="236">
        <v>14.3</v>
      </c>
      <c r="AC4055" s="127">
        <f t="shared" si="78"/>
        <v>14</v>
      </c>
    </row>
    <row r="4056" ht="14.5" customHeight="1" spans="11:29" x14ac:dyDescent="0.25">
      <c r="K4056" s="128"/>
      <c r="X4056" s="234">
        <v>2022</v>
      </c>
      <c r="Y4056" s="234">
        <v>6</v>
      </c>
      <c r="Z4056" s="234">
        <v>18</v>
      </c>
      <c r="AA4056" s="235">
        <v>0.9166666666678793</v>
      </c>
      <c r="AB4056" s="236">
        <v>13.4</v>
      </c>
      <c r="AC4056" s="127">
        <f t="shared" si="78"/>
        <v>13</v>
      </c>
    </row>
    <row r="4057" ht="14.5" customHeight="1" spans="11:29" x14ac:dyDescent="0.25">
      <c r="K4057" s="128"/>
      <c r="X4057" s="234">
        <v>2022</v>
      </c>
      <c r="Y4057" s="234">
        <v>6</v>
      </c>
      <c r="Z4057" s="234">
        <v>18</v>
      </c>
      <c r="AA4057" s="235">
        <v>0.9583333333321207</v>
      </c>
      <c r="AB4057" s="236">
        <v>13</v>
      </c>
      <c r="AC4057" s="127">
        <f t="shared" si="78"/>
        <v>13</v>
      </c>
    </row>
    <row r="4058" ht="14.5" customHeight="1" spans="11:29" x14ac:dyDescent="0.25">
      <c r="K4058" s="128"/>
      <c r="X4058" s="234">
        <v>2022</v>
      </c>
      <c r="Y4058" s="234">
        <v>6</v>
      </c>
      <c r="Z4058" s="234">
        <v>19</v>
      </c>
      <c r="AA4058" s="235">
        <v>0</v>
      </c>
      <c r="AB4058" s="236">
        <v>12.2</v>
      </c>
      <c r="AC4058" s="127">
        <f t="shared" si="78"/>
        <v>12</v>
      </c>
    </row>
    <row r="4059" ht="14.5" customHeight="1" spans="11:29" x14ac:dyDescent="0.25">
      <c r="K4059" s="128"/>
      <c r="X4059" s="234">
        <v>2022</v>
      </c>
      <c r="Y4059" s="234">
        <v>6</v>
      </c>
      <c r="Z4059" s="234">
        <v>19</v>
      </c>
      <c r="AA4059" s="235">
        <v>0.041666666667879326</v>
      </c>
      <c r="AB4059" s="236">
        <v>11.4</v>
      </c>
      <c r="AC4059" s="127">
        <f t="shared" si="78"/>
        <v>11</v>
      </c>
    </row>
    <row r="4060" ht="14.5" customHeight="1" spans="11:29" x14ac:dyDescent="0.25">
      <c r="K4060" s="128"/>
      <c r="X4060" s="234">
        <v>2022</v>
      </c>
      <c r="Y4060" s="234">
        <v>6</v>
      </c>
      <c r="Z4060" s="234">
        <v>19</v>
      </c>
      <c r="AA4060" s="235">
        <v>0.08333333333212067</v>
      </c>
      <c r="AB4060" s="236">
        <v>11.2</v>
      </c>
      <c r="AC4060" s="127">
        <f t="shared" si="78"/>
        <v>11</v>
      </c>
    </row>
    <row r="4061" ht="14.5" customHeight="1" spans="11:29" x14ac:dyDescent="0.25">
      <c r="K4061" s="128"/>
      <c r="X4061" s="234">
        <v>2022</v>
      </c>
      <c r="Y4061" s="234">
        <v>6</v>
      </c>
      <c r="Z4061" s="234">
        <v>19</v>
      </c>
      <c r="AA4061" s="235">
        <v>0.125</v>
      </c>
      <c r="AB4061" s="236">
        <v>11.3</v>
      </c>
      <c r="AC4061" s="127">
        <f t="shared" si="78"/>
        <v>11</v>
      </c>
    </row>
    <row r="4062" ht="14.5" customHeight="1" spans="11:29" x14ac:dyDescent="0.25">
      <c r="K4062" s="128"/>
      <c r="X4062" s="234">
        <v>2022</v>
      </c>
      <c r="Y4062" s="234">
        <v>6</v>
      </c>
      <c r="Z4062" s="234">
        <v>19</v>
      </c>
      <c r="AA4062" s="235">
        <v>0.16666666666787933</v>
      </c>
      <c r="AB4062" s="236">
        <v>11.6</v>
      </c>
      <c r="AC4062" s="127">
        <f t="shared" si="78"/>
        <v>12</v>
      </c>
    </row>
    <row r="4063" ht="14.5" customHeight="1" spans="11:29" x14ac:dyDescent="0.25">
      <c r="K4063" s="128"/>
      <c r="X4063" s="234">
        <v>2022</v>
      </c>
      <c r="Y4063" s="234">
        <v>6</v>
      </c>
      <c r="Z4063" s="234">
        <v>19</v>
      </c>
      <c r="AA4063" s="235">
        <v>0.20833333333212067</v>
      </c>
      <c r="AB4063" s="236">
        <v>11.4</v>
      </c>
      <c r="AC4063" s="127">
        <f t="shared" si="78"/>
        <v>11</v>
      </c>
    </row>
    <row r="4064" ht="14.5" customHeight="1" spans="11:29" x14ac:dyDescent="0.25">
      <c r="K4064" s="128"/>
      <c r="X4064" s="234">
        <v>2022</v>
      </c>
      <c r="Y4064" s="234">
        <v>6</v>
      </c>
      <c r="Z4064" s="234">
        <v>19</v>
      </c>
      <c r="AA4064" s="235">
        <v>0.25</v>
      </c>
      <c r="AB4064" s="236">
        <v>12.3</v>
      </c>
      <c r="AC4064" s="127">
        <f t="shared" si="78"/>
        <v>12</v>
      </c>
    </row>
    <row r="4065" ht="14.5" customHeight="1" spans="11:29" x14ac:dyDescent="0.25">
      <c r="K4065" s="128"/>
      <c r="X4065" s="234">
        <v>2022</v>
      </c>
      <c r="Y4065" s="234">
        <v>6</v>
      </c>
      <c r="Z4065" s="234">
        <v>19</v>
      </c>
      <c r="AA4065" s="235">
        <v>0.2916666666678793</v>
      </c>
      <c r="AB4065" s="236">
        <v>13.3</v>
      </c>
      <c r="AC4065" s="127">
        <f t="shared" si="78"/>
        <v>13</v>
      </c>
    </row>
    <row r="4066" ht="14.5" customHeight="1" spans="11:29" x14ac:dyDescent="0.25">
      <c r="K4066" s="128"/>
      <c r="X4066" s="234">
        <v>2022</v>
      </c>
      <c r="Y4066" s="234">
        <v>6</v>
      </c>
      <c r="Z4066" s="234">
        <v>19</v>
      </c>
      <c r="AA4066" s="235">
        <v>0.3333333333321207</v>
      </c>
      <c r="AB4066" s="236">
        <v>13.5</v>
      </c>
      <c r="AC4066" s="127">
        <f t="shared" si="78"/>
        <v>14</v>
      </c>
    </row>
    <row r="4067" ht="14.5" customHeight="1" spans="11:29" x14ac:dyDescent="0.25">
      <c r="K4067" s="128"/>
      <c r="X4067" s="234">
        <v>2022</v>
      </c>
      <c r="Y4067" s="234">
        <v>6</v>
      </c>
      <c r="Z4067" s="234">
        <v>19</v>
      </c>
      <c r="AA4067" s="235">
        <v>0.375</v>
      </c>
      <c r="AB4067" s="236">
        <v>14.7</v>
      </c>
      <c r="AC4067" s="127">
        <f t="shared" si="78"/>
        <v>15</v>
      </c>
    </row>
    <row r="4068" ht="14.5" customHeight="1" spans="11:29" x14ac:dyDescent="0.25">
      <c r="K4068" s="128"/>
      <c r="X4068" s="234">
        <v>2022</v>
      </c>
      <c r="Y4068" s="234">
        <v>6</v>
      </c>
      <c r="Z4068" s="234">
        <v>19</v>
      </c>
      <c r="AA4068" s="235">
        <v>0.4166666666678793</v>
      </c>
      <c r="AB4068" s="236">
        <v>15.9</v>
      </c>
      <c r="AC4068" s="127">
        <f t="shared" si="78"/>
        <v>16</v>
      </c>
    </row>
    <row r="4069" ht="14.5" customHeight="1" spans="11:29" x14ac:dyDescent="0.25">
      <c r="K4069" s="128"/>
      <c r="X4069" s="234">
        <v>2022</v>
      </c>
      <c r="Y4069" s="234">
        <v>6</v>
      </c>
      <c r="Z4069" s="234">
        <v>19</v>
      </c>
      <c r="AA4069" s="235">
        <v>0.4583333333321207</v>
      </c>
      <c r="AB4069" s="236">
        <v>16.8</v>
      </c>
      <c r="AC4069" s="127">
        <f t="shared" si="78"/>
        <v>17</v>
      </c>
    </row>
    <row r="4070" ht="14.5" customHeight="1" spans="11:29" x14ac:dyDescent="0.25">
      <c r="K4070" s="128"/>
      <c r="X4070" s="234">
        <v>2022</v>
      </c>
      <c r="Y4070" s="234">
        <v>6</v>
      </c>
      <c r="Z4070" s="234">
        <v>19</v>
      </c>
      <c r="AA4070" s="235">
        <v>0.5</v>
      </c>
      <c r="AB4070" s="236">
        <v>17.5</v>
      </c>
      <c r="AC4070" s="127">
        <f t="shared" si="78"/>
        <v>18</v>
      </c>
    </row>
    <row r="4071" ht="14.5" customHeight="1" spans="11:29" x14ac:dyDescent="0.25">
      <c r="K4071" s="128"/>
      <c r="X4071" s="234">
        <v>2022</v>
      </c>
      <c r="Y4071" s="234">
        <v>6</v>
      </c>
      <c r="Z4071" s="234">
        <v>19</v>
      </c>
      <c r="AA4071" s="235">
        <v>0.5416666666678793</v>
      </c>
      <c r="AB4071" s="236">
        <v>17.8</v>
      </c>
      <c r="AC4071" s="127">
        <f t="shared" si="78"/>
        <v>18</v>
      </c>
    </row>
    <row r="4072" ht="14.5" customHeight="1" spans="11:29" x14ac:dyDescent="0.25">
      <c r="K4072" s="128"/>
      <c r="X4072" s="234">
        <v>2022</v>
      </c>
      <c r="Y4072" s="234">
        <v>6</v>
      </c>
      <c r="Z4072" s="234">
        <v>19</v>
      </c>
      <c r="AA4072" s="235">
        <v>0.5833333333321207</v>
      </c>
      <c r="AB4072" s="236">
        <v>17.6</v>
      </c>
      <c r="AC4072" s="127">
        <f t="shared" si="78"/>
        <v>18</v>
      </c>
    </row>
    <row r="4073" ht="14.5" customHeight="1" spans="11:29" x14ac:dyDescent="0.25">
      <c r="K4073" s="128"/>
      <c r="X4073" s="234">
        <v>2022</v>
      </c>
      <c r="Y4073" s="234">
        <v>6</v>
      </c>
      <c r="Z4073" s="234">
        <v>19</v>
      </c>
      <c r="AA4073" s="235">
        <v>0.625</v>
      </c>
      <c r="AB4073" s="236">
        <v>17</v>
      </c>
      <c r="AC4073" s="127">
        <f t="shared" si="78"/>
        <v>17</v>
      </c>
    </row>
    <row r="4074" ht="14.5" customHeight="1" spans="11:29" x14ac:dyDescent="0.25">
      <c r="K4074" s="128"/>
      <c r="X4074" s="234">
        <v>2022</v>
      </c>
      <c r="Y4074" s="234">
        <v>6</v>
      </c>
      <c r="Z4074" s="234">
        <v>19</v>
      </c>
      <c r="AA4074" s="235">
        <v>0.6666666666678793</v>
      </c>
      <c r="AB4074" s="236">
        <v>17.6</v>
      </c>
      <c r="AC4074" s="127">
        <f t="shared" si="78"/>
        <v>18</v>
      </c>
    </row>
    <row r="4075" ht="14.5" customHeight="1" spans="11:29" x14ac:dyDescent="0.25">
      <c r="K4075" s="128"/>
      <c r="X4075" s="234">
        <v>2022</v>
      </c>
      <c r="Y4075" s="234">
        <v>6</v>
      </c>
      <c r="Z4075" s="234">
        <v>19</v>
      </c>
      <c r="AA4075" s="235">
        <v>0.7083333333321207</v>
      </c>
      <c r="AB4075" s="236">
        <v>17.8</v>
      </c>
      <c r="AC4075" s="127">
        <f t="shared" si="78"/>
        <v>18</v>
      </c>
    </row>
    <row r="4076" ht="14.5" customHeight="1" spans="11:29" x14ac:dyDescent="0.25">
      <c r="K4076" s="128"/>
      <c r="X4076" s="234">
        <v>2022</v>
      </c>
      <c r="Y4076" s="234">
        <v>6</v>
      </c>
      <c r="Z4076" s="234">
        <v>19</v>
      </c>
      <c r="AA4076" s="235">
        <v>0.75</v>
      </c>
      <c r="AB4076" s="236">
        <v>17</v>
      </c>
      <c r="AC4076" s="127">
        <f t="shared" si="78"/>
        <v>17</v>
      </c>
    </row>
    <row r="4077" ht="14.5" customHeight="1" spans="11:29" x14ac:dyDescent="0.25">
      <c r="K4077" s="128"/>
      <c r="X4077" s="234">
        <v>2022</v>
      </c>
      <c r="Y4077" s="234">
        <v>6</v>
      </c>
      <c r="Z4077" s="234">
        <v>19</v>
      </c>
      <c r="AA4077" s="235">
        <v>0.7916666666678793</v>
      </c>
      <c r="AB4077" s="236">
        <v>15.1</v>
      </c>
      <c r="AC4077" s="127">
        <f t="shared" si="78"/>
        <v>15</v>
      </c>
    </row>
    <row r="4078" ht="14.5" customHeight="1" spans="11:29" x14ac:dyDescent="0.25">
      <c r="K4078" s="128"/>
      <c r="X4078" s="234">
        <v>2022</v>
      </c>
      <c r="Y4078" s="234">
        <v>6</v>
      </c>
      <c r="Z4078" s="234">
        <v>19</v>
      </c>
      <c r="AA4078" s="235">
        <v>0.8333333333321207</v>
      </c>
      <c r="AB4078" s="236">
        <v>13</v>
      </c>
      <c r="AC4078" s="127">
        <f t="shared" si="78"/>
        <v>13</v>
      </c>
    </row>
    <row r="4079" ht="14.5" customHeight="1" spans="11:29" x14ac:dyDescent="0.25">
      <c r="K4079" s="128"/>
      <c r="X4079" s="234">
        <v>2022</v>
      </c>
      <c r="Y4079" s="234">
        <v>6</v>
      </c>
      <c r="Z4079" s="234">
        <v>19</v>
      </c>
      <c r="AA4079" s="235">
        <v>0.875</v>
      </c>
      <c r="AB4079" s="236">
        <v>11.9</v>
      </c>
      <c r="AC4079" s="127">
        <f t="shared" si="78"/>
        <v>12</v>
      </c>
    </row>
    <row r="4080" ht="14.5" customHeight="1" spans="11:29" x14ac:dyDescent="0.25">
      <c r="K4080" s="128"/>
      <c r="X4080" s="234">
        <v>2022</v>
      </c>
      <c r="Y4080" s="234">
        <v>6</v>
      </c>
      <c r="Z4080" s="234">
        <v>19</v>
      </c>
      <c r="AA4080" s="235">
        <v>0.9166666666678793</v>
      </c>
      <c r="AB4080" s="236">
        <v>12.5</v>
      </c>
      <c r="AC4080" s="127">
        <f t="shared" si="78"/>
        <v>13</v>
      </c>
    </row>
    <row r="4081" ht="14.5" customHeight="1" spans="11:29" x14ac:dyDescent="0.25">
      <c r="K4081" s="128"/>
      <c r="X4081" s="234">
        <v>2022</v>
      </c>
      <c r="Y4081" s="234">
        <v>6</v>
      </c>
      <c r="Z4081" s="234">
        <v>19</v>
      </c>
      <c r="AA4081" s="235">
        <v>0.9583333333321207</v>
      </c>
      <c r="AB4081" s="236">
        <v>13</v>
      </c>
      <c r="AC4081" s="127">
        <f t="shared" si="78"/>
        <v>13</v>
      </c>
    </row>
    <row r="4082" ht="14.5" customHeight="1" spans="11:29" x14ac:dyDescent="0.25">
      <c r="K4082" s="128"/>
      <c r="X4082" s="234">
        <v>2022</v>
      </c>
      <c r="Y4082" s="234">
        <v>6</v>
      </c>
      <c r="Z4082" s="234">
        <v>20</v>
      </c>
      <c r="AA4082" s="235">
        <v>0</v>
      </c>
      <c r="AB4082" s="236">
        <v>11.2</v>
      </c>
      <c r="AC4082" s="127">
        <f t="shared" si="78"/>
        <v>11</v>
      </c>
    </row>
    <row r="4083" ht="14.5" customHeight="1" spans="11:29" x14ac:dyDescent="0.25">
      <c r="K4083" s="128"/>
      <c r="X4083" s="234">
        <v>2022</v>
      </c>
      <c r="Y4083" s="234">
        <v>6</v>
      </c>
      <c r="Z4083" s="234">
        <v>20</v>
      </c>
      <c r="AA4083" s="235">
        <v>0.041666666667879326</v>
      </c>
      <c r="AB4083" s="236">
        <v>10.9</v>
      </c>
      <c r="AC4083" s="127">
        <f t="shared" si="78"/>
        <v>11</v>
      </c>
    </row>
    <row r="4084" ht="14.5" customHeight="1" spans="11:29" x14ac:dyDescent="0.25">
      <c r="K4084" s="128"/>
      <c r="X4084" s="234">
        <v>2022</v>
      </c>
      <c r="Y4084" s="234">
        <v>6</v>
      </c>
      <c r="Z4084" s="234">
        <v>20</v>
      </c>
      <c r="AA4084" s="235">
        <v>0.08333333333212067</v>
      </c>
      <c r="AB4084" s="236">
        <v>10.2</v>
      </c>
      <c r="AC4084" s="127">
        <f t="shared" si="78"/>
        <v>10</v>
      </c>
    </row>
    <row r="4085" ht="14.5" customHeight="1" spans="11:29" x14ac:dyDescent="0.25">
      <c r="K4085" s="128"/>
      <c r="X4085" s="234">
        <v>2022</v>
      </c>
      <c r="Y4085" s="234">
        <v>6</v>
      </c>
      <c r="Z4085" s="234">
        <v>20</v>
      </c>
      <c r="AA4085" s="235">
        <v>0.125</v>
      </c>
      <c r="AB4085" s="236">
        <v>9.9</v>
      </c>
      <c r="AC4085" s="127">
        <f t="shared" si="78"/>
        <v>10</v>
      </c>
    </row>
    <row r="4086" ht="14.5" customHeight="1" spans="11:29" x14ac:dyDescent="0.25">
      <c r="K4086" s="128"/>
      <c r="X4086" s="234">
        <v>2022</v>
      </c>
      <c r="Y4086" s="234">
        <v>6</v>
      </c>
      <c r="Z4086" s="234">
        <v>20</v>
      </c>
      <c r="AA4086" s="235">
        <v>0.16666666666787933</v>
      </c>
      <c r="AB4086" s="236">
        <v>9.7</v>
      </c>
      <c r="AC4086" s="127">
        <f t="shared" si="78"/>
        <v>10</v>
      </c>
    </row>
    <row r="4087" ht="14.5" customHeight="1" spans="11:29" x14ac:dyDescent="0.25">
      <c r="K4087" s="128"/>
      <c r="X4087" s="234">
        <v>2022</v>
      </c>
      <c r="Y4087" s="234">
        <v>6</v>
      </c>
      <c r="Z4087" s="234">
        <v>20</v>
      </c>
      <c r="AA4087" s="235">
        <v>0.20833333333212067</v>
      </c>
      <c r="AB4087" s="236">
        <v>9.9</v>
      </c>
      <c r="AC4087" s="127">
        <f t="shared" si="78"/>
        <v>10</v>
      </c>
    </row>
    <row r="4088" ht="14.5" customHeight="1" spans="11:29" x14ac:dyDescent="0.25">
      <c r="K4088" s="128"/>
      <c r="X4088" s="234">
        <v>2022</v>
      </c>
      <c r="Y4088" s="234">
        <v>6</v>
      </c>
      <c r="Z4088" s="234">
        <v>20</v>
      </c>
      <c r="AA4088" s="235">
        <v>0.25</v>
      </c>
      <c r="AB4088" s="236">
        <v>11.9</v>
      </c>
      <c r="AC4088" s="127">
        <f t="shared" si="78"/>
        <v>12</v>
      </c>
    </row>
    <row r="4089" ht="14.5" customHeight="1" spans="11:29" x14ac:dyDescent="0.25">
      <c r="K4089" s="128"/>
      <c r="X4089" s="234">
        <v>2022</v>
      </c>
      <c r="Y4089" s="234">
        <v>6</v>
      </c>
      <c r="Z4089" s="234">
        <v>20</v>
      </c>
      <c r="AA4089" s="235">
        <v>0.2916666666678793</v>
      </c>
      <c r="AB4089" s="236">
        <v>13.2</v>
      </c>
      <c r="AC4089" s="127">
        <f t="shared" si="78"/>
        <v>13</v>
      </c>
    </row>
    <row r="4090" ht="14.5" customHeight="1" spans="11:29" x14ac:dyDescent="0.25">
      <c r="K4090" s="128"/>
      <c r="X4090" s="234">
        <v>2022</v>
      </c>
      <c r="Y4090" s="234">
        <v>6</v>
      </c>
      <c r="Z4090" s="234">
        <v>20</v>
      </c>
      <c r="AA4090" s="235">
        <v>0.3333333333321207</v>
      </c>
      <c r="AB4090" s="236">
        <v>13.2</v>
      </c>
      <c r="AC4090" s="127">
        <f t="shared" si="78"/>
        <v>13</v>
      </c>
    </row>
    <row r="4091" ht="14.5" customHeight="1" spans="11:29" x14ac:dyDescent="0.25">
      <c r="K4091" s="128"/>
      <c r="X4091" s="234">
        <v>2022</v>
      </c>
      <c r="Y4091" s="234">
        <v>6</v>
      </c>
      <c r="Z4091" s="234">
        <v>20</v>
      </c>
      <c r="AA4091" s="235">
        <v>0.375</v>
      </c>
      <c r="AB4091" s="236">
        <v>14</v>
      </c>
      <c r="AC4091" s="127">
        <f t="shared" si="78"/>
        <v>14</v>
      </c>
    </row>
    <row r="4092" ht="14.5" customHeight="1" spans="11:29" x14ac:dyDescent="0.25">
      <c r="K4092" s="128"/>
      <c r="X4092" s="234">
        <v>2022</v>
      </c>
      <c r="Y4092" s="234">
        <v>6</v>
      </c>
      <c r="Z4092" s="234">
        <v>20</v>
      </c>
      <c r="AA4092" s="235">
        <v>0.4166666666678793</v>
      </c>
      <c r="AB4092" s="236">
        <v>14.9</v>
      </c>
      <c r="AC4092" s="127">
        <f t="shared" si="78"/>
        <v>15</v>
      </c>
    </row>
    <row r="4093" ht="14.5" customHeight="1" spans="11:29" x14ac:dyDescent="0.25">
      <c r="K4093" s="128"/>
      <c r="X4093" s="234">
        <v>2022</v>
      </c>
      <c r="Y4093" s="234">
        <v>6</v>
      </c>
      <c r="Z4093" s="234">
        <v>20</v>
      </c>
      <c r="AA4093" s="235">
        <v>0.4583333333321207</v>
      </c>
      <c r="AB4093" s="236">
        <v>15.2</v>
      </c>
      <c r="AC4093" s="127">
        <f t="shared" si="78"/>
        <v>15</v>
      </c>
    </row>
    <row r="4094" ht="14.5" customHeight="1" spans="11:29" x14ac:dyDescent="0.25">
      <c r="K4094" s="128"/>
      <c r="X4094" s="234">
        <v>2022</v>
      </c>
      <c r="Y4094" s="234">
        <v>6</v>
      </c>
      <c r="Z4094" s="234">
        <v>20</v>
      </c>
      <c r="AA4094" s="235">
        <v>0.5</v>
      </c>
      <c r="AB4094" s="236">
        <v>16.2</v>
      </c>
      <c r="AC4094" s="127">
        <f t="shared" si="78"/>
        <v>16</v>
      </c>
    </row>
    <row r="4095" ht="14.5" customHeight="1" spans="11:29" x14ac:dyDescent="0.25">
      <c r="K4095" s="128"/>
      <c r="X4095" s="234">
        <v>2022</v>
      </c>
      <c r="Y4095" s="234">
        <v>6</v>
      </c>
      <c r="Z4095" s="234">
        <v>20</v>
      </c>
      <c r="AA4095" s="235">
        <v>0.5416666666678793</v>
      </c>
      <c r="AB4095" s="236">
        <v>13.8</v>
      </c>
      <c r="AC4095" s="127">
        <f t="shared" si="78"/>
        <v>14</v>
      </c>
    </row>
    <row r="4096" ht="14.5" customHeight="1" spans="11:29" x14ac:dyDescent="0.25">
      <c r="K4096" s="128"/>
      <c r="X4096" s="234">
        <v>2022</v>
      </c>
      <c r="Y4096" s="234">
        <v>6</v>
      </c>
      <c r="Z4096" s="234">
        <v>20</v>
      </c>
      <c r="AA4096" s="235">
        <v>0.5833333333321207</v>
      </c>
      <c r="AB4096" s="236">
        <v>16.4</v>
      </c>
      <c r="AC4096" s="127">
        <f t="shared" si="78"/>
        <v>16</v>
      </c>
    </row>
    <row r="4097" ht="14.5" customHeight="1" spans="11:29" x14ac:dyDescent="0.25">
      <c r="K4097" s="128"/>
      <c r="X4097" s="234">
        <v>2022</v>
      </c>
      <c r="Y4097" s="234">
        <v>6</v>
      </c>
      <c r="Z4097" s="234">
        <v>20</v>
      </c>
      <c r="AA4097" s="235">
        <v>0.625</v>
      </c>
      <c r="AB4097" s="236">
        <v>16.5</v>
      </c>
      <c r="AC4097" s="127">
        <f t="shared" si="78"/>
        <v>17</v>
      </c>
    </row>
    <row r="4098" ht="14.5" customHeight="1" spans="11:29" x14ac:dyDescent="0.25">
      <c r="K4098" s="128"/>
      <c r="X4098" s="234">
        <v>2022</v>
      </c>
      <c r="Y4098" s="234">
        <v>6</v>
      </c>
      <c r="Z4098" s="234">
        <v>20</v>
      </c>
      <c r="AA4098" s="235">
        <v>0.6666666666678793</v>
      </c>
      <c r="AB4098" s="236">
        <v>16.5</v>
      </c>
      <c r="AC4098" s="127">
        <f t="shared" si="78"/>
        <v>17</v>
      </c>
    </row>
    <row r="4099" ht="14.5" customHeight="1" spans="11:29" x14ac:dyDescent="0.25">
      <c r="K4099" s="128"/>
      <c r="X4099" s="234">
        <v>2022</v>
      </c>
      <c r="Y4099" s="234">
        <v>6</v>
      </c>
      <c r="Z4099" s="234">
        <v>20</v>
      </c>
      <c r="AA4099" s="235">
        <v>0.7083333333321207</v>
      </c>
      <c r="AB4099" s="236">
        <v>18.4</v>
      </c>
      <c r="AC4099" s="127">
        <f t="shared" si="78"/>
        <v>18</v>
      </c>
    </row>
    <row r="4100" ht="14.5" customHeight="1" spans="11:29" x14ac:dyDescent="0.25">
      <c r="K4100" s="128"/>
      <c r="X4100" s="234">
        <v>2022</v>
      </c>
      <c r="Y4100" s="234">
        <v>6</v>
      </c>
      <c r="Z4100" s="234">
        <v>20</v>
      </c>
      <c r="AA4100" s="235">
        <v>0.75</v>
      </c>
      <c r="AB4100" s="236">
        <v>16.9</v>
      </c>
      <c r="AC4100" s="127">
        <f t="shared" si="78"/>
        <v>17</v>
      </c>
    </row>
    <row r="4101" ht="14.5" customHeight="1" spans="11:29" x14ac:dyDescent="0.25">
      <c r="K4101" s="128"/>
      <c r="X4101" s="234">
        <v>2022</v>
      </c>
      <c r="Y4101" s="234">
        <v>6</v>
      </c>
      <c r="Z4101" s="234">
        <v>20</v>
      </c>
      <c r="AA4101" s="235">
        <v>0.7916666666678793</v>
      </c>
      <c r="AB4101" s="236">
        <v>15.9</v>
      </c>
      <c r="AC4101" s="127">
        <f t="shared" si="78"/>
        <v>16</v>
      </c>
    </row>
    <row r="4102" ht="14.5" customHeight="1" spans="11:29" x14ac:dyDescent="0.25">
      <c r="K4102" s="128"/>
      <c r="X4102" s="234">
        <v>2022</v>
      </c>
      <c r="Y4102" s="234">
        <v>6</v>
      </c>
      <c r="Z4102" s="234">
        <v>20</v>
      </c>
      <c r="AA4102" s="235">
        <v>0.8333333333321207</v>
      </c>
      <c r="AB4102" s="236">
        <v>13.9</v>
      </c>
      <c r="AC4102" s="127">
        <f t="shared" si="78"/>
        <v>14</v>
      </c>
    </row>
    <row r="4103" ht="14.5" customHeight="1" spans="11:29" x14ac:dyDescent="0.25">
      <c r="K4103" s="128"/>
      <c r="X4103" s="234">
        <v>2022</v>
      </c>
      <c r="Y4103" s="234">
        <v>6</v>
      </c>
      <c r="Z4103" s="234">
        <v>20</v>
      </c>
      <c r="AA4103" s="235">
        <v>0.875</v>
      </c>
      <c r="AB4103" s="236">
        <v>12.4</v>
      </c>
      <c r="AC4103" s="127">
        <f t="shared" si="78"/>
        <v>12</v>
      </c>
    </row>
    <row r="4104" ht="14.5" customHeight="1" spans="11:29" x14ac:dyDescent="0.25">
      <c r="K4104" s="128"/>
      <c r="X4104" s="234">
        <v>2022</v>
      </c>
      <c r="Y4104" s="234">
        <v>6</v>
      </c>
      <c r="Z4104" s="234">
        <v>20</v>
      </c>
      <c r="AA4104" s="235">
        <v>0.9166666666678793</v>
      </c>
      <c r="AB4104" s="236">
        <v>11.7</v>
      </c>
      <c r="AC4104" s="127">
        <f t="shared" si="78"/>
        <v>12</v>
      </c>
    </row>
    <row r="4105" ht="14.5" customHeight="1" spans="11:29" x14ac:dyDescent="0.25">
      <c r="K4105" s="128"/>
      <c r="X4105" s="234">
        <v>2022</v>
      </c>
      <c r="Y4105" s="234">
        <v>6</v>
      </c>
      <c r="Z4105" s="234">
        <v>20</v>
      </c>
      <c r="AA4105" s="235">
        <v>0.9583333333321207</v>
      </c>
      <c r="AB4105" s="236">
        <v>10.5</v>
      </c>
      <c r="AC4105" s="127">
        <f t="shared" si="78"/>
        <v>11</v>
      </c>
    </row>
    <row r="4106" ht="14.5" customHeight="1" spans="11:29" x14ac:dyDescent="0.25">
      <c r="K4106" s="128"/>
      <c r="X4106" s="234">
        <v>2022</v>
      </c>
      <c r="Y4106" s="234">
        <v>6</v>
      </c>
      <c r="Z4106" s="234">
        <v>21</v>
      </c>
      <c r="AA4106" s="235">
        <v>0</v>
      </c>
      <c r="AB4106" s="236">
        <v>9.8</v>
      </c>
      <c r="AC4106" s="127">
        <f t="shared" si="78"/>
        <v>10</v>
      </c>
    </row>
    <row r="4107" ht="14.5" customHeight="1" spans="11:29" x14ac:dyDescent="0.25">
      <c r="K4107" s="128"/>
      <c r="X4107" s="234">
        <v>2022</v>
      </c>
      <c r="Y4107" s="234">
        <v>6</v>
      </c>
      <c r="Z4107" s="234">
        <v>21</v>
      </c>
      <c r="AA4107" s="235">
        <v>0.041666666667879326</v>
      </c>
      <c r="AB4107" s="236">
        <v>8.7</v>
      </c>
      <c r="AC4107" s="127">
        <f t="shared" ref="AC4107:AC4170" si="79">ROUND(AB4107,0)</f>
        <v>9</v>
      </c>
    </row>
    <row r="4108" ht="14.5" customHeight="1" spans="11:29" x14ac:dyDescent="0.25">
      <c r="K4108" s="128"/>
      <c r="X4108" s="234">
        <v>2022</v>
      </c>
      <c r="Y4108" s="234">
        <v>6</v>
      </c>
      <c r="Z4108" s="234">
        <v>21</v>
      </c>
      <c r="AA4108" s="235">
        <v>0.08333333333212067</v>
      </c>
      <c r="AB4108" s="236">
        <v>7.9</v>
      </c>
      <c r="AC4108" s="127">
        <f t="shared" si="79"/>
        <v>8</v>
      </c>
    </row>
    <row r="4109" ht="14.5" customHeight="1" spans="11:29" x14ac:dyDescent="0.25">
      <c r="K4109" s="128"/>
      <c r="X4109" s="234">
        <v>2022</v>
      </c>
      <c r="Y4109" s="234">
        <v>6</v>
      </c>
      <c r="Z4109" s="234">
        <v>21</v>
      </c>
      <c r="AA4109" s="235">
        <v>0.125</v>
      </c>
      <c r="AB4109" s="236">
        <v>8.3</v>
      </c>
      <c r="AC4109" s="127">
        <f t="shared" si="79"/>
        <v>8</v>
      </c>
    </row>
    <row r="4110" ht="14.5" customHeight="1" spans="11:29" x14ac:dyDescent="0.25">
      <c r="K4110" s="128"/>
      <c r="X4110" s="234">
        <v>2022</v>
      </c>
      <c r="Y4110" s="234">
        <v>6</v>
      </c>
      <c r="Z4110" s="234">
        <v>21</v>
      </c>
      <c r="AA4110" s="235">
        <v>0.16666666666787933</v>
      </c>
      <c r="AB4110" s="236">
        <v>8.1</v>
      </c>
      <c r="AC4110" s="127">
        <f t="shared" si="79"/>
        <v>8</v>
      </c>
    </row>
    <row r="4111" ht="14.5" customHeight="1" spans="11:29" x14ac:dyDescent="0.25">
      <c r="K4111" s="128"/>
      <c r="X4111" s="234">
        <v>2022</v>
      </c>
      <c r="Y4111" s="234">
        <v>6</v>
      </c>
      <c r="Z4111" s="234">
        <v>21</v>
      </c>
      <c r="AA4111" s="235">
        <v>0.20833333333212067</v>
      </c>
      <c r="AB4111" s="236">
        <v>7.5</v>
      </c>
      <c r="AC4111" s="127">
        <f t="shared" si="79"/>
        <v>8</v>
      </c>
    </row>
    <row r="4112" ht="14.5" customHeight="1" spans="11:29" x14ac:dyDescent="0.25">
      <c r="K4112" s="128"/>
      <c r="X4112" s="234">
        <v>2022</v>
      </c>
      <c r="Y4112" s="234">
        <v>6</v>
      </c>
      <c r="Z4112" s="234">
        <v>21</v>
      </c>
      <c r="AA4112" s="235">
        <v>0.25</v>
      </c>
      <c r="AB4112" s="236">
        <v>9.9</v>
      </c>
      <c r="AC4112" s="127">
        <f t="shared" si="79"/>
        <v>10</v>
      </c>
    </row>
    <row r="4113" ht="14.5" customHeight="1" spans="11:29" x14ac:dyDescent="0.25">
      <c r="K4113" s="128"/>
      <c r="X4113" s="234">
        <v>2022</v>
      </c>
      <c r="Y4113" s="234">
        <v>6</v>
      </c>
      <c r="Z4113" s="234">
        <v>21</v>
      </c>
      <c r="AA4113" s="235">
        <v>0.2916666666678793</v>
      </c>
      <c r="AB4113" s="236">
        <v>12.9</v>
      </c>
      <c r="AC4113" s="127">
        <f t="shared" si="79"/>
        <v>13</v>
      </c>
    </row>
    <row r="4114" ht="14.5" customHeight="1" spans="11:29" x14ac:dyDescent="0.25">
      <c r="K4114" s="128"/>
      <c r="X4114" s="234">
        <v>2022</v>
      </c>
      <c r="Y4114" s="234">
        <v>6</v>
      </c>
      <c r="Z4114" s="234">
        <v>21</v>
      </c>
      <c r="AA4114" s="235">
        <v>0.3333333333321207</v>
      </c>
      <c r="AB4114" s="236">
        <v>14.4</v>
      </c>
      <c r="AC4114" s="127">
        <f t="shared" si="79"/>
        <v>14</v>
      </c>
    </row>
    <row r="4115" ht="14.5" customHeight="1" spans="11:29" x14ac:dyDescent="0.25">
      <c r="K4115" s="128"/>
      <c r="X4115" s="234">
        <v>2022</v>
      </c>
      <c r="Y4115" s="234">
        <v>6</v>
      </c>
      <c r="Z4115" s="234">
        <v>21</v>
      </c>
      <c r="AA4115" s="235">
        <v>0.375</v>
      </c>
      <c r="AB4115" s="236">
        <v>17.5</v>
      </c>
      <c r="AC4115" s="127">
        <f t="shared" si="79"/>
        <v>18</v>
      </c>
    </row>
    <row r="4116" ht="14.5" customHeight="1" spans="11:29" x14ac:dyDescent="0.25">
      <c r="K4116" s="128"/>
      <c r="X4116" s="234">
        <v>2022</v>
      </c>
      <c r="Y4116" s="234">
        <v>6</v>
      </c>
      <c r="Z4116" s="234">
        <v>21</v>
      </c>
      <c r="AA4116" s="235">
        <v>0.4166666666678793</v>
      </c>
      <c r="AB4116" s="236">
        <v>19.2</v>
      </c>
      <c r="AC4116" s="127">
        <f t="shared" si="79"/>
        <v>19</v>
      </c>
    </row>
    <row r="4117" ht="14.5" customHeight="1" spans="11:29" x14ac:dyDescent="0.25">
      <c r="K4117" s="128"/>
      <c r="X4117" s="234">
        <v>2022</v>
      </c>
      <c r="Y4117" s="234">
        <v>6</v>
      </c>
      <c r="Z4117" s="234">
        <v>21</v>
      </c>
      <c r="AA4117" s="235">
        <v>0.4583333333321207</v>
      </c>
      <c r="AB4117" s="236">
        <v>20.2</v>
      </c>
      <c r="AC4117" s="127">
        <f t="shared" si="79"/>
        <v>20</v>
      </c>
    </row>
    <row r="4118" ht="14.5" customHeight="1" spans="11:29" x14ac:dyDescent="0.25">
      <c r="K4118" s="128"/>
      <c r="X4118" s="234">
        <v>2022</v>
      </c>
      <c r="Y4118" s="234">
        <v>6</v>
      </c>
      <c r="Z4118" s="234">
        <v>21</v>
      </c>
      <c r="AA4118" s="235">
        <v>0.5</v>
      </c>
      <c r="AB4118" s="236">
        <v>20.8</v>
      </c>
      <c r="AC4118" s="127">
        <f t="shared" si="79"/>
        <v>21</v>
      </c>
    </row>
    <row r="4119" ht="14.5" customHeight="1" spans="11:29" x14ac:dyDescent="0.25">
      <c r="K4119" s="128"/>
      <c r="X4119" s="234">
        <v>2022</v>
      </c>
      <c r="Y4119" s="234">
        <v>6</v>
      </c>
      <c r="Z4119" s="234">
        <v>21</v>
      </c>
      <c r="AA4119" s="235">
        <v>0.5416666666678793</v>
      </c>
      <c r="AB4119" s="236">
        <v>22</v>
      </c>
      <c r="AC4119" s="127">
        <f t="shared" si="79"/>
        <v>22</v>
      </c>
    </row>
    <row r="4120" ht="14.5" customHeight="1" spans="11:29" x14ac:dyDescent="0.25">
      <c r="K4120" s="128"/>
      <c r="X4120" s="234">
        <v>2022</v>
      </c>
      <c r="Y4120" s="234">
        <v>6</v>
      </c>
      <c r="Z4120" s="234">
        <v>21</v>
      </c>
      <c r="AA4120" s="235">
        <v>0.5833333333321207</v>
      </c>
      <c r="AB4120" s="236">
        <v>21.6</v>
      </c>
      <c r="AC4120" s="127">
        <f t="shared" si="79"/>
        <v>22</v>
      </c>
    </row>
    <row r="4121" ht="14.5" customHeight="1" spans="11:29" x14ac:dyDescent="0.25">
      <c r="K4121" s="128"/>
      <c r="X4121" s="234">
        <v>2022</v>
      </c>
      <c r="Y4121" s="234">
        <v>6</v>
      </c>
      <c r="Z4121" s="234">
        <v>21</v>
      </c>
      <c r="AA4121" s="235">
        <v>0.625</v>
      </c>
      <c r="AB4121" s="236">
        <v>22.3</v>
      </c>
      <c r="AC4121" s="127">
        <f t="shared" si="79"/>
        <v>22</v>
      </c>
    </row>
    <row r="4122" ht="14.5" customHeight="1" spans="11:29" x14ac:dyDescent="0.25">
      <c r="K4122" s="128"/>
      <c r="X4122" s="234">
        <v>2022</v>
      </c>
      <c r="Y4122" s="234">
        <v>6</v>
      </c>
      <c r="Z4122" s="234">
        <v>21</v>
      </c>
      <c r="AA4122" s="235">
        <v>0.6666666666678793</v>
      </c>
      <c r="AB4122" s="236">
        <v>21.5</v>
      </c>
      <c r="AC4122" s="127">
        <f t="shared" si="79"/>
        <v>22</v>
      </c>
    </row>
    <row r="4123" ht="14.5" customHeight="1" spans="11:29" x14ac:dyDescent="0.25">
      <c r="K4123" s="128"/>
      <c r="X4123" s="234">
        <v>2022</v>
      </c>
      <c r="Y4123" s="234">
        <v>6</v>
      </c>
      <c r="Z4123" s="234">
        <v>21</v>
      </c>
      <c r="AA4123" s="235">
        <v>0.7083333333321207</v>
      </c>
      <c r="AB4123" s="236">
        <v>22.3</v>
      </c>
      <c r="AC4123" s="127">
        <f t="shared" si="79"/>
        <v>22</v>
      </c>
    </row>
    <row r="4124" ht="14.5" customHeight="1" spans="11:29" x14ac:dyDescent="0.25">
      <c r="K4124" s="128"/>
      <c r="X4124" s="234">
        <v>2022</v>
      </c>
      <c r="Y4124" s="234">
        <v>6</v>
      </c>
      <c r="Z4124" s="234">
        <v>21</v>
      </c>
      <c r="AA4124" s="235">
        <v>0.75</v>
      </c>
      <c r="AB4124" s="236">
        <v>21.5</v>
      </c>
      <c r="AC4124" s="127">
        <f t="shared" si="79"/>
        <v>22</v>
      </c>
    </row>
    <row r="4125" ht="14.5" customHeight="1" spans="11:29" x14ac:dyDescent="0.25">
      <c r="K4125" s="128"/>
      <c r="X4125" s="234">
        <v>2022</v>
      </c>
      <c r="Y4125" s="234">
        <v>6</v>
      </c>
      <c r="Z4125" s="234">
        <v>21</v>
      </c>
      <c r="AA4125" s="235">
        <v>0.7916666666678793</v>
      </c>
      <c r="AB4125" s="236">
        <v>20.8</v>
      </c>
      <c r="AC4125" s="127">
        <f t="shared" si="79"/>
        <v>21</v>
      </c>
    </row>
    <row r="4126" ht="14.5" customHeight="1" spans="11:29" x14ac:dyDescent="0.25">
      <c r="K4126" s="128"/>
      <c r="X4126" s="234">
        <v>2022</v>
      </c>
      <c r="Y4126" s="234">
        <v>6</v>
      </c>
      <c r="Z4126" s="234">
        <v>21</v>
      </c>
      <c r="AA4126" s="235">
        <v>0.8333333333321207</v>
      </c>
      <c r="AB4126" s="236">
        <v>18.9</v>
      </c>
      <c r="AC4126" s="127">
        <f t="shared" si="79"/>
        <v>19</v>
      </c>
    </row>
    <row r="4127" ht="14.5" customHeight="1" spans="11:29" x14ac:dyDescent="0.25">
      <c r="K4127" s="128"/>
      <c r="X4127" s="234">
        <v>2022</v>
      </c>
      <c r="Y4127" s="234">
        <v>6</v>
      </c>
      <c r="Z4127" s="234">
        <v>21</v>
      </c>
      <c r="AA4127" s="235">
        <v>0.875</v>
      </c>
      <c r="AB4127" s="236">
        <v>17.1</v>
      </c>
      <c r="AC4127" s="127">
        <f t="shared" si="79"/>
        <v>17</v>
      </c>
    </row>
    <row r="4128" ht="14.5" customHeight="1" spans="11:29" x14ac:dyDescent="0.25">
      <c r="K4128" s="128"/>
      <c r="X4128" s="234">
        <v>2022</v>
      </c>
      <c r="Y4128" s="234">
        <v>6</v>
      </c>
      <c r="Z4128" s="234">
        <v>21</v>
      </c>
      <c r="AA4128" s="235">
        <v>0.9166666666678793</v>
      </c>
      <c r="AB4128" s="236">
        <v>17.5</v>
      </c>
      <c r="AC4128" s="127">
        <f t="shared" si="79"/>
        <v>18</v>
      </c>
    </row>
    <row r="4129" ht="14.5" customHeight="1" spans="11:29" x14ac:dyDescent="0.25">
      <c r="K4129" s="128"/>
      <c r="X4129" s="234">
        <v>2022</v>
      </c>
      <c r="Y4129" s="234">
        <v>6</v>
      </c>
      <c r="Z4129" s="234">
        <v>21</v>
      </c>
      <c r="AA4129" s="235">
        <v>0.9583333333321207</v>
      </c>
      <c r="AB4129" s="236">
        <v>16.6</v>
      </c>
      <c r="AC4129" s="127">
        <f t="shared" si="79"/>
        <v>17</v>
      </c>
    </row>
    <row r="4130" ht="14.5" customHeight="1" spans="11:29" x14ac:dyDescent="0.25">
      <c r="K4130" s="128"/>
      <c r="X4130" s="234">
        <v>2022</v>
      </c>
      <c r="Y4130" s="234">
        <v>6</v>
      </c>
      <c r="Z4130" s="234">
        <v>22</v>
      </c>
      <c r="AA4130" s="235">
        <v>0</v>
      </c>
      <c r="AB4130" s="236">
        <v>15.8</v>
      </c>
      <c r="AC4130" s="127">
        <f t="shared" si="79"/>
        <v>16</v>
      </c>
    </row>
    <row r="4131" ht="14.5" customHeight="1" spans="11:29" x14ac:dyDescent="0.25">
      <c r="K4131" s="128"/>
      <c r="X4131" s="234">
        <v>2022</v>
      </c>
      <c r="Y4131" s="234">
        <v>6</v>
      </c>
      <c r="Z4131" s="234">
        <v>22</v>
      </c>
      <c r="AA4131" s="235">
        <v>0.041666666667879326</v>
      </c>
      <c r="AB4131" s="236">
        <v>15.5</v>
      </c>
      <c r="AC4131" s="127">
        <f t="shared" si="79"/>
        <v>16</v>
      </c>
    </row>
    <row r="4132" ht="14.5" customHeight="1" spans="11:29" x14ac:dyDescent="0.25">
      <c r="K4132" s="128"/>
      <c r="X4132" s="234">
        <v>2022</v>
      </c>
      <c r="Y4132" s="234">
        <v>6</v>
      </c>
      <c r="Z4132" s="234">
        <v>22</v>
      </c>
      <c r="AA4132" s="235">
        <v>0.08333333333212067</v>
      </c>
      <c r="AB4132" s="236">
        <v>15.7</v>
      </c>
      <c r="AC4132" s="127">
        <f t="shared" si="79"/>
        <v>16</v>
      </c>
    </row>
    <row r="4133" ht="14.5" customHeight="1" spans="11:29" x14ac:dyDescent="0.25">
      <c r="K4133" s="128"/>
      <c r="X4133" s="234">
        <v>2022</v>
      </c>
      <c r="Y4133" s="234">
        <v>6</v>
      </c>
      <c r="Z4133" s="234">
        <v>22</v>
      </c>
      <c r="AA4133" s="235">
        <v>0.125</v>
      </c>
      <c r="AB4133" s="236">
        <v>17</v>
      </c>
      <c r="AC4133" s="127">
        <f t="shared" si="79"/>
        <v>17</v>
      </c>
    </row>
    <row r="4134" ht="14.5" customHeight="1" spans="11:29" x14ac:dyDescent="0.25">
      <c r="K4134" s="128"/>
      <c r="X4134" s="234">
        <v>2022</v>
      </c>
      <c r="Y4134" s="234">
        <v>6</v>
      </c>
      <c r="Z4134" s="234">
        <v>22</v>
      </c>
      <c r="AA4134" s="235">
        <v>0.16666666666787933</v>
      </c>
      <c r="AB4134" s="236">
        <v>14.8</v>
      </c>
      <c r="AC4134" s="127">
        <f t="shared" si="79"/>
        <v>15</v>
      </c>
    </row>
    <row r="4135" ht="14.5" customHeight="1" spans="11:29" x14ac:dyDescent="0.25">
      <c r="K4135" s="128"/>
      <c r="X4135" s="234">
        <v>2022</v>
      </c>
      <c r="Y4135" s="234">
        <v>6</v>
      </c>
      <c r="Z4135" s="234">
        <v>22</v>
      </c>
      <c r="AA4135" s="235">
        <v>0.20833333333212067</v>
      </c>
      <c r="AB4135" s="236">
        <v>14.8</v>
      </c>
      <c r="AC4135" s="127">
        <f t="shared" si="79"/>
        <v>15</v>
      </c>
    </row>
    <row r="4136" ht="14.5" customHeight="1" spans="11:29" x14ac:dyDescent="0.25">
      <c r="K4136" s="128"/>
      <c r="X4136" s="234">
        <v>2022</v>
      </c>
      <c r="Y4136" s="234">
        <v>6</v>
      </c>
      <c r="Z4136" s="234">
        <v>22</v>
      </c>
      <c r="AA4136" s="235">
        <v>0.25</v>
      </c>
      <c r="AB4136" s="236">
        <v>16.1</v>
      </c>
      <c r="AC4136" s="127">
        <f t="shared" si="79"/>
        <v>16</v>
      </c>
    </row>
    <row r="4137" ht="14.5" customHeight="1" spans="11:29" x14ac:dyDescent="0.25">
      <c r="K4137" s="128"/>
      <c r="X4137" s="234">
        <v>2022</v>
      </c>
      <c r="Y4137" s="234">
        <v>6</v>
      </c>
      <c r="Z4137" s="234">
        <v>22</v>
      </c>
      <c r="AA4137" s="235">
        <v>0.2916666666678793</v>
      </c>
      <c r="AB4137" s="236">
        <v>17.8</v>
      </c>
      <c r="AC4137" s="127">
        <f t="shared" si="79"/>
        <v>18</v>
      </c>
    </row>
    <row r="4138" ht="14.5" customHeight="1" spans="11:29" x14ac:dyDescent="0.25">
      <c r="K4138" s="128"/>
      <c r="X4138" s="234">
        <v>2022</v>
      </c>
      <c r="Y4138" s="234">
        <v>6</v>
      </c>
      <c r="Z4138" s="234">
        <v>22</v>
      </c>
      <c r="AA4138" s="235">
        <v>0.3333333333321207</v>
      </c>
      <c r="AB4138" s="236">
        <v>19.6</v>
      </c>
      <c r="AC4138" s="127">
        <f t="shared" si="79"/>
        <v>20</v>
      </c>
    </row>
    <row r="4139" ht="14.5" customHeight="1" spans="11:29" x14ac:dyDescent="0.25">
      <c r="K4139" s="128"/>
      <c r="X4139" s="234">
        <v>2022</v>
      </c>
      <c r="Y4139" s="234">
        <v>6</v>
      </c>
      <c r="Z4139" s="234">
        <v>22</v>
      </c>
      <c r="AA4139" s="235">
        <v>0.375</v>
      </c>
      <c r="AB4139" s="236">
        <v>20.2</v>
      </c>
      <c r="AC4139" s="127">
        <f t="shared" si="79"/>
        <v>20</v>
      </c>
    </row>
    <row r="4140" ht="14.5" customHeight="1" spans="11:29" x14ac:dyDescent="0.25">
      <c r="K4140" s="128"/>
      <c r="X4140" s="234">
        <v>2022</v>
      </c>
      <c r="Y4140" s="234">
        <v>6</v>
      </c>
      <c r="Z4140" s="234">
        <v>22</v>
      </c>
      <c r="AA4140" s="235">
        <v>0.4166666666678793</v>
      </c>
      <c r="AB4140" s="236">
        <v>21</v>
      </c>
      <c r="AC4140" s="127">
        <f t="shared" si="79"/>
        <v>21</v>
      </c>
    </row>
    <row r="4141" ht="14.5" customHeight="1" spans="11:29" x14ac:dyDescent="0.25">
      <c r="K4141" s="128"/>
      <c r="X4141" s="234">
        <v>2022</v>
      </c>
      <c r="Y4141" s="234">
        <v>6</v>
      </c>
      <c r="Z4141" s="234">
        <v>22</v>
      </c>
      <c r="AA4141" s="235">
        <v>0.4583333333321207</v>
      </c>
      <c r="AB4141" s="236">
        <v>22.4</v>
      </c>
      <c r="AC4141" s="127">
        <f t="shared" si="79"/>
        <v>22</v>
      </c>
    </row>
    <row r="4142" ht="14.5" customHeight="1" spans="11:29" x14ac:dyDescent="0.25">
      <c r="K4142" s="128"/>
      <c r="X4142" s="234">
        <v>2022</v>
      </c>
      <c r="Y4142" s="234">
        <v>6</v>
      </c>
      <c r="Z4142" s="234">
        <v>22</v>
      </c>
      <c r="AA4142" s="235">
        <v>0.5</v>
      </c>
      <c r="AB4142" s="236">
        <v>23.7</v>
      </c>
      <c r="AC4142" s="127">
        <f t="shared" si="79"/>
        <v>24</v>
      </c>
    </row>
    <row r="4143" ht="14.5" customHeight="1" spans="11:29" x14ac:dyDescent="0.25">
      <c r="K4143" s="128"/>
      <c r="X4143" s="234">
        <v>2022</v>
      </c>
      <c r="Y4143" s="234">
        <v>6</v>
      </c>
      <c r="Z4143" s="234">
        <v>22</v>
      </c>
      <c r="AA4143" s="235">
        <v>0.5416666666678793</v>
      </c>
      <c r="AB4143" s="236">
        <v>23.6</v>
      </c>
      <c r="AC4143" s="127">
        <f t="shared" si="79"/>
        <v>24</v>
      </c>
    </row>
    <row r="4144" ht="14.5" customHeight="1" spans="11:29" x14ac:dyDescent="0.25">
      <c r="K4144" s="128"/>
      <c r="X4144" s="234">
        <v>2022</v>
      </c>
      <c r="Y4144" s="234">
        <v>6</v>
      </c>
      <c r="Z4144" s="234">
        <v>22</v>
      </c>
      <c r="AA4144" s="235">
        <v>0.5833333333321207</v>
      </c>
      <c r="AB4144" s="236">
        <v>23.8</v>
      </c>
      <c r="AC4144" s="127">
        <f t="shared" si="79"/>
        <v>24</v>
      </c>
    </row>
    <row r="4145" ht="14.5" customHeight="1" spans="11:29" x14ac:dyDescent="0.25">
      <c r="K4145" s="128"/>
      <c r="X4145" s="234">
        <v>2022</v>
      </c>
      <c r="Y4145" s="234">
        <v>6</v>
      </c>
      <c r="Z4145" s="234">
        <v>22</v>
      </c>
      <c r="AA4145" s="235">
        <v>0.625</v>
      </c>
      <c r="AB4145" s="236">
        <v>23.2</v>
      </c>
      <c r="AC4145" s="127">
        <f t="shared" si="79"/>
        <v>23</v>
      </c>
    </row>
    <row r="4146" ht="14.5" customHeight="1" spans="11:29" x14ac:dyDescent="0.25">
      <c r="K4146" s="128"/>
      <c r="X4146" s="234">
        <v>2022</v>
      </c>
      <c r="Y4146" s="234">
        <v>6</v>
      </c>
      <c r="Z4146" s="234">
        <v>22</v>
      </c>
      <c r="AA4146" s="235">
        <v>0.6666666666678793</v>
      </c>
      <c r="AB4146" s="236">
        <v>23.8</v>
      </c>
      <c r="AC4146" s="127">
        <f t="shared" si="79"/>
        <v>24</v>
      </c>
    </row>
    <row r="4147" ht="14.5" customHeight="1" spans="11:29" x14ac:dyDescent="0.25">
      <c r="K4147" s="128"/>
      <c r="X4147" s="234">
        <v>2022</v>
      </c>
      <c r="Y4147" s="234">
        <v>6</v>
      </c>
      <c r="Z4147" s="234">
        <v>22</v>
      </c>
      <c r="AA4147" s="235">
        <v>0.7083333333321207</v>
      </c>
      <c r="AB4147" s="236">
        <v>18.1</v>
      </c>
      <c r="AC4147" s="127">
        <f t="shared" si="79"/>
        <v>18</v>
      </c>
    </row>
    <row r="4148" ht="14.5" customHeight="1" spans="11:29" x14ac:dyDescent="0.25">
      <c r="K4148" s="128"/>
      <c r="X4148" s="234">
        <v>2022</v>
      </c>
      <c r="Y4148" s="234">
        <v>6</v>
      </c>
      <c r="Z4148" s="234">
        <v>22</v>
      </c>
      <c r="AA4148" s="235">
        <v>0.75</v>
      </c>
      <c r="AB4148" s="236">
        <v>16.4</v>
      </c>
      <c r="AC4148" s="127">
        <f t="shared" si="79"/>
        <v>16</v>
      </c>
    </row>
    <row r="4149" ht="14.5" customHeight="1" spans="11:29" x14ac:dyDescent="0.25">
      <c r="K4149" s="128"/>
      <c r="X4149" s="234">
        <v>2022</v>
      </c>
      <c r="Y4149" s="234">
        <v>6</v>
      </c>
      <c r="Z4149" s="234">
        <v>22</v>
      </c>
      <c r="AA4149" s="235">
        <v>0.7916666666678793</v>
      </c>
      <c r="AB4149" s="236">
        <v>15.2</v>
      </c>
      <c r="AC4149" s="127">
        <f t="shared" si="79"/>
        <v>15</v>
      </c>
    </row>
    <row r="4150" ht="14.5" customHeight="1" spans="11:29" x14ac:dyDescent="0.25">
      <c r="K4150" s="128"/>
      <c r="X4150" s="234">
        <v>2022</v>
      </c>
      <c r="Y4150" s="234">
        <v>6</v>
      </c>
      <c r="Z4150" s="234">
        <v>22</v>
      </c>
      <c r="AA4150" s="235">
        <v>0.8333333333321207</v>
      </c>
      <c r="AB4150" s="236">
        <v>13.9</v>
      </c>
      <c r="AC4150" s="127">
        <f t="shared" si="79"/>
        <v>14</v>
      </c>
    </row>
    <row r="4151" ht="14.5" customHeight="1" spans="11:29" x14ac:dyDescent="0.25">
      <c r="K4151" s="128"/>
      <c r="X4151" s="234">
        <v>2022</v>
      </c>
      <c r="Y4151" s="234">
        <v>6</v>
      </c>
      <c r="Z4151" s="234">
        <v>22</v>
      </c>
      <c r="AA4151" s="235">
        <v>0.875</v>
      </c>
      <c r="AB4151" s="236">
        <v>12.4</v>
      </c>
      <c r="AC4151" s="127">
        <f t="shared" si="79"/>
        <v>12</v>
      </c>
    </row>
    <row r="4152" ht="14.5" customHeight="1" spans="11:29" x14ac:dyDescent="0.25">
      <c r="K4152" s="128"/>
      <c r="X4152" s="234">
        <v>2022</v>
      </c>
      <c r="Y4152" s="234">
        <v>6</v>
      </c>
      <c r="Z4152" s="234">
        <v>22</v>
      </c>
      <c r="AA4152" s="235">
        <v>0.9166666666678793</v>
      </c>
      <c r="AB4152" s="236">
        <v>10.8</v>
      </c>
      <c r="AC4152" s="127">
        <f t="shared" si="79"/>
        <v>11</v>
      </c>
    </row>
    <row r="4153" ht="14.5" customHeight="1" spans="11:29" x14ac:dyDescent="0.25">
      <c r="K4153" s="128"/>
      <c r="X4153" s="234">
        <v>2022</v>
      </c>
      <c r="Y4153" s="234">
        <v>6</v>
      </c>
      <c r="Z4153" s="234">
        <v>22</v>
      </c>
      <c r="AA4153" s="235">
        <v>0.9583333333321207</v>
      </c>
      <c r="AB4153" s="236">
        <v>11.6</v>
      </c>
      <c r="AC4153" s="127">
        <f t="shared" si="79"/>
        <v>12</v>
      </c>
    </row>
    <row r="4154" ht="14.5" customHeight="1" spans="11:29" x14ac:dyDescent="0.25">
      <c r="K4154" s="128"/>
      <c r="X4154" s="234">
        <v>2022</v>
      </c>
      <c r="Y4154" s="234">
        <v>6</v>
      </c>
      <c r="Z4154" s="234">
        <v>23</v>
      </c>
      <c r="AA4154" s="235">
        <v>0</v>
      </c>
      <c r="AB4154" s="236">
        <v>10.9</v>
      </c>
      <c r="AC4154" s="127">
        <f t="shared" si="79"/>
        <v>11</v>
      </c>
    </row>
    <row r="4155" ht="14.5" customHeight="1" spans="11:29" x14ac:dyDescent="0.25">
      <c r="K4155" s="128"/>
      <c r="X4155" s="234">
        <v>2022</v>
      </c>
      <c r="Y4155" s="234">
        <v>6</v>
      </c>
      <c r="Z4155" s="234">
        <v>23</v>
      </c>
      <c r="AA4155" s="235">
        <v>0.041666666667879326</v>
      </c>
      <c r="AB4155" s="236">
        <v>11.2</v>
      </c>
      <c r="AC4155" s="127">
        <f t="shared" si="79"/>
        <v>11</v>
      </c>
    </row>
    <row r="4156" ht="14.5" customHeight="1" spans="11:29" x14ac:dyDescent="0.25">
      <c r="K4156" s="128"/>
      <c r="X4156" s="234">
        <v>2022</v>
      </c>
      <c r="Y4156" s="234">
        <v>6</v>
      </c>
      <c r="Z4156" s="234">
        <v>23</v>
      </c>
      <c r="AA4156" s="235">
        <v>0.08333333333212067</v>
      </c>
      <c r="AB4156" s="236">
        <v>10.8</v>
      </c>
      <c r="AC4156" s="127">
        <f t="shared" si="79"/>
        <v>11</v>
      </c>
    </row>
    <row r="4157" ht="14.5" customHeight="1" spans="11:29" x14ac:dyDescent="0.25">
      <c r="K4157" s="128"/>
      <c r="X4157" s="234">
        <v>2022</v>
      </c>
      <c r="Y4157" s="234">
        <v>6</v>
      </c>
      <c r="Z4157" s="234">
        <v>23</v>
      </c>
      <c r="AA4157" s="235">
        <v>0.125</v>
      </c>
      <c r="AB4157" s="236">
        <v>10.6</v>
      </c>
      <c r="AC4157" s="127">
        <f t="shared" si="79"/>
        <v>11</v>
      </c>
    </row>
    <row r="4158" ht="14.5" customHeight="1" spans="11:29" x14ac:dyDescent="0.25">
      <c r="K4158" s="128"/>
      <c r="X4158" s="234">
        <v>2022</v>
      </c>
      <c r="Y4158" s="234">
        <v>6</v>
      </c>
      <c r="Z4158" s="234">
        <v>23</v>
      </c>
      <c r="AA4158" s="235">
        <v>0.16666666666787933</v>
      </c>
      <c r="AB4158" s="236">
        <v>9.6</v>
      </c>
      <c r="AC4158" s="127">
        <f t="shared" si="79"/>
        <v>10</v>
      </c>
    </row>
    <row r="4159" ht="14.5" customHeight="1" spans="11:29" x14ac:dyDescent="0.25">
      <c r="K4159" s="128"/>
      <c r="X4159" s="234">
        <v>2022</v>
      </c>
      <c r="Y4159" s="234">
        <v>6</v>
      </c>
      <c r="Z4159" s="234">
        <v>23</v>
      </c>
      <c r="AA4159" s="235">
        <v>0.20833333333212067</v>
      </c>
      <c r="AB4159" s="236">
        <v>10</v>
      </c>
      <c r="AC4159" s="127">
        <f t="shared" si="79"/>
        <v>10</v>
      </c>
    </row>
    <row r="4160" ht="14.5" customHeight="1" spans="11:29" x14ac:dyDescent="0.25">
      <c r="K4160" s="128"/>
      <c r="X4160" s="234">
        <v>2022</v>
      </c>
      <c r="Y4160" s="234">
        <v>6</v>
      </c>
      <c r="Z4160" s="234">
        <v>23</v>
      </c>
      <c r="AA4160" s="235">
        <v>0.25</v>
      </c>
      <c r="AB4160" s="236">
        <v>10.4</v>
      </c>
      <c r="AC4160" s="127">
        <f t="shared" si="79"/>
        <v>10</v>
      </c>
    </row>
    <row r="4161" ht="14.5" customHeight="1" spans="11:29" x14ac:dyDescent="0.25">
      <c r="K4161" s="128"/>
      <c r="X4161" s="234">
        <v>2022</v>
      </c>
      <c r="Y4161" s="234">
        <v>6</v>
      </c>
      <c r="Z4161" s="234">
        <v>23</v>
      </c>
      <c r="AA4161" s="235">
        <v>0.2916666666678793</v>
      </c>
      <c r="AB4161" s="236">
        <v>10.8</v>
      </c>
      <c r="AC4161" s="127">
        <f t="shared" si="79"/>
        <v>11</v>
      </c>
    </row>
    <row r="4162" ht="14.5" customHeight="1" spans="11:29" x14ac:dyDescent="0.25">
      <c r="K4162" s="128"/>
      <c r="X4162" s="234">
        <v>2022</v>
      </c>
      <c r="Y4162" s="234">
        <v>6</v>
      </c>
      <c r="Z4162" s="234">
        <v>23</v>
      </c>
      <c r="AA4162" s="235">
        <v>0.3333333333321207</v>
      </c>
      <c r="AB4162" s="236">
        <v>10.6</v>
      </c>
      <c r="AC4162" s="127">
        <f t="shared" si="79"/>
        <v>11</v>
      </c>
    </row>
    <row r="4163" ht="14.5" customHeight="1" spans="11:29" x14ac:dyDescent="0.25">
      <c r="K4163" s="128"/>
      <c r="X4163" s="234">
        <v>2022</v>
      </c>
      <c r="Y4163" s="234">
        <v>6</v>
      </c>
      <c r="Z4163" s="234">
        <v>23</v>
      </c>
      <c r="AA4163" s="235">
        <v>0.375</v>
      </c>
      <c r="AB4163" s="236">
        <v>7.3</v>
      </c>
      <c r="AC4163" s="127">
        <f t="shared" si="79"/>
        <v>7</v>
      </c>
    </row>
    <row r="4164" ht="14.5" customHeight="1" spans="11:29" x14ac:dyDescent="0.25">
      <c r="K4164" s="128"/>
      <c r="X4164" s="234">
        <v>2022</v>
      </c>
      <c r="Y4164" s="234">
        <v>6</v>
      </c>
      <c r="Z4164" s="234">
        <v>23</v>
      </c>
      <c r="AA4164" s="235">
        <v>0.4166666666678793</v>
      </c>
      <c r="AB4164" s="236">
        <v>10.1</v>
      </c>
      <c r="AC4164" s="127">
        <f t="shared" si="79"/>
        <v>10</v>
      </c>
    </row>
    <row r="4165" ht="14.5" customHeight="1" spans="11:29" x14ac:dyDescent="0.25">
      <c r="K4165" s="128"/>
      <c r="X4165" s="234">
        <v>2022</v>
      </c>
      <c r="Y4165" s="234">
        <v>6</v>
      </c>
      <c r="Z4165" s="234">
        <v>23</v>
      </c>
      <c r="AA4165" s="235">
        <v>0.4583333333321207</v>
      </c>
      <c r="AB4165" s="236">
        <v>10</v>
      </c>
      <c r="AC4165" s="127">
        <f t="shared" si="79"/>
        <v>10</v>
      </c>
    </row>
    <row r="4166" ht="14.5" customHeight="1" spans="11:29" x14ac:dyDescent="0.25">
      <c r="K4166" s="128"/>
      <c r="X4166" s="234">
        <v>2022</v>
      </c>
      <c r="Y4166" s="234">
        <v>6</v>
      </c>
      <c r="Z4166" s="234">
        <v>23</v>
      </c>
      <c r="AA4166" s="235">
        <v>0.5</v>
      </c>
      <c r="AB4166" s="236">
        <v>9.2</v>
      </c>
      <c r="AC4166" s="127">
        <f t="shared" si="79"/>
        <v>9</v>
      </c>
    </row>
    <row r="4167" ht="14.5" customHeight="1" spans="11:29" x14ac:dyDescent="0.25">
      <c r="K4167" s="128"/>
      <c r="X4167" s="234">
        <v>2022</v>
      </c>
      <c r="Y4167" s="234">
        <v>6</v>
      </c>
      <c r="Z4167" s="234">
        <v>23</v>
      </c>
      <c r="AA4167" s="235">
        <v>0.5416666666678793</v>
      </c>
      <c r="AB4167" s="236">
        <v>10.3</v>
      </c>
      <c r="AC4167" s="127">
        <f t="shared" si="79"/>
        <v>10</v>
      </c>
    </row>
    <row r="4168" ht="14.5" customHeight="1" spans="11:29" x14ac:dyDescent="0.25">
      <c r="K4168" s="128"/>
      <c r="X4168" s="234">
        <v>2022</v>
      </c>
      <c r="Y4168" s="234">
        <v>6</v>
      </c>
      <c r="Z4168" s="234">
        <v>23</v>
      </c>
      <c r="AA4168" s="235">
        <v>0.5833333333321207</v>
      </c>
      <c r="AB4168" s="236">
        <v>10.9</v>
      </c>
      <c r="AC4168" s="127">
        <f t="shared" si="79"/>
        <v>11</v>
      </c>
    </row>
    <row r="4169" ht="14.5" customHeight="1" spans="11:29" x14ac:dyDescent="0.25">
      <c r="K4169" s="128"/>
      <c r="X4169" s="234">
        <v>2022</v>
      </c>
      <c r="Y4169" s="234">
        <v>6</v>
      </c>
      <c r="Z4169" s="234">
        <v>23</v>
      </c>
      <c r="AA4169" s="235">
        <v>0.625</v>
      </c>
      <c r="AB4169" s="236">
        <v>10.4</v>
      </c>
      <c r="AC4169" s="127">
        <f t="shared" si="79"/>
        <v>10</v>
      </c>
    </row>
    <row r="4170" ht="14.5" customHeight="1" spans="11:29" x14ac:dyDescent="0.25">
      <c r="K4170" s="128"/>
      <c r="X4170" s="234">
        <v>2022</v>
      </c>
      <c r="Y4170" s="234">
        <v>6</v>
      </c>
      <c r="Z4170" s="234">
        <v>23</v>
      </c>
      <c r="AA4170" s="235">
        <v>0.6666666666678793</v>
      </c>
      <c r="AB4170" s="236">
        <v>11.6</v>
      </c>
      <c r="AC4170" s="127">
        <f t="shared" si="79"/>
        <v>12</v>
      </c>
    </row>
    <row r="4171" ht="14.5" customHeight="1" spans="11:29" x14ac:dyDescent="0.25">
      <c r="K4171" s="128"/>
      <c r="X4171" s="234">
        <v>2022</v>
      </c>
      <c r="Y4171" s="234">
        <v>6</v>
      </c>
      <c r="Z4171" s="234">
        <v>23</v>
      </c>
      <c r="AA4171" s="235">
        <v>0.7083333333321207</v>
      </c>
      <c r="AB4171" s="236">
        <v>10.9</v>
      </c>
      <c r="AC4171" s="127">
        <f t="shared" ref="AC4171:AC4234" si="80">ROUND(AB4171,0)</f>
        <v>11</v>
      </c>
    </row>
    <row r="4172" ht="14.5" customHeight="1" spans="11:29" x14ac:dyDescent="0.25">
      <c r="K4172" s="128"/>
      <c r="X4172" s="234">
        <v>2022</v>
      </c>
      <c r="Y4172" s="234">
        <v>6</v>
      </c>
      <c r="Z4172" s="234">
        <v>23</v>
      </c>
      <c r="AA4172" s="235">
        <v>0.75</v>
      </c>
      <c r="AB4172" s="236">
        <v>10.8</v>
      </c>
      <c r="AC4172" s="127">
        <f t="shared" si="80"/>
        <v>11</v>
      </c>
    </row>
    <row r="4173" ht="14.5" customHeight="1" spans="11:29" x14ac:dyDescent="0.25">
      <c r="K4173" s="128"/>
      <c r="X4173" s="234">
        <v>2022</v>
      </c>
      <c r="Y4173" s="234">
        <v>6</v>
      </c>
      <c r="Z4173" s="234">
        <v>23</v>
      </c>
      <c r="AA4173" s="235">
        <v>0.7916666666678793</v>
      </c>
      <c r="AB4173" s="236">
        <v>9.7</v>
      </c>
      <c r="AC4173" s="127">
        <f t="shared" si="80"/>
        <v>10</v>
      </c>
    </row>
    <row r="4174" ht="14.5" customHeight="1" spans="11:29" x14ac:dyDescent="0.25">
      <c r="K4174" s="128"/>
      <c r="X4174" s="234">
        <v>2022</v>
      </c>
      <c r="Y4174" s="234">
        <v>6</v>
      </c>
      <c r="Z4174" s="234">
        <v>23</v>
      </c>
      <c r="AA4174" s="235">
        <v>0.8333333333321207</v>
      </c>
      <c r="AB4174" s="236">
        <v>10.1</v>
      </c>
      <c r="AC4174" s="127">
        <f t="shared" si="80"/>
        <v>10</v>
      </c>
    </row>
    <row r="4175" ht="14.5" customHeight="1" spans="11:29" x14ac:dyDescent="0.25">
      <c r="K4175" s="128"/>
      <c r="X4175" s="234">
        <v>2022</v>
      </c>
      <c r="Y4175" s="234">
        <v>6</v>
      </c>
      <c r="Z4175" s="234">
        <v>23</v>
      </c>
      <c r="AA4175" s="235">
        <v>0.875</v>
      </c>
      <c r="AB4175" s="236">
        <v>9</v>
      </c>
      <c r="AC4175" s="127">
        <f t="shared" si="80"/>
        <v>9</v>
      </c>
    </row>
    <row r="4176" ht="14.5" customHeight="1" spans="11:29" x14ac:dyDescent="0.25">
      <c r="K4176" s="128"/>
      <c r="X4176" s="234">
        <v>2022</v>
      </c>
      <c r="Y4176" s="234">
        <v>6</v>
      </c>
      <c r="Z4176" s="234">
        <v>23</v>
      </c>
      <c r="AA4176" s="235">
        <v>0.9166666666678793</v>
      </c>
      <c r="AB4176" s="236">
        <v>8.3</v>
      </c>
      <c r="AC4176" s="127">
        <f t="shared" si="80"/>
        <v>8</v>
      </c>
    </row>
    <row r="4177" ht="14.5" customHeight="1" spans="11:29" x14ac:dyDescent="0.25">
      <c r="K4177" s="128"/>
      <c r="X4177" s="234">
        <v>2022</v>
      </c>
      <c r="Y4177" s="234">
        <v>6</v>
      </c>
      <c r="Z4177" s="234">
        <v>23</v>
      </c>
      <c r="AA4177" s="235">
        <v>0.9583333333321207</v>
      </c>
      <c r="AB4177" s="236">
        <v>8.2</v>
      </c>
      <c r="AC4177" s="127">
        <f t="shared" si="80"/>
        <v>8</v>
      </c>
    </row>
    <row r="4178" ht="14.5" customHeight="1" spans="11:29" x14ac:dyDescent="0.25">
      <c r="K4178" s="128"/>
      <c r="X4178" s="234">
        <v>2022</v>
      </c>
      <c r="Y4178" s="234">
        <v>6</v>
      </c>
      <c r="Z4178" s="234">
        <v>24</v>
      </c>
      <c r="AA4178" s="235">
        <v>0</v>
      </c>
      <c r="AB4178" s="236">
        <v>8.3</v>
      </c>
      <c r="AC4178" s="127">
        <f t="shared" si="80"/>
        <v>8</v>
      </c>
    </row>
    <row r="4179" ht="14.5" customHeight="1" spans="11:29" x14ac:dyDescent="0.25">
      <c r="K4179" s="128"/>
      <c r="X4179" s="234">
        <v>2022</v>
      </c>
      <c r="Y4179" s="234">
        <v>6</v>
      </c>
      <c r="Z4179" s="234">
        <v>24</v>
      </c>
      <c r="AA4179" s="235">
        <v>0.041666666667879326</v>
      </c>
      <c r="AB4179" s="236">
        <v>7.5</v>
      </c>
      <c r="AC4179" s="127">
        <f t="shared" si="80"/>
        <v>8</v>
      </c>
    </row>
    <row r="4180" ht="14.5" customHeight="1" spans="11:29" x14ac:dyDescent="0.25">
      <c r="K4180" s="128"/>
      <c r="X4180" s="234">
        <v>2022</v>
      </c>
      <c r="Y4180" s="234">
        <v>6</v>
      </c>
      <c r="Z4180" s="234">
        <v>24</v>
      </c>
      <c r="AA4180" s="235">
        <v>0.08333333333212067</v>
      </c>
      <c r="AB4180" s="236">
        <v>7.9</v>
      </c>
      <c r="AC4180" s="127">
        <f t="shared" si="80"/>
        <v>8</v>
      </c>
    </row>
    <row r="4181" ht="14.5" customHeight="1" spans="11:29" x14ac:dyDescent="0.25">
      <c r="K4181" s="128"/>
      <c r="X4181" s="234">
        <v>2022</v>
      </c>
      <c r="Y4181" s="234">
        <v>6</v>
      </c>
      <c r="Z4181" s="234">
        <v>24</v>
      </c>
      <c r="AA4181" s="235">
        <v>0.125</v>
      </c>
      <c r="AB4181" s="236">
        <v>7.2</v>
      </c>
      <c r="AC4181" s="127">
        <f t="shared" si="80"/>
        <v>7</v>
      </c>
    </row>
    <row r="4182" ht="14.5" customHeight="1" spans="11:29" x14ac:dyDescent="0.25">
      <c r="K4182" s="128"/>
      <c r="X4182" s="234">
        <v>2022</v>
      </c>
      <c r="Y4182" s="234">
        <v>6</v>
      </c>
      <c r="Z4182" s="234">
        <v>24</v>
      </c>
      <c r="AA4182" s="235">
        <v>0.16666666666787933</v>
      </c>
      <c r="AB4182" s="236">
        <v>7</v>
      </c>
      <c r="AC4182" s="127">
        <f t="shared" si="80"/>
        <v>7</v>
      </c>
    </row>
    <row r="4183" ht="14.5" customHeight="1" spans="11:29" x14ac:dyDescent="0.25">
      <c r="K4183" s="128"/>
      <c r="X4183" s="234">
        <v>2022</v>
      </c>
      <c r="Y4183" s="234">
        <v>6</v>
      </c>
      <c r="Z4183" s="234">
        <v>24</v>
      </c>
      <c r="AA4183" s="235">
        <v>0.20833333333212067</v>
      </c>
      <c r="AB4183" s="236">
        <v>7.7</v>
      </c>
      <c r="AC4183" s="127">
        <f t="shared" si="80"/>
        <v>8</v>
      </c>
    </row>
    <row r="4184" ht="14.5" customHeight="1" spans="11:29" x14ac:dyDescent="0.25">
      <c r="K4184" s="128"/>
      <c r="X4184" s="234">
        <v>2022</v>
      </c>
      <c r="Y4184" s="234">
        <v>6</v>
      </c>
      <c r="Z4184" s="234">
        <v>24</v>
      </c>
      <c r="AA4184" s="235">
        <v>0.25</v>
      </c>
      <c r="AB4184" s="236">
        <v>8.1</v>
      </c>
      <c r="AC4184" s="127">
        <f t="shared" si="80"/>
        <v>8</v>
      </c>
    </row>
    <row r="4185" ht="14.5" customHeight="1" spans="11:29" x14ac:dyDescent="0.25">
      <c r="K4185" s="128"/>
      <c r="X4185" s="234">
        <v>2022</v>
      </c>
      <c r="Y4185" s="234">
        <v>6</v>
      </c>
      <c r="Z4185" s="234">
        <v>24</v>
      </c>
      <c r="AA4185" s="235">
        <v>0.2916666666678793</v>
      </c>
      <c r="AB4185" s="236">
        <v>8.2</v>
      </c>
      <c r="AC4185" s="127">
        <f t="shared" si="80"/>
        <v>8</v>
      </c>
    </row>
    <row r="4186" ht="14.5" customHeight="1" spans="11:29" x14ac:dyDescent="0.25">
      <c r="K4186" s="128"/>
      <c r="X4186" s="234">
        <v>2022</v>
      </c>
      <c r="Y4186" s="234">
        <v>6</v>
      </c>
      <c r="Z4186" s="234">
        <v>24</v>
      </c>
      <c r="AA4186" s="235">
        <v>0.3333333333321207</v>
      </c>
      <c r="AB4186" s="236">
        <v>8.3</v>
      </c>
      <c r="AC4186" s="127">
        <f t="shared" si="80"/>
        <v>8</v>
      </c>
    </row>
    <row r="4187" ht="14.5" customHeight="1" spans="11:29" x14ac:dyDescent="0.25">
      <c r="K4187" s="128"/>
      <c r="X4187" s="234">
        <v>2022</v>
      </c>
      <c r="Y4187" s="234">
        <v>6</v>
      </c>
      <c r="Z4187" s="234">
        <v>24</v>
      </c>
      <c r="AA4187" s="235">
        <v>0.375</v>
      </c>
      <c r="AB4187" s="236">
        <v>8.5</v>
      </c>
      <c r="AC4187" s="127">
        <f t="shared" si="80"/>
        <v>9</v>
      </c>
    </row>
    <row r="4188" ht="14.5" customHeight="1" spans="11:29" x14ac:dyDescent="0.25">
      <c r="K4188" s="128"/>
      <c r="X4188" s="234">
        <v>2022</v>
      </c>
      <c r="Y4188" s="234">
        <v>6</v>
      </c>
      <c r="Z4188" s="234">
        <v>24</v>
      </c>
      <c r="AA4188" s="235">
        <v>0.4166666666678793</v>
      </c>
      <c r="AB4188" s="236">
        <v>8.7</v>
      </c>
      <c r="AC4188" s="127">
        <f t="shared" si="80"/>
        <v>9</v>
      </c>
    </row>
    <row r="4189" ht="14.5" customHeight="1" spans="11:29" x14ac:dyDescent="0.25">
      <c r="K4189" s="128"/>
      <c r="X4189" s="234">
        <v>2022</v>
      </c>
      <c r="Y4189" s="234">
        <v>6</v>
      </c>
      <c r="Z4189" s="234">
        <v>24</v>
      </c>
      <c r="AA4189" s="235">
        <v>0.4583333333321207</v>
      </c>
      <c r="AB4189" s="236">
        <v>11.4</v>
      </c>
      <c r="AC4189" s="127">
        <f t="shared" si="80"/>
        <v>11</v>
      </c>
    </row>
    <row r="4190" ht="14.5" customHeight="1" spans="11:29" x14ac:dyDescent="0.25">
      <c r="K4190" s="128"/>
      <c r="X4190" s="234">
        <v>2022</v>
      </c>
      <c r="Y4190" s="234">
        <v>6</v>
      </c>
      <c r="Z4190" s="234">
        <v>24</v>
      </c>
      <c r="AA4190" s="235">
        <v>0.5</v>
      </c>
      <c r="AB4190" s="236">
        <v>10.7</v>
      </c>
      <c r="AC4190" s="127">
        <f t="shared" si="80"/>
        <v>11</v>
      </c>
    </row>
    <row r="4191" ht="14.5" customHeight="1" spans="11:29" x14ac:dyDescent="0.25">
      <c r="K4191" s="128"/>
      <c r="X4191" s="234">
        <v>2022</v>
      </c>
      <c r="Y4191" s="234">
        <v>6</v>
      </c>
      <c r="Z4191" s="234">
        <v>24</v>
      </c>
      <c r="AA4191" s="235">
        <v>0.5416666666678793</v>
      </c>
      <c r="AB4191" s="236">
        <v>12.2</v>
      </c>
      <c r="AC4191" s="127">
        <f t="shared" si="80"/>
        <v>12</v>
      </c>
    </row>
    <row r="4192" ht="14.5" customHeight="1" spans="11:29" x14ac:dyDescent="0.25">
      <c r="K4192" s="128"/>
      <c r="X4192" s="234">
        <v>2022</v>
      </c>
      <c r="Y4192" s="234">
        <v>6</v>
      </c>
      <c r="Z4192" s="234">
        <v>24</v>
      </c>
      <c r="AA4192" s="235">
        <v>0.5833333333321207</v>
      </c>
      <c r="AB4192" s="236">
        <v>10.9</v>
      </c>
      <c r="AC4192" s="127">
        <f t="shared" si="80"/>
        <v>11</v>
      </c>
    </row>
    <row r="4193" ht="14.5" customHeight="1" spans="11:29" x14ac:dyDescent="0.25">
      <c r="K4193" s="128"/>
      <c r="X4193" s="234">
        <v>2022</v>
      </c>
      <c r="Y4193" s="234">
        <v>6</v>
      </c>
      <c r="Z4193" s="234">
        <v>24</v>
      </c>
      <c r="AA4193" s="235">
        <v>0.625</v>
      </c>
      <c r="AB4193" s="236">
        <v>13.1</v>
      </c>
      <c r="AC4193" s="127">
        <f t="shared" si="80"/>
        <v>13</v>
      </c>
    </row>
    <row r="4194" ht="14.5" customHeight="1" spans="11:29" x14ac:dyDescent="0.25">
      <c r="K4194" s="128"/>
      <c r="X4194" s="234">
        <v>2022</v>
      </c>
      <c r="Y4194" s="234">
        <v>6</v>
      </c>
      <c r="Z4194" s="234">
        <v>24</v>
      </c>
      <c r="AA4194" s="235">
        <v>0.6666666666678793</v>
      </c>
      <c r="AB4194" s="236">
        <v>13.7</v>
      </c>
      <c r="AC4194" s="127">
        <f t="shared" si="80"/>
        <v>14</v>
      </c>
    </row>
    <row r="4195" ht="14.5" customHeight="1" spans="11:29" x14ac:dyDescent="0.25">
      <c r="K4195" s="128"/>
      <c r="X4195" s="234">
        <v>2022</v>
      </c>
      <c r="Y4195" s="234">
        <v>6</v>
      </c>
      <c r="Z4195" s="234">
        <v>24</v>
      </c>
      <c r="AA4195" s="235">
        <v>0.7083333333321207</v>
      </c>
      <c r="AB4195" s="236">
        <v>13.3</v>
      </c>
      <c r="AC4195" s="127">
        <f t="shared" si="80"/>
        <v>13</v>
      </c>
    </row>
    <row r="4196" ht="14.5" customHeight="1" spans="11:29" x14ac:dyDescent="0.25">
      <c r="K4196" s="128"/>
      <c r="X4196" s="234">
        <v>2022</v>
      </c>
      <c r="Y4196" s="234">
        <v>6</v>
      </c>
      <c r="Z4196" s="234">
        <v>24</v>
      </c>
      <c r="AA4196" s="235">
        <v>0.75</v>
      </c>
      <c r="AB4196" s="236">
        <v>12.9</v>
      </c>
      <c r="AC4196" s="127">
        <f t="shared" si="80"/>
        <v>13</v>
      </c>
    </row>
    <row r="4197" ht="14.5" customHeight="1" spans="11:29" x14ac:dyDescent="0.25">
      <c r="K4197" s="128"/>
      <c r="X4197" s="234">
        <v>2022</v>
      </c>
      <c r="Y4197" s="234">
        <v>6</v>
      </c>
      <c r="Z4197" s="234">
        <v>24</v>
      </c>
      <c r="AA4197" s="235">
        <v>0.7916666666678793</v>
      </c>
      <c r="AB4197" s="236">
        <v>13.1</v>
      </c>
      <c r="AC4197" s="127">
        <f t="shared" si="80"/>
        <v>13</v>
      </c>
    </row>
    <row r="4198" ht="14.5" customHeight="1" spans="11:29" x14ac:dyDescent="0.25">
      <c r="K4198" s="128"/>
      <c r="X4198" s="234">
        <v>2022</v>
      </c>
      <c r="Y4198" s="234">
        <v>6</v>
      </c>
      <c r="Z4198" s="234">
        <v>24</v>
      </c>
      <c r="AA4198" s="235">
        <v>0.8333333333321207</v>
      </c>
      <c r="AB4198" s="236">
        <v>11.8</v>
      </c>
      <c r="AC4198" s="127">
        <f t="shared" si="80"/>
        <v>12</v>
      </c>
    </row>
    <row r="4199" ht="14.5" customHeight="1" spans="11:29" x14ac:dyDescent="0.25">
      <c r="K4199" s="128"/>
      <c r="X4199" s="234">
        <v>2022</v>
      </c>
      <c r="Y4199" s="234">
        <v>6</v>
      </c>
      <c r="Z4199" s="234">
        <v>24</v>
      </c>
      <c r="AA4199" s="235">
        <v>0.875</v>
      </c>
      <c r="AB4199" s="236">
        <v>11.1</v>
      </c>
      <c r="AC4199" s="127">
        <f t="shared" si="80"/>
        <v>11</v>
      </c>
    </row>
    <row r="4200" ht="14.5" customHeight="1" spans="11:29" x14ac:dyDescent="0.25">
      <c r="K4200" s="128"/>
      <c r="X4200" s="234">
        <v>2022</v>
      </c>
      <c r="Y4200" s="234">
        <v>6</v>
      </c>
      <c r="Z4200" s="234">
        <v>24</v>
      </c>
      <c r="AA4200" s="235">
        <v>0.9166666666678793</v>
      </c>
      <c r="AB4200" s="236">
        <v>10</v>
      </c>
      <c r="AC4200" s="127">
        <f t="shared" si="80"/>
        <v>10</v>
      </c>
    </row>
    <row r="4201" ht="14.5" customHeight="1" spans="11:29" x14ac:dyDescent="0.25">
      <c r="K4201" s="128"/>
      <c r="X4201" s="234">
        <v>2022</v>
      </c>
      <c r="Y4201" s="234">
        <v>6</v>
      </c>
      <c r="Z4201" s="234">
        <v>24</v>
      </c>
      <c r="AA4201" s="235">
        <v>0.9583333333321207</v>
      </c>
      <c r="AB4201" s="236">
        <v>9.5</v>
      </c>
      <c r="AC4201" s="127">
        <f t="shared" si="80"/>
        <v>10</v>
      </c>
    </row>
    <row r="4202" ht="14.5" customHeight="1" spans="11:29" x14ac:dyDescent="0.25">
      <c r="K4202" s="128"/>
      <c r="X4202" s="234">
        <v>2022</v>
      </c>
      <c r="Y4202" s="234">
        <v>6</v>
      </c>
      <c r="Z4202" s="234">
        <v>25</v>
      </c>
      <c r="AA4202" s="235">
        <v>0</v>
      </c>
      <c r="AB4202" s="236">
        <v>8.9</v>
      </c>
      <c r="AC4202" s="127">
        <f t="shared" si="80"/>
        <v>9</v>
      </c>
    </row>
    <row r="4203" ht="14.5" customHeight="1" spans="11:29" x14ac:dyDescent="0.25">
      <c r="K4203" s="128"/>
      <c r="X4203" s="234">
        <v>2022</v>
      </c>
      <c r="Y4203" s="234">
        <v>6</v>
      </c>
      <c r="Z4203" s="234">
        <v>25</v>
      </c>
      <c r="AA4203" s="235">
        <v>0.041666666667879326</v>
      </c>
      <c r="AB4203" s="236">
        <v>8.9</v>
      </c>
      <c r="AC4203" s="127">
        <f t="shared" si="80"/>
        <v>9</v>
      </c>
    </row>
    <row r="4204" ht="14.5" customHeight="1" spans="11:29" x14ac:dyDescent="0.25">
      <c r="K4204" s="128"/>
      <c r="X4204" s="234">
        <v>2022</v>
      </c>
      <c r="Y4204" s="234">
        <v>6</v>
      </c>
      <c r="Z4204" s="234">
        <v>25</v>
      </c>
      <c r="AA4204" s="235">
        <v>0.08333333333212067</v>
      </c>
      <c r="AB4204" s="236">
        <v>9.1</v>
      </c>
      <c r="AC4204" s="127">
        <f t="shared" si="80"/>
        <v>9</v>
      </c>
    </row>
    <row r="4205" ht="14.5" customHeight="1" spans="11:29" x14ac:dyDescent="0.25">
      <c r="K4205" s="128"/>
      <c r="X4205" s="234">
        <v>2022</v>
      </c>
      <c r="Y4205" s="234">
        <v>6</v>
      </c>
      <c r="Z4205" s="234">
        <v>25</v>
      </c>
      <c r="AA4205" s="235">
        <v>0.125</v>
      </c>
      <c r="AB4205" s="236">
        <v>8.4</v>
      </c>
      <c r="AC4205" s="127">
        <f t="shared" si="80"/>
        <v>8</v>
      </c>
    </row>
    <row r="4206" ht="14.5" customHeight="1" spans="11:29" x14ac:dyDescent="0.25">
      <c r="K4206" s="128"/>
      <c r="X4206" s="234">
        <v>2022</v>
      </c>
      <c r="Y4206" s="234">
        <v>6</v>
      </c>
      <c r="Z4206" s="234">
        <v>25</v>
      </c>
      <c r="AA4206" s="235">
        <v>0.16666666666787933</v>
      </c>
      <c r="AB4206" s="236">
        <v>7.6</v>
      </c>
      <c r="AC4206" s="127">
        <f t="shared" si="80"/>
        <v>8</v>
      </c>
    </row>
    <row r="4207" ht="14.5" customHeight="1" spans="11:29" x14ac:dyDescent="0.25">
      <c r="K4207" s="128"/>
      <c r="X4207" s="234">
        <v>2022</v>
      </c>
      <c r="Y4207" s="234">
        <v>6</v>
      </c>
      <c r="Z4207" s="234">
        <v>25</v>
      </c>
      <c r="AA4207" s="235">
        <v>0.20833333333212067</v>
      </c>
      <c r="AB4207" s="236">
        <v>6.4</v>
      </c>
      <c r="AC4207" s="127">
        <f t="shared" si="80"/>
        <v>6</v>
      </c>
    </row>
    <row r="4208" ht="14.5" customHeight="1" spans="11:29" x14ac:dyDescent="0.25">
      <c r="K4208" s="128"/>
      <c r="X4208" s="234">
        <v>2022</v>
      </c>
      <c r="Y4208" s="234">
        <v>6</v>
      </c>
      <c r="Z4208" s="234">
        <v>25</v>
      </c>
      <c r="AA4208" s="235">
        <v>0.25</v>
      </c>
      <c r="AB4208" s="236">
        <v>8.2</v>
      </c>
      <c r="AC4208" s="127">
        <f t="shared" si="80"/>
        <v>8</v>
      </c>
    </row>
    <row r="4209" ht="14.5" customHeight="1" spans="11:29" x14ac:dyDescent="0.25">
      <c r="K4209" s="128"/>
      <c r="X4209" s="234">
        <v>2022</v>
      </c>
      <c r="Y4209" s="234">
        <v>6</v>
      </c>
      <c r="Z4209" s="234">
        <v>25</v>
      </c>
      <c r="AA4209" s="235">
        <v>0.2916666666678793</v>
      </c>
      <c r="AB4209" s="236">
        <v>10.4</v>
      </c>
      <c r="AC4209" s="127">
        <f t="shared" si="80"/>
        <v>10</v>
      </c>
    </row>
    <row r="4210" ht="14.5" customHeight="1" spans="11:29" x14ac:dyDescent="0.25">
      <c r="K4210" s="128"/>
      <c r="X4210" s="234">
        <v>2022</v>
      </c>
      <c r="Y4210" s="234">
        <v>6</v>
      </c>
      <c r="Z4210" s="234">
        <v>25</v>
      </c>
      <c r="AA4210" s="235">
        <v>0.3333333333321207</v>
      </c>
      <c r="AB4210" s="236">
        <v>12.3</v>
      </c>
      <c r="AC4210" s="127">
        <f t="shared" si="80"/>
        <v>12</v>
      </c>
    </row>
    <row r="4211" ht="14.5" customHeight="1" spans="11:29" x14ac:dyDescent="0.25">
      <c r="K4211" s="128"/>
      <c r="X4211" s="234">
        <v>2022</v>
      </c>
      <c r="Y4211" s="234">
        <v>6</v>
      </c>
      <c r="Z4211" s="234">
        <v>25</v>
      </c>
      <c r="AA4211" s="235">
        <v>0.375</v>
      </c>
      <c r="AB4211" s="236">
        <v>13.5</v>
      </c>
      <c r="AC4211" s="127">
        <f t="shared" si="80"/>
        <v>14</v>
      </c>
    </row>
    <row r="4212" ht="14.5" customHeight="1" spans="11:29" x14ac:dyDescent="0.25">
      <c r="K4212" s="128"/>
      <c r="X4212" s="234">
        <v>2022</v>
      </c>
      <c r="Y4212" s="234">
        <v>6</v>
      </c>
      <c r="Z4212" s="234">
        <v>25</v>
      </c>
      <c r="AA4212" s="235">
        <v>0.4166666666678793</v>
      </c>
      <c r="AB4212" s="236">
        <v>14.5</v>
      </c>
      <c r="AC4212" s="127">
        <f t="shared" si="80"/>
        <v>15</v>
      </c>
    </row>
    <row r="4213" ht="14.5" customHeight="1" spans="11:29" x14ac:dyDescent="0.25">
      <c r="K4213" s="128"/>
      <c r="X4213" s="234">
        <v>2022</v>
      </c>
      <c r="Y4213" s="234">
        <v>6</v>
      </c>
      <c r="Z4213" s="234">
        <v>25</v>
      </c>
      <c r="AA4213" s="235">
        <v>0.4583333333321207</v>
      </c>
      <c r="AB4213" s="236">
        <v>15.1</v>
      </c>
      <c r="AC4213" s="127">
        <f t="shared" si="80"/>
        <v>15</v>
      </c>
    </row>
    <row r="4214" ht="14.5" customHeight="1" spans="11:29" x14ac:dyDescent="0.25">
      <c r="K4214" s="128"/>
      <c r="X4214" s="234">
        <v>2022</v>
      </c>
      <c r="Y4214" s="234">
        <v>6</v>
      </c>
      <c r="Z4214" s="234">
        <v>25</v>
      </c>
      <c r="AA4214" s="235">
        <v>0.5</v>
      </c>
      <c r="AB4214" s="236">
        <v>16.1</v>
      </c>
      <c r="AC4214" s="127">
        <f t="shared" si="80"/>
        <v>16</v>
      </c>
    </row>
    <row r="4215" ht="14.5" customHeight="1" spans="11:29" x14ac:dyDescent="0.25">
      <c r="K4215" s="128"/>
      <c r="X4215" s="234">
        <v>2022</v>
      </c>
      <c r="Y4215" s="234">
        <v>6</v>
      </c>
      <c r="Z4215" s="234">
        <v>25</v>
      </c>
      <c r="AA4215" s="235">
        <v>0.5416666666678793</v>
      </c>
      <c r="AB4215" s="236">
        <v>16.6</v>
      </c>
      <c r="AC4215" s="127">
        <f t="shared" si="80"/>
        <v>17</v>
      </c>
    </row>
    <row r="4216" ht="14.5" customHeight="1" spans="11:29" x14ac:dyDescent="0.25">
      <c r="K4216" s="128"/>
      <c r="X4216" s="234">
        <v>2022</v>
      </c>
      <c r="Y4216" s="234">
        <v>6</v>
      </c>
      <c r="Z4216" s="234">
        <v>25</v>
      </c>
      <c r="AA4216" s="235">
        <v>0.5833333333321207</v>
      </c>
      <c r="AB4216" s="236">
        <v>17.6</v>
      </c>
      <c r="AC4216" s="127">
        <f t="shared" si="80"/>
        <v>18</v>
      </c>
    </row>
    <row r="4217" ht="14.5" customHeight="1" spans="11:29" x14ac:dyDescent="0.25">
      <c r="K4217" s="128"/>
      <c r="X4217" s="234">
        <v>2022</v>
      </c>
      <c r="Y4217" s="234">
        <v>6</v>
      </c>
      <c r="Z4217" s="234">
        <v>25</v>
      </c>
      <c r="AA4217" s="235">
        <v>0.625</v>
      </c>
      <c r="AB4217" s="236">
        <v>18.2</v>
      </c>
      <c r="AC4217" s="127">
        <f t="shared" si="80"/>
        <v>18</v>
      </c>
    </row>
    <row r="4218" ht="14.5" customHeight="1" spans="11:29" x14ac:dyDescent="0.25">
      <c r="K4218" s="128"/>
      <c r="X4218" s="234">
        <v>2022</v>
      </c>
      <c r="Y4218" s="234">
        <v>6</v>
      </c>
      <c r="Z4218" s="234">
        <v>25</v>
      </c>
      <c r="AA4218" s="235">
        <v>0.6666666666678793</v>
      </c>
      <c r="AB4218" s="236">
        <v>18.3</v>
      </c>
      <c r="AC4218" s="127">
        <f t="shared" si="80"/>
        <v>18</v>
      </c>
    </row>
    <row r="4219" ht="14.5" customHeight="1" spans="11:29" x14ac:dyDescent="0.25">
      <c r="K4219" s="128"/>
      <c r="X4219" s="234">
        <v>2022</v>
      </c>
      <c r="Y4219" s="234">
        <v>6</v>
      </c>
      <c r="Z4219" s="234">
        <v>25</v>
      </c>
      <c r="AA4219" s="235">
        <v>0.7083333333321207</v>
      </c>
      <c r="AB4219" s="236">
        <v>18.7</v>
      </c>
      <c r="AC4219" s="127">
        <f t="shared" si="80"/>
        <v>19</v>
      </c>
    </row>
    <row r="4220" ht="14.5" customHeight="1" spans="11:29" x14ac:dyDescent="0.25">
      <c r="K4220" s="128"/>
      <c r="X4220" s="234">
        <v>2022</v>
      </c>
      <c r="Y4220" s="234">
        <v>6</v>
      </c>
      <c r="Z4220" s="234">
        <v>25</v>
      </c>
      <c r="AA4220" s="235">
        <v>0.75</v>
      </c>
      <c r="AB4220" s="236">
        <v>18.3</v>
      </c>
      <c r="AC4220" s="127">
        <f t="shared" si="80"/>
        <v>18</v>
      </c>
    </row>
    <row r="4221" ht="14.5" customHeight="1" spans="11:29" x14ac:dyDescent="0.25">
      <c r="K4221" s="128"/>
      <c r="X4221" s="234">
        <v>2022</v>
      </c>
      <c r="Y4221" s="234">
        <v>6</v>
      </c>
      <c r="Z4221" s="234">
        <v>25</v>
      </c>
      <c r="AA4221" s="235">
        <v>0.7916666666678793</v>
      </c>
      <c r="AB4221" s="236">
        <v>17.4</v>
      </c>
      <c r="AC4221" s="127">
        <f t="shared" si="80"/>
        <v>17</v>
      </c>
    </row>
    <row r="4222" ht="14.5" customHeight="1" spans="11:29" x14ac:dyDescent="0.25">
      <c r="K4222" s="128"/>
      <c r="X4222" s="234">
        <v>2022</v>
      </c>
      <c r="Y4222" s="234">
        <v>6</v>
      </c>
      <c r="Z4222" s="234">
        <v>25</v>
      </c>
      <c r="AA4222" s="235">
        <v>0.8333333333321207</v>
      </c>
      <c r="AB4222" s="236">
        <v>16.1</v>
      </c>
      <c r="AC4222" s="127">
        <f t="shared" si="80"/>
        <v>16</v>
      </c>
    </row>
    <row r="4223" ht="14.5" customHeight="1" spans="11:29" x14ac:dyDescent="0.25">
      <c r="K4223" s="128"/>
      <c r="X4223" s="234">
        <v>2022</v>
      </c>
      <c r="Y4223" s="234">
        <v>6</v>
      </c>
      <c r="Z4223" s="234">
        <v>25</v>
      </c>
      <c r="AA4223" s="235">
        <v>0.875</v>
      </c>
      <c r="AB4223" s="236">
        <v>14.5</v>
      </c>
      <c r="AC4223" s="127">
        <f t="shared" si="80"/>
        <v>15</v>
      </c>
    </row>
    <row r="4224" ht="14.5" customHeight="1" spans="11:29" x14ac:dyDescent="0.25">
      <c r="K4224" s="128"/>
      <c r="X4224" s="234">
        <v>2022</v>
      </c>
      <c r="Y4224" s="234">
        <v>6</v>
      </c>
      <c r="Z4224" s="234">
        <v>25</v>
      </c>
      <c r="AA4224" s="235">
        <v>0.9166666666678793</v>
      </c>
      <c r="AB4224" s="236">
        <v>12.7</v>
      </c>
      <c r="AC4224" s="127">
        <f t="shared" si="80"/>
        <v>13</v>
      </c>
    </row>
    <row r="4225" ht="14.5" customHeight="1" spans="11:29" x14ac:dyDescent="0.25">
      <c r="K4225" s="128"/>
      <c r="X4225" s="234">
        <v>2022</v>
      </c>
      <c r="Y4225" s="234">
        <v>6</v>
      </c>
      <c r="Z4225" s="234">
        <v>25</v>
      </c>
      <c r="AA4225" s="235">
        <v>0.9583333333321207</v>
      </c>
      <c r="AB4225" s="236">
        <v>11.1</v>
      </c>
      <c r="AC4225" s="127">
        <f t="shared" si="80"/>
        <v>11</v>
      </c>
    </row>
    <row r="4226" ht="14.5" customHeight="1" spans="11:29" x14ac:dyDescent="0.25">
      <c r="K4226" s="128"/>
      <c r="X4226" s="234">
        <v>2022</v>
      </c>
      <c r="Y4226" s="234">
        <v>6</v>
      </c>
      <c r="Z4226" s="234">
        <v>26</v>
      </c>
      <c r="AA4226" s="235">
        <v>0</v>
      </c>
      <c r="AB4226" s="236">
        <v>9.6</v>
      </c>
      <c r="AC4226" s="127">
        <f t="shared" si="80"/>
        <v>10</v>
      </c>
    </row>
    <row r="4227" ht="14.5" customHeight="1" spans="11:29" x14ac:dyDescent="0.25">
      <c r="K4227" s="128"/>
      <c r="X4227" s="234">
        <v>2022</v>
      </c>
      <c r="Y4227" s="234">
        <v>6</v>
      </c>
      <c r="Z4227" s="234">
        <v>26</v>
      </c>
      <c r="AA4227" s="235">
        <v>0.041666666667879326</v>
      </c>
      <c r="AB4227" s="236">
        <v>9.3</v>
      </c>
      <c r="AC4227" s="127">
        <f t="shared" si="80"/>
        <v>9</v>
      </c>
    </row>
    <row r="4228" ht="14.5" customHeight="1" spans="11:29" x14ac:dyDescent="0.25">
      <c r="K4228" s="128"/>
      <c r="X4228" s="234">
        <v>2022</v>
      </c>
      <c r="Y4228" s="234">
        <v>6</v>
      </c>
      <c r="Z4228" s="234">
        <v>26</v>
      </c>
      <c r="AA4228" s="235">
        <v>0.08333333333212067</v>
      </c>
      <c r="AB4228" s="236">
        <v>7.4</v>
      </c>
      <c r="AC4228" s="127">
        <f t="shared" si="80"/>
        <v>7</v>
      </c>
    </row>
    <row r="4229" ht="14.5" customHeight="1" spans="11:29" x14ac:dyDescent="0.25">
      <c r="K4229" s="128"/>
      <c r="X4229" s="234">
        <v>2022</v>
      </c>
      <c r="Y4229" s="234">
        <v>6</v>
      </c>
      <c r="Z4229" s="234">
        <v>26</v>
      </c>
      <c r="AA4229" s="235">
        <v>0.125</v>
      </c>
      <c r="AB4229" s="236">
        <v>8.6</v>
      </c>
      <c r="AC4229" s="127">
        <f t="shared" si="80"/>
        <v>9</v>
      </c>
    </row>
    <row r="4230" ht="14.5" customHeight="1" spans="11:29" x14ac:dyDescent="0.25">
      <c r="K4230" s="128"/>
      <c r="X4230" s="234">
        <v>2022</v>
      </c>
      <c r="Y4230" s="234">
        <v>6</v>
      </c>
      <c r="Z4230" s="234">
        <v>26</v>
      </c>
      <c r="AA4230" s="235">
        <v>0.16666666666787933</v>
      </c>
      <c r="AB4230" s="236">
        <v>6.8</v>
      </c>
      <c r="AC4230" s="127">
        <f t="shared" si="80"/>
        <v>7</v>
      </c>
    </row>
    <row r="4231" ht="14.5" customHeight="1" spans="11:29" x14ac:dyDescent="0.25">
      <c r="K4231" s="128"/>
      <c r="X4231" s="234">
        <v>2022</v>
      </c>
      <c r="Y4231" s="234">
        <v>6</v>
      </c>
      <c r="Z4231" s="234">
        <v>26</v>
      </c>
      <c r="AA4231" s="235">
        <v>0.20833333333212067</v>
      </c>
      <c r="AB4231" s="236">
        <v>7.9</v>
      </c>
      <c r="AC4231" s="127">
        <f t="shared" si="80"/>
        <v>8</v>
      </c>
    </row>
    <row r="4232" ht="14.5" customHeight="1" spans="11:29" x14ac:dyDescent="0.25">
      <c r="K4232" s="128"/>
      <c r="X4232" s="234">
        <v>2022</v>
      </c>
      <c r="Y4232" s="234">
        <v>6</v>
      </c>
      <c r="Z4232" s="234">
        <v>26</v>
      </c>
      <c r="AA4232" s="235">
        <v>0.25</v>
      </c>
      <c r="AB4232" s="236">
        <v>9.7</v>
      </c>
      <c r="AC4232" s="127">
        <f t="shared" si="80"/>
        <v>10</v>
      </c>
    </row>
    <row r="4233" ht="14.5" customHeight="1" spans="11:29" x14ac:dyDescent="0.25">
      <c r="K4233" s="128"/>
      <c r="X4233" s="234">
        <v>2022</v>
      </c>
      <c r="Y4233" s="234">
        <v>6</v>
      </c>
      <c r="Z4233" s="234">
        <v>26</v>
      </c>
      <c r="AA4233" s="235">
        <v>0.2916666666678793</v>
      </c>
      <c r="AB4233" s="236">
        <v>13.3</v>
      </c>
      <c r="AC4233" s="127">
        <f t="shared" si="80"/>
        <v>13</v>
      </c>
    </row>
    <row r="4234" ht="14.5" customHeight="1" spans="11:29" x14ac:dyDescent="0.25">
      <c r="K4234" s="128"/>
      <c r="X4234" s="234">
        <v>2022</v>
      </c>
      <c r="Y4234" s="234">
        <v>6</v>
      </c>
      <c r="Z4234" s="234">
        <v>26</v>
      </c>
      <c r="AA4234" s="235">
        <v>0.3333333333321207</v>
      </c>
      <c r="AB4234" s="236">
        <v>17.1</v>
      </c>
      <c r="AC4234" s="127">
        <f t="shared" si="80"/>
        <v>17</v>
      </c>
    </row>
    <row r="4235" ht="14.5" customHeight="1" spans="11:29" x14ac:dyDescent="0.25">
      <c r="K4235" s="128"/>
      <c r="X4235" s="234">
        <v>2022</v>
      </c>
      <c r="Y4235" s="234">
        <v>6</v>
      </c>
      <c r="Z4235" s="234">
        <v>26</v>
      </c>
      <c r="AA4235" s="235">
        <v>0.375</v>
      </c>
      <c r="AB4235" s="236">
        <v>19.1</v>
      </c>
      <c r="AC4235" s="127">
        <f t="shared" ref="AC4235:AC4298" si="81">ROUND(AB4235,0)</f>
        <v>19</v>
      </c>
    </row>
    <row r="4236" ht="14.5" customHeight="1" spans="11:29" x14ac:dyDescent="0.25">
      <c r="K4236" s="128"/>
      <c r="X4236" s="234">
        <v>2022</v>
      </c>
      <c r="Y4236" s="234">
        <v>6</v>
      </c>
      <c r="Z4236" s="234">
        <v>26</v>
      </c>
      <c r="AA4236" s="235">
        <v>0.4166666666678793</v>
      </c>
      <c r="AB4236" s="236">
        <v>20</v>
      </c>
      <c r="AC4236" s="127">
        <f t="shared" si="81"/>
        <v>20</v>
      </c>
    </row>
    <row r="4237" ht="14.5" customHeight="1" spans="11:29" x14ac:dyDescent="0.25">
      <c r="K4237" s="128"/>
      <c r="X4237" s="234">
        <v>2022</v>
      </c>
      <c r="Y4237" s="234">
        <v>6</v>
      </c>
      <c r="Z4237" s="234">
        <v>26</v>
      </c>
      <c r="AA4237" s="235">
        <v>0.4583333333321207</v>
      </c>
      <c r="AB4237" s="236">
        <v>20.8</v>
      </c>
      <c r="AC4237" s="127">
        <f t="shared" si="81"/>
        <v>21</v>
      </c>
    </row>
    <row r="4238" ht="14.5" customHeight="1" spans="11:29" x14ac:dyDescent="0.25">
      <c r="K4238" s="128"/>
      <c r="X4238" s="234">
        <v>2022</v>
      </c>
      <c r="Y4238" s="234">
        <v>6</v>
      </c>
      <c r="Z4238" s="234">
        <v>26</v>
      </c>
      <c r="AA4238" s="235">
        <v>0.5</v>
      </c>
      <c r="AB4238" s="236">
        <v>21.6</v>
      </c>
      <c r="AC4238" s="127">
        <f t="shared" si="81"/>
        <v>22</v>
      </c>
    </row>
    <row r="4239" ht="14.5" customHeight="1" spans="11:29" x14ac:dyDescent="0.25">
      <c r="K4239" s="128"/>
      <c r="X4239" s="234">
        <v>2022</v>
      </c>
      <c r="Y4239" s="234">
        <v>6</v>
      </c>
      <c r="Z4239" s="234">
        <v>26</v>
      </c>
      <c r="AA4239" s="235">
        <v>0.5416666666678793</v>
      </c>
      <c r="AB4239" s="236">
        <v>21.9</v>
      </c>
      <c r="AC4239" s="127">
        <f t="shared" si="81"/>
        <v>22</v>
      </c>
    </row>
    <row r="4240" ht="14.5" customHeight="1" spans="11:29" x14ac:dyDescent="0.25">
      <c r="K4240" s="128"/>
      <c r="X4240" s="234">
        <v>2022</v>
      </c>
      <c r="Y4240" s="234">
        <v>6</v>
      </c>
      <c r="Z4240" s="234">
        <v>26</v>
      </c>
      <c r="AA4240" s="235">
        <v>0.5833333333321207</v>
      </c>
      <c r="AB4240" s="236">
        <v>22.6</v>
      </c>
      <c r="AC4240" s="127">
        <f t="shared" si="81"/>
        <v>23</v>
      </c>
    </row>
    <row r="4241" ht="14.5" customHeight="1" spans="11:29" x14ac:dyDescent="0.25">
      <c r="K4241" s="128"/>
      <c r="X4241" s="234">
        <v>2022</v>
      </c>
      <c r="Y4241" s="234">
        <v>6</v>
      </c>
      <c r="Z4241" s="234">
        <v>26</v>
      </c>
      <c r="AA4241" s="235">
        <v>0.625</v>
      </c>
      <c r="AB4241" s="236">
        <v>23.2</v>
      </c>
      <c r="AC4241" s="127">
        <f t="shared" si="81"/>
        <v>23</v>
      </c>
    </row>
    <row r="4242" ht="14.5" customHeight="1" spans="11:29" x14ac:dyDescent="0.25">
      <c r="K4242" s="128"/>
      <c r="X4242" s="234">
        <v>2022</v>
      </c>
      <c r="Y4242" s="234">
        <v>6</v>
      </c>
      <c r="Z4242" s="234">
        <v>26</v>
      </c>
      <c r="AA4242" s="235">
        <v>0.6666666666678793</v>
      </c>
      <c r="AB4242" s="236">
        <v>22.9</v>
      </c>
      <c r="AC4242" s="127">
        <f t="shared" si="81"/>
        <v>23</v>
      </c>
    </row>
    <row r="4243" ht="14.5" customHeight="1" spans="11:29" x14ac:dyDescent="0.25">
      <c r="K4243" s="128"/>
      <c r="X4243" s="234">
        <v>2022</v>
      </c>
      <c r="Y4243" s="234">
        <v>6</v>
      </c>
      <c r="Z4243" s="234">
        <v>26</v>
      </c>
      <c r="AA4243" s="235">
        <v>0.7083333333321207</v>
      </c>
      <c r="AB4243" s="236">
        <v>23</v>
      </c>
      <c r="AC4243" s="127">
        <f t="shared" si="81"/>
        <v>23</v>
      </c>
    </row>
    <row r="4244" ht="14.5" customHeight="1" spans="11:29" x14ac:dyDescent="0.25">
      <c r="K4244" s="128"/>
      <c r="X4244" s="234">
        <v>2022</v>
      </c>
      <c r="Y4244" s="234">
        <v>6</v>
      </c>
      <c r="Z4244" s="234">
        <v>26</v>
      </c>
      <c r="AA4244" s="235">
        <v>0.75</v>
      </c>
      <c r="AB4244" s="236">
        <v>22.3</v>
      </c>
      <c r="AC4244" s="127">
        <f t="shared" si="81"/>
        <v>22</v>
      </c>
    </row>
    <row r="4245" ht="14.5" customHeight="1" spans="11:29" x14ac:dyDescent="0.25">
      <c r="K4245" s="128"/>
      <c r="X4245" s="234">
        <v>2022</v>
      </c>
      <c r="Y4245" s="234">
        <v>6</v>
      </c>
      <c r="Z4245" s="234">
        <v>26</v>
      </c>
      <c r="AA4245" s="235">
        <v>0.7916666666678793</v>
      </c>
      <c r="AB4245" s="236">
        <v>21.1</v>
      </c>
      <c r="AC4245" s="127">
        <f t="shared" si="81"/>
        <v>21</v>
      </c>
    </row>
    <row r="4246" ht="14.5" customHeight="1" spans="11:29" x14ac:dyDescent="0.25">
      <c r="K4246" s="128"/>
      <c r="X4246" s="234">
        <v>2022</v>
      </c>
      <c r="Y4246" s="234">
        <v>6</v>
      </c>
      <c r="Z4246" s="234">
        <v>26</v>
      </c>
      <c r="AA4246" s="235">
        <v>0.8333333333321207</v>
      </c>
      <c r="AB4246" s="236">
        <v>18.7</v>
      </c>
      <c r="AC4246" s="127">
        <f t="shared" si="81"/>
        <v>19</v>
      </c>
    </row>
    <row r="4247" ht="14.5" customHeight="1" spans="11:29" x14ac:dyDescent="0.25">
      <c r="K4247" s="128"/>
      <c r="X4247" s="234">
        <v>2022</v>
      </c>
      <c r="Y4247" s="234">
        <v>6</v>
      </c>
      <c r="Z4247" s="234">
        <v>26</v>
      </c>
      <c r="AA4247" s="235">
        <v>0.875</v>
      </c>
      <c r="AB4247" s="236">
        <v>15.6</v>
      </c>
      <c r="AC4247" s="127">
        <f t="shared" si="81"/>
        <v>16</v>
      </c>
    </row>
    <row r="4248" ht="14.5" customHeight="1" spans="11:29" x14ac:dyDescent="0.25">
      <c r="K4248" s="128"/>
      <c r="X4248" s="234">
        <v>2022</v>
      </c>
      <c r="Y4248" s="234">
        <v>6</v>
      </c>
      <c r="Z4248" s="234">
        <v>26</v>
      </c>
      <c r="AA4248" s="235">
        <v>0.9166666666678793</v>
      </c>
      <c r="AB4248" s="236">
        <v>16.8</v>
      </c>
      <c r="AC4248" s="127">
        <f t="shared" si="81"/>
        <v>17</v>
      </c>
    </row>
    <row r="4249" ht="14.5" customHeight="1" spans="11:29" x14ac:dyDescent="0.25">
      <c r="K4249" s="128"/>
      <c r="X4249" s="234">
        <v>2022</v>
      </c>
      <c r="Y4249" s="234">
        <v>6</v>
      </c>
      <c r="Z4249" s="234">
        <v>26</v>
      </c>
      <c r="AA4249" s="235">
        <v>0.9583333333321207</v>
      </c>
      <c r="AB4249" s="236">
        <v>15</v>
      </c>
      <c r="AC4249" s="127">
        <f t="shared" si="81"/>
        <v>15</v>
      </c>
    </row>
    <row r="4250" ht="14.5" customHeight="1" spans="11:29" x14ac:dyDescent="0.25">
      <c r="K4250" s="128"/>
      <c r="X4250" s="234">
        <v>2022</v>
      </c>
      <c r="Y4250" s="234">
        <v>6</v>
      </c>
      <c r="Z4250" s="234">
        <v>27</v>
      </c>
      <c r="AA4250" s="235">
        <v>0</v>
      </c>
      <c r="AB4250" s="236">
        <v>14.2</v>
      </c>
      <c r="AC4250" s="127">
        <f t="shared" si="81"/>
        <v>14</v>
      </c>
    </row>
    <row r="4251" ht="14.5" customHeight="1" spans="11:29" x14ac:dyDescent="0.25">
      <c r="K4251" s="128"/>
      <c r="X4251" s="234">
        <v>2022</v>
      </c>
      <c r="Y4251" s="234">
        <v>6</v>
      </c>
      <c r="Z4251" s="234">
        <v>27</v>
      </c>
      <c r="AA4251" s="235">
        <v>0.041666666667879326</v>
      </c>
      <c r="AB4251" s="236">
        <v>11</v>
      </c>
      <c r="AC4251" s="127">
        <f t="shared" si="81"/>
        <v>11</v>
      </c>
    </row>
    <row r="4252" ht="14.5" customHeight="1" spans="11:29" x14ac:dyDescent="0.25">
      <c r="K4252" s="128"/>
      <c r="X4252" s="234">
        <v>2022</v>
      </c>
      <c r="Y4252" s="234">
        <v>6</v>
      </c>
      <c r="Z4252" s="234">
        <v>27</v>
      </c>
      <c r="AA4252" s="235">
        <v>0.08333333333212067</v>
      </c>
      <c r="AB4252" s="236">
        <v>10.1</v>
      </c>
      <c r="AC4252" s="127">
        <f t="shared" si="81"/>
        <v>10</v>
      </c>
    </row>
    <row r="4253" ht="14.5" customHeight="1" spans="11:29" x14ac:dyDescent="0.25">
      <c r="K4253" s="128"/>
      <c r="X4253" s="234">
        <v>2022</v>
      </c>
      <c r="Y4253" s="234">
        <v>6</v>
      </c>
      <c r="Z4253" s="234">
        <v>27</v>
      </c>
      <c r="AA4253" s="235">
        <v>0.125</v>
      </c>
      <c r="AB4253" s="236">
        <v>9.4</v>
      </c>
      <c r="AC4253" s="127">
        <f t="shared" si="81"/>
        <v>9</v>
      </c>
    </row>
    <row r="4254" ht="14.5" customHeight="1" spans="11:29" x14ac:dyDescent="0.25">
      <c r="K4254" s="128"/>
      <c r="X4254" s="234">
        <v>2022</v>
      </c>
      <c r="Y4254" s="234">
        <v>6</v>
      </c>
      <c r="Z4254" s="234">
        <v>27</v>
      </c>
      <c r="AA4254" s="235">
        <v>0.16666666666787933</v>
      </c>
      <c r="AB4254" s="236">
        <v>8.2</v>
      </c>
      <c r="AC4254" s="127">
        <f t="shared" si="81"/>
        <v>8</v>
      </c>
    </row>
    <row r="4255" ht="14.5" customHeight="1" spans="11:29" x14ac:dyDescent="0.25">
      <c r="K4255" s="128"/>
      <c r="X4255" s="234">
        <v>2022</v>
      </c>
      <c r="Y4255" s="234">
        <v>6</v>
      </c>
      <c r="Z4255" s="234">
        <v>27</v>
      </c>
      <c r="AA4255" s="235">
        <v>0.20833333333212067</v>
      </c>
      <c r="AB4255" s="236">
        <v>8.8</v>
      </c>
      <c r="AC4255" s="127">
        <f t="shared" si="81"/>
        <v>9</v>
      </c>
    </row>
    <row r="4256" ht="14.5" customHeight="1" spans="11:29" x14ac:dyDescent="0.25">
      <c r="K4256" s="128"/>
      <c r="X4256" s="234">
        <v>2022</v>
      </c>
      <c r="Y4256" s="234">
        <v>6</v>
      </c>
      <c r="Z4256" s="234">
        <v>27</v>
      </c>
      <c r="AA4256" s="235">
        <v>0.25</v>
      </c>
      <c r="AB4256" s="236">
        <v>11.8</v>
      </c>
      <c r="AC4256" s="127">
        <f t="shared" si="81"/>
        <v>12</v>
      </c>
    </row>
    <row r="4257" ht="14.5" customHeight="1" spans="11:29" x14ac:dyDescent="0.25">
      <c r="K4257" s="128"/>
      <c r="X4257" s="234">
        <v>2022</v>
      </c>
      <c r="Y4257" s="234">
        <v>6</v>
      </c>
      <c r="Z4257" s="234">
        <v>27</v>
      </c>
      <c r="AA4257" s="235">
        <v>0.2916666666678793</v>
      </c>
      <c r="AB4257" s="236">
        <v>14.1</v>
      </c>
      <c r="AC4257" s="127">
        <f t="shared" si="81"/>
        <v>14</v>
      </c>
    </row>
    <row r="4258" ht="14.5" customHeight="1" spans="11:29" x14ac:dyDescent="0.25">
      <c r="K4258" s="128"/>
      <c r="X4258" s="234">
        <v>2022</v>
      </c>
      <c r="Y4258" s="234">
        <v>6</v>
      </c>
      <c r="Z4258" s="234">
        <v>27</v>
      </c>
      <c r="AA4258" s="235">
        <v>0.3333333333321207</v>
      </c>
      <c r="AB4258" s="236">
        <v>16.3</v>
      </c>
      <c r="AC4258" s="127">
        <f t="shared" si="81"/>
        <v>16</v>
      </c>
    </row>
    <row r="4259" ht="14.5" customHeight="1" spans="11:29" x14ac:dyDescent="0.25">
      <c r="K4259" s="128"/>
      <c r="X4259" s="234">
        <v>2022</v>
      </c>
      <c r="Y4259" s="234">
        <v>6</v>
      </c>
      <c r="Z4259" s="234">
        <v>27</v>
      </c>
      <c r="AA4259" s="235">
        <v>0.375</v>
      </c>
      <c r="AB4259" s="236">
        <v>17.4</v>
      </c>
      <c r="AC4259" s="127">
        <f t="shared" si="81"/>
        <v>17</v>
      </c>
    </row>
    <row r="4260" ht="14.5" customHeight="1" spans="11:29" x14ac:dyDescent="0.25">
      <c r="K4260" s="128"/>
      <c r="X4260" s="234">
        <v>2022</v>
      </c>
      <c r="Y4260" s="234">
        <v>6</v>
      </c>
      <c r="Z4260" s="234">
        <v>27</v>
      </c>
      <c r="AA4260" s="235">
        <v>0.4166666666678793</v>
      </c>
      <c r="AB4260" s="236">
        <v>19.4</v>
      </c>
      <c r="AC4260" s="127">
        <f t="shared" si="81"/>
        <v>19</v>
      </c>
    </row>
    <row r="4261" ht="14.5" customHeight="1" spans="11:29" x14ac:dyDescent="0.25">
      <c r="K4261" s="128"/>
      <c r="X4261" s="234">
        <v>2022</v>
      </c>
      <c r="Y4261" s="234">
        <v>6</v>
      </c>
      <c r="Z4261" s="234">
        <v>27</v>
      </c>
      <c r="AA4261" s="235">
        <v>0.4583333333321207</v>
      </c>
      <c r="AB4261" s="236">
        <v>20.9</v>
      </c>
      <c r="AC4261" s="127">
        <f t="shared" si="81"/>
        <v>21</v>
      </c>
    </row>
    <row r="4262" ht="14.5" customHeight="1" spans="11:29" x14ac:dyDescent="0.25">
      <c r="K4262" s="128"/>
      <c r="X4262" s="234">
        <v>2022</v>
      </c>
      <c r="Y4262" s="234">
        <v>6</v>
      </c>
      <c r="Z4262" s="234">
        <v>27</v>
      </c>
      <c r="AA4262" s="235">
        <v>0.5</v>
      </c>
      <c r="AB4262" s="236">
        <v>22.4</v>
      </c>
      <c r="AC4262" s="127">
        <f t="shared" si="81"/>
        <v>22</v>
      </c>
    </row>
    <row r="4263" ht="14.5" customHeight="1" spans="11:29" x14ac:dyDescent="0.25">
      <c r="K4263" s="128"/>
      <c r="X4263" s="234">
        <v>2022</v>
      </c>
      <c r="Y4263" s="234">
        <v>6</v>
      </c>
      <c r="Z4263" s="234">
        <v>27</v>
      </c>
      <c r="AA4263" s="235">
        <v>0.5416666666678793</v>
      </c>
      <c r="AB4263" s="236">
        <v>23</v>
      </c>
      <c r="AC4263" s="127">
        <f t="shared" si="81"/>
        <v>23</v>
      </c>
    </row>
    <row r="4264" ht="14.5" customHeight="1" spans="11:29" x14ac:dyDescent="0.25">
      <c r="K4264" s="128"/>
      <c r="X4264" s="234">
        <v>2022</v>
      </c>
      <c r="Y4264" s="234">
        <v>6</v>
      </c>
      <c r="Z4264" s="234">
        <v>27</v>
      </c>
      <c r="AA4264" s="235">
        <v>0.5833333333321207</v>
      </c>
      <c r="AB4264" s="236">
        <v>23.3</v>
      </c>
      <c r="AC4264" s="127">
        <f t="shared" si="81"/>
        <v>23</v>
      </c>
    </row>
    <row r="4265" ht="14.5" customHeight="1" spans="11:29" x14ac:dyDescent="0.25">
      <c r="K4265" s="128"/>
      <c r="X4265" s="234">
        <v>2022</v>
      </c>
      <c r="Y4265" s="234">
        <v>6</v>
      </c>
      <c r="Z4265" s="234">
        <v>27</v>
      </c>
      <c r="AA4265" s="235">
        <v>0.625</v>
      </c>
      <c r="AB4265" s="236">
        <v>23.5</v>
      </c>
      <c r="AC4265" s="127">
        <f t="shared" si="81"/>
        <v>24</v>
      </c>
    </row>
    <row r="4266" ht="14.5" customHeight="1" spans="11:29" x14ac:dyDescent="0.25">
      <c r="K4266" s="128"/>
      <c r="X4266" s="234">
        <v>2022</v>
      </c>
      <c r="Y4266" s="234">
        <v>6</v>
      </c>
      <c r="Z4266" s="234">
        <v>27</v>
      </c>
      <c r="AA4266" s="235">
        <v>0.6666666666678793</v>
      </c>
      <c r="AB4266" s="236">
        <v>24.2</v>
      </c>
      <c r="AC4266" s="127">
        <f t="shared" si="81"/>
        <v>24</v>
      </c>
    </row>
    <row r="4267" ht="14.5" customHeight="1" spans="11:29" x14ac:dyDescent="0.25">
      <c r="K4267" s="128"/>
      <c r="X4267" s="234">
        <v>2022</v>
      </c>
      <c r="Y4267" s="234">
        <v>6</v>
      </c>
      <c r="Z4267" s="234">
        <v>27</v>
      </c>
      <c r="AA4267" s="235">
        <v>0.7083333333321207</v>
      </c>
      <c r="AB4267" s="236">
        <v>23.9</v>
      </c>
      <c r="AC4267" s="127">
        <f t="shared" si="81"/>
        <v>24</v>
      </c>
    </row>
    <row r="4268" ht="14.5" customHeight="1" spans="11:29" x14ac:dyDescent="0.25">
      <c r="K4268" s="128"/>
      <c r="X4268" s="234">
        <v>2022</v>
      </c>
      <c r="Y4268" s="234">
        <v>6</v>
      </c>
      <c r="Z4268" s="234">
        <v>27</v>
      </c>
      <c r="AA4268" s="235">
        <v>0.75</v>
      </c>
      <c r="AB4268" s="236">
        <v>22.9</v>
      </c>
      <c r="AC4268" s="127">
        <f t="shared" si="81"/>
        <v>23</v>
      </c>
    </row>
    <row r="4269" ht="14.5" customHeight="1" spans="11:29" x14ac:dyDescent="0.25">
      <c r="K4269" s="128"/>
      <c r="X4269" s="234">
        <v>2022</v>
      </c>
      <c r="Y4269" s="234">
        <v>6</v>
      </c>
      <c r="Z4269" s="234">
        <v>27</v>
      </c>
      <c r="AA4269" s="235">
        <v>0.7916666666678793</v>
      </c>
      <c r="AB4269" s="236">
        <v>22.3</v>
      </c>
      <c r="AC4269" s="127">
        <f t="shared" si="81"/>
        <v>22</v>
      </c>
    </row>
    <row r="4270" ht="14.5" customHeight="1" spans="11:29" x14ac:dyDescent="0.25">
      <c r="K4270" s="128"/>
      <c r="X4270" s="234">
        <v>2022</v>
      </c>
      <c r="Y4270" s="234">
        <v>6</v>
      </c>
      <c r="Z4270" s="234">
        <v>27</v>
      </c>
      <c r="AA4270" s="235">
        <v>0.8333333333321207</v>
      </c>
      <c r="AB4270" s="236">
        <v>21</v>
      </c>
      <c r="AC4270" s="127">
        <f t="shared" si="81"/>
        <v>21</v>
      </c>
    </row>
    <row r="4271" ht="14.5" customHeight="1" spans="11:29" x14ac:dyDescent="0.25">
      <c r="K4271" s="128"/>
      <c r="X4271" s="234">
        <v>2022</v>
      </c>
      <c r="Y4271" s="234">
        <v>6</v>
      </c>
      <c r="Z4271" s="234">
        <v>27</v>
      </c>
      <c r="AA4271" s="235">
        <v>0.875</v>
      </c>
      <c r="AB4271" s="236">
        <v>20</v>
      </c>
      <c r="AC4271" s="127">
        <f t="shared" si="81"/>
        <v>20</v>
      </c>
    </row>
    <row r="4272" ht="14.5" customHeight="1" spans="11:29" x14ac:dyDescent="0.25">
      <c r="K4272" s="128"/>
      <c r="X4272" s="234">
        <v>2022</v>
      </c>
      <c r="Y4272" s="234">
        <v>6</v>
      </c>
      <c r="Z4272" s="234">
        <v>27</v>
      </c>
      <c r="AA4272" s="235">
        <v>0.9166666666678793</v>
      </c>
      <c r="AB4272" s="236">
        <v>15</v>
      </c>
      <c r="AC4272" s="127">
        <f t="shared" si="81"/>
        <v>15</v>
      </c>
    </row>
    <row r="4273" ht="14.5" customHeight="1" spans="11:29" x14ac:dyDescent="0.25">
      <c r="K4273" s="128"/>
      <c r="X4273" s="234">
        <v>2022</v>
      </c>
      <c r="Y4273" s="234">
        <v>6</v>
      </c>
      <c r="Z4273" s="234">
        <v>27</v>
      </c>
      <c r="AA4273" s="235">
        <v>0.9583333333321207</v>
      </c>
      <c r="AB4273" s="236">
        <v>13.7</v>
      </c>
      <c r="AC4273" s="127">
        <f t="shared" si="81"/>
        <v>14</v>
      </c>
    </row>
    <row r="4274" ht="14.5" customHeight="1" spans="11:29" x14ac:dyDescent="0.25">
      <c r="K4274" s="128"/>
      <c r="X4274" s="234">
        <v>2022</v>
      </c>
      <c r="Y4274" s="234">
        <v>6</v>
      </c>
      <c r="Z4274" s="234">
        <v>28</v>
      </c>
      <c r="AA4274" s="235">
        <v>0</v>
      </c>
      <c r="AB4274" s="236">
        <v>13.4</v>
      </c>
      <c r="AC4274" s="127">
        <f t="shared" si="81"/>
        <v>13</v>
      </c>
    </row>
    <row r="4275" ht="14.5" customHeight="1" spans="11:29" x14ac:dyDescent="0.25">
      <c r="K4275" s="128"/>
      <c r="X4275" s="234">
        <v>2022</v>
      </c>
      <c r="Y4275" s="234">
        <v>6</v>
      </c>
      <c r="Z4275" s="234">
        <v>28</v>
      </c>
      <c r="AA4275" s="235">
        <v>0.041666666667879326</v>
      </c>
      <c r="AB4275" s="236">
        <v>13.5</v>
      </c>
      <c r="AC4275" s="127">
        <f t="shared" si="81"/>
        <v>14</v>
      </c>
    </row>
    <row r="4276" ht="14.5" customHeight="1" spans="11:29" x14ac:dyDescent="0.25">
      <c r="K4276" s="128"/>
      <c r="X4276" s="234">
        <v>2022</v>
      </c>
      <c r="Y4276" s="234">
        <v>6</v>
      </c>
      <c r="Z4276" s="234">
        <v>28</v>
      </c>
      <c r="AA4276" s="235">
        <v>0.08333333333212067</v>
      </c>
      <c r="AB4276" s="236">
        <v>12.1</v>
      </c>
      <c r="AC4276" s="127">
        <f t="shared" si="81"/>
        <v>12</v>
      </c>
    </row>
    <row r="4277" ht="14.5" customHeight="1" spans="11:29" x14ac:dyDescent="0.25">
      <c r="K4277" s="128"/>
      <c r="X4277" s="234">
        <v>2022</v>
      </c>
      <c r="Y4277" s="234">
        <v>6</v>
      </c>
      <c r="Z4277" s="234">
        <v>28</v>
      </c>
      <c r="AA4277" s="235">
        <v>0.125</v>
      </c>
      <c r="AB4277" s="236">
        <v>11</v>
      </c>
      <c r="AC4277" s="127">
        <f t="shared" si="81"/>
        <v>11</v>
      </c>
    </row>
    <row r="4278" ht="14.5" customHeight="1" spans="11:29" x14ac:dyDescent="0.25">
      <c r="K4278" s="128"/>
      <c r="X4278" s="234">
        <v>2022</v>
      </c>
      <c r="Y4278" s="234">
        <v>6</v>
      </c>
      <c r="Z4278" s="234">
        <v>28</v>
      </c>
      <c r="AA4278" s="235">
        <v>0.16666666666787933</v>
      </c>
      <c r="AB4278" s="236">
        <v>10.4</v>
      </c>
      <c r="AC4278" s="127">
        <f t="shared" si="81"/>
        <v>10</v>
      </c>
    </row>
    <row r="4279" ht="14.5" customHeight="1" spans="11:29" x14ac:dyDescent="0.25">
      <c r="K4279" s="128"/>
      <c r="X4279" s="234">
        <v>2022</v>
      </c>
      <c r="Y4279" s="234">
        <v>6</v>
      </c>
      <c r="Z4279" s="234">
        <v>28</v>
      </c>
      <c r="AA4279" s="235">
        <v>0.20833333333212067</v>
      </c>
      <c r="AB4279" s="236">
        <v>10.7</v>
      </c>
      <c r="AC4279" s="127">
        <f t="shared" si="81"/>
        <v>11</v>
      </c>
    </row>
    <row r="4280" ht="14.5" customHeight="1" spans="11:29" x14ac:dyDescent="0.25">
      <c r="K4280" s="128"/>
      <c r="X4280" s="234">
        <v>2022</v>
      </c>
      <c r="Y4280" s="234">
        <v>6</v>
      </c>
      <c r="Z4280" s="234">
        <v>28</v>
      </c>
      <c r="AA4280" s="235">
        <v>0.25</v>
      </c>
      <c r="AB4280" s="236">
        <v>12.3</v>
      </c>
      <c r="AC4280" s="127">
        <f t="shared" si="81"/>
        <v>12</v>
      </c>
    </row>
    <row r="4281" ht="14.5" customHeight="1" spans="11:29" x14ac:dyDescent="0.25">
      <c r="K4281" s="128"/>
      <c r="X4281" s="234">
        <v>2022</v>
      </c>
      <c r="Y4281" s="234">
        <v>6</v>
      </c>
      <c r="Z4281" s="234">
        <v>28</v>
      </c>
      <c r="AA4281" s="235">
        <v>0.2916666666678793</v>
      </c>
      <c r="AB4281" s="236">
        <v>13</v>
      </c>
      <c r="AC4281" s="127">
        <f t="shared" si="81"/>
        <v>13</v>
      </c>
    </row>
    <row r="4282" ht="14.5" customHeight="1" spans="11:29" x14ac:dyDescent="0.25">
      <c r="K4282" s="128"/>
      <c r="X4282" s="234">
        <v>2022</v>
      </c>
      <c r="Y4282" s="234">
        <v>6</v>
      </c>
      <c r="Z4282" s="234">
        <v>28</v>
      </c>
      <c r="AA4282" s="235">
        <v>0.3333333333321207</v>
      </c>
      <c r="AB4282" s="236">
        <v>15.1</v>
      </c>
      <c r="AC4282" s="127">
        <f t="shared" si="81"/>
        <v>15</v>
      </c>
    </row>
    <row r="4283" ht="14.5" customHeight="1" spans="11:29" x14ac:dyDescent="0.25">
      <c r="K4283" s="128"/>
      <c r="X4283" s="234">
        <v>2022</v>
      </c>
      <c r="Y4283" s="234">
        <v>6</v>
      </c>
      <c r="Z4283" s="234">
        <v>28</v>
      </c>
      <c r="AA4283" s="235">
        <v>0.375</v>
      </c>
      <c r="AB4283" s="236">
        <v>16.7</v>
      </c>
      <c r="AC4283" s="127">
        <f t="shared" si="81"/>
        <v>17</v>
      </c>
    </row>
    <row r="4284" ht="14.5" customHeight="1" spans="11:29" x14ac:dyDescent="0.25">
      <c r="K4284" s="128"/>
      <c r="X4284" s="234">
        <v>2022</v>
      </c>
      <c r="Y4284" s="234">
        <v>6</v>
      </c>
      <c r="Z4284" s="234">
        <v>28</v>
      </c>
      <c r="AA4284" s="235">
        <v>0.4166666666678793</v>
      </c>
      <c r="AB4284" s="236">
        <v>18</v>
      </c>
      <c r="AC4284" s="127">
        <f t="shared" si="81"/>
        <v>18</v>
      </c>
    </row>
    <row r="4285" ht="14.5" customHeight="1" spans="11:29" x14ac:dyDescent="0.25">
      <c r="K4285" s="128"/>
      <c r="X4285" s="234">
        <v>2022</v>
      </c>
      <c r="Y4285" s="234">
        <v>6</v>
      </c>
      <c r="Z4285" s="234">
        <v>28</v>
      </c>
      <c r="AA4285" s="235">
        <v>0.4583333333321207</v>
      </c>
      <c r="AB4285" s="236">
        <v>19.2</v>
      </c>
      <c r="AC4285" s="127">
        <f t="shared" si="81"/>
        <v>19</v>
      </c>
    </row>
    <row r="4286" ht="14.5" customHeight="1" spans="11:29" x14ac:dyDescent="0.25">
      <c r="K4286" s="128"/>
      <c r="X4286" s="234">
        <v>2022</v>
      </c>
      <c r="Y4286" s="234">
        <v>6</v>
      </c>
      <c r="Z4286" s="234">
        <v>28</v>
      </c>
      <c r="AA4286" s="235">
        <v>0.5</v>
      </c>
      <c r="AB4286" s="236">
        <v>20.9</v>
      </c>
      <c r="AC4286" s="127">
        <f t="shared" si="81"/>
        <v>21</v>
      </c>
    </row>
    <row r="4287" ht="14.5" customHeight="1" spans="11:29" x14ac:dyDescent="0.25">
      <c r="K4287" s="128"/>
      <c r="X4287" s="234">
        <v>2022</v>
      </c>
      <c r="Y4287" s="234">
        <v>6</v>
      </c>
      <c r="Z4287" s="234">
        <v>28</v>
      </c>
      <c r="AA4287" s="235">
        <v>0.5416666666678793</v>
      </c>
      <c r="AB4287" s="236">
        <v>19.1</v>
      </c>
      <c r="AC4287" s="127">
        <f t="shared" si="81"/>
        <v>19</v>
      </c>
    </row>
    <row r="4288" ht="14.5" customHeight="1" spans="11:29" x14ac:dyDescent="0.25">
      <c r="K4288" s="128"/>
      <c r="X4288" s="234">
        <v>2022</v>
      </c>
      <c r="Y4288" s="234">
        <v>6</v>
      </c>
      <c r="Z4288" s="234">
        <v>28</v>
      </c>
      <c r="AA4288" s="235">
        <v>0.5833333333321207</v>
      </c>
      <c r="AB4288" s="236">
        <v>19.6</v>
      </c>
      <c r="AC4288" s="127">
        <f t="shared" si="81"/>
        <v>20</v>
      </c>
    </row>
    <row r="4289" ht="14.5" customHeight="1" spans="11:29" x14ac:dyDescent="0.25">
      <c r="K4289" s="128"/>
      <c r="X4289" s="234">
        <v>2022</v>
      </c>
      <c r="Y4289" s="234">
        <v>6</v>
      </c>
      <c r="Z4289" s="234">
        <v>28</v>
      </c>
      <c r="AA4289" s="235">
        <v>0.625</v>
      </c>
      <c r="AB4289" s="236">
        <v>21.3</v>
      </c>
      <c r="AC4289" s="127">
        <f t="shared" si="81"/>
        <v>21</v>
      </c>
    </row>
    <row r="4290" ht="14.5" customHeight="1" spans="11:29" x14ac:dyDescent="0.25">
      <c r="K4290" s="128"/>
      <c r="X4290" s="234">
        <v>2022</v>
      </c>
      <c r="Y4290" s="234">
        <v>6</v>
      </c>
      <c r="Z4290" s="234">
        <v>28</v>
      </c>
      <c r="AA4290" s="235">
        <v>0.6666666666678793</v>
      </c>
      <c r="AB4290" s="236">
        <v>20.4</v>
      </c>
      <c r="AC4290" s="127">
        <f t="shared" si="81"/>
        <v>20</v>
      </c>
    </row>
    <row r="4291" ht="14.5" customHeight="1" spans="11:29" x14ac:dyDescent="0.25">
      <c r="K4291" s="128"/>
      <c r="X4291" s="234">
        <v>2022</v>
      </c>
      <c r="Y4291" s="234">
        <v>6</v>
      </c>
      <c r="Z4291" s="234">
        <v>28</v>
      </c>
      <c r="AA4291" s="235">
        <v>0.7083333333321207</v>
      </c>
      <c r="AB4291" s="236">
        <v>20</v>
      </c>
      <c r="AC4291" s="127">
        <f t="shared" si="81"/>
        <v>20</v>
      </c>
    </row>
    <row r="4292" ht="14.5" customHeight="1" spans="11:29" x14ac:dyDescent="0.25">
      <c r="K4292" s="128"/>
      <c r="X4292" s="234">
        <v>2022</v>
      </c>
      <c r="Y4292" s="234">
        <v>6</v>
      </c>
      <c r="Z4292" s="234">
        <v>28</v>
      </c>
      <c r="AA4292" s="235">
        <v>0.75</v>
      </c>
      <c r="AB4292" s="236">
        <v>19.1</v>
      </c>
      <c r="AC4292" s="127">
        <f t="shared" si="81"/>
        <v>19</v>
      </c>
    </row>
    <row r="4293" ht="14.5" customHeight="1" spans="11:29" x14ac:dyDescent="0.25">
      <c r="K4293" s="128"/>
      <c r="X4293" s="234">
        <v>2022</v>
      </c>
      <c r="Y4293" s="234">
        <v>6</v>
      </c>
      <c r="Z4293" s="234">
        <v>28</v>
      </c>
      <c r="AA4293" s="235">
        <v>0.7916666666678793</v>
      </c>
      <c r="AB4293" s="236">
        <v>18.2</v>
      </c>
      <c r="AC4293" s="127">
        <f t="shared" si="81"/>
        <v>18</v>
      </c>
    </row>
    <row r="4294" ht="14.5" customHeight="1" spans="11:29" x14ac:dyDescent="0.25">
      <c r="K4294" s="128"/>
      <c r="X4294" s="234">
        <v>2022</v>
      </c>
      <c r="Y4294" s="234">
        <v>6</v>
      </c>
      <c r="Z4294" s="234">
        <v>28</v>
      </c>
      <c r="AA4294" s="235">
        <v>0.8333333333321207</v>
      </c>
      <c r="AB4294" s="236">
        <v>18.1</v>
      </c>
      <c r="AC4294" s="127">
        <f t="shared" si="81"/>
        <v>18</v>
      </c>
    </row>
    <row r="4295" ht="14.5" customHeight="1" spans="11:29" x14ac:dyDescent="0.25">
      <c r="K4295" s="128"/>
      <c r="X4295" s="234">
        <v>2022</v>
      </c>
      <c r="Y4295" s="234">
        <v>6</v>
      </c>
      <c r="Z4295" s="234">
        <v>28</v>
      </c>
      <c r="AA4295" s="235">
        <v>0.875</v>
      </c>
      <c r="AB4295" s="236">
        <v>15.5</v>
      </c>
      <c r="AC4295" s="127">
        <f t="shared" si="81"/>
        <v>16</v>
      </c>
    </row>
    <row r="4296" ht="14.5" customHeight="1" spans="11:29" x14ac:dyDescent="0.25">
      <c r="K4296" s="128"/>
      <c r="X4296" s="234">
        <v>2022</v>
      </c>
      <c r="Y4296" s="234">
        <v>6</v>
      </c>
      <c r="Z4296" s="234">
        <v>28</v>
      </c>
      <c r="AA4296" s="235">
        <v>0.9166666666678793</v>
      </c>
      <c r="AB4296" s="236">
        <v>15</v>
      </c>
      <c r="AC4296" s="127">
        <f t="shared" si="81"/>
        <v>15</v>
      </c>
    </row>
    <row r="4297" ht="14.5" customHeight="1" spans="11:29" x14ac:dyDescent="0.25">
      <c r="K4297" s="128"/>
      <c r="X4297" s="234">
        <v>2022</v>
      </c>
      <c r="Y4297" s="234">
        <v>6</v>
      </c>
      <c r="Z4297" s="234">
        <v>28</v>
      </c>
      <c r="AA4297" s="235">
        <v>0.9583333333321207</v>
      </c>
      <c r="AB4297" s="236">
        <v>13.3</v>
      </c>
      <c r="AC4297" s="127">
        <f t="shared" si="81"/>
        <v>13</v>
      </c>
    </row>
    <row r="4298" ht="14.5" customHeight="1" spans="11:29" x14ac:dyDescent="0.25">
      <c r="K4298" s="128"/>
      <c r="X4298" s="234">
        <v>2022</v>
      </c>
      <c r="Y4298" s="234">
        <v>6</v>
      </c>
      <c r="Z4298" s="234">
        <v>29</v>
      </c>
      <c r="AA4298" s="235">
        <v>0</v>
      </c>
      <c r="AB4298" s="236">
        <v>12.7</v>
      </c>
      <c r="AC4298" s="127">
        <f t="shared" si="81"/>
        <v>13</v>
      </c>
    </row>
    <row r="4299" ht="14.5" customHeight="1" spans="11:29" x14ac:dyDescent="0.25">
      <c r="K4299" s="128"/>
      <c r="X4299" s="234">
        <v>2022</v>
      </c>
      <c r="Y4299" s="234">
        <v>6</v>
      </c>
      <c r="Z4299" s="234">
        <v>29</v>
      </c>
      <c r="AA4299" s="235">
        <v>0.041666666667879326</v>
      </c>
      <c r="AB4299" s="236">
        <v>12.7</v>
      </c>
      <c r="AC4299" s="127">
        <f t="shared" ref="AC4299:AC4362" si="82">ROUND(AB4299,0)</f>
        <v>13</v>
      </c>
    </row>
    <row r="4300" ht="14.5" customHeight="1" spans="11:29" x14ac:dyDescent="0.25">
      <c r="K4300" s="128"/>
      <c r="X4300" s="234">
        <v>2022</v>
      </c>
      <c r="Y4300" s="234">
        <v>6</v>
      </c>
      <c r="Z4300" s="234">
        <v>29</v>
      </c>
      <c r="AA4300" s="235">
        <v>0.08333333333212067</v>
      </c>
      <c r="AB4300" s="236">
        <v>10.8</v>
      </c>
      <c r="AC4300" s="127">
        <f t="shared" si="82"/>
        <v>11</v>
      </c>
    </row>
    <row r="4301" ht="14.5" customHeight="1" spans="11:29" x14ac:dyDescent="0.25">
      <c r="K4301" s="128"/>
      <c r="X4301" s="234">
        <v>2022</v>
      </c>
      <c r="Y4301" s="234">
        <v>6</v>
      </c>
      <c r="Z4301" s="234">
        <v>29</v>
      </c>
      <c r="AA4301" s="235">
        <v>0.125</v>
      </c>
      <c r="AB4301" s="236">
        <v>10.4</v>
      </c>
      <c r="AC4301" s="127">
        <f t="shared" si="82"/>
        <v>10</v>
      </c>
    </row>
    <row r="4302" ht="14.5" customHeight="1" spans="11:29" x14ac:dyDescent="0.25">
      <c r="K4302" s="128"/>
      <c r="X4302" s="234">
        <v>2022</v>
      </c>
      <c r="Y4302" s="234">
        <v>6</v>
      </c>
      <c r="Z4302" s="234">
        <v>29</v>
      </c>
      <c r="AA4302" s="235">
        <v>0.16666666666787933</v>
      </c>
      <c r="AB4302" s="236">
        <v>9.7</v>
      </c>
      <c r="AC4302" s="127">
        <f t="shared" si="82"/>
        <v>10</v>
      </c>
    </row>
    <row r="4303" ht="14.5" customHeight="1" spans="11:29" x14ac:dyDescent="0.25">
      <c r="K4303" s="128"/>
      <c r="X4303" s="234">
        <v>2022</v>
      </c>
      <c r="Y4303" s="234">
        <v>6</v>
      </c>
      <c r="Z4303" s="234">
        <v>29</v>
      </c>
      <c r="AA4303" s="235">
        <v>0.20833333333212067</v>
      </c>
      <c r="AB4303" s="236">
        <v>10.2</v>
      </c>
      <c r="AC4303" s="127">
        <f t="shared" si="82"/>
        <v>10</v>
      </c>
    </row>
    <row r="4304" ht="14.5" customHeight="1" spans="11:29" x14ac:dyDescent="0.25">
      <c r="K4304" s="128"/>
      <c r="X4304" s="234">
        <v>2022</v>
      </c>
      <c r="Y4304" s="234">
        <v>6</v>
      </c>
      <c r="Z4304" s="234">
        <v>29</v>
      </c>
      <c r="AA4304" s="235">
        <v>0.25</v>
      </c>
      <c r="AB4304" s="236">
        <v>12.2</v>
      </c>
      <c r="AC4304" s="127">
        <f t="shared" si="82"/>
        <v>12</v>
      </c>
    </row>
    <row r="4305" ht="14.5" customHeight="1" spans="11:29" x14ac:dyDescent="0.25">
      <c r="K4305" s="128"/>
      <c r="X4305" s="234">
        <v>2022</v>
      </c>
      <c r="Y4305" s="234">
        <v>6</v>
      </c>
      <c r="Z4305" s="234">
        <v>29</v>
      </c>
      <c r="AA4305" s="235">
        <v>0.2916666666678793</v>
      </c>
      <c r="AB4305" s="236">
        <v>14.3</v>
      </c>
      <c r="AC4305" s="127">
        <f t="shared" si="82"/>
        <v>14</v>
      </c>
    </row>
    <row r="4306" ht="14.5" customHeight="1" spans="11:29" x14ac:dyDescent="0.25">
      <c r="K4306" s="128"/>
      <c r="X4306" s="234">
        <v>2022</v>
      </c>
      <c r="Y4306" s="234">
        <v>6</v>
      </c>
      <c r="Z4306" s="234">
        <v>29</v>
      </c>
      <c r="AA4306" s="235">
        <v>0.3333333333321207</v>
      </c>
      <c r="AB4306" s="236">
        <v>15.3</v>
      </c>
      <c r="AC4306" s="127">
        <f t="shared" si="82"/>
        <v>15</v>
      </c>
    </row>
    <row r="4307" ht="14.5" customHeight="1" spans="11:29" x14ac:dyDescent="0.25">
      <c r="K4307" s="128"/>
      <c r="X4307" s="234">
        <v>2022</v>
      </c>
      <c r="Y4307" s="234">
        <v>6</v>
      </c>
      <c r="Z4307" s="234">
        <v>29</v>
      </c>
      <c r="AA4307" s="235">
        <v>0.375</v>
      </c>
      <c r="AB4307" s="236">
        <v>10.6</v>
      </c>
      <c r="AC4307" s="127">
        <f t="shared" si="82"/>
        <v>11</v>
      </c>
    </row>
    <row r="4308" ht="14.5" customHeight="1" spans="11:29" x14ac:dyDescent="0.25">
      <c r="K4308" s="128"/>
      <c r="X4308" s="234">
        <v>2022</v>
      </c>
      <c r="Y4308" s="234">
        <v>6</v>
      </c>
      <c r="Z4308" s="234">
        <v>29</v>
      </c>
      <c r="AA4308" s="235">
        <v>0.4166666666678793</v>
      </c>
      <c r="AB4308" s="236">
        <v>13.5</v>
      </c>
      <c r="AC4308" s="127">
        <f t="shared" si="82"/>
        <v>14</v>
      </c>
    </row>
    <row r="4309" ht="14.5" customHeight="1" spans="11:29" x14ac:dyDescent="0.25">
      <c r="K4309" s="128"/>
      <c r="X4309" s="234">
        <v>2022</v>
      </c>
      <c r="Y4309" s="234">
        <v>6</v>
      </c>
      <c r="Z4309" s="234">
        <v>29</v>
      </c>
      <c r="AA4309" s="235">
        <v>0.4583333333321207</v>
      </c>
      <c r="AB4309" s="236">
        <v>15.7</v>
      </c>
      <c r="AC4309" s="127">
        <f t="shared" si="82"/>
        <v>16</v>
      </c>
    </row>
    <row r="4310" ht="14.5" customHeight="1" spans="11:29" x14ac:dyDescent="0.25">
      <c r="K4310" s="128"/>
      <c r="X4310" s="234">
        <v>2022</v>
      </c>
      <c r="Y4310" s="234">
        <v>6</v>
      </c>
      <c r="Z4310" s="234">
        <v>29</v>
      </c>
      <c r="AA4310" s="235">
        <v>0.5</v>
      </c>
      <c r="AB4310" s="236">
        <v>16.9</v>
      </c>
      <c r="AC4310" s="127">
        <f t="shared" si="82"/>
        <v>17</v>
      </c>
    </row>
    <row r="4311" ht="14.5" customHeight="1" spans="11:29" x14ac:dyDescent="0.25">
      <c r="K4311" s="128"/>
      <c r="X4311" s="234">
        <v>2022</v>
      </c>
      <c r="Y4311" s="234">
        <v>6</v>
      </c>
      <c r="Z4311" s="234">
        <v>29</v>
      </c>
      <c r="AA4311" s="235">
        <v>0.5416666666678793</v>
      </c>
      <c r="AB4311" s="236">
        <v>16.6</v>
      </c>
      <c r="AC4311" s="127">
        <f t="shared" si="82"/>
        <v>17</v>
      </c>
    </row>
    <row r="4312" ht="14.5" customHeight="1" spans="11:29" x14ac:dyDescent="0.25">
      <c r="K4312" s="128"/>
      <c r="X4312" s="234">
        <v>2022</v>
      </c>
      <c r="Y4312" s="234">
        <v>6</v>
      </c>
      <c r="Z4312" s="234">
        <v>29</v>
      </c>
      <c r="AA4312" s="235">
        <v>0.5833333333321207</v>
      </c>
      <c r="AB4312" s="236">
        <v>12.2</v>
      </c>
      <c r="AC4312" s="127">
        <f t="shared" si="82"/>
        <v>12</v>
      </c>
    </row>
    <row r="4313" ht="14.5" customHeight="1" spans="11:29" x14ac:dyDescent="0.25">
      <c r="K4313" s="128"/>
      <c r="X4313" s="234">
        <v>2022</v>
      </c>
      <c r="Y4313" s="234">
        <v>6</v>
      </c>
      <c r="Z4313" s="234">
        <v>29</v>
      </c>
      <c r="AA4313" s="235">
        <v>0.625</v>
      </c>
      <c r="AB4313" s="236">
        <v>14.5</v>
      </c>
      <c r="AC4313" s="127">
        <f t="shared" si="82"/>
        <v>15</v>
      </c>
    </row>
    <row r="4314" ht="14.5" customHeight="1" spans="11:29" x14ac:dyDescent="0.25">
      <c r="K4314" s="128"/>
      <c r="X4314" s="234">
        <v>2022</v>
      </c>
      <c r="Y4314" s="234">
        <v>6</v>
      </c>
      <c r="Z4314" s="234">
        <v>29</v>
      </c>
      <c r="AA4314" s="235">
        <v>0.6666666666678793</v>
      </c>
      <c r="AB4314" s="236">
        <v>15.7</v>
      </c>
      <c r="AC4314" s="127">
        <f t="shared" si="82"/>
        <v>16</v>
      </c>
    </row>
    <row r="4315" ht="14.5" customHeight="1" spans="11:29" x14ac:dyDescent="0.25">
      <c r="K4315" s="128"/>
      <c r="X4315" s="234">
        <v>2022</v>
      </c>
      <c r="Y4315" s="234">
        <v>6</v>
      </c>
      <c r="Z4315" s="234">
        <v>29</v>
      </c>
      <c r="AA4315" s="235">
        <v>0.7083333333321207</v>
      </c>
      <c r="AB4315" s="236">
        <v>15.9</v>
      </c>
      <c r="AC4315" s="127">
        <f t="shared" si="82"/>
        <v>16</v>
      </c>
    </row>
    <row r="4316" ht="14.5" customHeight="1" spans="11:29" x14ac:dyDescent="0.25">
      <c r="K4316" s="128"/>
      <c r="X4316" s="234">
        <v>2022</v>
      </c>
      <c r="Y4316" s="234">
        <v>6</v>
      </c>
      <c r="Z4316" s="234">
        <v>29</v>
      </c>
      <c r="AA4316" s="235">
        <v>0.75</v>
      </c>
      <c r="AB4316" s="236">
        <v>14.1</v>
      </c>
      <c r="AC4316" s="127">
        <f t="shared" si="82"/>
        <v>14</v>
      </c>
    </row>
    <row r="4317" ht="14.5" customHeight="1" spans="11:29" x14ac:dyDescent="0.25">
      <c r="K4317" s="128"/>
      <c r="X4317" s="234">
        <v>2022</v>
      </c>
      <c r="Y4317" s="234">
        <v>6</v>
      </c>
      <c r="Z4317" s="234">
        <v>29</v>
      </c>
      <c r="AA4317" s="235">
        <v>0.7916666666678793</v>
      </c>
      <c r="AB4317" s="236">
        <v>13.7</v>
      </c>
      <c r="AC4317" s="127">
        <f t="shared" si="82"/>
        <v>14</v>
      </c>
    </row>
    <row r="4318" ht="14.5" customHeight="1" spans="11:29" x14ac:dyDescent="0.25">
      <c r="K4318" s="128"/>
      <c r="X4318" s="234">
        <v>2022</v>
      </c>
      <c r="Y4318" s="234">
        <v>6</v>
      </c>
      <c r="Z4318" s="234">
        <v>29</v>
      </c>
      <c r="AA4318" s="235">
        <v>0.8333333333321207</v>
      </c>
      <c r="AB4318" s="236">
        <v>13.2</v>
      </c>
      <c r="AC4318" s="127">
        <f t="shared" si="82"/>
        <v>13</v>
      </c>
    </row>
    <row r="4319" ht="14.5" customHeight="1" spans="11:29" x14ac:dyDescent="0.25">
      <c r="K4319" s="128"/>
      <c r="X4319" s="234">
        <v>2022</v>
      </c>
      <c r="Y4319" s="234">
        <v>6</v>
      </c>
      <c r="Z4319" s="234">
        <v>29</v>
      </c>
      <c r="AA4319" s="235">
        <v>0.875</v>
      </c>
      <c r="AB4319" s="236">
        <v>12.7</v>
      </c>
      <c r="AC4319" s="127">
        <f t="shared" si="82"/>
        <v>13</v>
      </c>
    </row>
    <row r="4320" ht="14.5" customHeight="1" spans="11:29" x14ac:dyDescent="0.25">
      <c r="K4320" s="128"/>
      <c r="X4320" s="234">
        <v>2022</v>
      </c>
      <c r="Y4320" s="234">
        <v>6</v>
      </c>
      <c r="Z4320" s="234">
        <v>29</v>
      </c>
      <c r="AA4320" s="235">
        <v>0.9166666666678793</v>
      </c>
      <c r="AB4320" s="236">
        <v>12.5</v>
      </c>
      <c r="AC4320" s="127">
        <f t="shared" si="82"/>
        <v>13</v>
      </c>
    </row>
    <row r="4321" ht="14.5" customHeight="1" spans="11:29" x14ac:dyDescent="0.25">
      <c r="K4321" s="128"/>
      <c r="X4321" s="234">
        <v>2022</v>
      </c>
      <c r="Y4321" s="234">
        <v>6</v>
      </c>
      <c r="Z4321" s="234">
        <v>29</v>
      </c>
      <c r="AA4321" s="235">
        <v>0.9583333333321207</v>
      </c>
      <c r="AB4321" s="236">
        <v>10.5</v>
      </c>
      <c r="AC4321" s="127">
        <f t="shared" si="82"/>
        <v>11</v>
      </c>
    </row>
    <row r="4322" ht="14.5" customHeight="1" spans="11:29" x14ac:dyDescent="0.25">
      <c r="K4322" s="128"/>
      <c r="X4322" s="234">
        <v>2022</v>
      </c>
      <c r="Y4322" s="234">
        <v>6</v>
      </c>
      <c r="Z4322" s="234">
        <v>30</v>
      </c>
      <c r="AA4322" s="235">
        <v>0</v>
      </c>
      <c r="AB4322" s="236">
        <v>10.9</v>
      </c>
      <c r="AC4322" s="127">
        <f t="shared" si="82"/>
        <v>11</v>
      </c>
    </row>
    <row r="4323" ht="14.5" customHeight="1" spans="11:29" x14ac:dyDescent="0.25">
      <c r="K4323" s="128"/>
      <c r="X4323" s="234">
        <v>2022</v>
      </c>
      <c r="Y4323" s="234">
        <v>6</v>
      </c>
      <c r="Z4323" s="234">
        <v>30</v>
      </c>
      <c r="AA4323" s="235">
        <v>0.041666666667879326</v>
      </c>
      <c r="AB4323" s="236">
        <v>10.8</v>
      </c>
      <c r="AC4323" s="127">
        <f t="shared" si="82"/>
        <v>11</v>
      </c>
    </row>
    <row r="4324" ht="14.5" customHeight="1" spans="11:29" x14ac:dyDescent="0.25">
      <c r="K4324" s="128"/>
      <c r="X4324" s="234">
        <v>2022</v>
      </c>
      <c r="Y4324" s="234">
        <v>6</v>
      </c>
      <c r="Z4324" s="234">
        <v>30</v>
      </c>
      <c r="AA4324" s="235">
        <v>0.08333333333212067</v>
      </c>
      <c r="AB4324" s="236">
        <v>10.4</v>
      </c>
      <c r="AC4324" s="127">
        <f t="shared" si="82"/>
        <v>10</v>
      </c>
    </row>
    <row r="4325" ht="14.5" customHeight="1" spans="11:29" x14ac:dyDescent="0.25">
      <c r="K4325" s="128"/>
      <c r="X4325" s="234">
        <v>2022</v>
      </c>
      <c r="Y4325" s="234">
        <v>6</v>
      </c>
      <c r="Z4325" s="234">
        <v>30</v>
      </c>
      <c r="AA4325" s="235">
        <v>0.125</v>
      </c>
      <c r="AB4325" s="236">
        <v>9.8</v>
      </c>
      <c r="AC4325" s="127">
        <f t="shared" si="82"/>
        <v>10</v>
      </c>
    </row>
    <row r="4326" ht="14.5" customHeight="1" spans="11:29" x14ac:dyDescent="0.25">
      <c r="K4326" s="128"/>
      <c r="X4326" s="234">
        <v>2022</v>
      </c>
      <c r="Y4326" s="234">
        <v>6</v>
      </c>
      <c r="Z4326" s="234">
        <v>30</v>
      </c>
      <c r="AA4326" s="235">
        <v>0.16666666666787933</v>
      </c>
      <c r="AB4326" s="236">
        <v>9.2</v>
      </c>
      <c r="AC4326" s="127">
        <f t="shared" si="82"/>
        <v>9</v>
      </c>
    </row>
    <row r="4327" ht="14.5" customHeight="1" spans="11:29" x14ac:dyDescent="0.25">
      <c r="K4327" s="128"/>
      <c r="X4327" s="234">
        <v>2022</v>
      </c>
      <c r="Y4327" s="234">
        <v>6</v>
      </c>
      <c r="Z4327" s="234">
        <v>30</v>
      </c>
      <c r="AA4327" s="235">
        <v>0.20833333333212067</v>
      </c>
      <c r="AB4327" s="236">
        <v>9</v>
      </c>
      <c r="AC4327" s="127">
        <f t="shared" si="82"/>
        <v>9</v>
      </c>
    </row>
    <row r="4328" ht="14.5" customHeight="1" spans="11:29" x14ac:dyDescent="0.25">
      <c r="K4328" s="128"/>
      <c r="X4328" s="234">
        <v>2022</v>
      </c>
      <c r="Y4328" s="234">
        <v>6</v>
      </c>
      <c r="Z4328" s="234">
        <v>30</v>
      </c>
      <c r="AA4328" s="235">
        <v>0.25</v>
      </c>
      <c r="AB4328" s="236">
        <v>11</v>
      </c>
      <c r="AC4328" s="127">
        <f t="shared" si="82"/>
        <v>11</v>
      </c>
    </row>
    <row r="4329" ht="14.5" customHeight="1" spans="11:29" x14ac:dyDescent="0.25">
      <c r="K4329" s="128"/>
      <c r="X4329" s="234">
        <v>2022</v>
      </c>
      <c r="Y4329" s="234">
        <v>6</v>
      </c>
      <c r="Z4329" s="234">
        <v>30</v>
      </c>
      <c r="AA4329" s="235">
        <v>0.2916666666678793</v>
      </c>
      <c r="AB4329" s="236">
        <v>13.2</v>
      </c>
      <c r="AC4329" s="127">
        <f t="shared" si="82"/>
        <v>13</v>
      </c>
    </row>
    <row r="4330" ht="14.5" customHeight="1" spans="11:29" x14ac:dyDescent="0.25">
      <c r="K4330" s="128"/>
      <c r="X4330" s="234">
        <v>2022</v>
      </c>
      <c r="Y4330" s="234">
        <v>6</v>
      </c>
      <c r="Z4330" s="234">
        <v>30</v>
      </c>
      <c r="AA4330" s="235">
        <v>0.3333333333321207</v>
      </c>
      <c r="AB4330" s="236">
        <v>15.3</v>
      </c>
      <c r="AC4330" s="127">
        <f t="shared" si="82"/>
        <v>15</v>
      </c>
    </row>
    <row r="4331" ht="14.5" customHeight="1" spans="11:29" x14ac:dyDescent="0.25">
      <c r="K4331" s="128"/>
      <c r="X4331" s="234">
        <v>2022</v>
      </c>
      <c r="Y4331" s="234">
        <v>6</v>
      </c>
      <c r="Z4331" s="234">
        <v>30</v>
      </c>
      <c r="AA4331" s="235">
        <v>0.375</v>
      </c>
      <c r="AB4331" s="236">
        <v>16.5</v>
      </c>
      <c r="AC4331" s="127">
        <f t="shared" si="82"/>
        <v>17</v>
      </c>
    </row>
    <row r="4332" ht="14.5" customHeight="1" spans="11:29" x14ac:dyDescent="0.25">
      <c r="K4332" s="128"/>
      <c r="X4332" s="234">
        <v>2022</v>
      </c>
      <c r="Y4332" s="234">
        <v>6</v>
      </c>
      <c r="Z4332" s="234">
        <v>30</v>
      </c>
      <c r="AA4332" s="235">
        <v>0.4166666666678793</v>
      </c>
      <c r="AB4332" s="236">
        <v>17.6</v>
      </c>
      <c r="AC4332" s="127">
        <f t="shared" si="82"/>
        <v>18</v>
      </c>
    </row>
    <row r="4333" ht="14.5" customHeight="1" spans="11:29" x14ac:dyDescent="0.25">
      <c r="K4333" s="128"/>
      <c r="X4333" s="234">
        <v>2022</v>
      </c>
      <c r="Y4333" s="234">
        <v>6</v>
      </c>
      <c r="Z4333" s="234">
        <v>30</v>
      </c>
      <c r="AA4333" s="235">
        <v>0.4583333333321207</v>
      </c>
      <c r="AB4333" s="236">
        <v>17.7</v>
      </c>
      <c r="AC4333" s="127">
        <f t="shared" si="82"/>
        <v>18</v>
      </c>
    </row>
    <row r="4334" ht="14.5" customHeight="1" spans="11:29" x14ac:dyDescent="0.25">
      <c r="K4334" s="128"/>
      <c r="X4334" s="234">
        <v>2022</v>
      </c>
      <c r="Y4334" s="234">
        <v>6</v>
      </c>
      <c r="Z4334" s="234">
        <v>30</v>
      </c>
      <c r="AA4334" s="235">
        <v>0.5</v>
      </c>
      <c r="AB4334" s="236">
        <v>19.2</v>
      </c>
      <c r="AC4334" s="127">
        <f t="shared" si="82"/>
        <v>19</v>
      </c>
    </row>
    <row r="4335" ht="14.5" customHeight="1" spans="11:29" x14ac:dyDescent="0.25">
      <c r="K4335" s="128"/>
      <c r="X4335" s="234">
        <v>2022</v>
      </c>
      <c r="Y4335" s="234">
        <v>6</v>
      </c>
      <c r="Z4335" s="234">
        <v>30</v>
      </c>
      <c r="AA4335" s="235">
        <v>0.5416666666678793</v>
      </c>
      <c r="AB4335" s="236">
        <v>19.7</v>
      </c>
      <c r="AC4335" s="127">
        <f t="shared" si="82"/>
        <v>20</v>
      </c>
    </row>
    <row r="4336" ht="14.5" customHeight="1" spans="11:29" x14ac:dyDescent="0.25">
      <c r="K4336" s="128"/>
      <c r="X4336" s="234">
        <v>2022</v>
      </c>
      <c r="Y4336" s="234">
        <v>6</v>
      </c>
      <c r="Z4336" s="234">
        <v>30</v>
      </c>
      <c r="AA4336" s="235">
        <v>0.5833333333321207</v>
      </c>
      <c r="AB4336" s="236">
        <v>17.4</v>
      </c>
      <c r="AC4336" s="127">
        <f t="shared" si="82"/>
        <v>17</v>
      </c>
    </row>
    <row r="4337" ht="14.5" customHeight="1" spans="11:29" x14ac:dyDescent="0.25">
      <c r="K4337" s="128"/>
      <c r="X4337" s="234">
        <v>2022</v>
      </c>
      <c r="Y4337" s="234">
        <v>6</v>
      </c>
      <c r="Z4337" s="234">
        <v>30</v>
      </c>
      <c r="AA4337" s="235">
        <v>0.625</v>
      </c>
      <c r="AB4337" s="236">
        <v>18.8</v>
      </c>
      <c r="AC4337" s="127">
        <f t="shared" si="82"/>
        <v>19</v>
      </c>
    </row>
    <row r="4338" ht="14.5" customHeight="1" spans="11:29" x14ac:dyDescent="0.25">
      <c r="K4338" s="128"/>
      <c r="X4338" s="234">
        <v>2022</v>
      </c>
      <c r="Y4338" s="234">
        <v>6</v>
      </c>
      <c r="Z4338" s="234">
        <v>30</v>
      </c>
      <c r="AA4338" s="235">
        <v>0.6666666666678793</v>
      </c>
      <c r="AB4338" s="236">
        <v>19.4</v>
      </c>
      <c r="AC4338" s="127">
        <f t="shared" si="82"/>
        <v>19</v>
      </c>
    </row>
    <row r="4339" ht="14.5" customHeight="1" spans="11:29" x14ac:dyDescent="0.25">
      <c r="K4339" s="128"/>
      <c r="X4339" s="234">
        <v>2022</v>
      </c>
      <c r="Y4339" s="234">
        <v>6</v>
      </c>
      <c r="Z4339" s="234">
        <v>30</v>
      </c>
      <c r="AA4339" s="235">
        <v>0.7083333333321207</v>
      </c>
      <c r="AB4339" s="236">
        <v>19.9</v>
      </c>
      <c r="AC4339" s="127">
        <f t="shared" si="82"/>
        <v>20</v>
      </c>
    </row>
    <row r="4340" ht="14.5" customHeight="1" spans="11:29" x14ac:dyDescent="0.25">
      <c r="K4340" s="128"/>
      <c r="X4340" s="234">
        <v>2022</v>
      </c>
      <c r="Y4340" s="234">
        <v>6</v>
      </c>
      <c r="Z4340" s="234">
        <v>30</v>
      </c>
      <c r="AA4340" s="235">
        <v>0.75</v>
      </c>
      <c r="AB4340" s="236">
        <v>20.3</v>
      </c>
      <c r="AC4340" s="127">
        <f t="shared" si="82"/>
        <v>20</v>
      </c>
    </row>
    <row r="4341" ht="14.5" customHeight="1" spans="11:29" x14ac:dyDescent="0.25">
      <c r="K4341" s="128"/>
      <c r="X4341" s="234">
        <v>2022</v>
      </c>
      <c r="Y4341" s="234">
        <v>6</v>
      </c>
      <c r="Z4341" s="234">
        <v>30</v>
      </c>
      <c r="AA4341" s="235">
        <v>0.7916666666678793</v>
      </c>
      <c r="AB4341" s="236">
        <v>19.7</v>
      </c>
      <c r="AC4341" s="127">
        <f t="shared" si="82"/>
        <v>20</v>
      </c>
    </row>
    <row r="4342" ht="14.5" customHeight="1" spans="11:29" x14ac:dyDescent="0.25">
      <c r="K4342" s="128"/>
      <c r="X4342" s="234">
        <v>2022</v>
      </c>
      <c r="Y4342" s="234">
        <v>6</v>
      </c>
      <c r="Z4342" s="234">
        <v>30</v>
      </c>
      <c r="AA4342" s="235">
        <v>0.8333333333321207</v>
      </c>
      <c r="AB4342" s="236">
        <v>17.8</v>
      </c>
      <c r="AC4342" s="127">
        <f t="shared" si="82"/>
        <v>18</v>
      </c>
    </row>
    <row r="4343" ht="14.5" customHeight="1" spans="11:29" x14ac:dyDescent="0.25">
      <c r="K4343" s="128"/>
      <c r="X4343" s="234">
        <v>2022</v>
      </c>
      <c r="Y4343" s="234">
        <v>6</v>
      </c>
      <c r="Z4343" s="234">
        <v>30</v>
      </c>
      <c r="AA4343" s="235">
        <v>0.875</v>
      </c>
      <c r="AB4343" s="236">
        <v>15.3</v>
      </c>
      <c r="AC4343" s="127">
        <f t="shared" si="82"/>
        <v>15</v>
      </c>
    </row>
    <row r="4344" ht="14.5" customHeight="1" spans="11:29" x14ac:dyDescent="0.25">
      <c r="K4344" s="128"/>
      <c r="X4344" s="234">
        <v>2022</v>
      </c>
      <c r="Y4344" s="234">
        <v>6</v>
      </c>
      <c r="Z4344" s="234">
        <v>30</v>
      </c>
      <c r="AA4344" s="235">
        <v>0.9166666666678793</v>
      </c>
      <c r="AB4344" s="236">
        <v>14.7</v>
      </c>
      <c r="AC4344" s="127">
        <f t="shared" si="82"/>
        <v>15</v>
      </c>
    </row>
    <row r="4345" ht="14.5" customHeight="1" spans="11:29" x14ac:dyDescent="0.25">
      <c r="K4345" s="128"/>
      <c r="X4345" s="234">
        <v>2022</v>
      </c>
      <c r="Y4345" s="234">
        <v>6</v>
      </c>
      <c r="Z4345" s="234">
        <v>30</v>
      </c>
      <c r="AA4345" s="235">
        <v>0.9583333333321207</v>
      </c>
      <c r="AB4345" s="236">
        <v>14</v>
      </c>
      <c r="AC4345" s="127">
        <f t="shared" si="82"/>
        <v>14</v>
      </c>
    </row>
    <row r="4346" ht="14.5" customHeight="1" spans="11:29" x14ac:dyDescent="0.25">
      <c r="K4346" s="128"/>
      <c r="X4346" s="234">
        <v>2022</v>
      </c>
      <c r="Y4346" s="234">
        <v>7</v>
      </c>
      <c r="Z4346" s="234">
        <v>1</v>
      </c>
      <c r="AA4346" s="235">
        <v>0</v>
      </c>
      <c r="AB4346" s="236">
        <v>14.3</v>
      </c>
      <c r="AC4346" s="127">
        <f t="shared" si="82"/>
        <v>14</v>
      </c>
    </row>
    <row r="4347" ht="14.5" customHeight="1" spans="11:29" x14ac:dyDescent="0.25">
      <c r="K4347" s="128"/>
      <c r="X4347" s="234">
        <v>2022</v>
      </c>
      <c r="Y4347" s="234">
        <v>7</v>
      </c>
      <c r="Z4347" s="234">
        <v>1</v>
      </c>
      <c r="AA4347" s="235">
        <v>0.041666666667879326</v>
      </c>
      <c r="AB4347" s="236">
        <v>13.8</v>
      </c>
      <c r="AC4347" s="127">
        <f t="shared" si="82"/>
        <v>14</v>
      </c>
    </row>
    <row r="4348" ht="14.5" customHeight="1" spans="11:29" x14ac:dyDescent="0.25">
      <c r="K4348" s="128"/>
      <c r="X4348" s="234">
        <v>2022</v>
      </c>
      <c r="Y4348" s="234">
        <v>7</v>
      </c>
      <c r="Z4348" s="234">
        <v>1</v>
      </c>
      <c r="AA4348" s="235">
        <v>0.08333333333212067</v>
      </c>
      <c r="AB4348" s="236">
        <v>13.3</v>
      </c>
      <c r="AC4348" s="127">
        <f t="shared" si="82"/>
        <v>13</v>
      </c>
    </row>
    <row r="4349" ht="14.5" customHeight="1" spans="11:29" x14ac:dyDescent="0.25">
      <c r="K4349" s="128"/>
      <c r="X4349" s="234">
        <v>2022</v>
      </c>
      <c r="Y4349" s="234">
        <v>7</v>
      </c>
      <c r="Z4349" s="234">
        <v>1</v>
      </c>
      <c r="AA4349" s="235">
        <v>0.125</v>
      </c>
      <c r="AB4349" s="236">
        <v>12.3</v>
      </c>
      <c r="AC4349" s="127">
        <f t="shared" si="82"/>
        <v>12</v>
      </c>
    </row>
    <row r="4350" ht="14.5" customHeight="1" spans="11:29" x14ac:dyDescent="0.25">
      <c r="K4350" s="128"/>
      <c r="X4350" s="234">
        <v>2022</v>
      </c>
      <c r="Y4350" s="234">
        <v>7</v>
      </c>
      <c r="Z4350" s="234">
        <v>1</v>
      </c>
      <c r="AA4350" s="235">
        <v>0.16666666666787933</v>
      </c>
      <c r="AB4350" s="236">
        <v>10.8</v>
      </c>
      <c r="AC4350" s="127">
        <f t="shared" si="82"/>
        <v>11</v>
      </c>
    </row>
    <row r="4351" ht="14.5" customHeight="1" spans="11:29" x14ac:dyDescent="0.25">
      <c r="K4351" s="128"/>
      <c r="X4351" s="234">
        <v>2022</v>
      </c>
      <c r="Y4351" s="234">
        <v>7</v>
      </c>
      <c r="Z4351" s="234">
        <v>1</v>
      </c>
      <c r="AA4351" s="235">
        <v>0.20833333333212067</v>
      </c>
      <c r="AB4351" s="236">
        <v>10.5</v>
      </c>
      <c r="AC4351" s="127">
        <f t="shared" si="82"/>
        <v>11</v>
      </c>
    </row>
    <row r="4352" ht="14.5" customHeight="1" spans="11:29" x14ac:dyDescent="0.25">
      <c r="K4352" s="128"/>
      <c r="X4352" s="234">
        <v>2022</v>
      </c>
      <c r="Y4352" s="234">
        <v>7</v>
      </c>
      <c r="Z4352" s="234">
        <v>1</v>
      </c>
      <c r="AA4352" s="235">
        <v>0.25</v>
      </c>
      <c r="AB4352" s="236">
        <v>12.4</v>
      </c>
      <c r="AC4352" s="127">
        <f t="shared" si="82"/>
        <v>12</v>
      </c>
    </row>
    <row r="4353" ht="14.5" customHeight="1" spans="11:29" x14ac:dyDescent="0.25">
      <c r="K4353" s="128"/>
      <c r="X4353" s="234">
        <v>2022</v>
      </c>
      <c r="Y4353" s="234">
        <v>7</v>
      </c>
      <c r="Z4353" s="234">
        <v>1</v>
      </c>
      <c r="AA4353" s="235">
        <v>0.2916666666678793</v>
      </c>
      <c r="AB4353" s="236">
        <v>15.2</v>
      </c>
      <c r="AC4353" s="127">
        <f t="shared" si="82"/>
        <v>15</v>
      </c>
    </row>
    <row r="4354" ht="14.5" customHeight="1" spans="11:29" x14ac:dyDescent="0.25">
      <c r="K4354" s="128"/>
      <c r="X4354" s="234">
        <v>2022</v>
      </c>
      <c r="Y4354" s="234">
        <v>7</v>
      </c>
      <c r="Z4354" s="234">
        <v>1</v>
      </c>
      <c r="AA4354" s="235">
        <v>0.3333333333321207</v>
      </c>
      <c r="AB4354" s="236">
        <v>18.2</v>
      </c>
      <c r="AC4354" s="127">
        <f t="shared" si="82"/>
        <v>18</v>
      </c>
    </row>
    <row r="4355" ht="14.5" customHeight="1" spans="11:29" x14ac:dyDescent="0.25">
      <c r="K4355" s="128"/>
      <c r="X4355" s="234">
        <v>2022</v>
      </c>
      <c r="Y4355" s="234">
        <v>7</v>
      </c>
      <c r="Z4355" s="234">
        <v>1</v>
      </c>
      <c r="AA4355" s="235">
        <v>0.375</v>
      </c>
      <c r="AB4355" s="236">
        <v>19.6</v>
      </c>
      <c r="AC4355" s="127">
        <f t="shared" si="82"/>
        <v>20</v>
      </c>
    </row>
    <row r="4356" ht="14.5" customHeight="1" spans="11:29" x14ac:dyDescent="0.25">
      <c r="K4356" s="128"/>
      <c r="X4356" s="234">
        <v>2022</v>
      </c>
      <c r="Y4356" s="234">
        <v>7</v>
      </c>
      <c r="Z4356" s="234">
        <v>1</v>
      </c>
      <c r="AA4356" s="235">
        <v>0.4166666666678793</v>
      </c>
      <c r="AB4356" s="236">
        <v>21.7</v>
      </c>
      <c r="AC4356" s="127">
        <f t="shared" si="82"/>
        <v>22</v>
      </c>
    </row>
    <row r="4357" ht="14.5" customHeight="1" spans="11:29" x14ac:dyDescent="0.25">
      <c r="K4357" s="128"/>
      <c r="X4357" s="234">
        <v>2022</v>
      </c>
      <c r="Y4357" s="234">
        <v>7</v>
      </c>
      <c r="Z4357" s="234">
        <v>1</v>
      </c>
      <c r="AA4357" s="235">
        <v>0.4583333333321207</v>
      </c>
      <c r="AB4357" s="236">
        <v>21.4</v>
      </c>
      <c r="AC4357" s="127">
        <f t="shared" si="82"/>
        <v>21</v>
      </c>
    </row>
    <row r="4358" ht="14.5" customHeight="1" spans="11:29" x14ac:dyDescent="0.25">
      <c r="K4358" s="128"/>
      <c r="X4358" s="234">
        <v>2022</v>
      </c>
      <c r="Y4358" s="234">
        <v>7</v>
      </c>
      <c r="Z4358" s="234">
        <v>1</v>
      </c>
      <c r="AA4358" s="235">
        <v>0.5</v>
      </c>
      <c r="AB4358" s="236">
        <v>22.4</v>
      </c>
      <c r="AC4358" s="127">
        <f t="shared" si="82"/>
        <v>22</v>
      </c>
    </row>
    <row r="4359" ht="14.5" customHeight="1" spans="11:29" x14ac:dyDescent="0.25">
      <c r="K4359" s="128"/>
      <c r="X4359" s="234">
        <v>2022</v>
      </c>
      <c r="Y4359" s="234">
        <v>7</v>
      </c>
      <c r="Z4359" s="234">
        <v>1</v>
      </c>
      <c r="AA4359" s="235">
        <v>0.5416666666678793</v>
      </c>
      <c r="AB4359" s="236">
        <v>22.3</v>
      </c>
      <c r="AC4359" s="127">
        <f t="shared" si="82"/>
        <v>22</v>
      </c>
    </row>
    <row r="4360" ht="14.5" customHeight="1" spans="11:29" x14ac:dyDescent="0.25">
      <c r="K4360" s="128"/>
      <c r="X4360" s="234">
        <v>2022</v>
      </c>
      <c r="Y4360" s="234">
        <v>7</v>
      </c>
      <c r="Z4360" s="234">
        <v>1</v>
      </c>
      <c r="AA4360" s="235">
        <v>0.5833333333321207</v>
      </c>
      <c r="AB4360" s="236">
        <v>16.6</v>
      </c>
      <c r="AC4360" s="127">
        <f t="shared" si="82"/>
        <v>17</v>
      </c>
    </row>
    <row r="4361" ht="14.5" customHeight="1" spans="11:29" x14ac:dyDescent="0.25">
      <c r="K4361" s="128"/>
      <c r="X4361" s="234">
        <v>2022</v>
      </c>
      <c r="Y4361" s="234">
        <v>7</v>
      </c>
      <c r="Z4361" s="234">
        <v>1</v>
      </c>
      <c r="AA4361" s="235">
        <v>0.625</v>
      </c>
      <c r="AB4361" s="236">
        <v>14.3</v>
      </c>
      <c r="AC4361" s="127">
        <f t="shared" si="82"/>
        <v>14</v>
      </c>
    </row>
    <row r="4362" ht="14.5" customHeight="1" spans="11:29" x14ac:dyDescent="0.25">
      <c r="K4362" s="128"/>
      <c r="X4362" s="234">
        <v>2022</v>
      </c>
      <c r="Y4362" s="234">
        <v>7</v>
      </c>
      <c r="Z4362" s="234">
        <v>1</v>
      </c>
      <c r="AA4362" s="235">
        <v>0.6666666666678793</v>
      </c>
      <c r="AB4362" s="236">
        <v>14.1</v>
      </c>
      <c r="AC4362" s="127">
        <f t="shared" si="82"/>
        <v>14</v>
      </c>
    </row>
    <row r="4363" ht="14.5" customHeight="1" spans="11:29" x14ac:dyDescent="0.25">
      <c r="K4363" s="128"/>
      <c r="X4363" s="234">
        <v>2022</v>
      </c>
      <c r="Y4363" s="234">
        <v>7</v>
      </c>
      <c r="Z4363" s="234">
        <v>1</v>
      </c>
      <c r="AA4363" s="235">
        <v>0.7083333333321207</v>
      </c>
      <c r="AB4363" s="236">
        <v>16.4</v>
      </c>
      <c r="AC4363" s="127">
        <f t="shared" ref="AC4363:AC4426" si="83">ROUND(AB4363,0)</f>
        <v>16</v>
      </c>
    </row>
    <row r="4364" ht="14.5" customHeight="1" spans="11:29" x14ac:dyDescent="0.25">
      <c r="K4364" s="128"/>
      <c r="X4364" s="234">
        <v>2022</v>
      </c>
      <c r="Y4364" s="234">
        <v>7</v>
      </c>
      <c r="Z4364" s="234">
        <v>1</v>
      </c>
      <c r="AA4364" s="235">
        <v>0.75</v>
      </c>
      <c r="AB4364" s="236">
        <v>17.4</v>
      </c>
      <c r="AC4364" s="127">
        <f t="shared" si="83"/>
        <v>17</v>
      </c>
    </row>
    <row r="4365" ht="14.5" customHeight="1" spans="11:29" x14ac:dyDescent="0.25">
      <c r="K4365" s="128"/>
      <c r="X4365" s="234">
        <v>2022</v>
      </c>
      <c r="Y4365" s="234">
        <v>7</v>
      </c>
      <c r="Z4365" s="234">
        <v>1</v>
      </c>
      <c r="AA4365" s="235">
        <v>0.7916666666678793</v>
      </c>
      <c r="AB4365" s="236">
        <v>17.6</v>
      </c>
      <c r="AC4365" s="127">
        <f t="shared" si="83"/>
        <v>18</v>
      </c>
    </row>
    <row r="4366" ht="14.5" customHeight="1" spans="11:29" x14ac:dyDescent="0.25">
      <c r="K4366" s="128"/>
      <c r="X4366" s="234">
        <v>2022</v>
      </c>
      <c r="Y4366" s="234">
        <v>7</v>
      </c>
      <c r="Z4366" s="234">
        <v>1</v>
      </c>
      <c r="AA4366" s="235">
        <v>0.8333333333321207</v>
      </c>
      <c r="AB4366" s="236">
        <v>16.9</v>
      </c>
      <c r="AC4366" s="127">
        <f t="shared" si="83"/>
        <v>17</v>
      </c>
    </row>
    <row r="4367" ht="14.5" customHeight="1" spans="11:29" x14ac:dyDescent="0.25">
      <c r="K4367" s="128"/>
      <c r="X4367" s="234">
        <v>2022</v>
      </c>
      <c r="Y4367" s="234">
        <v>7</v>
      </c>
      <c r="Z4367" s="234">
        <v>1</v>
      </c>
      <c r="AA4367" s="235">
        <v>0.875</v>
      </c>
      <c r="AB4367" s="236">
        <v>14.6</v>
      </c>
      <c r="AC4367" s="127">
        <f t="shared" si="83"/>
        <v>15</v>
      </c>
    </row>
    <row r="4368" ht="14.5" customHeight="1" spans="11:29" x14ac:dyDescent="0.25">
      <c r="K4368" s="128"/>
      <c r="X4368" s="234">
        <v>2022</v>
      </c>
      <c r="Y4368" s="234">
        <v>7</v>
      </c>
      <c r="Z4368" s="234">
        <v>1</v>
      </c>
      <c r="AA4368" s="235">
        <v>0.9166666666678793</v>
      </c>
      <c r="AB4368" s="236">
        <v>13.5</v>
      </c>
      <c r="AC4368" s="127">
        <f t="shared" si="83"/>
        <v>14</v>
      </c>
    </row>
    <row r="4369" ht="14.5" customHeight="1" spans="11:29" x14ac:dyDescent="0.25">
      <c r="K4369" s="128"/>
      <c r="X4369" s="234">
        <v>2022</v>
      </c>
      <c r="Y4369" s="234">
        <v>7</v>
      </c>
      <c r="Z4369" s="234">
        <v>1</v>
      </c>
      <c r="AA4369" s="235">
        <v>0.9583333333321207</v>
      </c>
      <c r="AB4369" s="236">
        <v>12.2</v>
      </c>
      <c r="AC4369" s="127">
        <f t="shared" si="83"/>
        <v>12</v>
      </c>
    </row>
    <row r="4370" ht="14.5" customHeight="1" spans="11:29" x14ac:dyDescent="0.25">
      <c r="K4370" s="128"/>
      <c r="X4370" s="234">
        <v>2022</v>
      </c>
      <c r="Y4370" s="234">
        <v>7</v>
      </c>
      <c r="Z4370" s="234">
        <v>2</v>
      </c>
      <c r="AA4370" s="235">
        <v>0</v>
      </c>
      <c r="AB4370" s="236">
        <v>12</v>
      </c>
      <c r="AC4370" s="127">
        <f t="shared" si="83"/>
        <v>12</v>
      </c>
    </row>
    <row r="4371" ht="14.5" customHeight="1" spans="11:29" x14ac:dyDescent="0.25">
      <c r="K4371" s="128"/>
      <c r="X4371" s="234">
        <v>2022</v>
      </c>
      <c r="Y4371" s="234">
        <v>7</v>
      </c>
      <c r="Z4371" s="234">
        <v>2</v>
      </c>
      <c r="AA4371" s="235">
        <v>0.041666666667879326</v>
      </c>
      <c r="AB4371" s="236">
        <v>11.6</v>
      </c>
      <c r="AC4371" s="127">
        <f t="shared" si="83"/>
        <v>12</v>
      </c>
    </row>
    <row r="4372" ht="14.5" customHeight="1" spans="11:29" x14ac:dyDescent="0.25">
      <c r="K4372" s="128"/>
      <c r="X4372" s="234">
        <v>2022</v>
      </c>
      <c r="Y4372" s="234">
        <v>7</v>
      </c>
      <c r="Z4372" s="234">
        <v>2</v>
      </c>
      <c r="AA4372" s="235">
        <v>0.08333333333212067</v>
      </c>
      <c r="AB4372" s="236">
        <v>11.4</v>
      </c>
      <c r="AC4372" s="127">
        <f t="shared" si="83"/>
        <v>11</v>
      </c>
    </row>
    <row r="4373" ht="14.5" customHeight="1" spans="11:29" x14ac:dyDescent="0.25">
      <c r="K4373" s="128"/>
      <c r="X4373" s="234">
        <v>2022</v>
      </c>
      <c r="Y4373" s="234">
        <v>7</v>
      </c>
      <c r="Z4373" s="234">
        <v>2</v>
      </c>
      <c r="AA4373" s="235">
        <v>0.125</v>
      </c>
      <c r="AB4373" s="236">
        <v>10.5</v>
      </c>
      <c r="AC4373" s="127">
        <f t="shared" si="83"/>
        <v>11</v>
      </c>
    </row>
    <row r="4374" ht="14.5" customHeight="1" spans="11:29" x14ac:dyDescent="0.25">
      <c r="K4374" s="128"/>
      <c r="X4374" s="234">
        <v>2022</v>
      </c>
      <c r="Y4374" s="234">
        <v>7</v>
      </c>
      <c r="Z4374" s="234">
        <v>2</v>
      </c>
      <c r="AA4374" s="235">
        <v>0.16666666666787933</v>
      </c>
      <c r="AB4374" s="236">
        <v>10.8</v>
      </c>
      <c r="AC4374" s="127">
        <f t="shared" si="83"/>
        <v>11</v>
      </c>
    </row>
    <row r="4375" ht="14.5" customHeight="1" spans="11:29" x14ac:dyDescent="0.25">
      <c r="K4375" s="128"/>
      <c r="X4375" s="234">
        <v>2022</v>
      </c>
      <c r="Y4375" s="234">
        <v>7</v>
      </c>
      <c r="Z4375" s="234">
        <v>2</v>
      </c>
      <c r="AA4375" s="235">
        <v>0.20833333333212067</v>
      </c>
      <c r="AB4375" s="236">
        <v>11.3</v>
      </c>
      <c r="AC4375" s="127">
        <f t="shared" si="83"/>
        <v>11</v>
      </c>
    </row>
    <row r="4376" ht="14.5" customHeight="1" spans="11:29" x14ac:dyDescent="0.25">
      <c r="K4376" s="128"/>
      <c r="X4376" s="234">
        <v>2022</v>
      </c>
      <c r="Y4376" s="234">
        <v>7</v>
      </c>
      <c r="Z4376" s="234">
        <v>2</v>
      </c>
      <c r="AA4376" s="235">
        <v>0.25</v>
      </c>
      <c r="AB4376" s="236">
        <v>11.5</v>
      </c>
      <c r="AC4376" s="127">
        <f t="shared" si="83"/>
        <v>12</v>
      </c>
    </row>
    <row r="4377" ht="14.5" customHeight="1" spans="11:29" x14ac:dyDescent="0.25">
      <c r="K4377" s="128"/>
      <c r="X4377" s="234">
        <v>2022</v>
      </c>
      <c r="Y4377" s="234">
        <v>7</v>
      </c>
      <c r="Z4377" s="234">
        <v>2</v>
      </c>
      <c r="AA4377" s="235">
        <v>0.2916666666678793</v>
      </c>
      <c r="AB4377" s="236">
        <v>11.8</v>
      </c>
      <c r="AC4377" s="127">
        <f t="shared" si="83"/>
        <v>12</v>
      </c>
    </row>
    <row r="4378" ht="14.5" customHeight="1" spans="11:29" x14ac:dyDescent="0.25">
      <c r="K4378" s="128"/>
      <c r="X4378" s="234">
        <v>2022</v>
      </c>
      <c r="Y4378" s="234">
        <v>7</v>
      </c>
      <c r="Z4378" s="234">
        <v>2</v>
      </c>
      <c r="AA4378" s="235">
        <v>0.3333333333321207</v>
      </c>
      <c r="AB4378" s="236">
        <v>12.2</v>
      </c>
      <c r="AC4378" s="127">
        <f t="shared" si="83"/>
        <v>12</v>
      </c>
    </row>
    <row r="4379" ht="14.5" customHeight="1" spans="11:29" x14ac:dyDescent="0.25">
      <c r="K4379" s="128"/>
      <c r="X4379" s="234">
        <v>2022</v>
      </c>
      <c r="Y4379" s="234">
        <v>7</v>
      </c>
      <c r="Z4379" s="234">
        <v>2</v>
      </c>
      <c r="AA4379" s="235">
        <v>0.375</v>
      </c>
      <c r="AB4379" s="236">
        <v>13.1</v>
      </c>
      <c r="AC4379" s="127">
        <f t="shared" si="83"/>
        <v>13</v>
      </c>
    </row>
    <row r="4380" ht="14.5" customHeight="1" spans="11:29" x14ac:dyDescent="0.25">
      <c r="K4380" s="128"/>
      <c r="X4380" s="234">
        <v>2022</v>
      </c>
      <c r="Y4380" s="234">
        <v>7</v>
      </c>
      <c r="Z4380" s="234">
        <v>2</v>
      </c>
      <c r="AA4380" s="235">
        <v>0.4166666666678793</v>
      </c>
      <c r="AB4380" s="236">
        <v>13.3</v>
      </c>
      <c r="AC4380" s="127">
        <f t="shared" si="83"/>
        <v>13</v>
      </c>
    </row>
    <row r="4381" ht="14.5" customHeight="1" spans="11:29" x14ac:dyDescent="0.25">
      <c r="K4381" s="128"/>
      <c r="X4381" s="234">
        <v>2022</v>
      </c>
      <c r="Y4381" s="234">
        <v>7</v>
      </c>
      <c r="Z4381" s="234">
        <v>2</v>
      </c>
      <c r="AA4381" s="235">
        <v>0.4583333333321207</v>
      </c>
      <c r="AB4381" s="236">
        <v>14.5</v>
      </c>
      <c r="AC4381" s="127">
        <f t="shared" si="83"/>
        <v>15</v>
      </c>
    </row>
    <row r="4382" ht="14.5" customHeight="1" spans="11:29" x14ac:dyDescent="0.25">
      <c r="K4382" s="128"/>
      <c r="X4382" s="234">
        <v>2022</v>
      </c>
      <c r="Y4382" s="234">
        <v>7</v>
      </c>
      <c r="Z4382" s="234">
        <v>2</v>
      </c>
      <c r="AA4382" s="235">
        <v>0.5</v>
      </c>
      <c r="AB4382" s="236">
        <v>15.1</v>
      </c>
      <c r="AC4382" s="127">
        <f t="shared" si="83"/>
        <v>15</v>
      </c>
    </row>
    <row r="4383" ht="14.5" customHeight="1" spans="11:29" x14ac:dyDescent="0.25">
      <c r="K4383" s="128"/>
      <c r="X4383" s="234">
        <v>2022</v>
      </c>
      <c r="Y4383" s="234">
        <v>7</v>
      </c>
      <c r="Z4383" s="234">
        <v>2</v>
      </c>
      <c r="AA4383" s="235">
        <v>0.5416666666678793</v>
      </c>
      <c r="AB4383" s="236">
        <v>15.9</v>
      </c>
      <c r="AC4383" s="127">
        <f t="shared" si="83"/>
        <v>16</v>
      </c>
    </row>
    <row r="4384" ht="14.5" customHeight="1" spans="11:29" x14ac:dyDescent="0.25">
      <c r="K4384" s="128"/>
      <c r="X4384" s="234">
        <v>2022</v>
      </c>
      <c r="Y4384" s="234">
        <v>7</v>
      </c>
      <c r="Z4384" s="234">
        <v>2</v>
      </c>
      <c r="AA4384" s="235">
        <v>0.5833333333321207</v>
      </c>
      <c r="AB4384" s="236">
        <v>16.7</v>
      </c>
      <c r="AC4384" s="127">
        <f t="shared" si="83"/>
        <v>17</v>
      </c>
    </row>
    <row r="4385" ht="14.5" customHeight="1" spans="11:29" x14ac:dyDescent="0.25">
      <c r="K4385" s="128"/>
      <c r="X4385" s="234">
        <v>2022</v>
      </c>
      <c r="Y4385" s="234">
        <v>7</v>
      </c>
      <c r="Z4385" s="234">
        <v>2</v>
      </c>
      <c r="AA4385" s="235">
        <v>0.625</v>
      </c>
      <c r="AB4385" s="236">
        <v>16.1</v>
      </c>
      <c r="AC4385" s="127">
        <f t="shared" si="83"/>
        <v>16</v>
      </c>
    </row>
    <row r="4386" ht="14.5" customHeight="1" spans="11:29" x14ac:dyDescent="0.25">
      <c r="K4386" s="128"/>
      <c r="X4386" s="234">
        <v>2022</v>
      </c>
      <c r="Y4386" s="234">
        <v>7</v>
      </c>
      <c r="Z4386" s="234">
        <v>2</v>
      </c>
      <c r="AA4386" s="235">
        <v>0.6666666666678793</v>
      </c>
      <c r="AB4386" s="236">
        <v>15.4</v>
      </c>
      <c r="AC4386" s="127">
        <f t="shared" si="83"/>
        <v>15</v>
      </c>
    </row>
    <row r="4387" ht="14.5" customHeight="1" spans="11:29" x14ac:dyDescent="0.25">
      <c r="K4387" s="128"/>
      <c r="X4387" s="234">
        <v>2022</v>
      </c>
      <c r="Y4387" s="234">
        <v>7</v>
      </c>
      <c r="Z4387" s="234">
        <v>2</v>
      </c>
      <c r="AA4387" s="235">
        <v>0.7083333333321207</v>
      </c>
      <c r="AB4387" s="236">
        <v>14.4</v>
      </c>
      <c r="AC4387" s="127">
        <f t="shared" si="83"/>
        <v>14</v>
      </c>
    </row>
    <row r="4388" ht="14.5" customHeight="1" spans="11:29" x14ac:dyDescent="0.25">
      <c r="K4388" s="128"/>
      <c r="X4388" s="234">
        <v>2022</v>
      </c>
      <c r="Y4388" s="234">
        <v>7</v>
      </c>
      <c r="Z4388" s="234">
        <v>2</v>
      </c>
      <c r="AA4388" s="235">
        <v>0.75</v>
      </c>
      <c r="AB4388" s="236">
        <v>13.1</v>
      </c>
      <c r="AC4388" s="127">
        <f t="shared" si="83"/>
        <v>13</v>
      </c>
    </row>
    <row r="4389" ht="14.5" customHeight="1" spans="11:29" x14ac:dyDescent="0.25">
      <c r="K4389" s="128"/>
      <c r="X4389" s="234">
        <v>2022</v>
      </c>
      <c r="Y4389" s="234">
        <v>7</v>
      </c>
      <c r="Z4389" s="234">
        <v>2</v>
      </c>
      <c r="AA4389" s="235">
        <v>0.7916666666678793</v>
      </c>
      <c r="AB4389" s="236">
        <v>11.8</v>
      </c>
      <c r="AC4389" s="127">
        <f t="shared" si="83"/>
        <v>12</v>
      </c>
    </row>
    <row r="4390" ht="14.5" customHeight="1" spans="11:29" x14ac:dyDescent="0.25">
      <c r="K4390" s="128"/>
      <c r="X4390" s="234">
        <v>2022</v>
      </c>
      <c r="Y4390" s="234">
        <v>7</v>
      </c>
      <c r="Z4390" s="234">
        <v>2</v>
      </c>
      <c r="AA4390" s="235">
        <v>0.8333333333321207</v>
      </c>
      <c r="AB4390" s="236">
        <v>11.1</v>
      </c>
      <c r="AC4390" s="127">
        <f t="shared" si="83"/>
        <v>11</v>
      </c>
    </row>
    <row r="4391" ht="14.5" customHeight="1" spans="11:29" x14ac:dyDescent="0.25">
      <c r="K4391" s="128"/>
      <c r="X4391" s="234">
        <v>2022</v>
      </c>
      <c r="Y4391" s="234">
        <v>7</v>
      </c>
      <c r="Z4391" s="234">
        <v>2</v>
      </c>
      <c r="AA4391" s="235">
        <v>0.875</v>
      </c>
      <c r="AB4391" s="236">
        <v>11</v>
      </c>
      <c r="AC4391" s="127">
        <f t="shared" si="83"/>
        <v>11</v>
      </c>
    </row>
    <row r="4392" ht="14.5" customHeight="1" spans="11:29" x14ac:dyDescent="0.25">
      <c r="K4392" s="128"/>
      <c r="X4392" s="234">
        <v>2022</v>
      </c>
      <c r="Y4392" s="234">
        <v>7</v>
      </c>
      <c r="Z4392" s="234">
        <v>2</v>
      </c>
      <c r="AA4392" s="235">
        <v>0.9166666666678793</v>
      </c>
      <c r="AB4392" s="236">
        <v>10.6</v>
      </c>
      <c r="AC4392" s="127">
        <f t="shared" si="83"/>
        <v>11</v>
      </c>
    </row>
    <row r="4393" ht="14.5" customHeight="1" spans="11:29" x14ac:dyDescent="0.25">
      <c r="K4393" s="128"/>
      <c r="X4393" s="234">
        <v>2022</v>
      </c>
      <c r="Y4393" s="234">
        <v>7</v>
      </c>
      <c r="Z4393" s="234">
        <v>2</v>
      </c>
      <c r="AA4393" s="235">
        <v>0.9583333333321207</v>
      </c>
      <c r="AB4393" s="236">
        <v>10.3</v>
      </c>
      <c r="AC4393" s="127">
        <f t="shared" si="83"/>
        <v>10</v>
      </c>
    </row>
    <row r="4394" ht="14.5" customHeight="1" spans="11:29" x14ac:dyDescent="0.25">
      <c r="K4394" s="128"/>
      <c r="X4394" s="234">
        <v>2022</v>
      </c>
      <c r="Y4394" s="234">
        <v>7</v>
      </c>
      <c r="Z4394" s="234">
        <v>3</v>
      </c>
      <c r="AA4394" s="235">
        <v>0</v>
      </c>
      <c r="AB4394" s="236">
        <v>10.4</v>
      </c>
      <c r="AC4394" s="127">
        <f t="shared" si="83"/>
        <v>10</v>
      </c>
    </row>
    <row r="4395" ht="14.5" customHeight="1" spans="11:29" x14ac:dyDescent="0.25">
      <c r="K4395" s="128"/>
      <c r="X4395" s="234">
        <v>2022</v>
      </c>
      <c r="Y4395" s="234">
        <v>7</v>
      </c>
      <c r="Z4395" s="234">
        <v>3</v>
      </c>
      <c r="AA4395" s="235">
        <v>0.041666666667879326</v>
      </c>
      <c r="AB4395" s="236">
        <v>10.4</v>
      </c>
      <c r="AC4395" s="127">
        <f t="shared" si="83"/>
        <v>10</v>
      </c>
    </row>
    <row r="4396" ht="14.5" customHeight="1" spans="11:29" x14ac:dyDescent="0.25">
      <c r="K4396" s="128"/>
      <c r="X4396" s="234">
        <v>2022</v>
      </c>
      <c r="Y4396" s="234">
        <v>7</v>
      </c>
      <c r="Z4396" s="234">
        <v>3</v>
      </c>
      <c r="AA4396" s="235">
        <v>0.08333333333212067</v>
      </c>
      <c r="AB4396" s="236">
        <v>10</v>
      </c>
      <c r="AC4396" s="127">
        <f t="shared" si="83"/>
        <v>10</v>
      </c>
    </row>
    <row r="4397" ht="14.5" customHeight="1" spans="11:29" x14ac:dyDescent="0.25">
      <c r="K4397" s="128"/>
      <c r="X4397" s="234">
        <v>2022</v>
      </c>
      <c r="Y4397" s="234">
        <v>7</v>
      </c>
      <c r="Z4397" s="234">
        <v>3</v>
      </c>
      <c r="AA4397" s="235">
        <v>0.125</v>
      </c>
      <c r="AB4397" s="236">
        <v>10.2</v>
      </c>
      <c r="AC4397" s="127">
        <f t="shared" si="83"/>
        <v>10</v>
      </c>
    </row>
    <row r="4398" ht="14.5" customHeight="1" spans="11:29" x14ac:dyDescent="0.25">
      <c r="K4398" s="128"/>
      <c r="X4398" s="234">
        <v>2022</v>
      </c>
      <c r="Y4398" s="234">
        <v>7</v>
      </c>
      <c r="Z4398" s="234">
        <v>3</v>
      </c>
      <c r="AA4398" s="235">
        <v>0.16666666666787933</v>
      </c>
      <c r="AB4398" s="236">
        <v>10.2</v>
      </c>
      <c r="AC4398" s="127">
        <f t="shared" si="83"/>
        <v>10</v>
      </c>
    </row>
    <row r="4399" ht="14.5" customHeight="1" spans="11:29" x14ac:dyDescent="0.25">
      <c r="K4399" s="128"/>
      <c r="X4399" s="234">
        <v>2022</v>
      </c>
      <c r="Y4399" s="234">
        <v>7</v>
      </c>
      <c r="Z4399" s="234">
        <v>3</v>
      </c>
      <c r="AA4399" s="235">
        <v>0.20833333333212067</v>
      </c>
      <c r="AB4399" s="236">
        <v>10.1</v>
      </c>
      <c r="AC4399" s="127">
        <f t="shared" si="83"/>
        <v>10</v>
      </c>
    </row>
    <row r="4400" ht="14.5" customHeight="1" spans="11:29" x14ac:dyDescent="0.25">
      <c r="K4400" s="128"/>
      <c r="X4400" s="234">
        <v>2022</v>
      </c>
      <c r="Y4400" s="234">
        <v>7</v>
      </c>
      <c r="Z4400" s="234">
        <v>3</v>
      </c>
      <c r="AA4400" s="235">
        <v>0.25</v>
      </c>
      <c r="AB4400" s="236">
        <v>10.4</v>
      </c>
      <c r="AC4400" s="127">
        <f t="shared" si="83"/>
        <v>10</v>
      </c>
    </row>
    <row r="4401" ht="14.5" customHeight="1" spans="11:29" x14ac:dyDescent="0.25">
      <c r="K4401" s="128"/>
      <c r="X4401" s="234">
        <v>2022</v>
      </c>
      <c r="Y4401" s="234">
        <v>7</v>
      </c>
      <c r="Z4401" s="234">
        <v>3</v>
      </c>
      <c r="AA4401" s="235">
        <v>0.2916666666678793</v>
      </c>
      <c r="AB4401" s="236">
        <v>10.8</v>
      </c>
      <c r="AC4401" s="127">
        <f t="shared" si="83"/>
        <v>11</v>
      </c>
    </row>
    <row r="4402" ht="14.5" customHeight="1" spans="11:29" x14ac:dyDescent="0.25">
      <c r="K4402" s="128"/>
      <c r="X4402" s="234">
        <v>2022</v>
      </c>
      <c r="Y4402" s="234">
        <v>7</v>
      </c>
      <c r="Z4402" s="234">
        <v>3</v>
      </c>
      <c r="AA4402" s="235">
        <v>0.3333333333321207</v>
      </c>
      <c r="AB4402" s="236">
        <v>10.9</v>
      </c>
      <c r="AC4402" s="127">
        <f t="shared" si="83"/>
        <v>11</v>
      </c>
    </row>
    <row r="4403" ht="14.5" customHeight="1" spans="11:29" x14ac:dyDescent="0.25">
      <c r="K4403" s="128"/>
      <c r="X4403" s="234">
        <v>2022</v>
      </c>
      <c r="Y4403" s="234">
        <v>7</v>
      </c>
      <c r="Z4403" s="234">
        <v>3</v>
      </c>
      <c r="AA4403" s="235">
        <v>0.375</v>
      </c>
      <c r="AB4403" s="236">
        <v>11.5</v>
      </c>
      <c r="AC4403" s="127">
        <f t="shared" si="83"/>
        <v>12</v>
      </c>
    </row>
    <row r="4404" ht="14.5" customHeight="1" spans="11:29" x14ac:dyDescent="0.25">
      <c r="K4404" s="128"/>
      <c r="X4404" s="234">
        <v>2022</v>
      </c>
      <c r="Y4404" s="234">
        <v>7</v>
      </c>
      <c r="Z4404" s="234">
        <v>3</v>
      </c>
      <c r="AA4404" s="235">
        <v>0.4166666666678793</v>
      </c>
      <c r="AB4404" s="236">
        <v>12.3</v>
      </c>
      <c r="AC4404" s="127">
        <f t="shared" si="83"/>
        <v>12</v>
      </c>
    </row>
    <row r="4405" ht="14.5" customHeight="1" spans="11:29" x14ac:dyDescent="0.25">
      <c r="K4405" s="128"/>
      <c r="X4405" s="234">
        <v>2022</v>
      </c>
      <c r="Y4405" s="234">
        <v>7</v>
      </c>
      <c r="Z4405" s="234">
        <v>3</v>
      </c>
      <c r="AA4405" s="235">
        <v>0.4583333333321207</v>
      </c>
      <c r="AB4405" s="236">
        <v>12.8</v>
      </c>
      <c r="AC4405" s="127">
        <f t="shared" si="83"/>
        <v>13</v>
      </c>
    </row>
    <row r="4406" ht="14.5" customHeight="1" spans="11:29" x14ac:dyDescent="0.25">
      <c r="K4406" s="128"/>
      <c r="X4406" s="234">
        <v>2022</v>
      </c>
      <c r="Y4406" s="234">
        <v>7</v>
      </c>
      <c r="Z4406" s="234">
        <v>3</v>
      </c>
      <c r="AA4406" s="235">
        <v>0.5</v>
      </c>
      <c r="AB4406" s="236">
        <v>13</v>
      </c>
      <c r="AC4406" s="127">
        <f t="shared" si="83"/>
        <v>13</v>
      </c>
    </row>
    <row r="4407" ht="14.5" customHeight="1" spans="11:29" x14ac:dyDescent="0.25">
      <c r="K4407" s="128"/>
      <c r="X4407" s="234">
        <v>2022</v>
      </c>
      <c r="Y4407" s="234">
        <v>7</v>
      </c>
      <c r="Z4407" s="234">
        <v>3</v>
      </c>
      <c r="AA4407" s="235">
        <v>0.5416666666678793</v>
      </c>
      <c r="AB4407" s="236">
        <v>13.5</v>
      </c>
      <c r="AC4407" s="127">
        <f t="shared" si="83"/>
        <v>14</v>
      </c>
    </row>
    <row r="4408" ht="14.5" customHeight="1" spans="11:29" x14ac:dyDescent="0.25">
      <c r="K4408" s="128"/>
      <c r="X4408" s="234">
        <v>2022</v>
      </c>
      <c r="Y4408" s="234">
        <v>7</v>
      </c>
      <c r="Z4408" s="234">
        <v>3</v>
      </c>
      <c r="AA4408" s="235">
        <v>0.5833333333321207</v>
      </c>
      <c r="AB4408" s="236">
        <v>13.6</v>
      </c>
      <c r="AC4408" s="127">
        <f t="shared" si="83"/>
        <v>14</v>
      </c>
    </row>
    <row r="4409" ht="14.5" customHeight="1" spans="11:29" x14ac:dyDescent="0.25">
      <c r="K4409" s="128"/>
      <c r="X4409" s="234">
        <v>2022</v>
      </c>
      <c r="Y4409" s="234">
        <v>7</v>
      </c>
      <c r="Z4409" s="234">
        <v>3</v>
      </c>
      <c r="AA4409" s="235">
        <v>0.625</v>
      </c>
      <c r="AB4409" s="236">
        <v>13.7</v>
      </c>
      <c r="AC4409" s="127">
        <f t="shared" si="83"/>
        <v>14</v>
      </c>
    </row>
    <row r="4410" ht="14.5" customHeight="1" spans="11:29" x14ac:dyDescent="0.25">
      <c r="K4410" s="128"/>
      <c r="X4410" s="234">
        <v>2022</v>
      </c>
      <c r="Y4410" s="234">
        <v>7</v>
      </c>
      <c r="Z4410" s="234">
        <v>3</v>
      </c>
      <c r="AA4410" s="235">
        <v>0.6666666666678793</v>
      </c>
      <c r="AB4410" s="236">
        <v>13.3</v>
      </c>
      <c r="AC4410" s="127">
        <f t="shared" si="83"/>
        <v>13</v>
      </c>
    </row>
    <row r="4411" ht="14.5" customHeight="1" spans="11:29" x14ac:dyDescent="0.25">
      <c r="K4411" s="128"/>
      <c r="X4411" s="234">
        <v>2022</v>
      </c>
      <c r="Y4411" s="234">
        <v>7</v>
      </c>
      <c r="Z4411" s="234">
        <v>3</v>
      </c>
      <c r="AA4411" s="235">
        <v>0.7083333333321207</v>
      </c>
      <c r="AB4411" s="236">
        <v>13</v>
      </c>
      <c r="AC4411" s="127">
        <f t="shared" si="83"/>
        <v>13</v>
      </c>
    </row>
    <row r="4412" ht="14.5" customHeight="1" spans="11:29" x14ac:dyDescent="0.25">
      <c r="K4412" s="128"/>
      <c r="X4412" s="234">
        <v>2022</v>
      </c>
      <c r="Y4412" s="234">
        <v>7</v>
      </c>
      <c r="Z4412" s="234">
        <v>3</v>
      </c>
      <c r="AA4412" s="235">
        <v>0.75</v>
      </c>
      <c r="AB4412" s="236">
        <v>13.1</v>
      </c>
      <c r="AC4412" s="127">
        <f t="shared" si="83"/>
        <v>13</v>
      </c>
    </row>
    <row r="4413" ht="14.5" customHeight="1" spans="11:29" x14ac:dyDescent="0.25">
      <c r="K4413" s="128"/>
      <c r="X4413" s="234">
        <v>2022</v>
      </c>
      <c r="Y4413" s="234">
        <v>7</v>
      </c>
      <c r="Z4413" s="234">
        <v>3</v>
      </c>
      <c r="AA4413" s="235">
        <v>0.7916666666678793</v>
      </c>
      <c r="AB4413" s="236">
        <v>12.9</v>
      </c>
      <c r="AC4413" s="127">
        <f t="shared" si="83"/>
        <v>13</v>
      </c>
    </row>
    <row r="4414" ht="14.5" customHeight="1" spans="11:29" x14ac:dyDescent="0.25">
      <c r="K4414" s="128"/>
      <c r="X4414" s="234">
        <v>2022</v>
      </c>
      <c r="Y4414" s="234">
        <v>7</v>
      </c>
      <c r="Z4414" s="234">
        <v>3</v>
      </c>
      <c r="AA4414" s="235">
        <v>0.8333333333321207</v>
      </c>
      <c r="AB4414" s="236">
        <v>12.5</v>
      </c>
      <c r="AC4414" s="127">
        <f t="shared" si="83"/>
        <v>13</v>
      </c>
    </row>
    <row r="4415" ht="14.5" customHeight="1" spans="11:29" x14ac:dyDescent="0.25">
      <c r="K4415" s="128"/>
      <c r="X4415" s="234">
        <v>2022</v>
      </c>
      <c r="Y4415" s="234">
        <v>7</v>
      </c>
      <c r="Z4415" s="234">
        <v>3</v>
      </c>
      <c r="AA4415" s="235">
        <v>0.875</v>
      </c>
      <c r="AB4415" s="236">
        <v>11.9</v>
      </c>
      <c r="AC4415" s="127">
        <f t="shared" si="83"/>
        <v>12</v>
      </c>
    </row>
    <row r="4416" ht="14.5" customHeight="1" spans="11:29" x14ac:dyDescent="0.25">
      <c r="K4416" s="128"/>
      <c r="X4416" s="234">
        <v>2022</v>
      </c>
      <c r="Y4416" s="234">
        <v>7</v>
      </c>
      <c r="Z4416" s="234">
        <v>3</v>
      </c>
      <c r="AA4416" s="235">
        <v>0.9166666666678793</v>
      </c>
      <c r="AB4416" s="236">
        <v>11.7</v>
      </c>
      <c r="AC4416" s="127">
        <f t="shared" si="83"/>
        <v>12</v>
      </c>
    </row>
    <row r="4417" ht="14.5" customHeight="1" spans="11:29" x14ac:dyDescent="0.25">
      <c r="K4417" s="128"/>
      <c r="X4417" s="234">
        <v>2022</v>
      </c>
      <c r="Y4417" s="234">
        <v>7</v>
      </c>
      <c r="Z4417" s="234">
        <v>3</v>
      </c>
      <c r="AA4417" s="235">
        <v>0.9583333333321207</v>
      </c>
      <c r="AB4417" s="236">
        <v>11.6</v>
      </c>
      <c r="AC4417" s="127">
        <f t="shared" si="83"/>
        <v>12</v>
      </c>
    </row>
    <row r="4418" ht="14.5" customHeight="1" spans="11:29" x14ac:dyDescent="0.25">
      <c r="K4418" s="128"/>
      <c r="X4418" s="234">
        <v>2022</v>
      </c>
      <c r="Y4418" s="234">
        <v>7</v>
      </c>
      <c r="Z4418" s="234">
        <v>4</v>
      </c>
      <c r="AA4418" s="235">
        <v>0</v>
      </c>
      <c r="AB4418" s="236">
        <v>11.3</v>
      </c>
      <c r="AC4418" s="127">
        <f t="shared" si="83"/>
        <v>11</v>
      </c>
    </row>
    <row r="4419" ht="14.5" customHeight="1" spans="11:29" x14ac:dyDescent="0.25">
      <c r="K4419" s="128"/>
      <c r="X4419" s="234">
        <v>2022</v>
      </c>
      <c r="Y4419" s="234">
        <v>7</v>
      </c>
      <c r="Z4419" s="234">
        <v>4</v>
      </c>
      <c r="AA4419" s="235">
        <v>0.041666666667879326</v>
      </c>
      <c r="AB4419" s="236">
        <v>11.1</v>
      </c>
      <c r="AC4419" s="127">
        <f t="shared" si="83"/>
        <v>11</v>
      </c>
    </row>
    <row r="4420" ht="14.5" customHeight="1" spans="11:29" x14ac:dyDescent="0.25">
      <c r="K4420" s="128"/>
      <c r="X4420" s="234">
        <v>2022</v>
      </c>
      <c r="Y4420" s="234">
        <v>7</v>
      </c>
      <c r="Z4420" s="234">
        <v>4</v>
      </c>
      <c r="AA4420" s="235">
        <v>0.08333333333212067</v>
      </c>
      <c r="AB4420" s="236">
        <v>11</v>
      </c>
      <c r="AC4420" s="127">
        <f t="shared" si="83"/>
        <v>11</v>
      </c>
    </row>
    <row r="4421" ht="14.5" customHeight="1" spans="11:29" x14ac:dyDescent="0.25">
      <c r="K4421" s="128"/>
      <c r="X4421" s="234">
        <v>2022</v>
      </c>
      <c r="Y4421" s="234">
        <v>7</v>
      </c>
      <c r="Z4421" s="234">
        <v>4</v>
      </c>
      <c r="AA4421" s="235">
        <v>0.125</v>
      </c>
      <c r="AB4421" s="236">
        <v>10.9</v>
      </c>
      <c r="AC4421" s="127">
        <f t="shared" si="83"/>
        <v>11</v>
      </c>
    </row>
    <row r="4422" ht="14.5" customHeight="1" spans="11:29" x14ac:dyDescent="0.25">
      <c r="K4422" s="128"/>
      <c r="X4422" s="234">
        <v>2022</v>
      </c>
      <c r="Y4422" s="234">
        <v>7</v>
      </c>
      <c r="Z4422" s="234">
        <v>4</v>
      </c>
      <c r="AA4422" s="235">
        <v>0.16666666666787933</v>
      </c>
      <c r="AB4422" s="236">
        <v>10.9</v>
      </c>
      <c r="AC4422" s="127">
        <f t="shared" si="83"/>
        <v>11</v>
      </c>
    </row>
    <row r="4423" ht="14.5" customHeight="1" spans="11:29" x14ac:dyDescent="0.25">
      <c r="K4423" s="128"/>
      <c r="X4423" s="234">
        <v>2022</v>
      </c>
      <c r="Y4423" s="234">
        <v>7</v>
      </c>
      <c r="Z4423" s="234">
        <v>4</v>
      </c>
      <c r="AA4423" s="235">
        <v>0.20833333333212067</v>
      </c>
      <c r="AB4423" s="236">
        <v>10.5</v>
      </c>
      <c r="AC4423" s="127">
        <f t="shared" si="83"/>
        <v>11</v>
      </c>
    </row>
    <row r="4424" ht="14.5" customHeight="1" spans="11:29" x14ac:dyDescent="0.25">
      <c r="K4424" s="128"/>
      <c r="X4424" s="234">
        <v>2022</v>
      </c>
      <c r="Y4424" s="234">
        <v>7</v>
      </c>
      <c r="Z4424" s="234">
        <v>4</v>
      </c>
      <c r="AA4424" s="235">
        <v>0.25</v>
      </c>
      <c r="AB4424" s="236">
        <v>10.3</v>
      </c>
      <c r="AC4424" s="127">
        <f t="shared" si="83"/>
        <v>10</v>
      </c>
    </row>
    <row r="4425" ht="14.5" customHeight="1" spans="11:29" x14ac:dyDescent="0.25">
      <c r="K4425" s="128"/>
      <c r="X4425" s="234">
        <v>2022</v>
      </c>
      <c r="Y4425" s="234">
        <v>7</v>
      </c>
      <c r="Z4425" s="234">
        <v>4</v>
      </c>
      <c r="AA4425" s="235">
        <v>0.2916666666678793</v>
      </c>
      <c r="AB4425" s="236">
        <v>10.5</v>
      </c>
      <c r="AC4425" s="127">
        <f t="shared" si="83"/>
        <v>11</v>
      </c>
    </row>
    <row r="4426" ht="14.5" customHeight="1" spans="11:29" x14ac:dyDescent="0.25">
      <c r="K4426" s="128"/>
      <c r="X4426" s="234">
        <v>2022</v>
      </c>
      <c r="Y4426" s="234">
        <v>7</v>
      </c>
      <c r="Z4426" s="234">
        <v>4</v>
      </c>
      <c r="AA4426" s="235">
        <v>0.3333333333321207</v>
      </c>
      <c r="AB4426" s="236">
        <v>10.9</v>
      </c>
      <c r="AC4426" s="127">
        <f t="shared" si="83"/>
        <v>11</v>
      </c>
    </row>
    <row r="4427" ht="14.5" customHeight="1" spans="11:29" x14ac:dyDescent="0.25">
      <c r="K4427" s="128"/>
      <c r="X4427" s="234">
        <v>2022</v>
      </c>
      <c r="Y4427" s="234">
        <v>7</v>
      </c>
      <c r="Z4427" s="234">
        <v>4</v>
      </c>
      <c r="AA4427" s="235">
        <v>0.375</v>
      </c>
      <c r="AB4427" s="236">
        <v>11.3</v>
      </c>
      <c r="AC4427" s="127">
        <f t="shared" ref="AC4427:AC4490" si="84">ROUND(AB4427,0)</f>
        <v>11</v>
      </c>
    </row>
    <row r="4428" ht="14.5" customHeight="1" spans="11:29" x14ac:dyDescent="0.25">
      <c r="K4428" s="128"/>
      <c r="X4428" s="234">
        <v>2022</v>
      </c>
      <c r="Y4428" s="234">
        <v>7</v>
      </c>
      <c r="Z4428" s="234">
        <v>4</v>
      </c>
      <c r="AA4428" s="235">
        <v>0.4166666666678793</v>
      </c>
      <c r="AB4428" s="236">
        <v>12.1</v>
      </c>
      <c r="AC4428" s="127">
        <f t="shared" si="84"/>
        <v>12</v>
      </c>
    </row>
    <row r="4429" ht="14.5" customHeight="1" spans="11:29" x14ac:dyDescent="0.25">
      <c r="K4429" s="128"/>
      <c r="X4429" s="234">
        <v>2022</v>
      </c>
      <c r="Y4429" s="234">
        <v>7</v>
      </c>
      <c r="Z4429" s="234">
        <v>4</v>
      </c>
      <c r="AA4429" s="235">
        <v>0.4583333333321207</v>
      </c>
      <c r="AB4429" s="236">
        <v>12.6</v>
      </c>
      <c r="AC4429" s="127">
        <f t="shared" si="84"/>
        <v>13</v>
      </c>
    </row>
    <row r="4430" ht="14.5" customHeight="1" spans="11:29" x14ac:dyDescent="0.25">
      <c r="K4430" s="128"/>
      <c r="X4430" s="234">
        <v>2022</v>
      </c>
      <c r="Y4430" s="234">
        <v>7</v>
      </c>
      <c r="Z4430" s="234">
        <v>4</v>
      </c>
      <c r="AA4430" s="235">
        <v>0.5</v>
      </c>
      <c r="AB4430" s="236">
        <v>12.9</v>
      </c>
      <c r="AC4430" s="127">
        <f t="shared" si="84"/>
        <v>13</v>
      </c>
    </row>
    <row r="4431" ht="14.5" customHeight="1" spans="11:29" x14ac:dyDescent="0.25">
      <c r="K4431" s="128"/>
      <c r="X4431" s="234">
        <v>2022</v>
      </c>
      <c r="Y4431" s="234">
        <v>7</v>
      </c>
      <c r="Z4431" s="234">
        <v>4</v>
      </c>
      <c r="AA4431" s="235">
        <v>0.5416666666678793</v>
      </c>
      <c r="AB4431" s="236">
        <v>13.4</v>
      </c>
      <c r="AC4431" s="127">
        <f t="shared" si="84"/>
        <v>13</v>
      </c>
    </row>
    <row r="4432" ht="14.5" customHeight="1" spans="11:29" x14ac:dyDescent="0.25">
      <c r="K4432" s="128"/>
      <c r="X4432" s="234">
        <v>2022</v>
      </c>
      <c r="Y4432" s="234">
        <v>7</v>
      </c>
      <c r="Z4432" s="234">
        <v>4</v>
      </c>
      <c r="AA4432" s="235">
        <v>0.5833333333321207</v>
      </c>
      <c r="AB4432" s="236">
        <v>12.8</v>
      </c>
      <c r="AC4432" s="127">
        <f t="shared" si="84"/>
        <v>13</v>
      </c>
    </row>
    <row r="4433" ht="14.5" customHeight="1" spans="11:29" x14ac:dyDescent="0.25">
      <c r="K4433" s="128"/>
      <c r="X4433" s="234">
        <v>2022</v>
      </c>
      <c r="Y4433" s="234">
        <v>7</v>
      </c>
      <c r="Z4433" s="234">
        <v>4</v>
      </c>
      <c r="AA4433" s="235">
        <v>0.625</v>
      </c>
      <c r="AB4433" s="236">
        <v>14.2</v>
      </c>
      <c r="AC4433" s="127">
        <f t="shared" si="84"/>
        <v>14</v>
      </c>
    </row>
    <row r="4434" ht="14.5" customHeight="1" spans="11:29" x14ac:dyDescent="0.25">
      <c r="K4434" s="128"/>
      <c r="X4434" s="234">
        <v>2022</v>
      </c>
      <c r="Y4434" s="234">
        <v>7</v>
      </c>
      <c r="Z4434" s="234">
        <v>4</v>
      </c>
      <c r="AA4434" s="235">
        <v>0.6666666666678793</v>
      </c>
      <c r="AB4434" s="236">
        <v>13.9</v>
      </c>
      <c r="AC4434" s="127">
        <f t="shared" si="84"/>
        <v>14</v>
      </c>
    </row>
    <row r="4435" ht="14.5" customHeight="1" spans="11:29" x14ac:dyDescent="0.25">
      <c r="K4435" s="128"/>
      <c r="X4435" s="234">
        <v>2022</v>
      </c>
      <c r="Y4435" s="234">
        <v>7</v>
      </c>
      <c r="Z4435" s="234">
        <v>4</v>
      </c>
      <c r="AA4435" s="235">
        <v>0.7083333333321207</v>
      </c>
      <c r="AB4435" s="236">
        <v>12.8</v>
      </c>
      <c r="AC4435" s="127">
        <f t="shared" si="84"/>
        <v>13</v>
      </c>
    </row>
    <row r="4436" ht="14.5" customHeight="1" spans="11:29" x14ac:dyDescent="0.25">
      <c r="K4436" s="128"/>
      <c r="X4436" s="234">
        <v>2022</v>
      </c>
      <c r="Y4436" s="234">
        <v>7</v>
      </c>
      <c r="Z4436" s="234">
        <v>4</v>
      </c>
      <c r="AA4436" s="235">
        <v>0.75</v>
      </c>
      <c r="AB4436" s="236">
        <v>12.2</v>
      </c>
      <c r="AC4436" s="127">
        <f t="shared" si="84"/>
        <v>12</v>
      </c>
    </row>
    <row r="4437" ht="14.5" customHeight="1" spans="11:29" x14ac:dyDescent="0.25">
      <c r="K4437" s="128"/>
      <c r="X4437" s="234">
        <v>2022</v>
      </c>
      <c r="Y4437" s="234">
        <v>7</v>
      </c>
      <c r="Z4437" s="234">
        <v>4</v>
      </c>
      <c r="AA4437" s="235">
        <v>0.7916666666678793</v>
      </c>
      <c r="AB4437" s="236">
        <v>12.1</v>
      </c>
      <c r="AC4437" s="127">
        <f t="shared" si="84"/>
        <v>12</v>
      </c>
    </row>
    <row r="4438" ht="14.5" customHeight="1" spans="11:29" x14ac:dyDescent="0.25">
      <c r="K4438" s="128"/>
      <c r="X4438" s="234">
        <v>2022</v>
      </c>
      <c r="Y4438" s="234">
        <v>7</v>
      </c>
      <c r="Z4438" s="234">
        <v>4</v>
      </c>
      <c r="AA4438" s="235">
        <v>0.8333333333321207</v>
      </c>
      <c r="AB4438" s="236">
        <v>12.2</v>
      </c>
      <c r="AC4438" s="127">
        <f t="shared" si="84"/>
        <v>12</v>
      </c>
    </row>
    <row r="4439" ht="14.5" customHeight="1" spans="11:29" x14ac:dyDescent="0.25">
      <c r="K4439" s="128"/>
      <c r="X4439" s="234">
        <v>2022</v>
      </c>
      <c r="Y4439" s="234">
        <v>7</v>
      </c>
      <c r="Z4439" s="234">
        <v>4</v>
      </c>
      <c r="AA4439" s="235">
        <v>0.875</v>
      </c>
      <c r="AB4439" s="236">
        <v>12.3</v>
      </c>
      <c r="AC4439" s="127">
        <f t="shared" si="84"/>
        <v>12</v>
      </c>
    </row>
    <row r="4440" ht="14.5" customHeight="1" spans="11:29" x14ac:dyDescent="0.25">
      <c r="K4440" s="128"/>
      <c r="X4440" s="234">
        <v>2022</v>
      </c>
      <c r="Y4440" s="234">
        <v>7</v>
      </c>
      <c r="Z4440" s="234">
        <v>4</v>
      </c>
      <c r="AA4440" s="235">
        <v>0.9166666666678793</v>
      </c>
      <c r="AB4440" s="236">
        <v>12.3</v>
      </c>
      <c r="AC4440" s="127">
        <f t="shared" si="84"/>
        <v>12</v>
      </c>
    </row>
    <row r="4441" ht="14.5" customHeight="1" spans="11:29" x14ac:dyDescent="0.25">
      <c r="K4441" s="128"/>
      <c r="X4441" s="234">
        <v>2022</v>
      </c>
      <c r="Y4441" s="234">
        <v>7</v>
      </c>
      <c r="Z4441" s="234">
        <v>4</v>
      </c>
      <c r="AA4441" s="235">
        <v>0.9583333333321207</v>
      </c>
      <c r="AB4441" s="236">
        <v>12.1</v>
      </c>
      <c r="AC4441" s="127">
        <f t="shared" si="84"/>
        <v>12</v>
      </c>
    </row>
    <row r="4442" ht="14.5" customHeight="1" spans="11:29" x14ac:dyDescent="0.25">
      <c r="K4442" s="128"/>
      <c r="X4442" s="234">
        <v>2022</v>
      </c>
      <c r="Y4442" s="234">
        <v>7</v>
      </c>
      <c r="Z4442" s="234">
        <v>5</v>
      </c>
      <c r="AA4442" s="235">
        <v>0</v>
      </c>
      <c r="AB4442" s="236">
        <v>12.6</v>
      </c>
      <c r="AC4442" s="127">
        <f t="shared" si="84"/>
        <v>13</v>
      </c>
    </row>
    <row r="4443" ht="14.5" customHeight="1" spans="11:29" x14ac:dyDescent="0.25">
      <c r="K4443" s="128"/>
      <c r="X4443" s="234">
        <v>2022</v>
      </c>
      <c r="Y4443" s="234">
        <v>7</v>
      </c>
      <c r="Z4443" s="234">
        <v>5</v>
      </c>
      <c r="AA4443" s="235">
        <v>0.041666666667879326</v>
      </c>
      <c r="AB4443" s="236">
        <v>12.7</v>
      </c>
      <c r="AC4443" s="127">
        <f t="shared" si="84"/>
        <v>13</v>
      </c>
    </row>
    <row r="4444" ht="14.5" customHeight="1" spans="11:29" x14ac:dyDescent="0.25">
      <c r="K4444" s="128"/>
      <c r="X4444" s="234">
        <v>2022</v>
      </c>
      <c r="Y4444" s="234">
        <v>7</v>
      </c>
      <c r="Z4444" s="234">
        <v>5</v>
      </c>
      <c r="AA4444" s="235">
        <v>0.08333333333212067</v>
      </c>
      <c r="AB4444" s="236">
        <v>12.2</v>
      </c>
      <c r="AC4444" s="127">
        <f t="shared" si="84"/>
        <v>12</v>
      </c>
    </row>
    <row r="4445" ht="14.5" customHeight="1" spans="11:29" x14ac:dyDescent="0.25">
      <c r="K4445" s="128"/>
      <c r="X4445" s="234">
        <v>2022</v>
      </c>
      <c r="Y4445" s="234">
        <v>7</v>
      </c>
      <c r="Z4445" s="234">
        <v>5</v>
      </c>
      <c r="AA4445" s="235">
        <v>0.125</v>
      </c>
      <c r="AB4445" s="236">
        <v>11.3</v>
      </c>
      <c r="AC4445" s="127">
        <f t="shared" si="84"/>
        <v>11</v>
      </c>
    </row>
    <row r="4446" ht="14.5" customHeight="1" spans="11:29" x14ac:dyDescent="0.25">
      <c r="K4446" s="128"/>
      <c r="X4446" s="234">
        <v>2022</v>
      </c>
      <c r="Y4446" s="234">
        <v>7</v>
      </c>
      <c r="Z4446" s="234">
        <v>5</v>
      </c>
      <c r="AA4446" s="235">
        <v>0.16666666666787933</v>
      </c>
      <c r="AB4446" s="236">
        <v>9.7</v>
      </c>
      <c r="AC4446" s="127">
        <f t="shared" si="84"/>
        <v>10</v>
      </c>
    </row>
    <row r="4447" ht="14.5" customHeight="1" spans="11:29" x14ac:dyDescent="0.25">
      <c r="K4447" s="128"/>
      <c r="X4447" s="234">
        <v>2022</v>
      </c>
      <c r="Y4447" s="234">
        <v>7</v>
      </c>
      <c r="Z4447" s="234">
        <v>5</v>
      </c>
      <c r="AA4447" s="235">
        <v>0.20833333333212067</v>
      </c>
      <c r="AB4447" s="236">
        <v>9.4</v>
      </c>
      <c r="AC4447" s="127">
        <f t="shared" si="84"/>
        <v>9</v>
      </c>
    </row>
    <row r="4448" ht="14.5" customHeight="1" spans="11:29" x14ac:dyDescent="0.25">
      <c r="K4448" s="128"/>
      <c r="X4448" s="234">
        <v>2022</v>
      </c>
      <c r="Y4448" s="234">
        <v>7</v>
      </c>
      <c r="Z4448" s="234">
        <v>5</v>
      </c>
      <c r="AA4448" s="235">
        <v>0.25</v>
      </c>
      <c r="AB4448" s="236">
        <v>9.9</v>
      </c>
      <c r="AC4448" s="127">
        <f t="shared" si="84"/>
        <v>10</v>
      </c>
    </row>
    <row r="4449" ht="14.5" customHeight="1" spans="11:29" x14ac:dyDescent="0.25">
      <c r="K4449" s="128"/>
      <c r="X4449" s="234">
        <v>2022</v>
      </c>
      <c r="Y4449" s="234">
        <v>7</v>
      </c>
      <c r="Z4449" s="234">
        <v>5</v>
      </c>
      <c r="AA4449" s="235">
        <v>0.2916666666678793</v>
      </c>
      <c r="AB4449" s="236">
        <v>10.7</v>
      </c>
      <c r="AC4449" s="127">
        <f t="shared" si="84"/>
        <v>11</v>
      </c>
    </row>
    <row r="4450" ht="14.5" customHeight="1" spans="11:29" x14ac:dyDescent="0.25">
      <c r="K4450" s="128"/>
      <c r="X4450" s="234">
        <v>2022</v>
      </c>
      <c r="Y4450" s="234">
        <v>7</v>
      </c>
      <c r="Z4450" s="234">
        <v>5</v>
      </c>
      <c r="AA4450" s="235">
        <v>0.3333333333321207</v>
      </c>
      <c r="AB4450" s="236">
        <v>12</v>
      </c>
      <c r="AC4450" s="127">
        <f t="shared" si="84"/>
        <v>12</v>
      </c>
    </row>
    <row r="4451" ht="14.5" customHeight="1" spans="11:29" x14ac:dyDescent="0.25">
      <c r="K4451" s="128"/>
      <c r="X4451" s="234">
        <v>2022</v>
      </c>
      <c r="Y4451" s="234">
        <v>7</v>
      </c>
      <c r="Z4451" s="234">
        <v>5</v>
      </c>
      <c r="AA4451" s="235">
        <v>0.375</v>
      </c>
      <c r="AB4451" s="236">
        <v>14.5</v>
      </c>
      <c r="AC4451" s="127">
        <f t="shared" si="84"/>
        <v>15</v>
      </c>
    </row>
    <row r="4452" ht="14.5" customHeight="1" spans="11:29" x14ac:dyDescent="0.25">
      <c r="K4452" s="128"/>
      <c r="X4452" s="234">
        <v>2022</v>
      </c>
      <c r="Y4452" s="234">
        <v>7</v>
      </c>
      <c r="Z4452" s="234">
        <v>5</v>
      </c>
      <c r="AA4452" s="235">
        <v>0.4166666666678793</v>
      </c>
      <c r="AB4452" s="236">
        <v>16.6</v>
      </c>
      <c r="AC4452" s="127">
        <f t="shared" si="84"/>
        <v>17</v>
      </c>
    </row>
    <row r="4453" ht="14.5" customHeight="1" spans="11:29" x14ac:dyDescent="0.25">
      <c r="K4453" s="128"/>
      <c r="X4453" s="234">
        <v>2022</v>
      </c>
      <c r="Y4453" s="234">
        <v>7</v>
      </c>
      <c r="Z4453" s="234">
        <v>5</v>
      </c>
      <c r="AA4453" s="235">
        <v>0.4583333333321207</v>
      </c>
      <c r="AB4453" s="236">
        <v>18.3</v>
      </c>
      <c r="AC4453" s="127">
        <f t="shared" si="84"/>
        <v>18</v>
      </c>
    </row>
    <row r="4454" ht="14.5" customHeight="1" spans="11:29" x14ac:dyDescent="0.25">
      <c r="K4454" s="128"/>
      <c r="X4454" s="234">
        <v>2022</v>
      </c>
      <c r="Y4454" s="234">
        <v>7</v>
      </c>
      <c r="Z4454" s="234">
        <v>5</v>
      </c>
      <c r="AA4454" s="235">
        <v>0.5</v>
      </c>
      <c r="AB4454" s="236">
        <v>19.4</v>
      </c>
      <c r="AC4454" s="127">
        <f t="shared" si="84"/>
        <v>19</v>
      </c>
    </row>
    <row r="4455" ht="14.5" customHeight="1" spans="11:29" x14ac:dyDescent="0.25">
      <c r="K4455" s="128"/>
      <c r="X4455" s="234">
        <v>2022</v>
      </c>
      <c r="Y4455" s="234">
        <v>7</v>
      </c>
      <c r="Z4455" s="234">
        <v>5</v>
      </c>
      <c r="AA4455" s="235">
        <v>0.5416666666678793</v>
      </c>
      <c r="AB4455" s="236">
        <v>19.1</v>
      </c>
      <c r="AC4455" s="127">
        <f t="shared" si="84"/>
        <v>19</v>
      </c>
    </row>
    <row r="4456" ht="14.5" customHeight="1" spans="11:29" x14ac:dyDescent="0.25">
      <c r="K4456" s="128"/>
      <c r="X4456" s="234">
        <v>2022</v>
      </c>
      <c r="Y4456" s="234">
        <v>7</v>
      </c>
      <c r="Z4456" s="234">
        <v>5</v>
      </c>
      <c r="AA4456" s="235">
        <v>0.5833333333321207</v>
      </c>
      <c r="AB4456" s="236">
        <v>19.4</v>
      </c>
      <c r="AC4456" s="127">
        <f t="shared" si="84"/>
        <v>19</v>
      </c>
    </row>
    <row r="4457" ht="14.5" customHeight="1" spans="11:29" x14ac:dyDescent="0.25">
      <c r="K4457" s="128"/>
      <c r="X4457" s="234">
        <v>2022</v>
      </c>
      <c r="Y4457" s="234">
        <v>7</v>
      </c>
      <c r="Z4457" s="234">
        <v>5</v>
      </c>
      <c r="AA4457" s="235">
        <v>0.625</v>
      </c>
      <c r="AB4457" s="236">
        <v>19.2</v>
      </c>
      <c r="AC4457" s="127">
        <f t="shared" si="84"/>
        <v>19</v>
      </c>
    </row>
    <row r="4458" ht="14.5" customHeight="1" spans="11:29" x14ac:dyDescent="0.25">
      <c r="K4458" s="128"/>
      <c r="X4458" s="234">
        <v>2022</v>
      </c>
      <c r="Y4458" s="234">
        <v>7</v>
      </c>
      <c r="Z4458" s="234">
        <v>5</v>
      </c>
      <c r="AA4458" s="235">
        <v>0.6666666666678793</v>
      </c>
      <c r="AB4458" s="236">
        <v>20.6</v>
      </c>
      <c r="AC4458" s="127">
        <f t="shared" si="84"/>
        <v>21</v>
      </c>
    </row>
    <row r="4459" ht="14.5" customHeight="1" spans="11:29" x14ac:dyDescent="0.25">
      <c r="K4459" s="128"/>
      <c r="X4459" s="234">
        <v>2022</v>
      </c>
      <c r="Y4459" s="234">
        <v>7</v>
      </c>
      <c r="Z4459" s="234">
        <v>5</v>
      </c>
      <c r="AA4459" s="235">
        <v>0.7083333333321207</v>
      </c>
      <c r="AB4459" s="236">
        <v>18.2</v>
      </c>
      <c r="AC4459" s="127">
        <f t="shared" si="84"/>
        <v>18</v>
      </c>
    </row>
    <row r="4460" ht="14.5" customHeight="1" spans="11:29" x14ac:dyDescent="0.25">
      <c r="K4460" s="128"/>
      <c r="X4460" s="234">
        <v>2022</v>
      </c>
      <c r="Y4460" s="234">
        <v>7</v>
      </c>
      <c r="Z4460" s="234">
        <v>5</v>
      </c>
      <c r="AA4460" s="235">
        <v>0.75</v>
      </c>
      <c r="AB4460" s="236">
        <v>17.5</v>
      </c>
      <c r="AC4460" s="127">
        <f t="shared" si="84"/>
        <v>18</v>
      </c>
    </row>
    <row r="4461" ht="14.5" customHeight="1" spans="11:29" x14ac:dyDescent="0.25">
      <c r="K4461" s="128"/>
      <c r="X4461" s="234">
        <v>2022</v>
      </c>
      <c r="Y4461" s="234">
        <v>7</v>
      </c>
      <c r="Z4461" s="234">
        <v>5</v>
      </c>
      <c r="AA4461" s="235">
        <v>0.7916666666678793</v>
      </c>
      <c r="AB4461" s="236">
        <v>16.4</v>
      </c>
      <c r="AC4461" s="127">
        <f t="shared" si="84"/>
        <v>16</v>
      </c>
    </row>
    <row r="4462" ht="14.5" customHeight="1" spans="11:29" x14ac:dyDescent="0.25">
      <c r="K4462" s="128"/>
      <c r="X4462" s="234">
        <v>2022</v>
      </c>
      <c r="Y4462" s="234">
        <v>7</v>
      </c>
      <c r="Z4462" s="234">
        <v>5</v>
      </c>
      <c r="AA4462" s="235">
        <v>0.8333333333321207</v>
      </c>
      <c r="AB4462" s="236">
        <v>15.6</v>
      </c>
      <c r="AC4462" s="127">
        <f t="shared" si="84"/>
        <v>16</v>
      </c>
    </row>
    <row r="4463" ht="14.5" customHeight="1" spans="11:29" x14ac:dyDescent="0.25">
      <c r="K4463" s="128"/>
      <c r="X4463" s="234">
        <v>2022</v>
      </c>
      <c r="Y4463" s="234">
        <v>7</v>
      </c>
      <c r="Z4463" s="234">
        <v>5</v>
      </c>
      <c r="AA4463" s="235">
        <v>0.875</v>
      </c>
      <c r="AB4463" s="236">
        <v>13.7</v>
      </c>
      <c r="AC4463" s="127">
        <f t="shared" si="84"/>
        <v>14</v>
      </c>
    </row>
    <row r="4464" ht="14.5" customHeight="1" spans="11:29" x14ac:dyDescent="0.25">
      <c r="K4464" s="128"/>
      <c r="X4464" s="234">
        <v>2022</v>
      </c>
      <c r="Y4464" s="234">
        <v>7</v>
      </c>
      <c r="Z4464" s="234">
        <v>5</v>
      </c>
      <c r="AA4464" s="235">
        <v>0.9166666666678793</v>
      </c>
      <c r="AB4464" s="236">
        <v>13</v>
      </c>
      <c r="AC4464" s="127">
        <f t="shared" si="84"/>
        <v>13</v>
      </c>
    </row>
    <row r="4465" ht="14.5" customHeight="1" spans="11:29" x14ac:dyDescent="0.25">
      <c r="K4465" s="128"/>
      <c r="X4465" s="234">
        <v>2022</v>
      </c>
      <c r="Y4465" s="234">
        <v>7</v>
      </c>
      <c r="Z4465" s="234">
        <v>5</v>
      </c>
      <c r="AA4465" s="235">
        <v>0.9583333333321207</v>
      </c>
      <c r="AB4465" s="236">
        <v>11.7</v>
      </c>
      <c r="AC4465" s="127">
        <f t="shared" si="84"/>
        <v>12</v>
      </c>
    </row>
    <row r="4466" ht="14.5" customHeight="1" spans="11:29" x14ac:dyDescent="0.25">
      <c r="K4466" s="128"/>
      <c r="X4466" s="234">
        <v>2022</v>
      </c>
      <c r="Y4466" s="234">
        <v>7</v>
      </c>
      <c r="Z4466" s="234">
        <v>6</v>
      </c>
      <c r="AA4466" s="235">
        <v>0</v>
      </c>
      <c r="AB4466" s="236">
        <v>10.8</v>
      </c>
      <c r="AC4466" s="127">
        <f t="shared" si="84"/>
        <v>11</v>
      </c>
    </row>
    <row r="4467" ht="14.5" customHeight="1" spans="11:29" x14ac:dyDescent="0.25">
      <c r="K4467" s="128"/>
      <c r="X4467" s="234">
        <v>2022</v>
      </c>
      <c r="Y4467" s="234">
        <v>7</v>
      </c>
      <c r="Z4467" s="234">
        <v>6</v>
      </c>
      <c r="AA4467" s="235">
        <v>0.041666666667879326</v>
      </c>
      <c r="AB4467" s="236">
        <v>10</v>
      </c>
      <c r="AC4467" s="127">
        <f t="shared" si="84"/>
        <v>10</v>
      </c>
    </row>
    <row r="4468" ht="14.5" customHeight="1" spans="11:29" x14ac:dyDescent="0.25">
      <c r="K4468" s="128"/>
      <c r="X4468" s="234">
        <v>2022</v>
      </c>
      <c r="Y4468" s="234">
        <v>7</v>
      </c>
      <c r="Z4468" s="234">
        <v>6</v>
      </c>
      <c r="AA4468" s="235">
        <v>0.08333333333212067</v>
      </c>
      <c r="AB4468" s="236">
        <v>9.5</v>
      </c>
      <c r="AC4468" s="127">
        <f t="shared" si="84"/>
        <v>10</v>
      </c>
    </row>
    <row r="4469" ht="14.5" customHeight="1" spans="11:29" x14ac:dyDescent="0.25">
      <c r="K4469" s="128"/>
      <c r="X4469" s="234">
        <v>2022</v>
      </c>
      <c r="Y4469" s="234">
        <v>7</v>
      </c>
      <c r="Z4469" s="234">
        <v>6</v>
      </c>
      <c r="AA4469" s="235">
        <v>0.125</v>
      </c>
      <c r="AB4469" s="236">
        <v>8.5</v>
      </c>
      <c r="AC4469" s="127">
        <f t="shared" si="84"/>
        <v>9</v>
      </c>
    </row>
    <row r="4470" ht="14.5" customHeight="1" spans="11:29" x14ac:dyDescent="0.25">
      <c r="K4470" s="128"/>
      <c r="X4470" s="234">
        <v>2022</v>
      </c>
      <c r="Y4470" s="234">
        <v>7</v>
      </c>
      <c r="Z4470" s="234">
        <v>6</v>
      </c>
      <c r="AA4470" s="235">
        <v>0.16666666666787933</v>
      </c>
      <c r="AB4470" s="236">
        <v>7.5</v>
      </c>
      <c r="AC4470" s="127">
        <f t="shared" si="84"/>
        <v>8</v>
      </c>
    </row>
    <row r="4471" ht="14.5" customHeight="1" spans="11:29" x14ac:dyDescent="0.25">
      <c r="K4471" s="128"/>
      <c r="X4471" s="234">
        <v>2022</v>
      </c>
      <c r="Y4471" s="234">
        <v>7</v>
      </c>
      <c r="Z4471" s="234">
        <v>6</v>
      </c>
      <c r="AA4471" s="235">
        <v>0.20833333333212067</v>
      </c>
      <c r="AB4471" s="236">
        <v>7.6</v>
      </c>
      <c r="AC4471" s="127">
        <f t="shared" si="84"/>
        <v>8</v>
      </c>
    </row>
    <row r="4472" ht="14.5" customHeight="1" spans="11:29" x14ac:dyDescent="0.25">
      <c r="K4472" s="128"/>
      <c r="X4472" s="234">
        <v>2022</v>
      </c>
      <c r="Y4472" s="234">
        <v>7</v>
      </c>
      <c r="Z4472" s="234">
        <v>6</v>
      </c>
      <c r="AA4472" s="235">
        <v>0.25</v>
      </c>
      <c r="AB4472" s="236">
        <v>10</v>
      </c>
      <c r="AC4472" s="127">
        <f t="shared" si="84"/>
        <v>10</v>
      </c>
    </row>
    <row r="4473" ht="14.5" customHeight="1" spans="11:29" x14ac:dyDescent="0.25">
      <c r="K4473" s="128"/>
      <c r="X4473" s="234">
        <v>2022</v>
      </c>
      <c r="Y4473" s="234">
        <v>7</v>
      </c>
      <c r="Z4473" s="234">
        <v>6</v>
      </c>
      <c r="AA4473" s="235">
        <v>0.2916666666678793</v>
      </c>
      <c r="AB4473" s="236">
        <v>11.7</v>
      </c>
      <c r="AC4473" s="127">
        <f t="shared" si="84"/>
        <v>12</v>
      </c>
    </row>
    <row r="4474" ht="14.5" customHeight="1" spans="11:29" x14ac:dyDescent="0.25">
      <c r="K4474" s="128"/>
      <c r="X4474" s="234">
        <v>2022</v>
      </c>
      <c r="Y4474" s="234">
        <v>7</v>
      </c>
      <c r="Z4474" s="234">
        <v>6</v>
      </c>
      <c r="AA4474" s="235">
        <v>0.3333333333321207</v>
      </c>
      <c r="AB4474" s="236">
        <v>11.4</v>
      </c>
      <c r="AC4474" s="127">
        <f t="shared" si="84"/>
        <v>11</v>
      </c>
    </row>
    <row r="4475" ht="14.5" customHeight="1" spans="11:29" x14ac:dyDescent="0.25">
      <c r="K4475" s="128"/>
      <c r="X4475" s="234">
        <v>2022</v>
      </c>
      <c r="Y4475" s="234">
        <v>7</v>
      </c>
      <c r="Z4475" s="234">
        <v>6</v>
      </c>
      <c r="AA4475" s="235">
        <v>0.375</v>
      </c>
      <c r="AB4475" s="236">
        <v>11.6</v>
      </c>
      <c r="AC4475" s="127">
        <f t="shared" si="84"/>
        <v>12</v>
      </c>
    </row>
    <row r="4476" ht="14.5" customHeight="1" spans="11:29" x14ac:dyDescent="0.25">
      <c r="K4476" s="128"/>
      <c r="X4476" s="234">
        <v>2022</v>
      </c>
      <c r="Y4476" s="234">
        <v>7</v>
      </c>
      <c r="Z4476" s="234">
        <v>6</v>
      </c>
      <c r="AA4476" s="235">
        <v>0.4166666666678793</v>
      </c>
      <c r="AB4476" s="236">
        <v>11.5</v>
      </c>
      <c r="AC4476" s="127">
        <f t="shared" si="84"/>
        <v>12</v>
      </c>
    </row>
    <row r="4477" ht="14.5" customHeight="1" spans="11:29" x14ac:dyDescent="0.25">
      <c r="K4477" s="128"/>
      <c r="X4477" s="234">
        <v>2022</v>
      </c>
      <c r="Y4477" s="234">
        <v>7</v>
      </c>
      <c r="Z4477" s="234">
        <v>6</v>
      </c>
      <c r="AA4477" s="235">
        <v>0.4583333333321207</v>
      </c>
      <c r="AB4477" s="236">
        <v>12.3</v>
      </c>
      <c r="AC4477" s="127">
        <f t="shared" si="84"/>
        <v>12</v>
      </c>
    </row>
    <row r="4478" ht="14.5" customHeight="1" spans="11:29" x14ac:dyDescent="0.25">
      <c r="K4478" s="128"/>
      <c r="X4478" s="234">
        <v>2022</v>
      </c>
      <c r="Y4478" s="234">
        <v>7</v>
      </c>
      <c r="Z4478" s="234">
        <v>6</v>
      </c>
      <c r="AA4478" s="235">
        <v>0.5</v>
      </c>
      <c r="AB4478" s="236">
        <v>12.9</v>
      </c>
      <c r="AC4478" s="127">
        <f t="shared" si="84"/>
        <v>13</v>
      </c>
    </row>
    <row r="4479" ht="14.5" customHeight="1" spans="11:29" x14ac:dyDescent="0.25">
      <c r="K4479" s="128"/>
      <c r="X4479" s="234">
        <v>2022</v>
      </c>
      <c r="Y4479" s="234">
        <v>7</v>
      </c>
      <c r="Z4479" s="234">
        <v>6</v>
      </c>
      <c r="AA4479" s="235">
        <v>0.5416666666678793</v>
      </c>
      <c r="AB4479" s="236">
        <v>14.7</v>
      </c>
      <c r="AC4479" s="127">
        <f t="shared" si="84"/>
        <v>15</v>
      </c>
    </row>
    <row r="4480" ht="14.5" customHeight="1" spans="11:29" x14ac:dyDescent="0.25">
      <c r="K4480" s="128"/>
      <c r="X4480" s="234">
        <v>2022</v>
      </c>
      <c r="Y4480" s="234">
        <v>7</v>
      </c>
      <c r="Z4480" s="234">
        <v>6</v>
      </c>
      <c r="AA4480" s="235">
        <v>0.5833333333321207</v>
      </c>
      <c r="AB4480" s="236">
        <v>15</v>
      </c>
      <c r="AC4480" s="127">
        <f t="shared" si="84"/>
        <v>15</v>
      </c>
    </row>
    <row r="4481" ht="14.5" customHeight="1" spans="11:29" x14ac:dyDescent="0.25">
      <c r="K4481" s="128"/>
      <c r="X4481" s="234">
        <v>2022</v>
      </c>
      <c r="Y4481" s="234">
        <v>7</v>
      </c>
      <c r="Z4481" s="234">
        <v>6</v>
      </c>
      <c r="AA4481" s="235">
        <v>0.625</v>
      </c>
      <c r="AB4481" s="236">
        <v>14.7</v>
      </c>
      <c r="AC4481" s="127">
        <f t="shared" si="84"/>
        <v>15</v>
      </c>
    </row>
    <row r="4482" ht="14.5" customHeight="1" spans="11:29" x14ac:dyDescent="0.25">
      <c r="K4482" s="128"/>
      <c r="X4482" s="234">
        <v>2022</v>
      </c>
      <c r="Y4482" s="234">
        <v>7</v>
      </c>
      <c r="Z4482" s="234">
        <v>6</v>
      </c>
      <c r="AA4482" s="235">
        <v>0.6666666666678793</v>
      </c>
      <c r="AB4482" s="236">
        <v>15.5</v>
      </c>
      <c r="AC4482" s="127">
        <f t="shared" si="84"/>
        <v>16</v>
      </c>
    </row>
    <row r="4483" ht="14.5" customHeight="1" spans="11:29" x14ac:dyDescent="0.25">
      <c r="K4483" s="128"/>
      <c r="X4483" s="234">
        <v>2022</v>
      </c>
      <c r="Y4483" s="234">
        <v>7</v>
      </c>
      <c r="Z4483" s="234">
        <v>6</v>
      </c>
      <c r="AA4483" s="235">
        <v>0.7083333333321207</v>
      </c>
      <c r="AB4483" s="236">
        <v>16.4</v>
      </c>
      <c r="AC4483" s="127">
        <f t="shared" si="84"/>
        <v>16</v>
      </c>
    </row>
    <row r="4484" ht="14.5" customHeight="1" spans="11:29" x14ac:dyDescent="0.25">
      <c r="K4484" s="128"/>
      <c r="X4484" s="234">
        <v>2022</v>
      </c>
      <c r="Y4484" s="234">
        <v>7</v>
      </c>
      <c r="Z4484" s="234">
        <v>6</v>
      </c>
      <c r="AA4484" s="235">
        <v>0.75</v>
      </c>
      <c r="AB4484" s="236">
        <v>16.7</v>
      </c>
      <c r="AC4484" s="127">
        <f t="shared" si="84"/>
        <v>17</v>
      </c>
    </row>
    <row r="4485" ht="14.5" customHeight="1" spans="11:29" x14ac:dyDescent="0.25">
      <c r="K4485" s="128"/>
      <c r="X4485" s="234">
        <v>2022</v>
      </c>
      <c r="Y4485" s="234">
        <v>7</v>
      </c>
      <c r="Z4485" s="234">
        <v>6</v>
      </c>
      <c r="AA4485" s="235">
        <v>0.7916666666678793</v>
      </c>
      <c r="AB4485" s="236">
        <v>16.9</v>
      </c>
      <c r="AC4485" s="127">
        <f t="shared" si="84"/>
        <v>17</v>
      </c>
    </row>
    <row r="4486" ht="14.5" customHeight="1" spans="11:29" x14ac:dyDescent="0.25">
      <c r="K4486" s="128"/>
      <c r="X4486" s="234">
        <v>2022</v>
      </c>
      <c r="Y4486" s="234">
        <v>7</v>
      </c>
      <c r="Z4486" s="234">
        <v>6</v>
      </c>
      <c r="AA4486" s="235">
        <v>0.8333333333321207</v>
      </c>
      <c r="AB4486" s="236">
        <v>15.7</v>
      </c>
      <c r="AC4486" s="127">
        <f t="shared" si="84"/>
        <v>16</v>
      </c>
    </row>
    <row r="4487" ht="14.5" customHeight="1" spans="11:29" x14ac:dyDescent="0.25">
      <c r="K4487" s="128"/>
      <c r="X4487" s="234">
        <v>2022</v>
      </c>
      <c r="Y4487" s="234">
        <v>7</v>
      </c>
      <c r="Z4487" s="234">
        <v>6</v>
      </c>
      <c r="AA4487" s="235">
        <v>0.875</v>
      </c>
      <c r="AB4487" s="236">
        <v>15.2</v>
      </c>
      <c r="AC4487" s="127">
        <f t="shared" si="84"/>
        <v>15</v>
      </c>
    </row>
    <row r="4488" ht="14.5" customHeight="1" spans="11:29" x14ac:dyDescent="0.25">
      <c r="K4488" s="128"/>
      <c r="X4488" s="234">
        <v>2022</v>
      </c>
      <c r="Y4488" s="234">
        <v>7</v>
      </c>
      <c r="Z4488" s="234">
        <v>6</v>
      </c>
      <c r="AA4488" s="235">
        <v>0.9166666666678793</v>
      </c>
      <c r="AB4488" s="236">
        <v>14.4</v>
      </c>
      <c r="AC4488" s="127">
        <f t="shared" si="84"/>
        <v>14</v>
      </c>
    </row>
    <row r="4489" ht="14.5" customHeight="1" spans="11:29" x14ac:dyDescent="0.25">
      <c r="K4489" s="128"/>
      <c r="X4489" s="234">
        <v>2022</v>
      </c>
      <c r="Y4489" s="234">
        <v>7</v>
      </c>
      <c r="Z4489" s="234">
        <v>6</v>
      </c>
      <c r="AA4489" s="235">
        <v>0.9583333333321207</v>
      </c>
      <c r="AB4489" s="236">
        <v>14.3</v>
      </c>
      <c r="AC4489" s="127">
        <f t="shared" si="84"/>
        <v>14</v>
      </c>
    </row>
    <row r="4490" ht="14.5" customHeight="1" spans="11:29" x14ac:dyDescent="0.25">
      <c r="K4490" s="128"/>
      <c r="X4490" s="234">
        <v>2022</v>
      </c>
      <c r="Y4490" s="234">
        <v>7</v>
      </c>
      <c r="Z4490" s="234">
        <v>7</v>
      </c>
      <c r="AA4490" s="235">
        <v>0</v>
      </c>
      <c r="AB4490" s="236">
        <v>14.9</v>
      </c>
      <c r="AC4490" s="127">
        <f t="shared" si="84"/>
        <v>15</v>
      </c>
    </row>
    <row r="4491" ht="14.5" customHeight="1" spans="11:29" x14ac:dyDescent="0.25">
      <c r="K4491" s="128"/>
      <c r="X4491" s="234">
        <v>2022</v>
      </c>
      <c r="Y4491" s="234">
        <v>7</v>
      </c>
      <c r="Z4491" s="234">
        <v>7</v>
      </c>
      <c r="AA4491" s="235">
        <v>0.041666666667879326</v>
      </c>
      <c r="AB4491" s="236">
        <v>14.3</v>
      </c>
      <c r="AC4491" s="127">
        <f t="shared" ref="AC4491:AC4554" si="85">ROUND(AB4491,0)</f>
        <v>14</v>
      </c>
    </row>
    <row r="4492" ht="14.5" customHeight="1" spans="11:29" x14ac:dyDescent="0.25">
      <c r="K4492" s="128"/>
      <c r="X4492" s="234">
        <v>2022</v>
      </c>
      <c r="Y4492" s="234">
        <v>7</v>
      </c>
      <c r="Z4492" s="234">
        <v>7</v>
      </c>
      <c r="AA4492" s="235">
        <v>0.08333333333212067</v>
      </c>
      <c r="AB4492" s="236">
        <v>13.2</v>
      </c>
      <c r="AC4492" s="127">
        <f t="shared" si="85"/>
        <v>13</v>
      </c>
    </row>
    <row r="4493" ht="14.5" customHeight="1" spans="11:29" x14ac:dyDescent="0.25">
      <c r="K4493" s="128"/>
      <c r="X4493" s="234">
        <v>2022</v>
      </c>
      <c r="Y4493" s="234">
        <v>7</v>
      </c>
      <c r="Z4493" s="234">
        <v>7</v>
      </c>
      <c r="AA4493" s="235">
        <v>0.125</v>
      </c>
      <c r="AB4493" s="236">
        <v>12.4</v>
      </c>
      <c r="AC4493" s="127">
        <f t="shared" si="85"/>
        <v>12</v>
      </c>
    </row>
    <row r="4494" ht="14.5" customHeight="1" spans="11:29" x14ac:dyDescent="0.25">
      <c r="K4494" s="128"/>
      <c r="X4494" s="234">
        <v>2022</v>
      </c>
      <c r="Y4494" s="234">
        <v>7</v>
      </c>
      <c r="Z4494" s="234">
        <v>7</v>
      </c>
      <c r="AA4494" s="235">
        <v>0.16666666666787933</v>
      </c>
      <c r="AB4494" s="236">
        <v>11.5</v>
      </c>
      <c r="AC4494" s="127">
        <f t="shared" si="85"/>
        <v>12</v>
      </c>
    </row>
    <row r="4495" ht="14.5" customHeight="1" spans="11:29" x14ac:dyDescent="0.25">
      <c r="K4495" s="128"/>
      <c r="X4495" s="234">
        <v>2022</v>
      </c>
      <c r="Y4495" s="234">
        <v>7</v>
      </c>
      <c r="Z4495" s="234">
        <v>7</v>
      </c>
      <c r="AA4495" s="235">
        <v>0.20833333333212067</v>
      </c>
      <c r="AB4495" s="236">
        <v>11.6</v>
      </c>
      <c r="AC4495" s="127">
        <f t="shared" si="85"/>
        <v>12</v>
      </c>
    </row>
    <row r="4496" ht="14.5" customHeight="1" spans="11:29" x14ac:dyDescent="0.25">
      <c r="K4496" s="128"/>
      <c r="X4496" s="234">
        <v>2022</v>
      </c>
      <c r="Y4496" s="234">
        <v>7</v>
      </c>
      <c r="Z4496" s="234">
        <v>7</v>
      </c>
      <c r="AA4496" s="235">
        <v>0.25</v>
      </c>
      <c r="AB4496" s="236">
        <v>13.1</v>
      </c>
      <c r="AC4496" s="127">
        <f t="shared" si="85"/>
        <v>13</v>
      </c>
    </row>
    <row r="4497" ht="14.5" customHeight="1" spans="11:29" x14ac:dyDescent="0.25">
      <c r="K4497" s="128"/>
      <c r="X4497" s="234">
        <v>2022</v>
      </c>
      <c r="Y4497" s="234">
        <v>7</v>
      </c>
      <c r="Z4497" s="234">
        <v>7</v>
      </c>
      <c r="AA4497" s="235">
        <v>0.2916666666678793</v>
      </c>
      <c r="AB4497" s="236">
        <v>13.7</v>
      </c>
      <c r="AC4497" s="127">
        <f t="shared" si="85"/>
        <v>14</v>
      </c>
    </row>
    <row r="4498" ht="14.5" customHeight="1" spans="11:29" x14ac:dyDescent="0.25">
      <c r="K4498" s="128"/>
      <c r="X4498" s="234">
        <v>2022</v>
      </c>
      <c r="Y4498" s="234">
        <v>7</v>
      </c>
      <c r="Z4498" s="234">
        <v>7</v>
      </c>
      <c r="AA4498" s="235">
        <v>0.3333333333321207</v>
      </c>
      <c r="AB4498" s="236">
        <v>15.2</v>
      </c>
      <c r="AC4498" s="127">
        <f t="shared" si="85"/>
        <v>15</v>
      </c>
    </row>
    <row r="4499" ht="14.5" customHeight="1" spans="11:29" x14ac:dyDescent="0.25">
      <c r="K4499" s="128"/>
      <c r="X4499" s="234">
        <v>2022</v>
      </c>
      <c r="Y4499" s="234">
        <v>7</v>
      </c>
      <c r="Z4499" s="234">
        <v>7</v>
      </c>
      <c r="AA4499" s="235">
        <v>0.375</v>
      </c>
      <c r="AB4499" s="236">
        <v>15.7</v>
      </c>
      <c r="AC4499" s="127">
        <f t="shared" si="85"/>
        <v>16</v>
      </c>
    </row>
    <row r="4500" ht="14.5" customHeight="1" spans="11:29" x14ac:dyDescent="0.25">
      <c r="K4500" s="128"/>
      <c r="X4500" s="234">
        <v>2022</v>
      </c>
      <c r="Y4500" s="234">
        <v>7</v>
      </c>
      <c r="Z4500" s="234">
        <v>7</v>
      </c>
      <c r="AA4500" s="235">
        <v>0.4166666666678793</v>
      </c>
      <c r="AB4500" s="236">
        <v>18.4</v>
      </c>
      <c r="AC4500" s="127">
        <f t="shared" si="85"/>
        <v>18</v>
      </c>
    </row>
    <row r="4501" ht="14.5" customHeight="1" spans="11:29" x14ac:dyDescent="0.25">
      <c r="K4501" s="128"/>
      <c r="X4501" s="234">
        <v>2022</v>
      </c>
      <c r="Y4501" s="234">
        <v>7</v>
      </c>
      <c r="Z4501" s="234">
        <v>7</v>
      </c>
      <c r="AA4501" s="235">
        <v>0.4583333333321207</v>
      </c>
      <c r="AB4501" s="236">
        <v>19.7</v>
      </c>
      <c r="AC4501" s="127">
        <f t="shared" si="85"/>
        <v>20</v>
      </c>
    </row>
    <row r="4502" ht="14.5" customHeight="1" spans="11:29" x14ac:dyDescent="0.25">
      <c r="K4502" s="128"/>
      <c r="X4502" s="234">
        <v>2022</v>
      </c>
      <c r="Y4502" s="234">
        <v>7</v>
      </c>
      <c r="Z4502" s="234">
        <v>7</v>
      </c>
      <c r="AA4502" s="235">
        <v>0.5</v>
      </c>
      <c r="AB4502" s="236">
        <v>21.2</v>
      </c>
      <c r="AC4502" s="127">
        <f t="shared" si="85"/>
        <v>21</v>
      </c>
    </row>
    <row r="4503" ht="14.5" customHeight="1" spans="11:29" x14ac:dyDescent="0.25">
      <c r="K4503" s="128"/>
      <c r="X4503" s="234">
        <v>2022</v>
      </c>
      <c r="Y4503" s="234">
        <v>7</v>
      </c>
      <c r="Z4503" s="234">
        <v>7</v>
      </c>
      <c r="AA4503" s="235">
        <v>0.5416666666678793</v>
      </c>
      <c r="AB4503" s="236">
        <v>21.9</v>
      </c>
      <c r="AC4503" s="127">
        <f t="shared" si="85"/>
        <v>22</v>
      </c>
    </row>
    <row r="4504" ht="14.5" customHeight="1" spans="11:29" x14ac:dyDescent="0.25">
      <c r="K4504" s="128"/>
      <c r="X4504" s="234">
        <v>2022</v>
      </c>
      <c r="Y4504" s="234">
        <v>7</v>
      </c>
      <c r="Z4504" s="234">
        <v>7</v>
      </c>
      <c r="AA4504" s="235">
        <v>0.5833333333321207</v>
      </c>
      <c r="AB4504" s="236">
        <v>22.1</v>
      </c>
      <c r="AC4504" s="127">
        <f t="shared" si="85"/>
        <v>22</v>
      </c>
    </row>
    <row r="4505" ht="14.5" customHeight="1" spans="11:29" x14ac:dyDescent="0.25">
      <c r="K4505" s="128"/>
      <c r="X4505" s="234">
        <v>2022</v>
      </c>
      <c r="Y4505" s="234">
        <v>7</v>
      </c>
      <c r="Z4505" s="234">
        <v>7</v>
      </c>
      <c r="AA4505" s="235">
        <v>0.625</v>
      </c>
      <c r="AB4505" s="236">
        <v>23.1</v>
      </c>
      <c r="AC4505" s="127">
        <f t="shared" si="85"/>
        <v>23</v>
      </c>
    </row>
    <row r="4506" ht="14.5" customHeight="1" spans="11:29" x14ac:dyDescent="0.25">
      <c r="K4506" s="128"/>
      <c r="X4506" s="234">
        <v>2022</v>
      </c>
      <c r="Y4506" s="234">
        <v>7</v>
      </c>
      <c r="Z4506" s="234">
        <v>7</v>
      </c>
      <c r="AA4506" s="235">
        <v>0.6666666666678793</v>
      </c>
      <c r="AB4506" s="236">
        <v>22.1</v>
      </c>
      <c r="AC4506" s="127">
        <f t="shared" si="85"/>
        <v>22</v>
      </c>
    </row>
    <row r="4507" ht="14.5" customHeight="1" spans="11:29" x14ac:dyDescent="0.25">
      <c r="K4507" s="128"/>
      <c r="X4507" s="234">
        <v>2022</v>
      </c>
      <c r="Y4507" s="234">
        <v>7</v>
      </c>
      <c r="Z4507" s="234">
        <v>7</v>
      </c>
      <c r="AA4507" s="235">
        <v>0.7083333333321207</v>
      </c>
      <c r="AB4507" s="236">
        <v>16.9</v>
      </c>
      <c r="AC4507" s="127">
        <f t="shared" si="85"/>
        <v>17</v>
      </c>
    </row>
    <row r="4508" ht="14.5" customHeight="1" spans="11:29" x14ac:dyDescent="0.25">
      <c r="K4508" s="128"/>
      <c r="X4508" s="234">
        <v>2022</v>
      </c>
      <c r="Y4508" s="234">
        <v>7</v>
      </c>
      <c r="Z4508" s="234">
        <v>7</v>
      </c>
      <c r="AA4508" s="235">
        <v>0.75</v>
      </c>
      <c r="AB4508" s="236">
        <v>19.9</v>
      </c>
      <c r="AC4508" s="127">
        <f t="shared" si="85"/>
        <v>20</v>
      </c>
    </row>
    <row r="4509" ht="14.5" customHeight="1" spans="11:29" x14ac:dyDescent="0.25">
      <c r="K4509" s="128"/>
      <c r="X4509" s="234">
        <v>2022</v>
      </c>
      <c r="Y4509" s="234">
        <v>7</v>
      </c>
      <c r="Z4509" s="234">
        <v>7</v>
      </c>
      <c r="AA4509" s="235">
        <v>0.7916666666678793</v>
      </c>
      <c r="AB4509" s="236">
        <v>21.4</v>
      </c>
      <c r="AC4509" s="127">
        <f t="shared" si="85"/>
        <v>21</v>
      </c>
    </row>
    <row r="4510" ht="14.5" customHeight="1" spans="11:29" x14ac:dyDescent="0.25">
      <c r="K4510" s="128"/>
      <c r="X4510" s="234">
        <v>2022</v>
      </c>
      <c r="Y4510" s="234">
        <v>7</v>
      </c>
      <c r="Z4510" s="234">
        <v>7</v>
      </c>
      <c r="AA4510" s="235">
        <v>0.8333333333321207</v>
      </c>
      <c r="AB4510" s="236">
        <v>20</v>
      </c>
      <c r="AC4510" s="127">
        <f t="shared" si="85"/>
        <v>20</v>
      </c>
    </row>
    <row r="4511" ht="14.5" customHeight="1" spans="11:29" x14ac:dyDescent="0.25">
      <c r="K4511" s="128"/>
      <c r="X4511" s="234">
        <v>2022</v>
      </c>
      <c r="Y4511" s="234">
        <v>7</v>
      </c>
      <c r="Z4511" s="234">
        <v>7</v>
      </c>
      <c r="AA4511" s="235">
        <v>0.875</v>
      </c>
      <c r="AB4511" s="236">
        <v>17.3</v>
      </c>
      <c r="AC4511" s="127">
        <f t="shared" si="85"/>
        <v>17</v>
      </c>
    </row>
    <row r="4512" ht="14.5" customHeight="1" spans="11:29" x14ac:dyDescent="0.25">
      <c r="K4512" s="128"/>
      <c r="X4512" s="234">
        <v>2022</v>
      </c>
      <c r="Y4512" s="234">
        <v>7</v>
      </c>
      <c r="Z4512" s="234">
        <v>7</v>
      </c>
      <c r="AA4512" s="235">
        <v>0.9166666666678793</v>
      </c>
      <c r="AB4512" s="236">
        <v>15.7</v>
      </c>
      <c r="AC4512" s="127">
        <f t="shared" si="85"/>
        <v>16</v>
      </c>
    </row>
    <row r="4513" ht="14.5" customHeight="1" spans="11:29" x14ac:dyDescent="0.25">
      <c r="K4513" s="128"/>
      <c r="X4513" s="234">
        <v>2022</v>
      </c>
      <c r="Y4513" s="234">
        <v>7</v>
      </c>
      <c r="Z4513" s="234">
        <v>7</v>
      </c>
      <c r="AA4513" s="235">
        <v>0.9583333333321207</v>
      </c>
      <c r="AB4513" s="236">
        <v>15.3</v>
      </c>
      <c r="AC4513" s="127">
        <f t="shared" si="85"/>
        <v>15</v>
      </c>
    </row>
    <row r="4514" ht="14.5" customHeight="1" spans="11:29" x14ac:dyDescent="0.25">
      <c r="K4514" s="128"/>
      <c r="X4514" s="234">
        <v>2022</v>
      </c>
      <c r="Y4514" s="234">
        <v>7</v>
      </c>
      <c r="Z4514" s="234">
        <v>8</v>
      </c>
      <c r="AA4514" s="235">
        <v>0</v>
      </c>
      <c r="AB4514" s="236">
        <v>15.9</v>
      </c>
      <c r="AC4514" s="127">
        <f t="shared" si="85"/>
        <v>16</v>
      </c>
    </row>
    <row r="4515" ht="14.5" customHeight="1" spans="11:29" x14ac:dyDescent="0.25">
      <c r="K4515" s="128"/>
      <c r="X4515" s="234">
        <v>2022</v>
      </c>
      <c r="Y4515" s="234">
        <v>7</v>
      </c>
      <c r="Z4515" s="234">
        <v>8</v>
      </c>
      <c r="AA4515" s="235">
        <v>0.041666666667879326</v>
      </c>
      <c r="AB4515" s="236">
        <v>14.9</v>
      </c>
      <c r="AC4515" s="127">
        <f t="shared" si="85"/>
        <v>15</v>
      </c>
    </row>
    <row r="4516" ht="14.5" customHeight="1" spans="11:29" x14ac:dyDescent="0.25">
      <c r="K4516" s="128"/>
      <c r="X4516" s="234">
        <v>2022</v>
      </c>
      <c r="Y4516" s="234">
        <v>7</v>
      </c>
      <c r="Z4516" s="234">
        <v>8</v>
      </c>
      <c r="AA4516" s="235">
        <v>0.08333333333212067</v>
      </c>
      <c r="AB4516" s="236">
        <v>14.1</v>
      </c>
      <c r="AC4516" s="127">
        <f t="shared" si="85"/>
        <v>14</v>
      </c>
    </row>
    <row r="4517" ht="14.5" customHeight="1" spans="11:29" x14ac:dyDescent="0.25">
      <c r="K4517" s="128"/>
      <c r="X4517" s="234">
        <v>2022</v>
      </c>
      <c r="Y4517" s="234">
        <v>7</v>
      </c>
      <c r="Z4517" s="234">
        <v>8</v>
      </c>
      <c r="AA4517" s="235">
        <v>0.125</v>
      </c>
      <c r="AB4517" s="236">
        <v>12.4</v>
      </c>
      <c r="AC4517" s="127">
        <f t="shared" si="85"/>
        <v>12</v>
      </c>
    </row>
    <row r="4518" ht="14.5" customHeight="1" spans="11:29" x14ac:dyDescent="0.25">
      <c r="K4518" s="128"/>
      <c r="X4518" s="234">
        <v>2022</v>
      </c>
      <c r="Y4518" s="234">
        <v>7</v>
      </c>
      <c r="Z4518" s="234">
        <v>8</v>
      </c>
      <c r="AA4518" s="235">
        <v>0.16666666666787933</v>
      </c>
      <c r="AB4518" s="236">
        <v>11.5</v>
      </c>
      <c r="AC4518" s="127">
        <f t="shared" si="85"/>
        <v>12</v>
      </c>
    </row>
    <row r="4519" ht="14.5" customHeight="1" spans="11:29" x14ac:dyDescent="0.25">
      <c r="K4519" s="128"/>
      <c r="X4519" s="234">
        <v>2022</v>
      </c>
      <c r="Y4519" s="234">
        <v>7</v>
      </c>
      <c r="Z4519" s="234">
        <v>8</v>
      </c>
      <c r="AA4519" s="235">
        <v>0.20833333333212067</v>
      </c>
      <c r="AB4519" s="236">
        <v>10.7</v>
      </c>
      <c r="AC4519" s="127">
        <f t="shared" si="85"/>
        <v>11</v>
      </c>
    </row>
    <row r="4520" ht="14.5" customHeight="1" spans="11:29" x14ac:dyDescent="0.25">
      <c r="K4520" s="128"/>
      <c r="X4520" s="234">
        <v>2022</v>
      </c>
      <c r="Y4520" s="234">
        <v>7</v>
      </c>
      <c r="Z4520" s="234">
        <v>8</v>
      </c>
      <c r="AA4520" s="235">
        <v>0.25</v>
      </c>
      <c r="AB4520" s="236">
        <v>13.6</v>
      </c>
      <c r="AC4520" s="127">
        <f t="shared" si="85"/>
        <v>14</v>
      </c>
    </row>
    <row r="4521" ht="14.5" customHeight="1" spans="11:29" x14ac:dyDescent="0.25">
      <c r="K4521" s="128"/>
      <c r="X4521" s="234">
        <v>2022</v>
      </c>
      <c r="Y4521" s="234">
        <v>7</v>
      </c>
      <c r="Z4521" s="234">
        <v>8</v>
      </c>
      <c r="AA4521" s="235">
        <v>0.2916666666678793</v>
      </c>
      <c r="AB4521" s="236">
        <v>16.7</v>
      </c>
      <c r="AC4521" s="127">
        <f t="shared" si="85"/>
        <v>17</v>
      </c>
    </row>
    <row r="4522" ht="14.5" customHeight="1" spans="11:29" x14ac:dyDescent="0.25">
      <c r="K4522" s="128"/>
      <c r="X4522" s="234">
        <v>2022</v>
      </c>
      <c r="Y4522" s="234">
        <v>7</v>
      </c>
      <c r="Z4522" s="234">
        <v>8</v>
      </c>
      <c r="AA4522" s="235">
        <v>0.3333333333321207</v>
      </c>
      <c r="AB4522" s="236">
        <v>18.4</v>
      </c>
      <c r="AC4522" s="127">
        <f t="shared" si="85"/>
        <v>18</v>
      </c>
    </row>
    <row r="4523" ht="14.5" customHeight="1" spans="11:29" x14ac:dyDescent="0.25">
      <c r="K4523" s="128"/>
      <c r="X4523" s="234">
        <v>2022</v>
      </c>
      <c r="Y4523" s="234">
        <v>7</v>
      </c>
      <c r="Z4523" s="234">
        <v>8</v>
      </c>
      <c r="AA4523" s="235">
        <v>0.375</v>
      </c>
      <c r="AB4523" s="236">
        <v>20</v>
      </c>
      <c r="AC4523" s="127">
        <f t="shared" si="85"/>
        <v>20</v>
      </c>
    </row>
    <row r="4524" ht="14.5" customHeight="1" spans="11:29" x14ac:dyDescent="0.25">
      <c r="K4524" s="128"/>
      <c r="X4524" s="234">
        <v>2022</v>
      </c>
      <c r="Y4524" s="234">
        <v>7</v>
      </c>
      <c r="Z4524" s="234">
        <v>8</v>
      </c>
      <c r="AA4524" s="235">
        <v>0.4166666666678793</v>
      </c>
      <c r="AB4524" s="236">
        <v>21.7</v>
      </c>
      <c r="AC4524" s="127">
        <f t="shared" si="85"/>
        <v>22</v>
      </c>
    </row>
    <row r="4525" ht="14.5" customHeight="1" spans="11:29" x14ac:dyDescent="0.25">
      <c r="K4525" s="128"/>
      <c r="X4525" s="234">
        <v>2022</v>
      </c>
      <c r="Y4525" s="234">
        <v>7</v>
      </c>
      <c r="Z4525" s="234">
        <v>8</v>
      </c>
      <c r="AA4525" s="235">
        <v>0.4583333333321207</v>
      </c>
      <c r="AB4525" s="236">
        <v>22</v>
      </c>
      <c r="AC4525" s="127">
        <f t="shared" si="85"/>
        <v>22</v>
      </c>
    </row>
    <row r="4526" ht="14.5" customHeight="1" spans="11:29" x14ac:dyDescent="0.25">
      <c r="K4526" s="128"/>
      <c r="X4526" s="234">
        <v>2022</v>
      </c>
      <c r="Y4526" s="234">
        <v>7</v>
      </c>
      <c r="Z4526" s="234">
        <v>8</v>
      </c>
      <c r="AA4526" s="235">
        <v>0.5</v>
      </c>
      <c r="AB4526" s="236">
        <v>22.6</v>
      </c>
      <c r="AC4526" s="127">
        <f t="shared" si="85"/>
        <v>23</v>
      </c>
    </row>
    <row r="4527" ht="14.5" customHeight="1" spans="11:29" x14ac:dyDescent="0.25">
      <c r="K4527" s="128"/>
      <c r="X4527" s="234">
        <v>2022</v>
      </c>
      <c r="Y4527" s="234">
        <v>7</v>
      </c>
      <c r="Z4527" s="234">
        <v>8</v>
      </c>
      <c r="AA4527" s="235">
        <v>0.5416666666678793</v>
      </c>
      <c r="AB4527" s="236">
        <v>23.6</v>
      </c>
      <c r="AC4527" s="127">
        <f t="shared" si="85"/>
        <v>24</v>
      </c>
    </row>
    <row r="4528" ht="14.5" customHeight="1" spans="11:29" x14ac:dyDescent="0.25">
      <c r="K4528" s="128"/>
      <c r="X4528" s="234">
        <v>2022</v>
      </c>
      <c r="Y4528" s="234">
        <v>7</v>
      </c>
      <c r="Z4528" s="234">
        <v>8</v>
      </c>
      <c r="AA4528" s="235">
        <v>0.5833333333321207</v>
      </c>
      <c r="AB4528" s="236">
        <v>23.7</v>
      </c>
      <c r="AC4528" s="127">
        <f t="shared" si="85"/>
        <v>24</v>
      </c>
    </row>
    <row r="4529" ht="14.5" customHeight="1" spans="11:29" x14ac:dyDescent="0.25">
      <c r="K4529" s="128"/>
      <c r="X4529" s="234">
        <v>2022</v>
      </c>
      <c r="Y4529" s="234">
        <v>7</v>
      </c>
      <c r="Z4529" s="234">
        <v>8</v>
      </c>
      <c r="AA4529" s="235">
        <v>0.625</v>
      </c>
      <c r="AB4529" s="236">
        <v>24.5</v>
      </c>
      <c r="AC4529" s="127">
        <f t="shared" si="85"/>
        <v>25</v>
      </c>
    </row>
    <row r="4530" ht="14.5" customHeight="1" spans="11:29" x14ac:dyDescent="0.25">
      <c r="K4530" s="128"/>
      <c r="X4530" s="234">
        <v>2022</v>
      </c>
      <c r="Y4530" s="234">
        <v>7</v>
      </c>
      <c r="Z4530" s="234">
        <v>8</v>
      </c>
      <c r="AA4530" s="235">
        <v>0.6666666666678793</v>
      </c>
      <c r="AB4530" s="236">
        <v>24.7</v>
      </c>
      <c r="AC4530" s="127">
        <f t="shared" si="85"/>
        <v>25</v>
      </c>
    </row>
    <row r="4531" ht="14.5" customHeight="1" spans="11:29" x14ac:dyDescent="0.25">
      <c r="K4531" s="128"/>
      <c r="X4531" s="234">
        <v>2022</v>
      </c>
      <c r="Y4531" s="234">
        <v>7</v>
      </c>
      <c r="Z4531" s="234">
        <v>8</v>
      </c>
      <c r="AA4531" s="235">
        <v>0.7083333333321207</v>
      </c>
      <c r="AB4531" s="236">
        <v>23.1</v>
      </c>
      <c r="AC4531" s="127">
        <f t="shared" si="85"/>
        <v>23</v>
      </c>
    </row>
    <row r="4532" ht="14.5" customHeight="1" spans="11:29" x14ac:dyDescent="0.25">
      <c r="K4532" s="128"/>
      <c r="X4532" s="234">
        <v>2022</v>
      </c>
      <c r="Y4532" s="234">
        <v>7</v>
      </c>
      <c r="Z4532" s="234">
        <v>8</v>
      </c>
      <c r="AA4532" s="235">
        <v>0.75</v>
      </c>
      <c r="AB4532" s="236">
        <v>24.1</v>
      </c>
      <c r="AC4532" s="127">
        <f t="shared" si="85"/>
        <v>24</v>
      </c>
    </row>
    <row r="4533" ht="14.5" customHeight="1" spans="11:29" x14ac:dyDescent="0.25">
      <c r="K4533" s="128"/>
      <c r="X4533" s="234">
        <v>2022</v>
      </c>
      <c r="Y4533" s="234">
        <v>7</v>
      </c>
      <c r="Z4533" s="234">
        <v>8</v>
      </c>
      <c r="AA4533" s="235">
        <v>0.7916666666678793</v>
      </c>
      <c r="AB4533" s="236">
        <v>22.2</v>
      </c>
      <c r="AC4533" s="127">
        <f t="shared" si="85"/>
        <v>22</v>
      </c>
    </row>
    <row r="4534" ht="14.5" customHeight="1" spans="11:29" x14ac:dyDescent="0.25">
      <c r="K4534" s="128"/>
      <c r="X4534" s="234">
        <v>2022</v>
      </c>
      <c r="Y4534" s="234">
        <v>7</v>
      </c>
      <c r="Z4534" s="234">
        <v>8</v>
      </c>
      <c r="AA4534" s="235">
        <v>0.8333333333321207</v>
      </c>
      <c r="AB4534" s="236">
        <v>21.4</v>
      </c>
      <c r="AC4534" s="127">
        <f t="shared" si="85"/>
        <v>21</v>
      </c>
    </row>
    <row r="4535" ht="14.5" customHeight="1" spans="11:29" x14ac:dyDescent="0.25">
      <c r="K4535" s="128"/>
      <c r="X4535" s="234">
        <v>2022</v>
      </c>
      <c r="Y4535" s="234">
        <v>7</v>
      </c>
      <c r="Z4535" s="234">
        <v>8</v>
      </c>
      <c r="AA4535" s="235">
        <v>0.875</v>
      </c>
      <c r="AB4535" s="236">
        <v>18.6</v>
      </c>
      <c r="AC4535" s="127">
        <f t="shared" si="85"/>
        <v>19</v>
      </c>
    </row>
    <row r="4536" ht="14.5" customHeight="1" spans="11:29" x14ac:dyDescent="0.25">
      <c r="K4536" s="128"/>
      <c r="X4536" s="234">
        <v>2022</v>
      </c>
      <c r="Y4536" s="234">
        <v>7</v>
      </c>
      <c r="Z4536" s="234">
        <v>8</v>
      </c>
      <c r="AA4536" s="235">
        <v>0.9166666666678793</v>
      </c>
      <c r="AB4536" s="236">
        <v>17.2</v>
      </c>
      <c r="AC4536" s="127">
        <f t="shared" si="85"/>
        <v>17</v>
      </c>
    </row>
    <row r="4537" ht="14.5" customHeight="1" spans="11:29" x14ac:dyDescent="0.25">
      <c r="K4537" s="128"/>
      <c r="X4537" s="234">
        <v>2022</v>
      </c>
      <c r="Y4537" s="234">
        <v>7</v>
      </c>
      <c r="Z4537" s="234">
        <v>8</v>
      </c>
      <c r="AA4537" s="235">
        <v>0.9583333333321207</v>
      </c>
      <c r="AB4537" s="236">
        <v>16.5</v>
      </c>
      <c r="AC4537" s="127">
        <f t="shared" si="85"/>
        <v>17</v>
      </c>
    </row>
    <row r="4538" ht="14.5" customHeight="1" spans="11:29" x14ac:dyDescent="0.25">
      <c r="K4538" s="128"/>
      <c r="X4538" s="234">
        <v>2022</v>
      </c>
      <c r="Y4538" s="234">
        <v>7</v>
      </c>
      <c r="Z4538" s="234">
        <v>9</v>
      </c>
      <c r="AA4538" s="235">
        <v>0</v>
      </c>
      <c r="AB4538" s="236">
        <v>15.6</v>
      </c>
      <c r="AC4538" s="127">
        <f t="shared" si="85"/>
        <v>16</v>
      </c>
    </row>
    <row r="4539" ht="14.5" customHeight="1" spans="11:29" x14ac:dyDescent="0.25">
      <c r="K4539" s="128"/>
      <c r="X4539" s="234">
        <v>2022</v>
      </c>
      <c r="Y4539" s="234">
        <v>7</v>
      </c>
      <c r="Z4539" s="234">
        <v>9</v>
      </c>
      <c r="AA4539" s="235">
        <v>0.041666666667879326</v>
      </c>
      <c r="AB4539" s="236">
        <v>16.6</v>
      </c>
      <c r="AC4539" s="127">
        <f t="shared" si="85"/>
        <v>17</v>
      </c>
    </row>
    <row r="4540" ht="14.5" customHeight="1" spans="11:29" x14ac:dyDescent="0.25">
      <c r="K4540" s="128"/>
      <c r="X4540" s="234">
        <v>2022</v>
      </c>
      <c r="Y4540" s="234">
        <v>7</v>
      </c>
      <c r="Z4540" s="234">
        <v>9</v>
      </c>
      <c r="AA4540" s="235">
        <v>0.08333333333212067</v>
      </c>
      <c r="AB4540" s="236">
        <v>13.8</v>
      </c>
      <c r="AC4540" s="127">
        <f t="shared" si="85"/>
        <v>14</v>
      </c>
    </row>
    <row r="4541" ht="14.5" customHeight="1" spans="11:29" x14ac:dyDescent="0.25">
      <c r="K4541" s="128"/>
      <c r="X4541" s="234">
        <v>2022</v>
      </c>
      <c r="Y4541" s="234">
        <v>7</v>
      </c>
      <c r="Z4541" s="234">
        <v>9</v>
      </c>
      <c r="AA4541" s="235">
        <v>0.125</v>
      </c>
      <c r="AB4541" s="236">
        <v>12.4</v>
      </c>
      <c r="AC4541" s="127">
        <f t="shared" si="85"/>
        <v>12</v>
      </c>
    </row>
    <row r="4542" ht="14.5" customHeight="1" spans="11:29" x14ac:dyDescent="0.25">
      <c r="K4542" s="128"/>
      <c r="X4542" s="234">
        <v>2022</v>
      </c>
      <c r="Y4542" s="234">
        <v>7</v>
      </c>
      <c r="Z4542" s="234">
        <v>9</v>
      </c>
      <c r="AA4542" s="235">
        <v>0.16666666666787933</v>
      </c>
      <c r="AB4542" s="236">
        <v>11.3</v>
      </c>
      <c r="AC4542" s="127">
        <f t="shared" si="85"/>
        <v>11</v>
      </c>
    </row>
    <row r="4543" ht="14.5" customHeight="1" spans="11:29" x14ac:dyDescent="0.25">
      <c r="K4543" s="128"/>
      <c r="X4543" s="234">
        <v>2022</v>
      </c>
      <c r="Y4543" s="234">
        <v>7</v>
      </c>
      <c r="Z4543" s="234">
        <v>9</v>
      </c>
      <c r="AA4543" s="235">
        <v>0.20833333333212067</v>
      </c>
      <c r="AB4543" s="236">
        <v>12.1</v>
      </c>
      <c r="AC4543" s="127">
        <f t="shared" si="85"/>
        <v>12</v>
      </c>
    </row>
    <row r="4544" ht="14.5" customHeight="1" spans="11:29" x14ac:dyDescent="0.25">
      <c r="K4544" s="128"/>
      <c r="X4544" s="234">
        <v>2022</v>
      </c>
      <c r="Y4544" s="234">
        <v>7</v>
      </c>
      <c r="Z4544" s="234">
        <v>9</v>
      </c>
      <c r="AA4544" s="235">
        <v>0.25</v>
      </c>
      <c r="AB4544" s="236">
        <v>14.6</v>
      </c>
      <c r="AC4544" s="127">
        <f t="shared" si="85"/>
        <v>15</v>
      </c>
    </row>
    <row r="4545" ht="14.5" customHeight="1" spans="11:29" x14ac:dyDescent="0.25">
      <c r="K4545" s="128"/>
      <c r="X4545" s="234">
        <v>2022</v>
      </c>
      <c r="Y4545" s="234">
        <v>7</v>
      </c>
      <c r="Z4545" s="234">
        <v>9</v>
      </c>
      <c r="AA4545" s="235">
        <v>0.2916666666678793</v>
      </c>
      <c r="AB4545" s="236">
        <v>17.4</v>
      </c>
      <c r="AC4545" s="127">
        <f t="shared" si="85"/>
        <v>17</v>
      </c>
    </row>
    <row r="4546" ht="14.5" customHeight="1" spans="11:29" x14ac:dyDescent="0.25">
      <c r="K4546" s="128"/>
      <c r="X4546" s="234">
        <v>2022</v>
      </c>
      <c r="Y4546" s="234">
        <v>7</v>
      </c>
      <c r="Z4546" s="234">
        <v>9</v>
      </c>
      <c r="AA4546" s="235">
        <v>0.3333333333321207</v>
      </c>
      <c r="AB4546" s="236">
        <v>16.4</v>
      </c>
      <c r="AC4546" s="127">
        <f t="shared" si="85"/>
        <v>16</v>
      </c>
    </row>
    <row r="4547" ht="14.5" customHeight="1" spans="11:29" x14ac:dyDescent="0.25">
      <c r="K4547" s="128"/>
      <c r="X4547" s="234">
        <v>2022</v>
      </c>
      <c r="Y4547" s="234">
        <v>7</v>
      </c>
      <c r="Z4547" s="234">
        <v>9</v>
      </c>
      <c r="AA4547" s="235">
        <v>0.375</v>
      </c>
      <c r="AB4547" s="236">
        <v>17.9</v>
      </c>
      <c r="AC4547" s="127">
        <f t="shared" si="85"/>
        <v>18</v>
      </c>
    </row>
    <row r="4548" ht="14.5" customHeight="1" spans="11:29" x14ac:dyDescent="0.25">
      <c r="K4548" s="128"/>
      <c r="X4548" s="234">
        <v>2022</v>
      </c>
      <c r="Y4548" s="234">
        <v>7</v>
      </c>
      <c r="Z4548" s="234">
        <v>9</v>
      </c>
      <c r="AA4548" s="235">
        <v>0.4166666666678793</v>
      </c>
      <c r="AB4548" s="236">
        <v>19.5</v>
      </c>
      <c r="AC4548" s="127">
        <f t="shared" si="85"/>
        <v>20</v>
      </c>
    </row>
    <row r="4549" ht="14.5" customHeight="1" spans="11:29" x14ac:dyDescent="0.25">
      <c r="K4549" s="128"/>
      <c r="X4549" s="234">
        <v>2022</v>
      </c>
      <c r="Y4549" s="234">
        <v>7</v>
      </c>
      <c r="Z4549" s="234">
        <v>9</v>
      </c>
      <c r="AA4549" s="235">
        <v>0.4583333333321207</v>
      </c>
      <c r="AB4549" s="236">
        <v>20.5</v>
      </c>
      <c r="AC4549" s="127">
        <f t="shared" si="85"/>
        <v>21</v>
      </c>
    </row>
    <row r="4550" ht="14.5" customHeight="1" spans="11:29" x14ac:dyDescent="0.25">
      <c r="K4550" s="128"/>
      <c r="X4550" s="234">
        <v>2022</v>
      </c>
      <c r="Y4550" s="234">
        <v>7</v>
      </c>
      <c r="Z4550" s="234">
        <v>9</v>
      </c>
      <c r="AA4550" s="235">
        <v>0.5</v>
      </c>
      <c r="AB4550" s="236">
        <v>21.6</v>
      </c>
      <c r="AC4550" s="127">
        <f t="shared" si="85"/>
        <v>22</v>
      </c>
    </row>
    <row r="4551" ht="14.5" customHeight="1" spans="11:29" x14ac:dyDescent="0.25">
      <c r="K4551" s="128"/>
      <c r="X4551" s="234">
        <v>2022</v>
      </c>
      <c r="Y4551" s="234">
        <v>7</v>
      </c>
      <c r="Z4551" s="234">
        <v>9</v>
      </c>
      <c r="AA4551" s="235">
        <v>0.5416666666678793</v>
      </c>
      <c r="AB4551" s="236">
        <v>22.9</v>
      </c>
      <c r="AC4551" s="127">
        <f t="shared" si="85"/>
        <v>23</v>
      </c>
    </row>
    <row r="4552" ht="14.5" customHeight="1" spans="11:29" x14ac:dyDescent="0.25">
      <c r="K4552" s="128"/>
      <c r="X4552" s="234">
        <v>2022</v>
      </c>
      <c r="Y4552" s="234">
        <v>7</v>
      </c>
      <c r="Z4552" s="234">
        <v>9</v>
      </c>
      <c r="AA4552" s="235">
        <v>0.5833333333321207</v>
      </c>
      <c r="AB4552" s="236">
        <v>23.6</v>
      </c>
      <c r="AC4552" s="127">
        <f t="shared" si="85"/>
        <v>24</v>
      </c>
    </row>
    <row r="4553" ht="14.5" customHeight="1" spans="11:29" x14ac:dyDescent="0.25">
      <c r="K4553" s="128"/>
      <c r="X4553" s="234">
        <v>2022</v>
      </c>
      <c r="Y4553" s="234">
        <v>7</v>
      </c>
      <c r="Z4553" s="234">
        <v>9</v>
      </c>
      <c r="AA4553" s="235">
        <v>0.625</v>
      </c>
      <c r="AB4553" s="236">
        <v>23.4</v>
      </c>
      <c r="AC4553" s="127">
        <f t="shared" si="85"/>
        <v>23</v>
      </c>
    </row>
    <row r="4554" ht="14.5" customHeight="1" spans="11:29" x14ac:dyDescent="0.25">
      <c r="K4554" s="128"/>
      <c r="X4554" s="234">
        <v>2022</v>
      </c>
      <c r="Y4554" s="234">
        <v>7</v>
      </c>
      <c r="Z4554" s="234">
        <v>9</v>
      </c>
      <c r="AA4554" s="235">
        <v>0.6666666666678793</v>
      </c>
      <c r="AB4554" s="236">
        <v>24.4</v>
      </c>
      <c r="AC4554" s="127">
        <f t="shared" si="85"/>
        <v>24</v>
      </c>
    </row>
    <row r="4555" ht="14.5" customHeight="1" spans="11:29" x14ac:dyDescent="0.25">
      <c r="K4555" s="128"/>
      <c r="X4555" s="234">
        <v>2022</v>
      </c>
      <c r="Y4555" s="234">
        <v>7</v>
      </c>
      <c r="Z4555" s="234">
        <v>9</v>
      </c>
      <c r="AA4555" s="235">
        <v>0.7083333333321207</v>
      </c>
      <c r="AB4555" s="236">
        <v>24.4</v>
      </c>
      <c r="AC4555" s="127">
        <f t="shared" ref="AC4555:AC4618" si="86">ROUND(AB4555,0)</f>
        <v>24</v>
      </c>
    </row>
    <row r="4556" ht="14.5" customHeight="1" spans="11:29" x14ac:dyDescent="0.25">
      <c r="K4556" s="128"/>
      <c r="X4556" s="234">
        <v>2022</v>
      </c>
      <c r="Y4556" s="234">
        <v>7</v>
      </c>
      <c r="Z4556" s="234">
        <v>9</v>
      </c>
      <c r="AA4556" s="235">
        <v>0.75</v>
      </c>
      <c r="AB4556" s="236">
        <v>23.1</v>
      </c>
      <c r="AC4556" s="127">
        <f t="shared" si="86"/>
        <v>23</v>
      </c>
    </row>
    <row r="4557" ht="14.5" customHeight="1" spans="11:29" x14ac:dyDescent="0.25">
      <c r="K4557" s="128"/>
      <c r="X4557" s="234">
        <v>2022</v>
      </c>
      <c r="Y4557" s="234">
        <v>7</v>
      </c>
      <c r="Z4557" s="234">
        <v>9</v>
      </c>
      <c r="AA4557" s="235">
        <v>0.7916666666678793</v>
      </c>
      <c r="AB4557" s="236">
        <v>22.8</v>
      </c>
      <c r="AC4557" s="127">
        <f t="shared" si="86"/>
        <v>23</v>
      </c>
    </row>
    <row r="4558" ht="14.5" customHeight="1" spans="11:29" x14ac:dyDescent="0.25">
      <c r="K4558" s="128"/>
      <c r="X4558" s="234">
        <v>2022</v>
      </c>
      <c r="Y4558" s="234">
        <v>7</v>
      </c>
      <c r="Z4558" s="234">
        <v>9</v>
      </c>
      <c r="AA4558" s="235">
        <v>0.8333333333321207</v>
      </c>
      <c r="AB4558" s="236">
        <v>21.1</v>
      </c>
      <c r="AC4558" s="127">
        <f t="shared" si="86"/>
        <v>21</v>
      </c>
    </row>
    <row r="4559" ht="14.5" customHeight="1" spans="11:29" x14ac:dyDescent="0.25">
      <c r="K4559" s="128"/>
      <c r="X4559" s="234">
        <v>2022</v>
      </c>
      <c r="Y4559" s="234">
        <v>7</v>
      </c>
      <c r="Z4559" s="234">
        <v>9</v>
      </c>
      <c r="AA4559" s="235">
        <v>0.875</v>
      </c>
      <c r="AB4559" s="236">
        <v>20.9</v>
      </c>
      <c r="AC4559" s="127">
        <f t="shared" si="86"/>
        <v>21</v>
      </c>
    </row>
    <row r="4560" ht="14.5" customHeight="1" spans="11:29" x14ac:dyDescent="0.25">
      <c r="K4560" s="128"/>
      <c r="X4560" s="234">
        <v>2022</v>
      </c>
      <c r="Y4560" s="234">
        <v>7</v>
      </c>
      <c r="Z4560" s="234">
        <v>9</v>
      </c>
      <c r="AA4560" s="235">
        <v>0.9166666666678793</v>
      </c>
      <c r="AB4560" s="236">
        <v>17.9</v>
      </c>
      <c r="AC4560" s="127">
        <f t="shared" si="86"/>
        <v>18</v>
      </c>
    </row>
    <row r="4561" ht="14.5" customHeight="1" spans="11:29" x14ac:dyDescent="0.25">
      <c r="K4561" s="128"/>
      <c r="X4561" s="234">
        <v>2022</v>
      </c>
      <c r="Y4561" s="234">
        <v>7</v>
      </c>
      <c r="Z4561" s="234">
        <v>9</v>
      </c>
      <c r="AA4561" s="235">
        <v>0.9583333333321207</v>
      </c>
      <c r="AB4561" s="236">
        <v>18.7</v>
      </c>
      <c r="AC4561" s="127">
        <f t="shared" si="86"/>
        <v>19</v>
      </c>
    </row>
    <row r="4562" ht="14.5" customHeight="1" spans="11:29" x14ac:dyDescent="0.25">
      <c r="K4562" s="128"/>
      <c r="X4562" s="234">
        <v>2022</v>
      </c>
      <c r="Y4562" s="234">
        <v>7</v>
      </c>
      <c r="Z4562" s="234">
        <v>10</v>
      </c>
      <c r="AA4562" s="235">
        <v>0</v>
      </c>
      <c r="AB4562" s="236">
        <v>16.7</v>
      </c>
      <c r="AC4562" s="127">
        <f t="shared" si="86"/>
        <v>17</v>
      </c>
    </row>
    <row r="4563" ht="14.5" customHeight="1" spans="11:29" x14ac:dyDescent="0.25">
      <c r="K4563" s="128"/>
      <c r="X4563" s="234">
        <v>2022</v>
      </c>
      <c r="Y4563" s="234">
        <v>7</v>
      </c>
      <c r="Z4563" s="234">
        <v>10</v>
      </c>
      <c r="AA4563" s="235">
        <v>0.041666666667879326</v>
      </c>
      <c r="AB4563" s="236">
        <v>15.8</v>
      </c>
      <c r="AC4563" s="127">
        <f t="shared" si="86"/>
        <v>16</v>
      </c>
    </row>
    <row r="4564" ht="14.5" customHeight="1" spans="11:29" x14ac:dyDescent="0.25">
      <c r="K4564" s="128"/>
      <c r="X4564" s="234">
        <v>2022</v>
      </c>
      <c r="Y4564" s="234">
        <v>7</v>
      </c>
      <c r="Z4564" s="234">
        <v>10</v>
      </c>
      <c r="AA4564" s="235">
        <v>0.08333333333212067</v>
      </c>
      <c r="AB4564" s="236">
        <v>14.1</v>
      </c>
      <c r="AC4564" s="127">
        <f t="shared" si="86"/>
        <v>14</v>
      </c>
    </row>
    <row r="4565" ht="14.5" customHeight="1" spans="11:29" x14ac:dyDescent="0.25">
      <c r="K4565" s="128"/>
      <c r="X4565" s="234">
        <v>2022</v>
      </c>
      <c r="Y4565" s="234">
        <v>7</v>
      </c>
      <c r="Z4565" s="234">
        <v>10</v>
      </c>
      <c r="AA4565" s="235">
        <v>0.125</v>
      </c>
      <c r="AB4565" s="236">
        <v>12.6</v>
      </c>
      <c r="AC4565" s="127">
        <f t="shared" si="86"/>
        <v>13</v>
      </c>
    </row>
    <row r="4566" ht="14.5" customHeight="1" spans="11:29" x14ac:dyDescent="0.25">
      <c r="K4566" s="128"/>
      <c r="X4566" s="234">
        <v>2022</v>
      </c>
      <c r="Y4566" s="234">
        <v>7</v>
      </c>
      <c r="Z4566" s="234">
        <v>10</v>
      </c>
      <c r="AA4566" s="235">
        <v>0.16666666666787933</v>
      </c>
      <c r="AB4566" s="236">
        <v>11</v>
      </c>
      <c r="AC4566" s="127">
        <f t="shared" si="86"/>
        <v>11</v>
      </c>
    </row>
    <row r="4567" ht="14.5" customHeight="1" spans="11:29" x14ac:dyDescent="0.25">
      <c r="K4567" s="128"/>
      <c r="X4567" s="234">
        <v>2022</v>
      </c>
      <c r="Y4567" s="234">
        <v>7</v>
      </c>
      <c r="Z4567" s="234">
        <v>10</v>
      </c>
      <c r="AA4567" s="235">
        <v>0.20833333333212067</v>
      </c>
      <c r="AB4567" s="236">
        <v>11.2</v>
      </c>
      <c r="AC4567" s="127">
        <f t="shared" si="86"/>
        <v>11</v>
      </c>
    </row>
    <row r="4568" ht="14.5" customHeight="1" spans="11:29" x14ac:dyDescent="0.25">
      <c r="K4568" s="128"/>
      <c r="X4568" s="234">
        <v>2022</v>
      </c>
      <c r="Y4568" s="234">
        <v>7</v>
      </c>
      <c r="Z4568" s="234">
        <v>10</v>
      </c>
      <c r="AA4568" s="235">
        <v>0.25</v>
      </c>
      <c r="AB4568" s="236">
        <v>12</v>
      </c>
      <c r="AC4568" s="127">
        <f t="shared" si="86"/>
        <v>12</v>
      </c>
    </row>
    <row r="4569" ht="14.5" customHeight="1" spans="11:29" x14ac:dyDescent="0.25">
      <c r="K4569" s="128"/>
      <c r="X4569" s="234">
        <v>2022</v>
      </c>
      <c r="Y4569" s="234">
        <v>7</v>
      </c>
      <c r="Z4569" s="234">
        <v>10</v>
      </c>
      <c r="AA4569" s="235">
        <v>0.2916666666678793</v>
      </c>
      <c r="AB4569" s="236">
        <v>15</v>
      </c>
      <c r="AC4569" s="127">
        <f t="shared" si="86"/>
        <v>15</v>
      </c>
    </row>
    <row r="4570" ht="14.5" customHeight="1" spans="11:29" x14ac:dyDescent="0.25">
      <c r="K4570" s="128"/>
      <c r="X4570" s="234">
        <v>2022</v>
      </c>
      <c r="Y4570" s="234">
        <v>7</v>
      </c>
      <c r="Z4570" s="234">
        <v>10</v>
      </c>
      <c r="AA4570" s="235">
        <v>0.3333333333321207</v>
      </c>
      <c r="AB4570" s="236">
        <v>17.3</v>
      </c>
      <c r="AC4570" s="127">
        <f t="shared" si="86"/>
        <v>17</v>
      </c>
    </row>
    <row r="4571" ht="14.5" customHeight="1" spans="11:29" x14ac:dyDescent="0.25">
      <c r="K4571" s="128"/>
      <c r="X4571" s="234">
        <v>2022</v>
      </c>
      <c r="Y4571" s="234">
        <v>7</v>
      </c>
      <c r="Z4571" s="234">
        <v>10</v>
      </c>
      <c r="AA4571" s="235">
        <v>0.375</v>
      </c>
      <c r="AB4571" s="236">
        <v>18.2</v>
      </c>
      <c r="AC4571" s="127">
        <f t="shared" si="86"/>
        <v>18</v>
      </c>
    </row>
    <row r="4572" ht="14.5" customHeight="1" spans="11:29" x14ac:dyDescent="0.25">
      <c r="K4572" s="128"/>
      <c r="X4572" s="234">
        <v>2022</v>
      </c>
      <c r="Y4572" s="234">
        <v>7</v>
      </c>
      <c r="Z4572" s="234">
        <v>10</v>
      </c>
      <c r="AA4572" s="235">
        <v>0.4166666666678793</v>
      </c>
      <c r="AB4572" s="236">
        <v>18.8</v>
      </c>
      <c r="AC4572" s="127">
        <f t="shared" si="86"/>
        <v>19</v>
      </c>
    </row>
    <row r="4573" ht="14.5" customHeight="1" spans="11:29" x14ac:dyDescent="0.25">
      <c r="K4573" s="128"/>
      <c r="X4573" s="234">
        <v>2022</v>
      </c>
      <c r="Y4573" s="234">
        <v>7</v>
      </c>
      <c r="Z4573" s="234">
        <v>10</v>
      </c>
      <c r="AA4573" s="235">
        <v>0.4583333333321207</v>
      </c>
      <c r="AB4573" s="236">
        <v>19.4</v>
      </c>
      <c r="AC4573" s="127">
        <f t="shared" si="86"/>
        <v>19</v>
      </c>
    </row>
    <row r="4574" ht="14.5" customHeight="1" spans="11:29" x14ac:dyDescent="0.25">
      <c r="K4574" s="128"/>
      <c r="X4574" s="234">
        <v>2022</v>
      </c>
      <c r="Y4574" s="234">
        <v>7</v>
      </c>
      <c r="Z4574" s="234">
        <v>10</v>
      </c>
      <c r="AA4574" s="235">
        <v>0.5</v>
      </c>
      <c r="AB4574" s="236">
        <v>19.4</v>
      </c>
      <c r="AC4574" s="127">
        <f t="shared" si="86"/>
        <v>19</v>
      </c>
    </row>
    <row r="4575" ht="14.5" customHeight="1" spans="11:29" x14ac:dyDescent="0.25">
      <c r="K4575" s="128"/>
      <c r="X4575" s="234">
        <v>2022</v>
      </c>
      <c r="Y4575" s="234">
        <v>7</v>
      </c>
      <c r="Z4575" s="234">
        <v>10</v>
      </c>
      <c r="AA4575" s="235">
        <v>0.5416666666678793</v>
      </c>
      <c r="AB4575" s="236">
        <v>21</v>
      </c>
      <c r="AC4575" s="127">
        <f t="shared" si="86"/>
        <v>21</v>
      </c>
    </row>
    <row r="4576" ht="14.5" customHeight="1" spans="11:29" x14ac:dyDescent="0.25">
      <c r="K4576" s="128"/>
      <c r="X4576" s="234">
        <v>2022</v>
      </c>
      <c r="Y4576" s="234">
        <v>7</v>
      </c>
      <c r="Z4576" s="234">
        <v>10</v>
      </c>
      <c r="AA4576" s="235">
        <v>0.5833333333321207</v>
      </c>
      <c r="AB4576" s="236">
        <v>20.3</v>
      </c>
      <c r="AC4576" s="127">
        <f t="shared" si="86"/>
        <v>20</v>
      </c>
    </row>
    <row r="4577" ht="14.5" customHeight="1" spans="11:29" x14ac:dyDescent="0.25">
      <c r="K4577" s="128"/>
      <c r="X4577" s="234">
        <v>2022</v>
      </c>
      <c r="Y4577" s="234">
        <v>7</v>
      </c>
      <c r="Z4577" s="234">
        <v>10</v>
      </c>
      <c r="AA4577" s="235">
        <v>0.625</v>
      </c>
      <c r="AB4577" s="236">
        <v>21.5</v>
      </c>
      <c r="AC4577" s="127">
        <f t="shared" si="86"/>
        <v>22</v>
      </c>
    </row>
    <row r="4578" ht="14.5" customHeight="1" spans="11:29" x14ac:dyDescent="0.25">
      <c r="K4578" s="128"/>
      <c r="X4578" s="234">
        <v>2022</v>
      </c>
      <c r="Y4578" s="234">
        <v>7</v>
      </c>
      <c r="Z4578" s="234">
        <v>10</v>
      </c>
      <c r="AA4578" s="235">
        <v>0.6666666666678793</v>
      </c>
      <c r="AB4578" s="236">
        <v>21.1</v>
      </c>
      <c r="AC4578" s="127">
        <f t="shared" si="86"/>
        <v>21</v>
      </c>
    </row>
    <row r="4579" ht="14.5" customHeight="1" spans="11:29" x14ac:dyDescent="0.25">
      <c r="K4579" s="128"/>
      <c r="X4579" s="234">
        <v>2022</v>
      </c>
      <c r="Y4579" s="234">
        <v>7</v>
      </c>
      <c r="Z4579" s="234">
        <v>10</v>
      </c>
      <c r="AA4579" s="235">
        <v>0.7083333333321207</v>
      </c>
      <c r="AB4579" s="236">
        <v>22.7</v>
      </c>
      <c r="AC4579" s="127">
        <f t="shared" si="86"/>
        <v>23</v>
      </c>
    </row>
    <row r="4580" ht="14.5" customHeight="1" spans="11:29" x14ac:dyDescent="0.25">
      <c r="K4580" s="128"/>
      <c r="X4580" s="234">
        <v>2022</v>
      </c>
      <c r="Y4580" s="234">
        <v>7</v>
      </c>
      <c r="Z4580" s="234">
        <v>10</v>
      </c>
      <c r="AA4580" s="235">
        <v>0.75</v>
      </c>
      <c r="AB4580" s="236">
        <v>21.5</v>
      </c>
      <c r="AC4580" s="127">
        <f t="shared" si="86"/>
        <v>22</v>
      </c>
    </row>
    <row r="4581" ht="14.5" customHeight="1" spans="11:29" x14ac:dyDescent="0.25">
      <c r="K4581" s="128"/>
      <c r="X4581" s="234">
        <v>2022</v>
      </c>
      <c r="Y4581" s="234">
        <v>7</v>
      </c>
      <c r="Z4581" s="234">
        <v>10</v>
      </c>
      <c r="AA4581" s="235">
        <v>0.7916666666678793</v>
      </c>
      <c r="AB4581" s="236">
        <v>21.2</v>
      </c>
      <c r="AC4581" s="127">
        <f t="shared" si="86"/>
        <v>21</v>
      </c>
    </row>
    <row r="4582" ht="14.5" customHeight="1" spans="11:29" x14ac:dyDescent="0.25">
      <c r="K4582" s="128"/>
      <c r="X4582" s="234">
        <v>2022</v>
      </c>
      <c r="Y4582" s="234">
        <v>7</v>
      </c>
      <c r="Z4582" s="234">
        <v>10</v>
      </c>
      <c r="AA4582" s="235">
        <v>0.8333333333321207</v>
      </c>
      <c r="AB4582" s="236">
        <v>19.8</v>
      </c>
      <c r="AC4582" s="127">
        <f t="shared" si="86"/>
        <v>20</v>
      </c>
    </row>
    <row r="4583" ht="14.5" customHeight="1" spans="11:29" x14ac:dyDescent="0.25">
      <c r="K4583" s="128"/>
      <c r="X4583" s="234">
        <v>2022</v>
      </c>
      <c r="Y4583" s="234">
        <v>7</v>
      </c>
      <c r="Z4583" s="234">
        <v>10</v>
      </c>
      <c r="AA4583" s="235">
        <v>0.875</v>
      </c>
      <c r="AB4583" s="236">
        <v>18.4</v>
      </c>
      <c r="AC4583" s="127">
        <f t="shared" si="86"/>
        <v>18</v>
      </c>
    </row>
    <row r="4584" ht="14.5" customHeight="1" spans="11:29" x14ac:dyDescent="0.25">
      <c r="K4584" s="128"/>
      <c r="X4584" s="234">
        <v>2022</v>
      </c>
      <c r="Y4584" s="234">
        <v>7</v>
      </c>
      <c r="Z4584" s="234">
        <v>10</v>
      </c>
      <c r="AA4584" s="235">
        <v>0.9166666666678793</v>
      </c>
      <c r="AB4584" s="236">
        <v>17.2</v>
      </c>
      <c r="AC4584" s="127">
        <f t="shared" si="86"/>
        <v>17</v>
      </c>
    </row>
    <row r="4585" ht="14.5" customHeight="1" spans="11:29" x14ac:dyDescent="0.25">
      <c r="K4585" s="128"/>
      <c r="X4585" s="234">
        <v>2022</v>
      </c>
      <c r="Y4585" s="234">
        <v>7</v>
      </c>
      <c r="Z4585" s="234">
        <v>10</v>
      </c>
      <c r="AA4585" s="235">
        <v>0.9583333333321207</v>
      </c>
      <c r="AB4585" s="236">
        <v>16.2</v>
      </c>
      <c r="AC4585" s="127">
        <f t="shared" si="86"/>
        <v>16</v>
      </c>
    </row>
    <row r="4586" ht="14.5" customHeight="1" spans="11:29" x14ac:dyDescent="0.25">
      <c r="K4586" s="128"/>
      <c r="X4586" s="234">
        <v>2022</v>
      </c>
      <c r="Y4586" s="234">
        <v>7</v>
      </c>
      <c r="Z4586" s="234">
        <v>11</v>
      </c>
      <c r="AA4586" s="235">
        <v>0</v>
      </c>
      <c r="AB4586" s="236">
        <v>15.7</v>
      </c>
      <c r="AC4586" s="127">
        <f t="shared" si="86"/>
        <v>16</v>
      </c>
    </row>
    <row r="4587" ht="14.5" customHeight="1" spans="11:29" x14ac:dyDescent="0.25">
      <c r="K4587" s="128"/>
      <c r="X4587" s="234">
        <v>2022</v>
      </c>
      <c r="Y4587" s="234">
        <v>7</v>
      </c>
      <c r="Z4587" s="234">
        <v>11</v>
      </c>
      <c r="AA4587" s="235">
        <v>0.041666666667879326</v>
      </c>
      <c r="AB4587" s="236">
        <v>15.4</v>
      </c>
      <c r="AC4587" s="127">
        <f t="shared" si="86"/>
        <v>15</v>
      </c>
    </row>
    <row r="4588" ht="14.5" customHeight="1" spans="11:29" x14ac:dyDescent="0.25">
      <c r="K4588" s="128"/>
      <c r="X4588" s="234">
        <v>2022</v>
      </c>
      <c r="Y4588" s="234">
        <v>7</v>
      </c>
      <c r="Z4588" s="234">
        <v>11</v>
      </c>
      <c r="AA4588" s="235">
        <v>0.08333333333212067</v>
      </c>
      <c r="AB4588" s="236">
        <v>15.8</v>
      </c>
      <c r="AC4588" s="127">
        <f t="shared" si="86"/>
        <v>16</v>
      </c>
    </row>
    <row r="4589" ht="14.5" customHeight="1" spans="11:29" x14ac:dyDescent="0.25">
      <c r="K4589" s="128"/>
      <c r="X4589" s="234">
        <v>2022</v>
      </c>
      <c r="Y4589" s="234">
        <v>7</v>
      </c>
      <c r="Z4589" s="234">
        <v>11</v>
      </c>
      <c r="AA4589" s="235">
        <v>0.125</v>
      </c>
      <c r="AB4589" s="236">
        <v>14</v>
      </c>
      <c r="AC4589" s="127">
        <f t="shared" si="86"/>
        <v>14</v>
      </c>
    </row>
    <row r="4590" ht="14.5" customHeight="1" spans="11:29" x14ac:dyDescent="0.25">
      <c r="K4590" s="128"/>
      <c r="X4590" s="234">
        <v>2022</v>
      </c>
      <c r="Y4590" s="234">
        <v>7</v>
      </c>
      <c r="Z4590" s="234">
        <v>11</v>
      </c>
      <c r="AA4590" s="235">
        <v>0.16666666666787933</v>
      </c>
      <c r="AB4590" s="236">
        <v>13</v>
      </c>
      <c r="AC4590" s="127">
        <f t="shared" si="86"/>
        <v>13</v>
      </c>
    </row>
    <row r="4591" ht="14.5" customHeight="1" spans="11:29" x14ac:dyDescent="0.25">
      <c r="K4591" s="128"/>
      <c r="X4591" s="234">
        <v>2022</v>
      </c>
      <c r="Y4591" s="234">
        <v>7</v>
      </c>
      <c r="Z4591" s="234">
        <v>11</v>
      </c>
      <c r="AA4591" s="235">
        <v>0.20833333333212067</v>
      </c>
      <c r="AB4591" s="236">
        <v>12.9</v>
      </c>
      <c r="AC4591" s="127">
        <f t="shared" si="86"/>
        <v>13</v>
      </c>
    </row>
    <row r="4592" ht="14.5" customHeight="1" spans="11:29" x14ac:dyDescent="0.25">
      <c r="K4592" s="128"/>
      <c r="X4592" s="234">
        <v>2022</v>
      </c>
      <c r="Y4592" s="234">
        <v>7</v>
      </c>
      <c r="Z4592" s="234">
        <v>11</v>
      </c>
      <c r="AA4592" s="235">
        <v>0.25</v>
      </c>
      <c r="AB4592" s="236">
        <v>15.1</v>
      </c>
      <c r="AC4592" s="127">
        <f t="shared" si="86"/>
        <v>15</v>
      </c>
    </row>
    <row r="4593" ht="14.5" customHeight="1" spans="11:29" x14ac:dyDescent="0.25">
      <c r="K4593" s="128"/>
      <c r="X4593" s="234">
        <v>2022</v>
      </c>
      <c r="Y4593" s="234">
        <v>7</v>
      </c>
      <c r="Z4593" s="234">
        <v>11</v>
      </c>
      <c r="AA4593" s="235">
        <v>0.2916666666678793</v>
      </c>
      <c r="AB4593" s="236">
        <v>17.7</v>
      </c>
      <c r="AC4593" s="127">
        <f t="shared" si="86"/>
        <v>18</v>
      </c>
    </row>
    <row r="4594" ht="14.5" customHeight="1" spans="11:29" x14ac:dyDescent="0.25">
      <c r="K4594" s="128"/>
      <c r="X4594" s="234">
        <v>2022</v>
      </c>
      <c r="Y4594" s="234">
        <v>7</v>
      </c>
      <c r="Z4594" s="234">
        <v>11</v>
      </c>
      <c r="AA4594" s="235">
        <v>0.3333333333321207</v>
      </c>
      <c r="AB4594" s="236">
        <v>19.4</v>
      </c>
      <c r="AC4594" s="127">
        <f t="shared" si="86"/>
        <v>19</v>
      </c>
    </row>
    <row r="4595" ht="14.5" customHeight="1" spans="11:29" x14ac:dyDescent="0.25">
      <c r="K4595" s="128"/>
      <c r="X4595" s="234">
        <v>2022</v>
      </c>
      <c r="Y4595" s="234">
        <v>7</v>
      </c>
      <c r="Z4595" s="234">
        <v>11</v>
      </c>
      <c r="AA4595" s="235">
        <v>0.375</v>
      </c>
      <c r="AB4595" s="236">
        <v>19.9</v>
      </c>
      <c r="AC4595" s="127">
        <f t="shared" si="86"/>
        <v>20</v>
      </c>
    </row>
    <row r="4596" ht="14.5" customHeight="1" spans="11:29" x14ac:dyDescent="0.25">
      <c r="K4596" s="128"/>
      <c r="X4596" s="234">
        <v>2022</v>
      </c>
      <c r="Y4596" s="234">
        <v>7</v>
      </c>
      <c r="Z4596" s="234">
        <v>11</v>
      </c>
      <c r="AA4596" s="235">
        <v>0.4166666666678793</v>
      </c>
      <c r="AB4596" s="236">
        <v>21</v>
      </c>
      <c r="AC4596" s="127">
        <f t="shared" si="86"/>
        <v>21</v>
      </c>
    </row>
    <row r="4597" ht="14.5" customHeight="1" spans="11:29" x14ac:dyDescent="0.25">
      <c r="K4597" s="128"/>
      <c r="X4597" s="234">
        <v>2022</v>
      </c>
      <c r="Y4597" s="234">
        <v>7</v>
      </c>
      <c r="Z4597" s="234">
        <v>11</v>
      </c>
      <c r="AA4597" s="235">
        <v>0.4583333333321207</v>
      </c>
      <c r="AB4597" s="236">
        <v>22.1</v>
      </c>
      <c r="AC4597" s="127">
        <f t="shared" si="86"/>
        <v>22</v>
      </c>
    </row>
    <row r="4598" ht="14.5" customHeight="1" spans="11:29" x14ac:dyDescent="0.25">
      <c r="K4598" s="128"/>
      <c r="X4598" s="234">
        <v>2022</v>
      </c>
      <c r="Y4598" s="234">
        <v>7</v>
      </c>
      <c r="Z4598" s="234">
        <v>11</v>
      </c>
      <c r="AA4598" s="235">
        <v>0.5</v>
      </c>
      <c r="AB4598" s="236">
        <v>22.6</v>
      </c>
      <c r="AC4598" s="127">
        <f t="shared" si="86"/>
        <v>23</v>
      </c>
    </row>
    <row r="4599" ht="14.5" customHeight="1" spans="11:29" x14ac:dyDescent="0.25">
      <c r="K4599" s="128"/>
      <c r="X4599" s="234">
        <v>2022</v>
      </c>
      <c r="Y4599" s="234">
        <v>7</v>
      </c>
      <c r="Z4599" s="234">
        <v>11</v>
      </c>
      <c r="AA4599" s="235">
        <v>0.5416666666678793</v>
      </c>
      <c r="AB4599" s="236">
        <v>23.3</v>
      </c>
      <c r="AC4599" s="127">
        <f t="shared" si="86"/>
        <v>23</v>
      </c>
    </row>
    <row r="4600" ht="14.5" customHeight="1" spans="11:29" x14ac:dyDescent="0.25">
      <c r="K4600" s="128"/>
      <c r="X4600" s="234">
        <v>2022</v>
      </c>
      <c r="Y4600" s="234">
        <v>7</v>
      </c>
      <c r="Z4600" s="234">
        <v>11</v>
      </c>
      <c r="AA4600" s="235">
        <v>0.5833333333321207</v>
      </c>
      <c r="AB4600" s="236">
        <v>23.8</v>
      </c>
      <c r="AC4600" s="127">
        <f t="shared" si="86"/>
        <v>24</v>
      </c>
    </row>
    <row r="4601" ht="14.5" customHeight="1" spans="11:29" x14ac:dyDescent="0.25">
      <c r="K4601" s="128"/>
      <c r="X4601" s="234">
        <v>2022</v>
      </c>
      <c r="Y4601" s="234">
        <v>7</v>
      </c>
      <c r="Z4601" s="234">
        <v>11</v>
      </c>
      <c r="AA4601" s="235">
        <v>0.625</v>
      </c>
      <c r="AB4601" s="236">
        <v>23.9</v>
      </c>
      <c r="AC4601" s="127">
        <f t="shared" si="86"/>
        <v>24</v>
      </c>
    </row>
    <row r="4602" ht="14.5" customHeight="1" spans="11:29" x14ac:dyDescent="0.25">
      <c r="K4602" s="128"/>
      <c r="X4602" s="234">
        <v>2022</v>
      </c>
      <c r="Y4602" s="234">
        <v>7</v>
      </c>
      <c r="Z4602" s="234">
        <v>11</v>
      </c>
      <c r="AA4602" s="235">
        <v>0.6666666666678793</v>
      </c>
      <c r="AB4602" s="236">
        <v>24</v>
      </c>
      <c r="AC4602" s="127">
        <f t="shared" si="86"/>
        <v>24</v>
      </c>
    </row>
    <row r="4603" ht="14.5" customHeight="1" spans="11:29" x14ac:dyDescent="0.25">
      <c r="K4603" s="128"/>
      <c r="X4603" s="234">
        <v>2022</v>
      </c>
      <c r="Y4603" s="234">
        <v>7</v>
      </c>
      <c r="Z4603" s="234">
        <v>11</v>
      </c>
      <c r="AA4603" s="235">
        <v>0.7083333333321207</v>
      </c>
      <c r="AB4603" s="236">
        <v>23.9</v>
      </c>
      <c r="AC4603" s="127">
        <f t="shared" si="86"/>
        <v>24</v>
      </c>
    </row>
    <row r="4604" ht="14.5" customHeight="1" spans="11:29" x14ac:dyDescent="0.25">
      <c r="K4604" s="128"/>
      <c r="X4604" s="234">
        <v>2022</v>
      </c>
      <c r="Y4604" s="234">
        <v>7</v>
      </c>
      <c r="Z4604" s="234">
        <v>11</v>
      </c>
      <c r="AA4604" s="235">
        <v>0.75</v>
      </c>
      <c r="AB4604" s="236">
        <v>23.4</v>
      </c>
      <c r="AC4604" s="127">
        <f t="shared" si="86"/>
        <v>23</v>
      </c>
    </row>
    <row r="4605" ht="14.5" customHeight="1" spans="11:29" x14ac:dyDescent="0.25">
      <c r="K4605" s="128"/>
      <c r="X4605" s="234">
        <v>2022</v>
      </c>
      <c r="Y4605" s="234">
        <v>7</v>
      </c>
      <c r="Z4605" s="234">
        <v>11</v>
      </c>
      <c r="AA4605" s="235">
        <v>0.7916666666678793</v>
      </c>
      <c r="AB4605" s="236">
        <v>22.8</v>
      </c>
      <c r="AC4605" s="127">
        <f t="shared" si="86"/>
        <v>23</v>
      </c>
    </row>
    <row r="4606" ht="14.5" customHeight="1" spans="11:29" x14ac:dyDescent="0.25">
      <c r="K4606" s="128"/>
      <c r="X4606" s="234">
        <v>2022</v>
      </c>
      <c r="Y4606" s="234">
        <v>7</v>
      </c>
      <c r="Z4606" s="234">
        <v>11</v>
      </c>
      <c r="AA4606" s="235">
        <v>0.8333333333321207</v>
      </c>
      <c r="AB4606" s="236">
        <v>21.5</v>
      </c>
      <c r="AC4606" s="127">
        <f t="shared" si="86"/>
        <v>22</v>
      </c>
    </row>
    <row r="4607" ht="14.5" customHeight="1" spans="11:29" x14ac:dyDescent="0.25">
      <c r="K4607" s="128"/>
      <c r="X4607" s="234">
        <v>2022</v>
      </c>
      <c r="Y4607" s="234">
        <v>7</v>
      </c>
      <c r="Z4607" s="234">
        <v>11</v>
      </c>
      <c r="AA4607" s="235">
        <v>0.875</v>
      </c>
      <c r="AB4607" s="236">
        <v>19.1</v>
      </c>
      <c r="AC4607" s="127">
        <f t="shared" si="86"/>
        <v>19</v>
      </c>
    </row>
    <row r="4608" ht="14.5" customHeight="1" spans="11:29" x14ac:dyDescent="0.25">
      <c r="K4608" s="128"/>
      <c r="X4608" s="234">
        <v>2022</v>
      </c>
      <c r="Y4608" s="234">
        <v>7</v>
      </c>
      <c r="Z4608" s="234">
        <v>11</v>
      </c>
      <c r="AA4608" s="235">
        <v>0.9166666666678793</v>
      </c>
      <c r="AB4608" s="236">
        <v>16.8</v>
      </c>
      <c r="AC4608" s="127">
        <f t="shared" si="86"/>
        <v>17</v>
      </c>
    </row>
    <row r="4609" ht="14.5" customHeight="1" spans="11:29" x14ac:dyDescent="0.25">
      <c r="K4609" s="128"/>
      <c r="X4609" s="234">
        <v>2022</v>
      </c>
      <c r="Y4609" s="234">
        <v>7</v>
      </c>
      <c r="Z4609" s="234">
        <v>11</v>
      </c>
      <c r="AA4609" s="235">
        <v>0.9583333333321207</v>
      </c>
      <c r="AB4609" s="236">
        <v>16</v>
      </c>
      <c r="AC4609" s="127">
        <f t="shared" si="86"/>
        <v>16</v>
      </c>
    </row>
    <row r="4610" ht="14.5" customHeight="1" spans="11:29" x14ac:dyDescent="0.25">
      <c r="K4610" s="128"/>
      <c r="X4610" s="234">
        <v>2022</v>
      </c>
      <c r="Y4610" s="234">
        <v>7</v>
      </c>
      <c r="Z4610" s="234">
        <v>12</v>
      </c>
      <c r="AA4610" s="235">
        <v>0</v>
      </c>
      <c r="AB4610" s="236">
        <v>15.1</v>
      </c>
      <c r="AC4610" s="127">
        <f t="shared" si="86"/>
        <v>15</v>
      </c>
    </row>
    <row r="4611" ht="14.5" customHeight="1" spans="11:29" x14ac:dyDescent="0.25">
      <c r="K4611" s="128"/>
      <c r="X4611" s="234">
        <v>2022</v>
      </c>
      <c r="Y4611" s="234">
        <v>7</v>
      </c>
      <c r="Z4611" s="234">
        <v>12</v>
      </c>
      <c r="AA4611" s="235">
        <v>0.041666666667879326</v>
      </c>
      <c r="AB4611" s="236">
        <v>15.8</v>
      </c>
      <c r="AC4611" s="127">
        <f t="shared" si="86"/>
        <v>16</v>
      </c>
    </row>
    <row r="4612" ht="14.5" customHeight="1" spans="11:29" x14ac:dyDescent="0.25">
      <c r="K4612" s="128"/>
      <c r="X4612" s="234">
        <v>2022</v>
      </c>
      <c r="Y4612" s="234">
        <v>7</v>
      </c>
      <c r="Z4612" s="234">
        <v>12</v>
      </c>
      <c r="AA4612" s="235">
        <v>0.08333333333212067</v>
      </c>
      <c r="AB4612" s="236">
        <v>15.2</v>
      </c>
      <c r="AC4612" s="127">
        <f t="shared" si="86"/>
        <v>15</v>
      </c>
    </row>
    <row r="4613" ht="14.5" customHeight="1" spans="11:29" x14ac:dyDescent="0.25">
      <c r="K4613" s="128"/>
      <c r="X4613" s="234">
        <v>2022</v>
      </c>
      <c r="Y4613" s="234">
        <v>7</v>
      </c>
      <c r="Z4613" s="234">
        <v>12</v>
      </c>
      <c r="AA4613" s="235">
        <v>0.125</v>
      </c>
      <c r="AB4613" s="236">
        <v>13.9</v>
      </c>
      <c r="AC4613" s="127">
        <f t="shared" si="86"/>
        <v>14</v>
      </c>
    </row>
    <row r="4614" ht="14.5" customHeight="1" spans="11:29" x14ac:dyDescent="0.25">
      <c r="K4614" s="128"/>
      <c r="X4614" s="234">
        <v>2022</v>
      </c>
      <c r="Y4614" s="234">
        <v>7</v>
      </c>
      <c r="Z4614" s="234">
        <v>12</v>
      </c>
      <c r="AA4614" s="235">
        <v>0.16666666666787933</v>
      </c>
      <c r="AB4614" s="236">
        <v>15.5</v>
      </c>
      <c r="AC4614" s="127">
        <f t="shared" si="86"/>
        <v>16</v>
      </c>
    </row>
    <row r="4615" ht="14.5" customHeight="1" spans="11:29" x14ac:dyDescent="0.25">
      <c r="K4615" s="128"/>
      <c r="X4615" s="234">
        <v>2022</v>
      </c>
      <c r="Y4615" s="234">
        <v>7</v>
      </c>
      <c r="Z4615" s="234">
        <v>12</v>
      </c>
      <c r="AA4615" s="235">
        <v>0.20833333333212067</v>
      </c>
      <c r="AB4615" s="236">
        <v>14.5</v>
      </c>
      <c r="AC4615" s="127">
        <f t="shared" si="86"/>
        <v>15</v>
      </c>
    </row>
    <row r="4616" ht="14.5" customHeight="1" spans="11:29" x14ac:dyDescent="0.25">
      <c r="K4616" s="128"/>
      <c r="X4616" s="234">
        <v>2022</v>
      </c>
      <c r="Y4616" s="234">
        <v>7</v>
      </c>
      <c r="Z4616" s="234">
        <v>12</v>
      </c>
      <c r="AA4616" s="235">
        <v>0.25</v>
      </c>
      <c r="AB4616" s="236">
        <v>17.1</v>
      </c>
      <c r="AC4616" s="127">
        <f t="shared" si="86"/>
        <v>17</v>
      </c>
    </row>
    <row r="4617" ht="14.5" customHeight="1" spans="11:29" x14ac:dyDescent="0.25">
      <c r="K4617" s="128"/>
      <c r="X4617" s="234">
        <v>2022</v>
      </c>
      <c r="Y4617" s="234">
        <v>7</v>
      </c>
      <c r="Z4617" s="234">
        <v>12</v>
      </c>
      <c r="AA4617" s="235">
        <v>0.2916666666678793</v>
      </c>
      <c r="AB4617" s="236">
        <v>20</v>
      </c>
      <c r="AC4617" s="127">
        <f t="shared" si="86"/>
        <v>20</v>
      </c>
    </row>
    <row r="4618" ht="14.5" customHeight="1" spans="11:29" x14ac:dyDescent="0.25">
      <c r="K4618" s="128"/>
      <c r="X4618" s="234">
        <v>2022</v>
      </c>
      <c r="Y4618" s="234">
        <v>7</v>
      </c>
      <c r="Z4618" s="234">
        <v>12</v>
      </c>
      <c r="AA4618" s="235">
        <v>0.3333333333321207</v>
      </c>
      <c r="AB4618" s="236">
        <v>21.9</v>
      </c>
      <c r="AC4618" s="127">
        <f t="shared" si="86"/>
        <v>22</v>
      </c>
    </row>
    <row r="4619" ht="14.5" customHeight="1" spans="11:29" x14ac:dyDescent="0.25">
      <c r="K4619" s="128"/>
      <c r="X4619" s="234">
        <v>2022</v>
      </c>
      <c r="Y4619" s="234">
        <v>7</v>
      </c>
      <c r="Z4619" s="234">
        <v>12</v>
      </c>
      <c r="AA4619" s="235">
        <v>0.375</v>
      </c>
      <c r="AB4619" s="236">
        <v>25</v>
      </c>
      <c r="AC4619" s="127">
        <f t="shared" ref="AC4619:AC4682" si="87">ROUND(AB4619,0)</f>
        <v>25</v>
      </c>
    </row>
    <row r="4620" ht="14.5" customHeight="1" spans="11:29" x14ac:dyDescent="0.25">
      <c r="K4620" s="128"/>
      <c r="X4620" s="234">
        <v>2022</v>
      </c>
      <c r="Y4620" s="234">
        <v>7</v>
      </c>
      <c r="Z4620" s="234">
        <v>12</v>
      </c>
      <c r="AA4620" s="235">
        <v>0.4166666666678793</v>
      </c>
      <c r="AB4620" s="236">
        <v>27.1</v>
      </c>
      <c r="AC4620" s="127">
        <f t="shared" si="87"/>
        <v>27</v>
      </c>
    </row>
    <row r="4621" ht="14.5" customHeight="1" spans="11:29" x14ac:dyDescent="0.25">
      <c r="K4621" s="128"/>
      <c r="X4621" s="234">
        <v>2022</v>
      </c>
      <c r="Y4621" s="234">
        <v>7</v>
      </c>
      <c r="Z4621" s="234">
        <v>12</v>
      </c>
      <c r="AA4621" s="235">
        <v>0.4583333333321207</v>
      </c>
      <c r="AB4621" s="236">
        <v>27.8</v>
      </c>
      <c r="AC4621" s="127">
        <f t="shared" si="87"/>
        <v>28</v>
      </c>
    </row>
    <row r="4622" ht="14.5" customHeight="1" spans="11:29" x14ac:dyDescent="0.25">
      <c r="K4622" s="128"/>
      <c r="X4622" s="234">
        <v>2022</v>
      </c>
      <c r="Y4622" s="234">
        <v>7</v>
      </c>
      <c r="Z4622" s="234">
        <v>12</v>
      </c>
      <c r="AA4622" s="235">
        <v>0.5</v>
      </c>
      <c r="AB4622" s="236">
        <v>28.6</v>
      </c>
      <c r="AC4622" s="127">
        <f t="shared" si="87"/>
        <v>29</v>
      </c>
    </row>
    <row r="4623" ht="14.5" customHeight="1" spans="11:29" x14ac:dyDescent="0.25">
      <c r="K4623" s="128"/>
      <c r="X4623" s="234">
        <v>2022</v>
      </c>
      <c r="Y4623" s="234">
        <v>7</v>
      </c>
      <c r="Z4623" s="234">
        <v>12</v>
      </c>
      <c r="AA4623" s="235">
        <v>0.5416666666678793</v>
      </c>
      <c r="AB4623" s="236">
        <v>28.8</v>
      </c>
      <c r="AC4623" s="127">
        <f t="shared" si="87"/>
        <v>29</v>
      </c>
    </row>
    <row r="4624" ht="14.5" customHeight="1" spans="11:29" x14ac:dyDescent="0.25">
      <c r="K4624" s="128"/>
      <c r="X4624" s="234">
        <v>2022</v>
      </c>
      <c r="Y4624" s="234">
        <v>7</v>
      </c>
      <c r="Z4624" s="234">
        <v>12</v>
      </c>
      <c r="AA4624" s="235">
        <v>0.5833333333321207</v>
      </c>
      <c r="AB4624" s="236">
        <v>29.1</v>
      </c>
      <c r="AC4624" s="127">
        <f t="shared" si="87"/>
        <v>29</v>
      </c>
    </row>
    <row r="4625" ht="14.5" customHeight="1" spans="11:29" x14ac:dyDescent="0.25">
      <c r="K4625" s="128"/>
      <c r="X4625" s="234">
        <v>2022</v>
      </c>
      <c r="Y4625" s="234">
        <v>7</v>
      </c>
      <c r="Z4625" s="234">
        <v>12</v>
      </c>
      <c r="AA4625" s="235">
        <v>0.625</v>
      </c>
      <c r="AB4625" s="236">
        <v>28.2</v>
      </c>
      <c r="AC4625" s="127">
        <f t="shared" si="87"/>
        <v>28</v>
      </c>
    </row>
    <row r="4626" ht="14.5" customHeight="1" spans="11:29" x14ac:dyDescent="0.25">
      <c r="K4626" s="128"/>
      <c r="X4626" s="234">
        <v>2022</v>
      </c>
      <c r="Y4626" s="234">
        <v>7</v>
      </c>
      <c r="Z4626" s="234">
        <v>12</v>
      </c>
      <c r="AA4626" s="235">
        <v>0.6666666666678793</v>
      </c>
      <c r="AB4626" s="236">
        <v>28.6</v>
      </c>
      <c r="AC4626" s="127">
        <f t="shared" si="87"/>
        <v>29</v>
      </c>
    </row>
    <row r="4627" ht="14.5" customHeight="1" spans="11:29" x14ac:dyDescent="0.25">
      <c r="K4627" s="128"/>
      <c r="X4627" s="234">
        <v>2022</v>
      </c>
      <c r="Y4627" s="234">
        <v>7</v>
      </c>
      <c r="Z4627" s="234">
        <v>12</v>
      </c>
      <c r="AA4627" s="235">
        <v>0.7083333333321207</v>
      </c>
      <c r="AB4627" s="236">
        <v>28.4</v>
      </c>
      <c r="AC4627" s="127">
        <f t="shared" si="87"/>
        <v>28</v>
      </c>
    </row>
    <row r="4628" ht="14.5" customHeight="1" spans="11:29" x14ac:dyDescent="0.25">
      <c r="K4628" s="128"/>
      <c r="X4628" s="234">
        <v>2022</v>
      </c>
      <c r="Y4628" s="234">
        <v>7</v>
      </c>
      <c r="Z4628" s="234">
        <v>12</v>
      </c>
      <c r="AA4628" s="235">
        <v>0.75</v>
      </c>
      <c r="AB4628" s="236">
        <v>28</v>
      </c>
      <c r="AC4628" s="127">
        <f t="shared" si="87"/>
        <v>28</v>
      </c>
    </row>
    <row r="4629" ht="14.5" customHeight="1" spans="11:29" x14ac:dyDescent="0.25">
      <c r="K4629" s="128"/>
      <c r="X4629" s="234">
        <v>2022</v>
      </c>
      <c r="Y4629" s="234">
        <v>7</v>
      </c>
      <c r="Z4629" s="234">
        <v>12</v>
      </c>
      <c r="AA4629" s="235">
        <v>0.7916666666678793</v>
      </c>
      <c r="AB4629" s="236">
        <v>26.6</v>
      </c>
      <c r="AC4629" s="127">
        <f t="shared" si="87"/>
        <v>27</v>
      </c>
    </row>
    <row r="4630" ht="14.5" customHeight="1" spans="11:29" x14ac:dyDescent="0.25">
      <c r="K4630" s="128"/>
      <c r="X4630" s="234">
        <v>2022</v>
      </c>
      <c r="Y4630" s="234">
        <v>7</v>
      </c>
      <c r="Z4630" s="234">
        <v>12</v>
      </c>
      <c r="AA4630" s="235">
        <v>0.8333333333321207</v>
      </c>
      <c r="AB4630" s="236">
        <v>24.8</v>
      </c>
      <c r="AC4630" s="127">
        <f t="shared" si="87"/>
        <v>25</v>
      </c>
    </row>
    <row r="4631" ht="14.5" customHeight="1" spans="11:29" x14ac:dyDescent="0.25">
      <c r="K4631" s="128"/>
      <c r="X4631" s="234">
        <v>2022</v>
      </c>
      <c r="Y4631" s="234">
        <v>7</v>
      </c>
      <c r="Z4631" s="234">
        <v>12</v>
      </c>
      <c r="AA4631" s="235">
        <v>0.875</v>
      </c>
      <c r="AB4631" s="236">
        <v>22.5</v>
      </c>
      <c r="AC4631" s="127">
        <f t="shared" si="87"/>
        <v>23</v>
      </c>
    </row>
    <row r="4632" ht="14.5" customHeight="1" spans="11:29" x14ac:dyDescent="0.25">
      <c r="K4632" s="128"/>
      <c r="X4632" s="234">
        <v>2022</v>
      </c>
      <c r="Y4632" s="234">
        <v>7</v>
      </c>
      <c r="Z4632" s="234">
        <v>12</v>
      </c>
      <c r="AA4632" s="235">
        <v>0.9166666666678793</v>
      </c>
      <c r="AB4632" s="236">
        <v>18.7</v>
      </c>
      <c r="AC4632" s="127">
        <f t="shared" si="87"/>
        <v>19</v>
      </c>
    </row>
    <row r="4633" ht="14.5" customHeight="1" spans="11:29" x14ac:dyDescent="0.25">
      <c r="K4633" s="128"/>
      <c r="X4633" s="234">
        <v>2022</v>
      </c>
      <c r="Y4633" s="234">
        <v>7</v>
      </c>
      <c r="Z4633" s="234">
        <v>12</v>
      </c>
      <c r="AA4633" s="235">
        <v>0.9583333333321207</v>
      </c>
      <c r="AB4633" s="236">
        <v>16.4</v>
      </c>
      <c r="AC4633" s="127">
        <f t="shared" si="87"/>
        <v>16</v>
      </c>
    </row>
    <row r="4634" ht="14.5" customHeight="1" spans="11:29" x14ac:dyDescent="0.25">
      <c r="K4634" s="128"/>
      <c r="X4634" s="234">
        <v>2022</v>
      </c>
      <c r="Y4634" s="234">
        <v>7</v>
      </c>
      <c r="Z4634" s="234">
        <v>13</v>
      </c>
      <c r="AA4634" s="235">
        <v>0</v>
      </c>
      <c r="AB4634" s="236">
        <v>16</v>
      </c>
      <c r="AC4634" s="127">
        <f t="shared" si="87"/>
        <v>16</v>
      </c>
    </row>
    <row r="4635" ht="14.5" customHeight="1" spans="11:29" x14ac:dyDescent="0.25">
      <c r="K4635" s="128"/>
      <c r="X4635" s="234">
        <v>2022</v>
      </c>
      <c r="Y4635" s="234">
        <v>7</v>
      </c>
      <c r="Z4635" s="234">
        <v>13</v>
      </c>
      <c r="AA4635" s="235">
        <v>0.041666666667879326</v>
      </c>
      <c r="AB4635" s="236">
        <v>17.3</v>
      </c>
      <c r="AC4635" s="127">
        <f t="shared" si="87"/>
        <v>17</v>
      </c>
    </row>
    <row r="4636" ht="14.5" customHeight="1" spans="11:29" x14ac:dyDescent="0.25">
      <c r="K4636" s="128"/>
      <c r="X4636" s="234">
        <v>2022</v>
      </c>
      <c r="Y4636" s="234">
        <v>7</v>
      </c>
      <c r="Z4636" s="234">
        <v>13</v>
      </c>
      <c r="AA4636" s="235">
        <v>0.08333333333212067</v>
      </c>
      <c r="AB4636" s="236">
        <v>19</v>
      </c>
      <c r="AC4636" s="127">
        <f t="shared" si="87"/>
        <v>19</v>
      </c>
    </row>
    <row r="4637" ht="14.5" customHeight="1" spans="11:29" x14ac:dyDescent="0.25">
      <c r="K4637" s="128"/>
      <c r="X4637" s="234">
        <v>2022</v>
      </c>
      <c r="Y4637" s="234">
        <v>7</v>
      </c>
      <c r="Z4637" s="234">
        <v>13</v>
      </c>
      <c r="AA4637" s="235">
        <v>0.125</v>
      </c>
      <c r="AB4637" s="236">
        <v>16.2</v>
      </c>
      <c r="AC4637" s="127">
        <f t="shared" si="87"/>
        <v>16</v>
      </c>
    </row>
    <row r="4638" ht="14.5" customHeight="1" spans="11:29" x14ac:dyDescent="0.25">
      <c r="K4638" s="128"/>
      <c r="X4638" s="234">
        <v>2022</v>
      </c>
      <c r="Y4638" s="234">
        <v>7</v>
      </c>
      <c r="Z4638" s="234">
        <v>13</v>
      </c>
      <c r="AA4638" s="235">
        <v>0.16666666666787933</v>
      </c>
      <c r="AB4638" s="236">
        <v>13.3</v>
      </c>
      <c r="AC4638" s="127">
        <f t="shared" si="87"/>
        <v>13</v>
      </c>
    </row>
    <row r="4639" ht="14.5" customHeight="1" spans="11:29" x14ac:dyDescent="0.25">
      <c r="K4639" s="128"/>
      <c r="X4639" s="234">
        <v>2022</v>
      </c>
      <c r="Y4639" s="234">
        <v>7</v>
      </c>
      <c r="Z4639" s="234">
        <v>13</v>
      </c>
      <c r="AA4639" s="235">
        <v>0.20833333333212067</v>
      </c>
      <c r="AB4639" s="236">
        <v>12.3</v>
      </c>
      <c r="AC4639" s="127">
        <f t="shared" si="87"/>
        <v>12</v>
      </c>
    </row>
    <row r="4640" ht="14.5" customHeight="1" spans="11:29" x14ac:dyDescent="0.25">
      <c r="K4640" s="128"/>
      <c r="X4640" s="234">
        <v>2022</v>
      </c>
      <c r="Y4640" s="234">
        <v>7</v>
      </c>
      <c r="Z4640" s="234">
        <v>13</v>
      </c>
      <c r="AA4640" s="235">
        <v>0.25</v>
      </c>
      <c r="AB4640" s="236">
        <v>12.1</v>
      </c>
      <c r="AC4640" s="127">
        <f t="shared" si="87"/>
        <v>12</v>
      </c>
    </row>
    <row r="4641" ht="14.5" customHeight="1" spans="11:29" x14ac:dyDescent="0.25">
      <c r="K4641" s="128"/>
      <c r="X4641" s="234">
        <v>2022</v>
      </c>
      <c r="Y4641" s="234">
        <v>7</v>
      </c>
      <c r="Z4641" s="234">
        <v>13</v>
      </c>
      <c r="AA4641" s="235">
        <v>0.2916666666678793</v>
      </c>
      <c r="AB4641" s="236">
        <v>13.8</v>
      </c>
      <c r="AC4641" s="127">
        <f t="shared" si="87"/>
        <v>14</v>
      </c>
    </row>
    <row r="4642" ht="14.5" customHeight="1" spans="11:29" x14ac:dyDescent="0.25">
      <c r="K4642" s="128"/>
      <c r="X4642" s="234">
        <v>2022</v>
      </c>
      <c r="Y4642" s="234">
        <v>7</v>
      </c>
      <c r="Z4642" s="234">
        <v>13</v>
      </c>
      <c r="AA4642" s="235">
        <v>0.3333333333321207</v>
      </c>
      <c r="AB4642" s="236">
        <v>14.9</v>
      </c>
      <c r="AC4642" s="127">
        <f t="shared" si="87"/>
        <v>15</v>
      </c>
    </row>
    <row r="4643" ht="14.5" customHeight="1" spans="11:29" x14ac:dyDescent="0.25">
      <c r="K4643" s="128"/>
      <c r="X4643" s="234">
        <v>2022</v>
      </c>
      <c r="Y4643" s="234">
        <v>7</v>
      </c>
      <c r="Z4643" s="234">
        <v>13</v>
      </c>
      <c r="AA4643" s="235">
        <v>0.375</v>
      </c>
      <c r="AB4643" s="236">
        <v>16.3</v>
      </c>
      <c r="AC4643" s="127">
        <f t="shared" si="87"/>
        <v>16</v>
      </c>
    </row>
    <row r="4644" ht="14.5" customHeight="1" spans="11:29" x14ac:dyDescent="0.25">
      <c r="K4644" s="128"/>
      <c r="X4644" s="234">
        <v>2022</v>
      </c>
      <c r="Y4644" s="234">
        <v>7</v>
      </c>
      <c r="Z4644" s="234">
        <v>13</v>
      </c>
      <c r="AA4644" s="235">
        <v>0.4166666666678793</v>
      </c>
      <c r="AB4644" s="236">
        <v>17.4</v>
      </c>
      <c r="AC4644" s="127">
        <f t="shared" si="87"/>
        <v>17</v>
      </c>
    </row>
    <row r="4645" ht="14.5" customHeight="1" spans="11:29" x14ac:dyDescent="0.25">
      <c r="K4645" s="128"/>
      <c r="X4645" s="234">
        <v>2022</v>
      </c>
      <c r="Y4645" s="234">
        <v>7</v>
      </c>
      <c r="Z4645" s="234">
        <v>13</v>
      </c>
      <c r="AA4645" s="235">
        <v>0.4583333333321207</v>
      </c>
      <c r="AB4645" s="236">
        <v>19.1</v>
      </c>
      <c r="AC4645" s="127">
        <f t="shared" si="87"/>
        <v>19</v>
      </c>
    </row>
    <row r="4646" ht="14.5" customHeight="1" spans="11:29" x14ac:dyDescent="0.25">
      <c r="K4646" s="128"/>
      <c r="X4646" s="234">
        <v>2022</v>
      </c>
      <c r="Y4646" s="234">
        <v>7</v>
      </c>
      <c r="Z4646" s="234">
        <v>13</v>
      </c>
      <c r="AA4646" s="235">
        <v>0.5</v>
      </c>
      <c r="AB4646" s="236">
        <v>19.5</v>
      </c>
      <c r="AC4646" s="127">
        <f t="shared" si="87"/>
        <v>20</v>
      </c>
    </row>
    <row r="4647" ht="14.5" customHeight="1" spans="11:29" x14ac:dyDescent="0.25">
      <c r="K4647" s="128"/>
      <c r="X4647" s="234">
        <v>2022</v>
      </c>
      <c r="Y4647" s="234">
        <v>7</v>
      </c>
      <c r="Z4647" s="234">
        <v>13</v>
      </c>
      <c r="AA4647" s="235">
        <v>0.5416666666678793</v>
      </c>
      <c r="AB4647" s="236">
        <v>20.3</v>
      </c>
      <c r="AC4647" s="127">
        <f t="shared" si="87"/>
        <v>20</v>
      </c>
    </row>
    <row r="4648" ht="14.5" customHeight="1" spans="11:29" x14ac:dyDescent="0.25">
      <c r="K4648" s="128"/>
      <c r="X4648" s="234">
        <v>2022</v>
      </c>
      <c r="Y4648" s="234">
        <v>7</v>
      </c>
      <c r="Z4648" s="234">
        <v>13</v>
      </c>
      <c r="AA4648" s="235">
        <v>0.5833333333321207</v>
      </c>
      <c r="AB4648" s="236">
        <v>22</v>
      </c>
      <c r="AC4648" s="127">
        <f t="shared" si="87"/>
        <v>22</v>
      </c>
    </row>
    <row r="4649" ht="14.5" customHeight="1" spans="11:29" x14ac:dyDescent="0.25">
      <c r="K4649" s="128"/>
      <c r="X4649" s="234">
        <v>2022</v>
      </c>
      <c r="Y4649" s="234">
        <v>7</v>
      </c>
      <c r="Z4649" s="234">
        <v>13</v>
      </c>
      <c r="AA4649" s="235">
        <v>0.625</v>
      </c>
      <c r="AB4649" s="236">
        <v>22.7</v>
      </c>
      <c r="AC4649" s="127">
        <f t="shared" si="87"/>
        <v>23</v>
      </c>
    </row>
    <row r="4650" ht="14.5" customHeight="1" spans="11:29" x14ac:dyDescent="0.25">
      <c r="K4650" s="128"/>
      <c r="X4650" s="234">
        <v>2022</v>
      </c>
      <c r="Y4650" s="234">
        <v>7</v>
      </c>
      <c r="Z4650" s="234">
        <v>13</v>
      </c>
      <c r="AA4650" s="235">
        <v>0.6666666666678793</v>
      </c>
      <c r="AB4650" s="236">
        <v>23.9</v>
      </c>
      <c r="AC4650" s="127">
        <f t="shared" si="87"/>
        <v>24</v>
      </c>
    </row>
    <row r="4651" ht="14.5" customHeight="1" spans="11:29" x14ac:dyDescent="0.25">
      <c r="K4651" s="128"/>
      <c r="X4651" s="234">
        <v>2022</v>
      </c>
      <c r="Y4651" s="234">
        <v>7</v>
      </c>
      <c r="Z4651" s="234">
        <v>13</v>
      </c>
      <c r="AA4651" s="235">
        <v>0.7083333333321207</v>
      </c>
      <c r="AB4651" s="236">
        <v>24</v>
      </c>
      <c r="AC4651" s="127">
        <f t="shared" si="87"/>
        <v>24</v>
      </c>
    </row>
    <row r="4652" ht="14.5" customHeight="1" spans="11:29" x14ac:dyDescent="0.25">
      <c r="K4652" s="128"/>
      <c r="X4652" s="234">
        <v>2022</v>
      </c>
      <c r="Y4652" s="234">
        <v>7</v>
      </c>
      <c r="Z4652" s="234">
        <v>13</v>
      </c>
      <c r="AA4652" s="235">
        <v>0.75</v>
      </c>
      <c r="AB4652" s="236">
        <v>21.6</v>
      </c>
      <c r="AC4652" s="127">
        <f t="shared" si="87"/>
        <v>22</v>
      </c>
    </row>
    <row r="4653" ht="14.5" customHeight="1" spans="11:29" x14ac:dyDescent="0.25">
      <c r="K4653" s="128"/>
      <c r="X4653" s="234">
        <v>2022</v>
      </c>
      <c r="Y4653" s="234">
        <v>7</v>
      </c>
      <c r="Z4653" s="234">
        <v>13</v>
      </c>
      <c r="AA4653" s="235">
        <v>0.7916666666678793</v>
      </c>
      <c r="AB4653" s="236">
        <v>20.5</v>
      </c>
      <c r="AC4653" s="127">
        <f t="shared" si="87"/>
        <v>21</v>
      </c>
    </row>
    <row r="4654" ht="14.5" customHeight="1" spans="11:29" x14ac:dyDescent="0.25">
      <c r="K4654" s="128"/>
      <c r="X4654" s="234">
        <v>2022</v>
      </c>
      <c r="Y4654" s="234">
        <v>7</v>
      </c>
      <c r="Z4654" s="234">
        <v>13</v>
      </c>
      <c r="AA4654" s="235">
        <v>0.8333333333321207</v>
      </c>
      <c r="AB4654" s="236">
        <v>18.8</v>
      </c>
      <c r="AC4654" s="127">
        <f t="shared" si="87"/>
        <v>19</v>
      </c>
    </row>
    <row r="4655" ht="14.5" customHeight="1" spans="11:29" x14ac:dyDescent="0.25">
      <c r="K4655" s="128"/>
      <c r="X4655" s="234">
        <v>2022</v>
      </c>
      <c r="Y4655" s="234">
        <v>7</v>
      </c>
      <c r="Z4655" s="234">
        <v>13</v>
      </c>
      <c r="AA4655" s="235">
        <v>0.875</v>
      </c>
      <c r="AB4655" s="236">
        <v>17.1</v>
      </c>
      <c r="AC4655" s="127">
        <f t="shared" si="87"/>
        <v>17</v>
      </c>
    </row>
    <row r="4656" ht="14.5" customHeight="1" spans="11:29" x14ac:dyDescent="0.25">
      <c r="K4656" s="128"/>
      <c r="X4656" s="234">
        <v>2022</v>
      </c>
      <c r="Y4656" s="234">
        <v>7</v>
      </c>
      <c r="Z4656" s="234">
        <v>13</v>
      </c>
      <c r="AA4656" s="235">
        <v>0.9166666666678793</v>
      </c>
      <c r="AB4656" s="236">
        <v>15.8</v>
      </c>
      <c r="AC4656" s="127">
        <f t="shared" si="87"/>
        <v>16</v>
      </c>
    </row>
    <row r="4657" ht="14.5" customHeight="1" spans="11:29" x14ac:dyDescent="0.25">
      <c r="K4657" s="128"/>
      <c r="X4657" s="234">
        <v>2022</v>
      </c>
      <c r="Y4657" s="234">
        <v>7</v>
      </c>
      <c r="Z4657" s="234">
        <v>13</v>
      </c>
      <c r="AA4657" s="235">
        <v>0.9583333333321207</v>
      </c>
      <c r="AB4657" s="236">
        <v>15.8</v>
      </c>
      <c r="AC4657" s="127">
        <f t="shared" si="87"/>
        <v>16</v>
      </c>
    </row>
    <row r="4658" ht="14.5" customHeight="1" spans="11:29" x14ac:dyDescent="0.25">
      <c r="K4658" s="128"/>
      <c r="X4658" s="234">
        <v>2022</v>
      </c>
      <c r="Y4658" s="234">
        <v>7</v>
      </c>
      <c r="Z4658" s="234">
        <v>14</v>
      </c>
      <c r="AA4658" s="235">
        <v>0</v>
      </c>
      <c r="AB4658" s="236">
        <v>14.3</v>
      </c>
      <c r="AC4658" s="127">
        <f t="shared" si="87"/>
        <v>14</v>
      </c>
    </row>
    <row r="4659" ht="14.5" customHeight="1" spans="11:29" x14ac:dyDescent="0.25">
      <c r="K4659" s="128"/>
      <c r="X4659" s="234">
        <v>2022</v>
      </c>
      <c r="Y4659" s="234">
        <v>7</v>
      </c>
      <c r="Z4659" s="234">
        <v>14</v>
      </c>
      <c r="AA4659" s="235">
        <v>0.041666666667879326</v>
      </c>
      <c r="AB4659" s="236">
        <v>13.3</v>
      </c>
      <c r="AC4659" s="127">
        <f t="shared" si="87"/>
        <v>13</v>
      </c>
    </row>
    <row r="4660" ht="14.5" customHeight="1" spans="11:29" x14ac:dyDescent="0.25">
      <c r="K4660" s="128"/>
      <c r="X4660" s="234">
        <v>2022</v>
      </c>
      <c r="Y4660" s="234">
        <v>7</v>
      </c>
      <c r="Z4660" s="234">
        <v>14</v>
      </c>
      <c r="AA4660" s="235">
        <v>0.08333333333212067</v>
      </c>
      <c r="AB4660" s="236">
        <v>12.2</v>
      </c>
      <c r="AC4660" s="127">
        <f t="shared" si="87"/>
        <v>12</v>
      </c>
    </row>
    <row r="4661" ht="14.5" customHeight="1" spans="11:29" x14ac:dyDescent="0.25">
      <c r="K4661" s="128"/>
      <c r="X4661" s="234">
        <v>2022</v>
      </c>
      <c r="Y4661" s="234">
        <v>7</v>
      </c>
      <c r="Z4661" s="234">
        <v>14</v>
      </c>
      <c r="AA4661" s="235">
        <v>0.125</v>
      </c>
      <c r="AB4661" s="236">
        <v>12.3</v>
      </c>
      <c r="AC4661" s="127">
        <f t="shared" si="87"/>
        <v>12</v>
      </c>
    </row>
    <row r="4662" ht="14.5" customHeight="1" spans="11:29" x14ac:dyDescent="0.25">
      <c r="K4662" s="128"/>
      <c r="X4662" s="234">
        <v>2022</v>
      </c>
      <c r="Y4662" s="234">
        <v>7</v>
      </c>
      <c r="Z4662" s="234">
        <v>14</v>
      </c>
      <c r="AA4662" s="235">
        <v>0.16666666666787933</v>
      </c>
      <c r="AB4662" s="236">
        <v>11.6</v>
      </c>
      <c r="AC4662" s="127">
        <f t="shared" si="87"/>
        <v>12</v>
      </c>
    </row>
    <row r="4663" ht="14.5" customHeight="1" spans="11:29" x14ac:dyDescent="0.25">
      <c r="K4663" s="128"/>
      <c r="X4663" s="234">
        <v>2022</v>
      </c>
      <c r="Y4663" s="234">
        <v>7</v>
      </c>
      <c r="Z4663" s="234">
        <v>14</v>
      </c>
      <c r="AA4663" s="235">
        <v>0.20833333333212067</v>
      </c>
      <c r="AB4663" s="236">
        <v>11</v>
      </c>
      <c r="AC4663" s="127">
        <f t="shared" si="87"/>
        <v>11</v>
      </c>
    </row>
    <row r="4664" ht="14.5" customHeight="1" spans="11:29" x14ac:dyDescent="0.25">
      <c r="K4664" s="128"/>
      <c r="X4664" s="234">
        <v>2022</v>
      </c>
      <c r="Y4664" s="234">
        <v>7</v>
      </c>
      <c r="Z4664" s="234">
        <v>14</v>
      </c>
      <c r="AA4664" s="235">
        <v>0.25</v>
      </c>
      <c r="AB4664" s="236">
        <v>14.4</v>
      </c>
      <c r="AC4664" s="127">
        <f t="shared" si="87"/>
        <v>14</v>
      </c>
    </row>
    <row r="4665" ht="14.5" customHeight="1" spans="11:29" x14ac:dyDescent="0.25">
      <c r="K4665" s="128"/>
      <c r="X4665" s="234">
        <v>2022</v>
      </c>
      <c r="Y4665" s="234">
        <v>7</v>
      </c>
      <c r="Z4665" s="234">
        <v>14</v>
      </c>
      <c r="AA4665" s="235">
        <v>0.2916666666678793</v>
      </c>
      <c r="AB4665" s="236">
        <v>15.7</v>
      </c>
      <c r="AC4665" s="127">
        <f t="shared" si="87"/>
        <v>16</v>
      </c>
    </row>
    <row r="4666" ht="14.5" customHeight="1" spans="11:29" x14ac:dyDescent="0.25">
      <c r="K4666" s="128"/>
      <c r="X4666" s="234">
        <v>2022</v>
      </c>
      <c r="Y4666" s="234">
        <v>7</v>
      </c>
      <c r="Z4666" s="234">
        <v>14</v>
      </c>
      <c r="AA4666" s="235">
        <v>0.3333333333321207</v>
      </c>
      <c r="AB4666" s="236">
        <v>16.8</v>
      </c>
      <c r="AC4666" s="127">
        <f t="shared" si="87"/>
        <v>17</v>
      </c>
    </row>
    <row r="4667" ht="14.5" customHeight="1" spans="11:29" x14ac:dyDescent="0.25">
      <c r="K4667" s="128"/>
      <c r="X4667" s="234">
        <v>2022</v>
      </c>
      <c r="Y4667" s="234">
        <v>7</v>
      </c>
      <c r="Z4667" s="234">
        <v>14</v>
      </c>
      <c r="AA4667" s="235">
        <v>0.375</v>
      </c>
      <c r="AB4667" s="236">
        <v>17.5</v>
      </c>
      <c r="AC4667" s="127">
        <f t="shared" si="87"/>
        <v>18</v>
      </c>
    </row>
    <row r="4668" ht="14.5" customHeight="1" spans="11:29" x14ac:dyDescent="0.25">
      <c r="K4668" s="128"/>
      <c r="X4668" s="234">
        <v>2022</v>
      </c>
      <c r="Y4668" s="234">
        <v>7</v>
      </c>
      <c r="Z4668" s="234">
        <v>14</v>
      </c>
      <c r="AA4668" s="235">
        <v>0.4166666666678793</v>
      </c>
      <c r="AB4668" s="236">
        <v>19.5</v>
      </c>
      <c r="AC4668" s="127">
        <f t="shared" si="87"/>
        <v>20</v>
      </c>
    </row>
    <row r="4669" ht="14.5" customHeight="1" spans="11:29" x14ac:dyDescent="0.25">
      <c r="K4669" s="128"/>
      <c r="X4669" s="234">
        <v>2022</v>
      </c>
      <c r="Y4669" s="234">
        <v>7</v>
      </c>
      <c r="Z4669" s="234">
        <v>14</v>
      </c>
      <c r="AA4669" s="235">
        <v>0.4583333333321207</v>
      </c>
      <c r="AB4669" s="236">
        <v>21.5</v>
      </c>
      <c r="AC4669" s="127">
        <f t="shared" si="87"/>
        <v>22</v>
      </c>
    </row>
    <row r="4670" ht="14.5" customHeight="1" spans="11:29" x14ac:dyDescent="0.25">
      <c r="K4670" s="128"/>
      <c r="X4670" s="234">
        <v>2022</v>
      </c>
      <c r="Y4670" s="234">
        <v>7</v>
      </c>
      <c r="Z4670" s="234">
        <v>14</v>
      </c>
      <c r="AA4670" s="235">
        <v>0.5</v>
      </c>
      <c r="AB4670" s="236">
        <v>22.9</v>
      </c>
      <c r="AC4670" s="127">
        <f t="shared" si="87"/>
        <v>23</v>
      </c>
    </row>
    <row r="4671" ht="14.5" customHeight="1" spans="11:29" x14ac:dyDescent="0.25">
      <c r="K4671" s="128"/>
      <c r="X4671" s="234">
        <v>2022</v>
      </c>
      <c r="Y4671" s="234">
        <v>7</v>
      </c>
      <c r="Z4671" s="234">
        <v>14</v>
      </c>
      <c r="AA4671" s="235">
        <v>0.5416666666678793</v>
      </c>
      <c r="AB4671" s="236">
        <v>24.5</v>
      </c>
      <c r="AC4671" s="127">
        <f t="shared" si="87"/>
        <v>25</v>
      </c>
    </row>
    <row r="4672" ht="14.5" customHeight="1" spans="11:29" x14ac:dyDescent="0.25">
      <c r="K4672" s="128"/>
      <c r="X4672" s="234">
        <v>2022</v>
      </c>
      <c r="Y4672" s="234">
        <v>7</v>
      </c>
      <c r="Z4672" s="234">
        <v>14</v>
      </c>
      <c r="AA4672" s="235">
        <v>0.5833333333321207</v>
      </c>
      <c r="AB4672" s="236">
        <v>25.3</v>
      </c>
      <c r="AC4672" s="127">
        <f t="shared" si="87"/>
        <v>25</v>
      </c>
    </row>
    <row r="4673" ht="14.5" customHeight="1" spans="11:29" x14ac:dyDescent="0.25">
      <c r="K4673" s="128"/>
      <c r="X4673" s="234">
        <v>2022</v>
      </c>
      <c r="Y4673" s="234">
        <v>7</v>
      </c>
      <c r="Z4673" s="234">
        <v>14</v>
      </c>
      <c r="AA4673" s="235">
        <v>0.625</v>
      </c>
      <c r="AB4673" s="236">
        <v>26.6</v>
      </c>
      <c r="AC4673" s="127">
        <f t="shared" si="87"/>
        <v>27</v>
      </c>
    </row>
    <row r="4674" ht="14.5" customHeight="1" spans="11:29" x14ac:dyDescent="0.25">
      <c r="K4674" s="128"/>
      <c r="X4674" s="234">
        <v>2022</v>
      </c>
      <c r="Y4674" s="234">
        <v>7</v>
      </c>
      <c r="Z4674" s="234">
        <v>14</v>
      </c>
      <c r="AA4674" s="235">
        <v>0.6666666666678793</v>
      </c>
      <c r="AB4674" s="236">
        <v>26.4</v>
      </c>
      <c r="AC4674" s="127">
        <f t="shared" si="87"/>
        <v>26</v>
      </c>
    </row>
    <row r="4675" ht="14.5" customHeight="1" spans="11:29" x14ac:dyDescent="0.25">
      <c r="K4675" s="128"/>
      <c r="X4675" s="234">
        <v>2022</v>
      </c>
      <c r="Y4675" s="234">
        <v>7</v>
      </c>
      <c r="Z4675" s="234">
        <v>14</v>
      </c>
      <c r="AA4675" s="235">
        <v>0.7083333333321207</v>
      </c>
      <c r="AB4675" s="236">
        <v>26.9</v>
      </c>
      <c r="AC4675" s="127">
        <f t="shared" si="87"/>
        <v>27</v>
      </c>
    </row>
    <row r="4676" ht="14.5" customHeight="1" spans="11:29" x14ac:dyDescent="0.25">
      <c r="K4676" s="128"/>
      <c r="X4676" s="234">
        <v>2022</v>
      </c>
      <c r="Y4676" s="234">
        <v>7</v>
      </c>
      <c r="Z4676" s="234">
        <v>14</v>
      </c>
      <c r="AA4676" s="235">
        <v>0.75</v>
      </c>
      <c r="AB4676" s="236">
        <v>26.5</v>
      </c>
      <c r="AC4676" s="127">
        <f t="shared" si="87"/>
        <v>27</v>
      </c>
    </row>
    <row r="4677" ht="14.5" customHeight="1" spans="11:29" x14ac:dyDescent="0.25">
      <c r="K4677" s="128"/>
      <c r="X4677" s="234">
        <v>2022</v>
      </c>
      <c r="Y4677" s="234">
        <v>7</v>
      </c>
      <c r="Z4677" s="234">
        <v>14</v>
      </c>
      <c r="AA4677" s="235">
        <v>0.7916666666678793</v>
      </c>
      <c r="AB4677" s="236">
        <v>25.5</v>
      </c>
      <c r="AC4677" s="127">
        <f t="shared" si="87"/>
        <v>26</v>
      </c>
    </row>
    <row r="4678" ht="14.5" customHeight="1" spans="11:29" x14ac:dyDescent="0.25">
      <c r="K4678" s="128"/>
      <c r="X4678" s="234">
        <v>2022</v>
      </c>
      <c r="Y4678" s="234">
        <v>7</v>
      </c>
      <c r="Z4678" s="234">
        <v>14</v>
      </c>
      <c r="AA4678" s="235">
        <v>0.8333333333321207</v>
      </c>
      <c r="AB4678" s="236">
        <v>22.9</v>
      </c>
      <c r="AC4678" s="127">
        <f t="shared" si="87"/>
        <v>23</v>
      </c>
    </row>
    <row r="4679" ht="14.5" customHeight="1" spans="11:29" x14ac:dyDescent="0.25">
      <c r="K4679" s="128"/>
      <c r="X4679" s="234">
        <v>2022</v>
      </c>
      <c r="Y4679" s="234">
        <v>7</v>
      </c>
      <c r="Z4679" s="234">
        <v>14</v>
      </c>
      <c r="AA4679" s="235">
        <v>0.875</v>
      </c>
      <c r="AB4679" s="236">
        <v>18.5</v>
      </c>
      <c r="AC4679" s="127">
        <f t="shared" si="87"/>
        <v>19</v>
      </c>
    </row>
    <row r="4680" ht="14.5" customHeight="1" spans="11:29" x14ac:dyDescent="0.25">
      <c r="K4680" s="128"/>
      <c r="X4680" s="234">
        <v>2022</v>
      </c>
      <c r="Y4680" s="234">
        <v>7</v>
      </c>
      <c r="Z4680" s="234">
        <v>14</v>
      </c>
      <c r="AA4680" s="235">
        <v>0.9166666666678793</v>
      </c>
      <c r="AB4680" s="236">
        <v>17.5</v>
      </c>
      <c r="AC4680" s="127">
        <f t="shared" si="87"/>
        <v>18</v>
      </c>
    </row>
    <row r="4681" ht="14.5" customHeight="1" spans="11:29" x14ac:dyDescent="0.25">
      <c r="K4681" s="128"/>
      <c r="X4681" s="234">
        <v>2022</v>
      </c>
      <c r="Y4681" s="234">
        <v>7</v>
      </c>
      <c r="Z4681" s="234">
        <v>14</v>
      </c>
      <c r="AA4681" s="235">
        <v>0.9583333333321207</v>
      </c>
      <c r="AB4681" s="236">
        <v>17.2</v>
      </c>
      <c r="AC4681" s="127">
        <f t="shared" si="87"/>
        <v>17</v>
      </c>
    </row>
    <row r="4682" ht="14.5" customHeight="1" spans="11:29" x14ac:dyDescent="0.25">
      <c r="K4682" s="128"/>
      <c r="X4682" s="234">
        <v>2022</v>
      </c>
      <c r="Y4682" s="234">
        <v>7</v>
      </c>
      <c r="Z4682" s="234">
        <v>15</v>
      </c>
      <c r="AA4682" s="235">
        <v>0</v>
      </c>
      <c r="AB4682" s="236">
        <v>14.8</v>
      </c>
      <c r="AC4682" s="127">
        <f t="shared" si="87"/>
        <v>15</v>
      </c>
    </row>
    <row r="4683" ht="14.5" customHeight="1" spans="11:29" x14ac:dyDescent="0.25">
      <c r="K4683" s="128"/>
      <c r="X4683" s="234">
        <v>2022</v>
      </c>
      <c r="Y4683" s="234">
        <v>7</v>
      </c>
      <c r="Z4683" s="234">
        <v>15</v>
      </c>
      <c r="AA4683" s="235">
        <v>0.041666666667879326</v>
      </c>
      <c r="AB4683" s="236">
        <v>13.9</v>
      </c>
      <c r="AC4683" s="127">
        <f t="shared" ref="AC4683:AC4746" si="88">ROUND(AB4683,0)</f>
        <v>14</v>
      </c>
    </row>
    <row r="4684" ht="14.5" customHeight="1" spans="11:29" x14ac:dyDescent="0.25">
      <c r="K4684" s="128"/>
      <c r="X4684" s="234">
        <v>2022</v>
      </c>
      <c r="Y4684" s="234">
        <v>7</v>
      </c>
      <c r="Z4684" s="234">
        <v>15</v>
      </c>
      <c r="AA4684" s="235">
        <v>0.08333333333212067</v>
      </c>
      <c r="AB4684" s="236">
        <v>13.3</v>
      </c>
      <c r="AC4684" s="127">
        <f t="shared" si="88"/>
        <v>13</v>
      </c>
    </row>
    <row r="4685" ht="14.5" customHeight="1" spans="11:29" x14ac:dyDescent="0.25">
      <c r="K4685" s="128"/>
      <c r="X4685" s="234">
        <v>2022</v>
      </c>
      <c r="Y4685" s="234">
        <v>7</v>
      </c>
      <c r="Z4685" s="234">
        <v>15</v>
      </c>
      <c r="AA4685" s="235">
        <v>0.125</v>
      </c>
      <c r="AB4685" s="236">
        <v>13.1</v>
      </c>
      <c r="AC4685" s="127">
        <f t="shared" si="88"/>
        <v>13</v>
      </c>
    </row>
    <row r="4686" ht="14.5" customHeight="1" spans="11:29" x14ac:dyDescent="0.25">
      <c r="K4686" s="128"/>
      <c r="X4686" s="234">
        <v>2022</v>
      </c>
      <c r="Y4686" s="234">
        <v>7</v>
      </c>
      <c r="Z4686" s="234">
        <v>15</v>
      </c>
      <c r="AA4686" s="235">
        <v>0.16666666666787933</v>
      </c>
      <c r="AB4686" s="236">
        <v>12.2</v>
      </c>
      <c r="AC4686" s="127">
        <f t="shared" si="88"/>
        <v>12</v>
      </c>
    </row>
    <row r="4687" ht="14.5" customHeight="1" spans="11:29" x14ac:dyDescent="0.25">
      <c r="K4687" s="128"/>
      <c r="X4687" s="234">
        <v>2022</v>
      </c>
      <c r="Y4687" s="234">
        <v>7</v>
      </c>
      <c r="Z4687" s="234">
        <v>15</v>
      </c>
      <c r="AA4687" s="235">
        <v>0.20833333333212067</v>
      </c>
      <c r="AB4687" s="236">
        <v>12.1</v>
      </c>
      <c r="AC4687" s="127">
        <f t="shared" si="88"/>
        <v>12</v>
      </c>
    </row>
    <row r="4688" ht="14.5" customHeight="1" spans="11:29" x14ac:dyDescent="0.25">
      <c r="K4688" s="128"/>
      <c r="X4688" s="234">
        <v>2022</v>
      </c>
      <c r="Y4688" s="234">
        <v>7</v>
      </c>
      <c r="Z4688" s="234">
        <v>15</v>
      </c>
      <c r="AA4688" s="235">
        <v>0.25</v>
      </c>
      <c r="AB4688" s="236">
        <v>13.4</v>
      </c>
      <c r="AC4688" s="127">
        <f t="shared" si="88"/>
        <v>13</v>
      </c>
    </row>
    <row r="4689" ht="14.5" customHeight="1" spans="11:29" x14ac:dyDescent="0.25">
      <c r="K4689" s="128"/>
      <c r="X4689" s="234">
        <v>2022</v>
      </c>
      <c r="Y4689" s="234">
        <v>7</v>
      </c>
      <c r="Z4689" s="234">
        <v>15</v>
      </c>
      <c r="AA4689" s="235">
        <v>0.2916666666678793</v>
      </c>
      <c r="AB4689" s="236">
        <v>16.9</v>
      </c>
      <c r="AC4689" s="127">
        <f t="shared" si="88"/>
        <v>17</v>
      </c>
    </row>
    <row r="4690" ht="14.5" customHeight="1" spans="11:29" x14ac:dyDescent="0.25">
      <c r="K4690" s="128"/>
      <c r="X4690" s="234">
        <v>2022</v>
      </c>
      <c r="Y4690" s="234">
        <v>7</v>
      </c>
      <c r="Z4690" s="234">
        <v>15</v>
      </c>
      <c r="AA4690" s="235">
        <v>0.3333333333321207</v>
      </c>
      <c r="AB4690" s="236">
        <v>20.6</v>
      </c>
      <c r="AC4690" s="127">
        <f t="shared" si="88"/>
        <v>21</v>
      </c>
    </row>
    <row r="4691" ht="14.5" customHeight="1" spans="11:29" x14ac:dyDescent="0.25">
      <c r="K4691" s="128"/>
      <c r="X4691" s="234">
        <v>2022</v>
      </c>
      <c r="Y4691" s="234">
        <v>7</v>
      </c>
      <c r="Z4691" s="234">
        <v>15</v>
      </c>
      <c r="AA4691" s="235">
        <v>0.375</v>
      </c>
      <c r="AB4691" s="236">
        <v>23.7</v>
      </c>
      <c r="AC4691" s="127">
        <f t="shared" si="88"/>
        <v>24</v>
      </c>
    </row>
    <row r="4692" ht="14.5" customHeight="1" spans="11:29" x14ac:dyDescent="0.25">
      <c r="K4692" s="128"/>
      <c r="X4692" s="234">
        <v>2022</v>
      </c>
      <c r="Y4692" s="234">
        <v>7</v>
      </c>
      <c r="Z4692" s="234">
        <v>15</v>
      </c>
      <c r="AA4692" s="235">
        <v>0.4166666666678793</v>
      </c>
      <c r="AB4692" s="236">
        <v>26.5</v>
      </c>
      <c r="AC4692" s="127">
        <f t="shared" si="88"/>
        <v>27</v>
      </c>
    </row>
    <row r="4693" ht="14.5" customHeight="1" spans="11:29" x14ac:dyDescent="0.25">
      <c r="K4693" s="128"/>
      <c r="X4693" s="234">
        <v>2022</v>
      </c>
      <c r="Y4693" s="234">
        <v>7</v>
      </c>
      <c r="Z4693" s="234">
        <v>15</v>
      </c>
      <c r="AA4693" s="235">
        <v>0.4583333333321207</v>
      </c>
      <c r="AB4693" s="236">
        <v>27.1</v>
      </c>
      <c r="AC4693" s="127">
        <f t="shared" si="88"/>
        <v>27</v>
      </c>
    </row>
    <row r="4694" ht="14.5" customHeight="1" spans="11:29" x14ac:dyDescent="0.25">
      <c r="K4694" s="128"/>
      <c r="X4694" s="234">
        <v>2022</v>
      </c>
      <c r="Y4694" s="234">
        <v>7</v>
      </c>
      <c r="Z4694" s="234">
        <v>15</v>
      </c>
      <c r="AA4694" s="235">
        <v>0.5</v>
      </c>
      <c r="AB4694" s="236">
        <v>28</v>
      </c>
      <c r="AC4694" s="127">
        <f t="shared" si="88"/>
        <v>28</v>
      </c>
    </row>
    <row r="4695" ht="14.5" customHeight="1" spans="11:29" x14ac:dyDescent="0.25">
      <c r="K4695" s="128"/>
      <c r="X4695" s="234">
        <v>2022</v>
      </c>
      <c r="Y4695" s="234">
        <v>7</v>
      </c>
      <c r="Z4695" s="234">
        <v>15</v>
      </c>
      <c r="AA4695" s="235">
        <v>0.5416666666678793</v>
      </c>
      <c r="AB4695" s="236">
        <v>28.2</v>
      </c>
      <c r="AC4695" s="127">
        <f t="shared" si="88"/>
        <v>28</v>
      </c>
    </row>
    <row r="4696" ht="14.5" customHeight="1" spans="11:29" x14ac:dyDescent="0.25">
      <c r="K4696" s="128"/>
      <c r="X4696" s="234">
        <v>2022</v>
      </c>
      <c r="Y4696" s="234">
        <v>7</v>
      </c>
      <c r="Z4696" s="234">
        <v>15</v>
      </c>
      <c r="AA4696" s="235">
        <v>0.5833333333321207</v>
      </c>
      <c r="AB4696" s="236">
        <v>28.6</v>
      </c>
      <c r="AC4696" s="127">
        <f t="shared" si="88"/>
        <v>29</v>
      </c>
    </row>
    <row r="4697" ht="14.5" customHeight="1" spans="11:29" x14ac:dyDescent="0.25">
      <c r="K4697" s="128"/>
      <c r="X4697" s="234">
        <v>2022</v>
      </c>
      <c r="Y4697" s="234">
        <v>7</v>
      </c>
      <c r="Z4697" s="234">
        <v>15</v>
      </c>
      <c r="AA4697" s="235">
        <v>0.625</v>
      </c>
      <c r="AB4697" s="236">
        <v>28.6</v>
      </c>
      <c r="AC4697" s="127">
        <f t="shared" si="88"/>
        <v>29</v>
      </c>
    </row>
    <row r="4698" ht="14.5" customHeight="1" spans="11:29" x14ac:dyDescent="0.25">
      <c r="K4698" s="128"/>
      <c r="X4698" s="234">
        <v>2022</v>
      </c>
      <c r="Y4698" s="234">
        <v>7</v>
      </c>
      <c r="Z4698" s="234">
        <v>15</v>
      </c>
      <c r="AA4698" s="235">
        <v>0.6666666666678793</v>
      </c>
      <c r="AB4698" s="236">
        <v>28.6</v>
      </c>
      <c r="AC4698" s="127">
        <f t="shared" si="88"/>
        <v>29</v>
      </c>
    </row>
    <row r="4699" ht="14.5" customHeight="1" spans="11:29" x14ac:dyDescent="0.25">
      <c r="K4699" s="128"/>
      <c r="X4699" s="234">
        <v>2022</v>
      </c>
      <c r="Y4699" s="234">
        <v>7</v>
      </c>
      <c r="Z4699" s="234">
        <v>15</v>
      </c>
      <c r="AA4699" s="235">
        <v>0.7083333333321207</v>
      </c>
      <c r="AB4699" s="236">
        <v>28.5</v>
      </c>
      <c r="AC4699" s="127">
        <f t="shared" si="88"/>
        <v>29</v>
      </c>
    </row>
    <row r="4700" ht="14.5" customHeight="1" spans="11:29" x14ac:dyDescent="0.25">
      <c r="K4700" s="128"/>
      <c r="X4700" s="234">
        <v>2022</v>
      </c>
      <c r="Y4700" s="234">
        <v>7</v>
      </c>
      <c r="Z4700" s="234">
        <v>15</v>
      </c>
      <c r="AA4700" s="235">
        <v>0.75</v>
      </c>
      <c r="AB4700" s="236">
        <v>28.4</v>
      </c>
      <c r="AC4700" s="127">
        <f t="shared" si="88"/>
        <v>28</v>
      </c>
    </row>
    <row r="4701" ht="14.5" customHeight="1" spans="11:29" x14ac:dyDescent="0.25">
      <c r="K4701" s="128"/>
      <c r="X4701" s="234">
        <v>2022</v>
      </c>
      <c r="Y4701" s="234">
        <v>7</v>
      </c>
      <c r="Z4701" s="234">
        <v>15</v>
      </c>
      <c r="AA4701" s="235">
        <v>0.7916666666678793</v>
      </c>
      <c r="AB4701" s="236">
        <v>27.5</v>
      </c>
      <c r="AC4701" s="127">
        <f t="shared" si="88"/>
        <v>28</v>
      </c>
    </row>
    <row r="4702" ht="14.5" customHeight="1" spans="11:29" x14ac:dyDescent="0.25">
      <c r="K4702" s="128"/>
      <c r="X4702" s="234">
        <v>2022</v>
      </c>
      <c r="Y4702" s="234">
        <v>7</v>
      </c>
      <c r="Z4702" s="234">
        <v>15</v>
      </c>
      <c r="AA4702" s="235">
        <v>0.8333333333321207</v>
      </c>
      <c r="AB4702" s="236">
        <v>25.9</v>
      </c>
      <c r="AC4702" s="127">
        <f t="shared" si="88"/>
        <v>26</v>
      </c>
    </row>
    <row r="4703" ht="14.5" customHeight="1" spans="11:29" x14ac:dyDescent="0.25">
      <c r="K4703" s="128"/>
      <c r="X4703" s="234">
        <v>2022</v>
      </c>
      <c r="Y4703" s="234">
        <v>7</v>
      </c>
      <c r="Z4703" s="234">
        <v>15</v>
      </c>
      <c r="AA4703" s="235">
        <v>0.875</v>
      </c>
      <c r="AB4703" s="236">
        <v>22</v>
      </c>
      <c r="AC4703" s="127">
        <f t="shared" si="88"/>
        <v>22</v>
      </c>
    </row>
    <row r="4704" ht="14.5" customHeight="1" spans="11:29" x14ac:dyDescent="0.25">
      <c r="K4704" s="128"/>
      <c r="X4704" s="234">
        <v>2022</v>
      </c>
      <c r="Y4704" s="234">
        <v>7</v>
      </c>
      <c r="Z4704" s="234">
        <v>15</v>
      </c>
      <c r="AA4704" s="235">
        <v>0.9166666666678793</v>
      </c>
      <c r="AB4704" s="236">
        <v>23.3</v>
      </c>
      <c r="AC4704" s="127">
        <f t="shared" si="88"/>
        <v>23</v>
      </c>
    </row>
    <row r="4705" ht="14.5" customHeight="1" spans="11:29" x14ac:dyDescent="0.25">
      <c r="K4705" s="128"/>
      <c r="X4705" s="234">
        <v>2022</v>
      </c>
      <c r="Y4705" s="234">
        <v>7</v>
      </c>
      <c r="Z4705" s="234">
        <v>15</v>
      </c>
      <c r="AA4705" s="235">
        <v>0.9583333333321207</v>
      </c>
      <c r="AB4705" s="236">
        <v>22</v>
      </c>
      <c r="AC4705" s="127">
        <f t="shared" si="88"/>
        <v>22</v>
      </c>
    </row>
    <row r="4706" ht="14.5" customHeight="1" spans="11:29" x14ac:dyDescent="0.25">
      <c r="K4706" s="128"/>
      <c r="X4706" s="234">
        <v>2022</v>
      </c>
      <c r="Y4706" s="234">
        <v>7</v>
      </c>
      <c r="Z4706" s="234">
        <v>16</v>
      </c>
      <c r="AA4706" s="235">
        <v>0</v>
      </c>
      <c r="AB4706" s="236">
        <v>18.8</v>
      </c>
      <c r="AC4706" s="127">
        <f t="shared" si="88"/>
        <v>19</v>
      </c>
    </row>
    <row r="4707" ht="14.5" customHeight="1" spans="11:29" x14ac:dyDescent="0.25">
      <c r="K4707" s="128"/>
      <c r="X4707" s="234">
        <v>2022</v>
      </c>
      <c r="Y4707" s="234">
        <v>7</v>
      </c>
      <c r="Z4707" s="234">
        <v>16</v>
      </c>
      <c r="AA4707" s="235">
        <v>0.041666666667879326</v>
      </c>
      <c r="AB4707" s="236">
        <v>17.1</v>
      </c>
      <c r="AC4707" s="127">
        <f t="shared" si="88"/>
        <v>17</v>
      </c>
    </row>
    <row r="4708" ht="14.5" customHeight="1" spans="11:29" x14ac:dyDescent="0.25">
      <c r="K4708" s="128"/>
      <c r="X4708" s="234">
        <v>2022</v>
      </c>
      <c r="Y4708" s="234">
        <v>7</v>
      </c>
      <c r="Z4708" s="234">
        <v>16</v>
      </c>
      <c r="AA4708" s="235">
        <v>0.08333333333212067</v>
      </c>
      <c r="AB4708" s="236">
        <v>18.1</v>
      </c>
      <c r="AC4708" s="127">
        <f t="shared" si="88"/>
        <v>18</v>
      </c>
    </row>
    <row r="4709" ht="14.5" customHeight="1" spans="11:29" x14ac:dyDescent="0.25">
      <c r="K4709" s="128"/>
      <c r="X4709" s="234">
        <v>2022</v>
      </c>
      <c r="Y4709" s="234">
        <v>7</v>
      </c>
      <c r="Z4709" s="234">
        <v>16</v>
      </c>
      <c r="AA4709" s="235">
        <v>0.125</v>
      </c>
      <c r="AB4709" s="236">
        <v>15.8</v>
      </c>
      <c r="AC4709" s="127">
        <f t="shared" si="88"/>
        <v>16</v>
      </c>
    </row>
    <row r="4710" ht="14.5" customHeight="1" spans="11:29" x14ac:dyDescent="0.25">
      <c r="K4710" s="128"/>
      <c r="X4710" s="234">
        <v>2022</v>
      </c>
      <c r="Y4710" s="234">
        <v>7</v>
      </c>
      <c r="Z4710" s="234">
        <v>16</v>
      </c>
      <c r="AA4710" s="235">
        <v>0.16666666666787933</v>
      </c>
      <c r="AB4710" s="236">
        <v>14.4</v>
      </c>
      <c r="AC4710" s="127">
        <f t="shared" si="88"/>
        <v>14</v>
      </c>
    </row>
    <row r="4711" ht="14.5" customHeight="1" spans="11:29" x14ac:dyDescent="0.25">
      <c r="K4711" s="128"/>
      <c r="X4711" s="234">
        <v>2022</v>
      </c>
      <c r="Y4711" s="234">
        <v>7</v>
      </c>
      <c r="Z4711" s="234">
        <v>16</v>
      </c>
      <c r="AA4711" s="235">
        <v>0.20833333333212067</v>
      </c>
      <c r="AB4711" s="236">
        <v>15.1</v>
      </c>
      <c r="AC4711" s="127">
        <f t="shared" si="88"/>
        <v>15</v>
      </c>
    </row>
    <row r="4712" ht="14.5" customHeight="1" spans="11:29" x14ac:dyDescent="0.25">
      <c r="K4712" s="128"/>
      <c r="X4712" s="234">
        <v>2022</v>
      </c>
      <c r="Y4712" s="234">
        <v>7</v>
      </c>
      <c r="Z4712" s="234">
        <v>16</v>
      </c>
      <c r="AA4712" s="235">
        <v>0.25</v>
      </c>
      <c r="AB4712" s="236">
        <v>16.9</v>
      </c>
      <c r="AC4712" s="127">
        <f t="shared" si="88"/>
        <v>17</v>
      </c>
    </row>
    <row r="4713" ht="14.5" customHeight="1" spans="11:29" x14ac:dyDescent="0.25">
      <c r="K4713" s="128"/>
      <c r="X4713" s="234">
        <v>2022</v>
      </c>
      <c r="Y4713" s="234">
        <v>7</v>
      </c>
      <c r="Z4713" s="234">
        <v>16</v>
      </c>
      <c r="AA4713" s="235">
        <v>0.2916666666678793</v>
      </c>
      <c r="AB4713" s="236">
        <v>19.8</v>
      </c>
      <c r="AC4713" s="127">
        <f t="shared" si="88"/>
        <v>20</v>
      </c>
    </row>
    <row r="4714" ht="14.5" customHeight="1" spans="11:29" x14ac:dyDescent="0.25">
      <c r="K4714" s="128"/>
      <c r="X4714" s="234">
        <v>2022</v>
      </c>
      <c r="Y4714" s="234">
        <v>7</v>
      </c>
      <c r="Z4714" s="234">
        <v>16</v>
      </c>
      <c r="AA4714" s="235">
        <v>0.3333333333321207</v>
      </c>
      <c r="AB4714" s="236">
        <v>20.3</v>
      </c>
      <c r="AC4714" s="127">
        <f t="shared" si="88"/>
        <v>20</v>
      </c>
    </row>
    <row r="4715" ht="14.5" customHeight="1" spans="11:29" x14ac:dyDescent="0.25">
      <c r="K4715" s="128"/>
      <c r="X4715" s="234">
        <v>2022</v>
      </c>
      <c r="Y4715" s="234">
        <v>7</v>
      </c>
      <c r="Z4715" s="234">
        <v>16</v>
      </c>
      <c r="AA4715" s="235">
        <v>0.375</v>
      </c>
      <c r="AB4715" s="236">
        <v>21.5</v>
      </c>
      <c r="AC4715" s="127">
        <f t="shared" si="88"/>
        <v>22</v>
      </c>
    </row>
    <row r="4716" ht="14.5" customHeight="1" spans="11:29" x14ac:dyDescent="0.25">
      <c r="K4716" s="128"/>
      <c r="X4716" s="234">
        <v>2022</v>
      </c>
      <c r="Y4716" s="234">
        <v>7</v>
      </c>
      <c r="Z4716" s="234">
        <v>16</v>
      </c>
      <c r="AA4716" s="235">
        <v>0.4166666666678793</v>
      </c>
      <c r="AB4716" s="236">
        <v>22.3</v>
      </c>
      <c r="AC4716" s="127">
        <f t="shared" si="88"/>
        <v>22</v>
      </c>
    </row>
    <row r="4717" ht="14.5" customHeight="1" spans="11:29" x14ac:dyDescent="0.25">
      <c r="K4717" s="128"/>
      <c r="X4717" s="234">
        <v>2022</v>
      </c>
      <c r="Y4717" s="234">
        <v>7</v>
      </c>
      <c r="Z4717" s="234">
        <v>16</v>
      </c>
      <c r="AA4717" s="235">
        <v>0.4583333333321207</v>
      </c>
      <c r="AB4717" s="236">
        <v>24.2</v>
      </c>
      <c r="AC4717" s="127">
        <f t="shared" si="88"/>
        <v>24</v>
      </c>
    </row>
    <row r="4718" ht="14.5" customHeight="1" spans="11:29" x14ac:dyDescent="0.25">
      <c r="K4718" s="128"/>
      <c r="X4718" s="234">
        <v>2022</v>
      </c>
      <c r="Y4718" s="234">
        <v>7</v>
      </c>
      <c r="Z4718" s="234">
        <v>16</v>
      </c>
      <c r="AA4718" s="235">
        <v>0.5</v>
      </c>
      <c r="AB4718" s="236">
        <v>25.5</v>
      </c>
      <c r="AC4718" s="127">
        <f t="shared" si="88"/>
        <v>26</v>
      </c>
    </row>
    <row r="4719" ht="14.5" customHeight="1" spans="11:29" x14ac:dyDescent="0.25">
      <c r="K4719" s="128"/>
      <c r="X4719" s="234">
        <v>2022</v>
      </c>
      <c r="Y4719" s="234">
        <v>7</v>
      </c>
      <c r="Z4719" s="234">
        <v>16</v>
      </c>
      <c r="AA4719" s="235">
        <v>0.5416666666678793</v>
      </c>
      <c r="AB4719" s="236">
        <v>25.4</v>
      </c>
      <c r="AC4719" s="127">
        <f t="shared" si="88"/>
        <v>25</v>
      </c>
    </row>
    <row r="4720" ht="14.5" customHeight="1" spans="11:29" x14ac:dyDescent="0.25">
      <c r="K4720" s="128"/>
      <c r="X4720" s="234">
        <v>2022</v>
      </c>
      <c r="Y4720" s="234">
        <v>7</v>
      </c>
      <c r="Z4720" s="234">
        <v>16</v>
      </c>
      <c r="AA4720" s="235">
        <v>0.5833333333321207</v>
      </c>
      <c r="AB4720" s="236">
        <v>26.7</v>
      </c>
      <c r="AC4720" s="127">
        <f t="shared" si="88"/>
        <v>27</v>
      </c>
    </row>
    <row r="4721" ht="14.5" customHeight="1" spans="11:29" x14ac:dyDescent="0.25">
      <c r="K4721" s="128"/>
      <c r="X4721" s="234">
        <v>2022</v>
      </c>
      <c r="Y4721" s="234">
        <v>7</v>
      </c>
      <c r="Z4721" s="234">
        <v>16</v>
      </c>
      <c r="AA4721" s="235">
        <v>0.625</v>
      </c>
      <c r="AB4721" s="236">
        <v>27.1</v>
      </c>
      <c r="AC4721" s="127">
        <f t="shared" si="88"/>
        <v>27</v>
      </c>
    </row>
    <row r="4722" ht="14.5" customHeight="1" spans="11:29" x14ac:dyDescent="0.25">
      <c r="K4722" s="128"/>
      <c r="X4722" s="234">
        <v>2022</v>
      </c>
      <c r="Y4722" s="234">
        <v>7</v>
      </c>
      <c r="Z4722" s="234">
        <v>16</v>
      </c>
      <c r="AA4722" s="235">
        <v>0.6666666666678793</v>
      </c>
      <c r="AB4722" s="236">
        <v>27.3</v>
      </c>
      <c r="AC4722" s="127">
        <f t="shared" si="88"/>
        <v>27</v>
      </c>
    </row>
    <row r="4723" ht="14.5" customHeight="1" spans="11:29" x14ac:dyDescent="0.25">
      <c r="K4723" s="128"/>
      <c r="X4723" s="234">
        <v>2022</v>
      </c>
      <c r="Y4723" s="234">
        <v>7</v>
      </c>
      <c r="Z4723" s="234">
        <v>16</v>
      </c>
      <c r="AA4723" s="235">
        <v>0.7083333333321207</v>
      </c>
      <c r="AB4723" s="236">
        <v>27.2</v>
      </c>
      <c r="AC4723" s="127">
        <f t="shared" si="88"/>
        <v>27</v>
      </c>
    </row>
    <row r="4724" ht="14.5" customHeight="1" spans="11:29" x14ac:dyDescent="0.25">
      <c r="K4724" s="128"/>
      <c r="X4724" s="234">
        <v>2022</v>
      </c>
      <c r="Y4724" s="234">
        <v>7</v>
      </c>
      <c r="Z4724" s="234">
        <v>16</v>
      </c>
      <c r="AA4724" s="235">
        <v>0.75</v>
      </c>
      <c r="AB4724" s="236">
        <v>26.8</v>
      </c>
      <c r="AC4724" s="127">
        <f t="shared" si="88"/>
        <v>27</v>
      </c>
    </row>
    <row r="4725" ht="14.5" customHeight="1" spans="11:29" x14ac:dyDescent="0.25">
      <c r="K4725" s="128"/>
      <c r="X4725" s="234">
        <v>2022</v>
      </c>
      <c r="Y4725" s="234">
        <v>7</v>
      </c>
      <c r="Z4725" s="234">
        <v>16</v>
      </c>
      <c r="AA4725" s="235">
        <v>0.7916666666678793</v>
      </c>
      <c r="AB4725" s="236">
        <v>25.6</v>
      </c>
      <c r="AC4725" s="127">
        <f t="shared" si="88"/>
        <v>26</v>
      </c>
    </row>
    <row r="4726" ht="14.5" customHeight="1" spans="11:29" x14ac:dyDescent="0.25">
      <c r="K4726" s="128"/>
      <c r="X4726" s="234">
        <v>2022</v>
      </c>
      <c r="Y4726" s="234">
        <v>7</v>
      </c>
      <c r="Z4726" s="234">
        <v>16</v>
      </c>
      <c r="AA4726" s="235">
        <v>0.8333333333321207</v>
      </c>
      <c r="AB4726" s="236">
        <v>22</v>
      </c>
      <c r="AC4726" s="127">
        <f t="shared" si="88"/>
        <v>22</v>
      </c>
    </row>
    <row r="4727" ht="14.5" customHeight="1" spans="11:29" x14ac:dyDescent="0.25">
      <c r="K4727" s="128"/>
      <c r="X4727" s="234">
        <v>2022</v>
      </c>
      <c r="Y4727" s="234">
        <v>7</v>
      </c>
      <c r="Z4727" s="234">
        <v>16</v>
      </c>
      <c r="AA4727" s="235">
        <v>0.875</v>
      </c>
      <c r="AB4727" s="236">
        <v>20.4</v>
      </c>
      <c r="AC4727" s="127">
        <f t="shared" si="88"/>
        <v>20</v>
      </c>
    </row>
    <row r="4728" ht="14.5" customHeight="1" spans="11:29" x14ac:dyDescent="0.25">
      <c r="K4728" s="128"/>
      <c r="X4728" s="234">
        <v>2022</v>
      </c>
      <c r="Y4728" s="234">
        <v>7</v>
      </c>
      <c r="Z4728" s="234">
        <v>16</v>
      </c>
      <c r="AA4728" s="235">
        <v>0.9166666666678793</v>
      </c>
      <c r="AB4728" s="236">
        <v>19.2</v>
      </c>
      <c r="AC4728" s="127">
        <f t="shared" si="88"/>
        <v>19</v>
      </c>
    </row>
    <row r="4729" ht="14.5" customHeight="1" spans="11:29" x14ac:dyDescent="0.25">
      <c r="K4729" s="128"/>
      <c r="X4729" s="234">
        <v>2022</v>
      </c>
      <c r="Y4729" s="234">
        <v>7</v>
      </c>
      <c r="Z4729" s="234">
        <v>16</v>
      </c>
      <c r="AA4729" s="235">
        <v>0.9583333333321207</v>
      </c>
      <c r="AB4729" s="236">
        <v>17.8</v>
      </c>
      <c r="AC4729" s="127">
        <f t="shared" si="88"/>
        <v>18</v>
      </c>
    </row>
    <row r="4730" ht="14.5" customHeight="1" spans="11:29" x14ac:dyDescent="0.25">
      <c r="K4730" s="128"/>
      <c r="X4730" s="234">
        <v>2022</v>
      </c>
      <c r="Y4730" s="234">
        <v>7</v>
      </c>
      <c r="Z4730" s="234">
        <v>17</v>
      </c>
      <c r="AA4730" s="235">
        <v>0</v>
      </c>
      <c r="AB4730" s="236">
        <v>16.2</v>
      </c>
      <c r="AC4730" s="127">
        <f t="shared" si="88"/>
        <v>16</v>
      </c>
    </row>
    <row r="4731" ht="14.5" customHeight="1" spans="11:29" x14ac:dyDescent="0.25">
      <c r="K4731" s="128"/>
      <c r="X4731" s="234">
        <v>2022</v>
      </c>
      <c r="Y4731" s="234">
        <v>7</v>
      </c>
      <c r="Z4731" s="234">
        <v>17</v>
      </c>
      <c r="AA4731" s="235">
        <v>0.041666666667879326</v>
      </c>
      <c r="AB4731" s="236">
        <v>15.4</v>
      </c>
      <c r="AC4731" s="127">
        <f t="shared" si="88"/>
        <v>15</v>
      </c>
    </row>
    <row r="4732" ht="14.5" customHeight="1" spans="11:29" x14ac:dyDescent="0.25">
      <c r="K4732" s="128"/>
      <c r="X4732" s="234">
        <v>2022</v>
      </c>
      <c r="Y4732" s="234">
        <v>7</v>
      </c>
      <c r="Z4732" s="234">
        <v>17</v>
      </c>
      <c r="AA4732" s="235">
        <v>0.08333333333212067</v>
      </c>
      <c r="AB4732" s="236">
        <v>14.9</v>
      </c>
      <c r="AC4732" s="127">
        <f t="shared" si="88"/>
        <v>15</v>
      </c>
    </row>
    <row r="4733" ht="14.5" customHeight="1" spans="11:29" x14ac:dyDescent="0.25">
      <c r="K4733" s="128"/>
      <c r="X4733" s="234">
        <v>2022</v>
      </c>
      <c r="Y4733" s="234">
        <v>7</v>
      </c>
      <c r="Z4733" s="234">
        <v>17</v>
      </c>
      <c r="AA4733" s="235">
        <v>0.125</v>
      </c>
      <c r="AB4733" s="236">
        <v>16</v>
      </c>
      <c r="AC4733" s="127">
        <f t="shared" si="88"/>
        <v>16</v>
      </c>
    </row>
    <row r="4734" ht="14.5" customHeight="1" spans="11:29" x14ac:dyDescent="0.25">
      <c r="K4734" s="128"/>
      <c r="X4734" s="234">
        <v>2022</v>
      </c>
      <c r="Y4734" s="234">
        <v>7</v>
      </c>
      <c r="Z4734" s="234">
        <v>17</v>
      </c>
      <c r="AA4734" s="235">
        <v>0.16666666666787933</v>
      </c>
      <c r="AB4734" s="236">
        <v>15.5</v>
      </c>
      <c r="AC4734" s="127">
        <f t="shared" si="88"/>
        <v>16</v>
      </c>
    </row>
    <row r="4735" ht="14.5" customHeight="1" spans="11:29" x14ac:dyDescent="0.25">
      <c r="K4735" s="128"/>
      <c r="X4735" s="234">
        <v>2022</v>
      </c>
      <c r="Y4735" s="234">
        <v>7</v>
      </c>
      <c r="Z4735" s="234">
        <v>17</v>
      </c>
      <c r="AA4735" s="235">
        <v>0.20833333333212067</v>
      </c>
      <c r="AB4735" s="236">
        <v>15.4</v>
      </c>
      <c r="AC4735" s="127">
        <f t="shared" si="88"/>
        <v>15</v>
      </c>
    </row>
    <row r="4736" ht="14.5" customHeight="1" spans="11:29" x14ac:dyDescent="0.25">
      <c r="K4736" s="128"/>
      <c r="X4736" s="234">
        <v>2022</v>
      </c>
      <c r="Y4736" s="234">
        <v>7</v>
      </c>
      <c r="Z4736" s="234">
        <v>17</v>
      </c>
      <c r="AA4736" s="235">
        <v>0.25</v>
      </c>
      <c r="AB4736" s="236">
        <v>15.6</v>
      </c>
      <c r="AC4736" s="127">
        <f t="shared" si="88"/>
        <v>16</v>
      </c>
    </row>
    <row r="4737" ht="14.5" customHeight="1" spans="11:29" x14ac:dyDescent="0.25">
      <c r="K4737" s="128"/>
      <c r="X4737" s="234">
        <v>2022</v>
      </c>
      <c r="Y4737" s="234">
        <v>7</v>
      </c>
      <c r="Z4737" s="234">
        <v>17</v>
      </c>
      <c r="AA4737" s="235">
        <v>0.2916666666678793</v>
      </c>
      <c r="AB4737" s="236">
        <v>16.6</v>
      </c>
      <c r="AC4737" s="127">
        <f t="shared" si="88"/>
        <v>17</v>
      </c>
    </row>
    <row r="4738" ht="14.5" customHeight="1" spans="11:29" x14ac:dyDescent="0.25">
      <c r="K4738" s="128"/>
      <c r="X4738" s="234">
        <v>2022</v>
      </c>
      <c r="Y4738" s="234">
        <v>7</v>
      </c>
      <c r="Z4738" s="234">
        <v>17</v>
      </c>
      <c r="AA4738" s="235">
        <v>0.3333333333321207</v>
      </c>
      <c r="AB4738" s="236">
        <v>16.7</v>
      </c>
      <c r="AC4738" s="127">
        <f t="shared" si="88"/>
        <v>17</v>
      </c>
    </row>
    <row r="4739" ht="14.5" customHeight="1" spans="11:29" x14ac:dyDescent="0.25">
      <c r="K4739" s="128"/>
      <c r="X4739" s="234">
        <v>2022</v>
      </c>
      <c r="Y4739" s="234">
        <v>7</v>
      </c>
      <c r="Z4739" s="234">
        <v>17</v>
      </c>
      <c r="AA4739" s="235">
        <v>0.375</v>
      </c>
      <c r="AB4739" s="236">
        <v>17.6</v>
      </c>
      <c r="AC4739" s="127">
        <f t="shared" si="88"/>
        <v>18</v>
      </c>
    </row>
    <row r="4740" ht="14.5" customHeight="1" spans="11:29" x14ac:dyDescent="0.25">
      <c r="K4740" s="128"/>
      <c r="X4740" s="234">
        <v>2022</v>
      </c>
      <c r="Y4740" s="234">
        <v>7</v>
      </c>
      <c r="Z4740" s="234">
        <v>17</v>
      </c>
      <c r="AA4740" s="235">
        <v>0.4166666666678793</v>
      </c>
      <c r="AB4740" s="236">
        <v>19.4</v>
      </c>
      <c r="AC4740" s="127">
        <f t="shared" si="88"/>
        <v>19</v>
      </c>
    </row>
    <row r="4741" ht="14.5" customHeight="1" spans="11:29" x14ac:dyDescent="0.25">
      <c r="K4741" s="128"/>
      <c r="X4741" s="234">
        <v>2022</v>
      </c>
      <c r="Y4741" s="234">
        <v>7</v>
      </c>
      <c r="Z4741" s="234">
        <v>17</v>
      </c>
      <c r="AA4741" s="235">
        <v>0.4583333333321207</v>
      </c>
      <c r="AB4741" s="236">
        <v>20.6</v>
      </c>
      <c r="AC4741" s="127">
        <f t="shared" si="88"/>
        <v>21</v>
      </c>
    </row>
    <row r="4742" ht="14.5" customHeight="1" spans="11:29" x14ac:dyDescent="0.25">
      <c r="K4742" s="128"/>
      <c r="X4742" s="234">
        <v>2022</v>
      </c>
      <c r="Y4742" s="234">
        <v>7</v>
      </c>
      <c r="Z4742" s="234">
        <v>17</v>
      </c>
      <c r="AA4742" s="235">
        <v>0.5</v>
      </c>
      <c r="AB4742" s="236">
        <v>21.2</v>
      </c>
      <c r="AC4742" s="127">
        <f t="shared" si="88"/>
        <v>21</v>
      </c>
    </row>
    <row r="4743" ht="14.5" customHeight="1" spans="11:29" x14ac:dyDescent="0.25">
      <c r="K4743" s="128"/>
      <c r="X4743" s="234">
        <v>2022</v>
      </c>
      <c r="Y4743" s="234">
        <v>7</v>
      </c>
      <c r="Z4743" s="234">
        <v>17</v>
      </c>
      <c r="AA4743" s="235">
        <v>0.5416666666678793</v>
      </c>
      <c r="AB4743" s="236">
        <v>21.1</v>
      </c>
      <c r="AC4743" s="127">
        <f t="shared" si="88"/>
        <v>21</v>
      </c>
    </row>
    <row r="4744" ht="14.5" customHeight="1" spans="11:29" x14ac:dyDescent="0.25">
      <c r="K4744" s="128"/>
      <c r="X4744" s="234">
        <v>2022</v>
      </c>
      <c r="Y4744" s="234">
        <v>7</v>
      </c>
      <c r="Z4744" s="234">
        <v>17</v>
      </c>
      <c r="AA4744" s="235">
        <v>0.5833333333321207</v>
      </c>
      <c r="AB4744" s="236">
        <v>22.7</v>
      </c>
      <c r="AC4744" s="127">
        <f t="shared" si="88"/>
        <v>23</v>
      </c>
    </row>
    <row r="4745" ht="14.5" customHeight="1" spans="11:29" x14ac:dyDescent="0.25">
      <c r="K4745" s="128"/>
      <c r="X4745" s="234">
        <v>2022</v>
      </c>
      <c r="Y4745" s="234">
        <v>7</v>
      </c>
      <c r="Z4745" s="234">
        <v>17</v>
      </c>
      <c r="AA4745" s="235">
        <v>0.625</v>
      </c>
      <c r="AB4745" s="236">
        <v>21.9</v>
      </c>
      <c r="AC4745" s="127">
        <f t="shared" si="88"/>
        <v>22</v>
      </c>
    </row>
    <row r="4746" ht="14.5" customHeight="1" spans="11:29" x14ac:dyDescent="0.25">
      <c r="K4746" s="128"/>
      <c r="X4746" s="234">
        <v>2022</v>
      </c>
      <c r="Y4746" s="234">
        <v>7</v>
      </c>
      <c r="Z4746" s="234">
        <v>17</v>
      </c>
      <c r="AA4746" s="235">
        <v>0.6666666666678793</v>
      </c>
      <c r="AB4746" s="236">
        <v>23</v>
      </c>
      <c r="AC4746" s="127">
        <f t="shared" si="88"/>
        <v>23</v>
      </c>
    </row>
    <row r="4747" ht="14.5" customHeight="1" spans="11:29" x14ac:dyDescent="0.25">
      <c r="K4747" s="128"/>
      <c r="X4747" s="234">
        <v>2022</v>
      </c>
      <c r="Y4747" s="234">
        <v>7</v>
      </c>
      <c r="Z4747" s="234">
        <v>17</v>
      </c>
      <c r="AA4747" s="235">
        <v>0.7083333333321207</v>
      </c>
      <c r="AB4747" s="236">
        <v>21.6</v>
      </c>
      <c r="AC4747" s="127">
        <f t="shared" ref="AC4747:AC4810" si="89">ROUND(AB4747,0)</f>
        <v>22</v>
      </c>
    </row>
    <row r="4748" ht="14.5" customHeight="1" spans="11:29" x14ac:dyDescent="0.25">
      <c r="K4748" s="128"/>
      <c r="X4748" s="234">
        <v>2022</v>
      </c>
      <c r="Y4748" s="234">
        <v>7</v>
      </c>
      <c r="Z4748" s="234">
        <v>17</v>
      </c>
      <c r="AA4748" s="235">
        <v>0.75</v>
      </c>
      <c r="AB4748" s="236">
        <v>21.9</v>
      </c>
      <c r="AC4748" s="127">
        <f t="shared" si="89"/>
        <v>22</v>
      </c>
    </row>
    <row r="4749" ht="14.5" customHeight="1" spans="11:29" x14ac:dyDescent="0.25">
      <c r="K4749" s="128"/>
      <c r="X4749" s="234">
        <v>2022</v>
      </c>
      <c r="Y4749" s="234">
        <v>7</v>
      </c>
      <c r="Z4749" s="234">
        <v>17</v>
      </c>
      <c r="AA4749" s="235">
        <v>0.7916666666678793</v>
      </c>
      <c r="AB4749" s="236">
        <v>21.4</v>
      </c>
      <c r="AC4749" s="127">
        <f t="shared" si="89"/>
        <v>21</v>
      </c>
    </row>
    <row r="4750" ht="14.5" customHeight="1" spans="11:29" x14ac:dyDescent="0.25">
      <c r="K4750" s="128"/>
      <c r="X4750" s="234">
        <v>2022</v>
      </c>
      <c r="Y4750" s="234">
        <v>7</v>
      </c>
      <c r="Z4750" s="234">
        <v>17</v>
      </c>
      <c r="AA4750" s="235">
        <v>0.8333333333321207</v>
      </c>
      <c r="AB4750" s="236">
        <v>21.3</v>
      </c>
      <c r="AC4750" s="127">
        <f t="shared" si="89"/>
        <v>21</v>
      </c>
    </row>
    <row r="4751" ht="14.5" customHeight="1" spans="11:29" x14ac:dyDescent="0.25">
      <c r="K4751" s="128"/>
      <c r="X4751" s="234">
        <v>2022</v>
      </c>
      <c r="Y4751" s="234">
        <v>7</v>
      </c>
      <c r="Z4751" s="234">
        <v>17</v>
      </c>
      <c r="AA4751" s="235">
        <v>0.875</v>
      </c>
      <c r="AB4751" s="236">
        <v>20.2</v>
      </c>
      <c r="AC4751" s="127">
        <f t="shared" si="89"/>
        <v>20</v>
      </c>
    </row>
    <row r="4752" ht="14.5" customHeight="1" spans="11:29" x14ac:dyDescent="0.25">
      <c r="K4752" s="128"/>
      <c r="X4752" s="234">
        <v>2022</v>
      </c>
      <c r="Y4752" s="234">
        <v>7</v>
      </c>
      <c r="Z4752" s="234">
        <v>17</v>
      </c>
      <c r="AA4752" s="235">
        <v>0.9166666666678793</v>
      </c>
      <c r="AB4752" s="236">
        <v>18.9</v>
      </c>
      <c r="AC4752" s="127">
        <f t="shared" si="89"/>
        <v>19</v>
      </c>
    </row>
    <row r="4753" ht="14.5" customHeight="1" spans="11:29" x14ac:dyDescent="0.25">
      <c r="K4753" s="128"/>
      <c r="X4753" s="234">
        <v>2022</v>
      </c>
      <c r="Y4753" s="234">
        <v>7</v>
      </c>
      <c r="Z4753" s="234">
        <v>17</v>
      </c>
      <c r="AA4753" s="235">
        <v>0.9583333333321207</v>
      </c>
      <c r="AB4753" s="236">
        <v>18.1</v>
      </c>
      <c r="AC4753" s="127">
        <f t="shared" si="89"/>
        <v>18</v>
      </c>
    </row>
    <row r="4754" ht="14.5" customHeight="1" spans="11:29" x14ac:dyDescent="0.25">
      <c r="K4754" s="128"/>
      <c r="X4754" s="234">
        <v>2022</v>
      </c>
      <c r="Y4754" s="234">
        <v>7</v>
      </c>
      <c r="Z4754" s="234">
        <v>18</v>
      </c>
      <c r="AA4754" s="235">
        <v>0</v>
      </c>
      <c r="AB4754" s="236">
        <v>17.1</v>
      </c>
      <c r="AC4754" s="127">
        <f t="shared" si="89"/>
        <v>17</v>
      </c>
    </row>
    <row r="4755" ht="14.5" customHeight="1" spans="11:29" x14ac:dyDescent="0.25">
      <c r="K4755" s="128"/>
      <c r="X4755" s="234">
        <v>2022</v>
      </c>
      <c r="Y4755" s="234">
        <v>7</v>
      </c>
      <c r="Z4755" s="234">
        <v>18</v>
      </c>
      <c r="AA4755" s="235">
        <v>0.041666666667879326</v>
      </c>
      <c r="AB4755" s="236">
        <v>15.9</v>
      </c>
      <c r="AC4755" s="127">
        <f t="shared" si="89"/>
        <v>16</v>
      </c>
    </row>
    <row r="4756" ht="14.5" customHeight="1" spans="11:29" x14ac:dyDescent="0.25">
      <c r="K4756" s="128"/>
      <c r="X4756" s="234">
        <v>2022</v>
      </c>
      <c r="Y4756" s="234">
        <v>7</v>
      </c>
      <c r="Z4756" s="234">
        <v>18</v>
      </c>
      <c r="AA4756" s="235">
        <v>0.08333333333212067</v>
      </c>
      <c r="AB4756" s="236">
        <v>15.5</v>
      </c>
      <c r="AC4756" s="127">
        <f t="shared" si="89"/>
        <v>16</v>
      </c>
    </row>
    <row r="4757" ht="14.5" customHeight="1" spans="11:29" x14ac:dyDescent="0.25">
      <c r="K4757" s="128"/>
      <c r="X4757" s="234">
        <v>2022</v>
      </c>
      <c r="Y4757" s="234">
        <v>7</v>
      </c>
      <c r="Z4757" s="234">
        <v>18</v>
      </c>
      <c r="AA4757" s="235">
        <v>0.125</v>
      </c>
      <c r="AB4757" s="236">
        <v>16</v>
      </c>
      <c r="AC4757" s="127">
        <f t="shared" si="89"/>
        <v>16</v>
      </c>
    </row>
    <row r="4758" ht="14.5" customHeight="1" spans="11:29" x14ac:dyDescent="0.25">
      <c r="K4758" s="128"/>
      <c r="X4758" s="234">
        <v>2022</v>
      </c>
      <c r="Y4758" s="234">
        <v>7</v>
      </c>
      <c r="Z4758" s="234">
        <v>18</v>
      </c>
      <c r="AA4758" s="235">
        <v>0.16666666666787933</v>
      </c>
      <c r="AB4758" s="236">
        <v>15.8</v>
      </c>
      <c r="AC4758" s="127">
        <f t="shared" si="89"/>
        <v>16</v>
      </c>
    </row>
    <row r="4759" ht="14.5" customHeight="1" spans="11:29" x14ac:dyDescent="0.25">
      <c r="K4759" s="128"/>
      <c r="X4759" s="234">
        <v>2022</v>
      </c>
      <c r="Y4759" s="234">
        <v>7</v>
      </c>
      <c r="Z4759" s="234">
        <v>18</v>
      </c>
      <c r="AA4759" s="235">
        <v>0.20833333333212067</v>
      </c>
      <c r="AB4759" s="236">
        <v>15.4</v>
      </c>
      <c r="AC4759" s="127">
        <f t="shared" si="89"/>
        <v>15</v>
      </c>
    </row>
    <row r="4760" ht="14.5" customHeight="1" spans="11:29" x14ac:dyDescent="0.25">
      <c r="K4760" s="128"/>
      <c r="X4760" s="234">
        <v>2022</v>
      </c>
      <c r="Y4760" s="234">
        <v>7</v>
      </c>
      <c r="Z4760" s="234">
        <v>18</v>
      </c>
      <c r="AA4760" s="235">
        <v>0.25</v>
      </c>
      <c r="AB4760" s="236">
        <v>15.1</v>
      </c>
      <c r="AC4760" s="127">
        <f t="shared" si="89"/>
        <v>15</v>
      </c>
    </row>
    <row r="4761" ht="14.5" customHeight="1" spans="11:29" x14ac:dyDescent="0.25">
      <c r="K4761" s="128"/>
      <c r="X4761" s="234">
        <v>2022</v>
      </c>
      <c r="Y4761" s="234">
        <v>7</v>
      </c>
      <c r="Z4761" s="234">
        <v>18</v>
      </c>
      <c r="AA4761" s="235">
        <v>0.2916666666678793</v>
      </c>
      <c r="AB4761" s="236">
        <v>16.6</v>
      </c>
      <c r="AC4761" s="127">
        <f t="shared" si="89"/>
        <v>17</v>
      </c>
    </row>
    <row r="4762" ht="14.5" customHeight="1" spans="11:29" x14ac:dyDescent="0.25">
      <c r="K4762" s="128"/>
      <c r="X4762" s="234">
        <v>2022</v>
      </c>
      <c r="Y4762" s="234">
        <v>7</v>
      </c>
      <c r="Z4762" s="234">
        <v>18</v>
      </c>
      <c r="AA4762" s="235">
        <v>0.3333333333321207</v>
      </c>
      <c r="AB4762" s="236">
        <v>16.3</v>
      </c>
      <c r="AC4762" s="127">
        <f t="shared" si="89"/>
        <v>16</v>
      </c>
    </row>
    <row r="4763" ht="14.5" customHeight="1" spans="11:29" x14ac:dyDescent="0.25">
      <c r="K4763" s="128"/>
      <c r="X4763" s="234">
        <v>2022</v>
      </c>
      <c r="Y4763" s="234">
        <v>7</v>
      </c>
      <c r="Z4763" s="234">
        <v>18</v>
      </c>
      <c r="AA4763" s="235">
        <v>0.375</v>
      </c>
      <c r="AB4763" s="236">
        <v>16.1</v>
      </c>
      <c r="AC4763" s="127">
        <f t="shared" si="89"/>
        <v>16</v>
      </c>
    </row>
    <row r="4764" ht="14.5" customHeight="1" spans="11:29" x14ac:dyDescent="0.25">
      <c r="K4764" s="128"/>
      <c r="X4764" s="234">
        <v>2022</v>
      </c>
      <c r="Y4764" s="234">
        <v>7</v>
      </c>
      <c r="Z4764" s="234">
        <v>18</v>
      </c>
      <c r="AA4764" s="235">
        <v>0.4166666666678793</v>
      </c>
      <c r="AB4764" s="236">
        <v>14.8</v>
      </c>
      <c r="AC4764" s="127">
        <f t="shared" si="89"/>
        <v>15</v>
      </c>
    </row>
    <row r="4765" ht="14.5" customHeight="1" spans="11:29" x14ac:dyDescent="0.25">
      <c r="K4765" s="128"/>
      <c r="X4765" s="234">
        <v>2022</v>
      </c>
      <c r="Y4765" s="234">
        <v>7</v>
      </c>
      <c r="Z4765" s="234">
        <v>18</v>
      </c>
      <c r="AA4765" s="235">
        <v>0.4583333333321207</v>
      </c>
      <c r="AB4765" s="236">
        <v>12.9</v>
      </c>
      <c r="AC4765" s="127">
        <f t="shared" si="89"/>
        <v>13</v>
      </c>
    </row>
    <row r="4766" ht="14.5" customHeight="1" spans="11:29" x14ac:dyDescent="0.25">
      <c r="K4766" s="128"/>
      <c r="X4766" s="234">
        <v>2022</v>
      </c>
      <c r="Y4766" s="234">
        <v>7</v>
      </c>
      <c r="Z4766" s="234">
        <v>18</v>
      </c>
      <c r="AA4766" s="235">
        <v>0.5</v>
      </c>
      <c r="AB4766" s="236">
        <v>13.2</v>
      </c>
      <c r="AC4766" s="127">
        <f t="shared" si="89"/>
        <v>13</v>
      </c>
    </row>
    <row r="4767" ht="14.5" customHeight="1" spans="11:29" x14ac:dyDescent="0.25">
      <c r="K4767" s="128"/>
      <c r="X4767" s="234">
        <v>2022</v>
      </c>
      <c r="Y4767" s="234">
        <v>7</v>
      </c>
      <c r="Z4767" s="234">
        <v>18</v>
      </c>
      <c r="AA4767" s="235">
        <v>0.5416666666678793</v>
      </c>
      <c r="AB4767" s="236">
        <v>13.2</v>
      </c>
      <c r="AC4767" s="127">
        <f t="shared" si="89"/>
        <v>13</v>
      </c>
    </row>
    <row r="4768" ht="14.5" customHeight="1" spans="11:29" x14ac:dyDescent="0.25">
      <c r="K4768" s="128"/>
      <c r="X4768" s="234">
        <v>2022</v>
      </c>
      <c r="Y4768" s="234">
        <v>7</v>
      </c>
      <c r="Z4768" s="234">
        <v>18</v>
      </c>
      <c r="AA4768" s="235">
        <v>0.5833333333321207</v>
      </c>
      <c r="AB4768" s="236">
        <v>14.7</v>
      </c>
      <c r="AC4768" s="127">
        <f t="shared" si="89"/>
        <v>15</v>
      </c>
    </row>
    <row r="4769" ht="14.5" customHeight="1" spans="11:29" x14ac:dyDescent="0.25">
      <c r="K4769" s="128"/>
      <c r="X4769" s="234">
        <v>2022</v>
      </c>
      <c r="Y4769" s="234">
        <v>7</v>
      </c>
      <c r="Z4769" s="234">
        <v>18</v>
      </c>
      <c r="AA4769" s="235">
        <v>0.625</v>
      </c>
      <c r="AB4769" s="236">
        <v>15.4</v>
      </c>
      <c r="AC4769" s="127">
        <f t="shared" si="89"/>
        <v>15</v>
      </c>
    </row>
    <row r="4770" ht="14.5" customHeight="1" spans="11:29" x14ac:dyDescent="0.25">
      <c r="K4770" s="128"/>
      <c r="X4770" s="234">
        <v>2022</v>
      </c>
      <c r="Y4770" s="234">
        <v>7</v>
      </c>
      <c r="Z4770" s="234">
        <v>18</v>
      </c>
      <c r="AA4770" s="235">
        <v>0.6666666666678793</v>
      </c>
      <c r="AB4770" s="236">
        <v>16.7</v>
      </c>
      <c r="AC4770" s="127">
        <f t="shared" si="89"/>
        <v>17</v>
      </c>
    </row>
    <row r="4771" ht="14.5" customHeight="1" spans="11:29" x14ac:dyDescent="0.25">
      <c r="K4771" s="128"/>
      <c r="X4771" s="234">
        <v>2022</v>
      </c>
      <c r="Y4771" s="234">
        <v>7</v>
      </c>
      <c r="Z4771" s="234">
        <v>18</v>
      </c>
      <c r="AA4771" s="235">
        <v>0.7083333333321207</v>
      </c>
      <c r="AB4771" s="236">
        <v>17.8</v>
      </c>
      <c r="AC4771" s="127">
        <f t="shared" si="89"/>
        <v>18</v>
      </c>
    </row>
    <row r="4772" ht="14.5" customHeight="1" spans="11:29" x14ac:dyDescent="0.25">
      <c r="K4772" s="128"/>
      <c r="X4772" s="234">
        <v>2022</v>
      </c>
      <c r="Y4772" s="234">
        <v>7</v>
      </c>
      <c r="Z4772" s="234">
        <v>18</v>
      </c>
      <c r="AA4772" s="235">
        <v>0.75</v>
      </c>
      <c r="AB4772" s="236">
        <v>19.2</v>
      </c>
      <c r="AC4772" s="127">
        <f t="shared" si="89"/>
        <v>19</v>
      </c>
    </row>
    <row r="4773" ht="14.5" customHeight="1" spans="11:29" x14ac:dyDescent="0.25">
      <c r="K4773" s="128"/>
      <c r="X4773" s="234">
        <v>2022</v>
      </c>
      <c r="Y4773" s="234">
        <v>7</v>
      </c>
      <c r="Z4773" s="234">
        <v>18</v>
      </c>
      <c r="AA4773" s="235">
        <v>0.7916666666678793</v>
      </c>
      <c r="AB4773" s="236">
        <v>18.7</v>
      </c>
      <c r="AC4773" s="127">
        <f t="shared" si="89"/>
        <v>19</v>
      </c>
    </row>
    <row r="4774" ht="14.5" customHeight="1" spans="11:29" x14ac:dyDescent="0.25">
      <c r="K4774" s="128"/>
      <c r="X4774" s="234">
        <v>2022</v>
      </c>
      <c r="Y4774" s="234">
        <v>7</v>
      </c>
      <c r="Z4774" s="234">
        <v>18</v>
      </c>
      <c r="AA4774" s="235">
        <v>0.8333333333321207</v>
      </c>
      <c r="AB4774" s="236">
        <v>17.8</v>
      </c>
      <c r="AC4774" s="127">
        <f t="shared" si="89"/>
        <v>18</v>
      </c>
    </row>
    <row r="4775" ht="14.5" customHeight="1" spans="11:29" x14ac:dyDescent="0.25">
      <c r="K4775" s="128"/>
      <c r="X4775" s="234">
        <v>2022</v>
      </c>
      <c r="Y4775" s="234">
        <v>7</v>
      </c>
      <c r="Z4775" s="234">
        <v>18</v>
      </c>
      <c r="AA4775" s="235">
        <v>0.875</v>
      </c>
      <c r="AB4775" s="236">
        <v>16.1</v>
      </c>
      <c r="AC4775" s="127">
        <f t="shared" si="89"/>
        <v>16</v>
      </c>
    </row>
    <row r="4776" ht="14.5" customHeight="1" spans="11:29" x14ac:dyDescent="0.25">
      <c r="K4776" s="128"/>
      <c r="X4776" s="234">
        <v>2022</v>
      </c>
      <c r="Y4776" s="234">
        <v>7</v>
      </c>
      <c r="Z4776" s="234">
        <v>18</v>
      </c>
      <c r="AA4776" s="235">
        <v>0.9166666666678793</v>
      </c>
      <c r="AB4776" s="236">
        <v>14.9</v>
      </c>
      <c r="AC4776" s="127">
        <f t="shared" si="89"/>
        <v>15</v>
      </c>
    </row>
    <row r="4777" ht="14.5" customHeight="1" spans="11:29" x14ac:dyDescent="0.25">
      <c r="K4777" s="128"/>
      <c r="X4777" s="234">
        <v>2022</v>
      </c>
      <c r="Y4777" s="234">
        <v>7</v>
      </c>
      <c r="Z4777" s="234">
        <v>18</v>
      </c>
      <c r="AA4777" s="235">
        <v>0.9583333333321207</v>
      </c>
      <c r="AB4777" s="236">
        <v>13.9</v>
      </c>
      <c r="AC4777" s="127">
        <f t="shared" si="89"/>
        <v>14</v>
      </c>
    </row>
    <row r="4778" ht="14.5" customHeight="1" spans="11:29" x14ac:dyDescent="0.25">
      <c r="K4778" s="128"/>
      <c r="X4778" s="234">
        <v>2022</v>
      </c>
      <c r="Y4778" s="234">
        <v>7</v>
      </c>
      <c r="Z4778" s="234">
        <v>19</v>
      </c>
      <c r="AA4778" s="235">
        <v>0</v>
      </c>
      <c r="AB4778" s="236">
        <v>13.8</v>
      </c>
      <c r="AC4778" s="127">
        <f t="shared" si="89"/>
        <v>14</v>
      </c>
    </row>
    <row r="4779" ht="14.5" customHeight="1" spans="11:29" x14ac:dyDescent="0.25">
      <c r="K4779" s="128"/>
      <c r="X4779" s="234">
        <v>2022</v>
      </c>
      <c r="Y4779" s="234">
        <v>7</v>
      </c>
      <c r="Z4779" s="234">
        <v>19</v>
      </c>
      <c r="AA4779" s="235">
        <v>0.041666666667879326</v>
      </c>
      <c r="AB4779" s="236">
        <v>16.3</v>
      </c>
      <c r="AC4779" s="127">
        <f t="shared" si="89"/>
        <v>16</v>
      </c>
    </row>
    <row r="4780" ht="14.5" customHeight="1" spans="11:29" x14ac:dyDescent="0.25">
      <c r="K4780" s="128"/>
      <c r="X4780" s="234">
        <v>2022</v>
      </c>
      <c r="Y4780" s="234">
        <v>7</v>
      </c>
      <c r="Z4780" s="234">
        <v>19</v>
      </c>
      <c r="AA4780" s="235">
        <v>0.08333333333212067</v>
      </c>
      <c r="AB4780" s="236">
        <v>16.4</v>
      </c>
      <c r="AC4780" s="127">
        <f t="shared" si="89"/>
        <v>16</v>
      </c>
    </row>
    <row r="4781" ht="14.5" customHeight="1" spans="11:29" x14ac:dyDescent="0.25">
      <c r="K4781" s="128"/>
      <c r="X4781" s="234">
        <v>2022</v>
      </c>
      <c r="Y4781" s="234">
        <v>7</v>
      </c>
      <c r="Z4781" s="234">
        <v>19</v>
      </c>
      <c r="AA4781" s="235">
        <v>0.125</v>
      </c>
      <c r="AB4781" s="236">
        <v>17.6</v>
      </c>
      <c r="AC4781" s="127">
        <f t="shared" si="89"/>
        <v>18</v>
      </c>
    </row>
    <row r="4782" ht="14.5" customHeight="1" spans="11:29" x14ac:dyDescent="0.25">
      <c r="K4782" s="128"/>
      <c r="X4782" s="234">
        <v>2022</v>
      </c>
      <c r="Y4782" s="234">
        <v>7</v>
      </c>
      <c r="Z4782" s="234">
        <v>19</v>
      </c>
      <c r="AA4782" s="235">
        <v>0.16666666666787933</v>
      </c>
      <c r="AB4782" s="236">
        <v>15.6</v>
      </c>
      <c r="AC4782" s="127">
        <f t="shared" si="89"/>
        <v>16</v>
      </c>
    </row>
    <row r="4783" ht="14.5" customHeight="1" spans="11:29" x14ac:dyDescent="0.25">
      <c r="K4783" s="128"/>
      <c r="X4783" s="234">
        <v>2022</v>
      </c>
      <c r="Y4783" s="234">
        <v>7</v>
      </c>
      <c r="Z4783" s="234">
        <v>19</v>
      </c>
      <c r="AA4783" s="235">
        <v>0.20833333333212067</v>
      </c>
      <c r="AB4783" s="236">
        <v>15.3</v>
      </c>
      <c r="AC4783" s="127">
        <f t="shared" si="89"/>
        <v>15</v>
      </c>
    </row>
    <row r="4784" ht="14.5" customHeight="1" spans="11:29" x14ac:dyDescent="0.25">
      <c r="K4784" s="128"/>
      <c r="X4784" s="234">
        <v>2022</v>
      </c>
      <c r="Y4784" s="234">
        <v>7</v>
      </c>
      <c r="Z4784" s="234">
        <v>19</v>
      </c>
      <c r="AA4784" s="235">
        <v>0.25</v>
      </c>
      <c r="AB4784" s="236">
        <v>16.6</v>
      </c>
      <c r="AC4784" s="127">
        <f t="shared" si="89"/>
        <v>17</v>
      </c>
    </row>
    <row r="4785" ht="14.5" customHeight="1" spans="11:29" x14ac:dyDescent="0.25">
      <c r="K4785" s="128"/>
      <c r="X4785" s="234">
        <v>2022</v>
      </c>
      <c r="Y4785" s="234">
        <v>7</v>
      </c>
      <c r="Z4785" s="234">
        <v>19</v>
      </c>
      <c r="AA4785" s="235">
        <v>0.2916666666678793</v>
      </c>
      <c r="AB4785" s="236">
        <v>19</v>
      </c>
      <c r="AC4785" s="127">
        <f t="shared" si="89"/>
        <v>19</v>
      </c>
    </row>
    <row r="4786" ht="14.5" customHeight="1" spans="11:29" x14ac:dyDescent="0.25">
      <c r="K4786" s="128"/>
      <c r="X4786" s="234">
        <v>2022</v>
      </c>
      <c r="Y4786" s="234">
        <v>7</v>
      </c>
      <c r="Z4786" s="234">
        <v>19</v>
      </c>
      <c r="AA4786" s="235">
        <v>0.3333333333321207</v>
      </c>
      <c r="AB4786" s="236">
        <v>20.4</v>
      </c>
      <c r="AC4786" s="127">
        <f t="shared" si="89"/>
        <v>20</v>
      </c>
    </row>
    <row r="4787" ht="14.5" customHeight="1" spans="11:29" x14ac:dyDescent="0.25">
      <c r="K4787" s="128"/>
      <c r="X4787" s="234">
        <v>2022</v>
      </c>
      <c r="Y4787" s="234">
        <v>7</v>
      </c>
      <c r="Z4787" s="234">
        <v>19</v>
      </c>
      <c r="AA4787" s="235">
        <v>0.375</v>
      </c>
      <c r="AB4787" s="236">
        <v>22.1</v>
      </c>
      <c r="AC4787" s="127">
        <f t="shared" si="89"/>
        <v>22</v>
      </c>
    </row>
    <row r="4788" ht="14.5" customHeight="1" spans="11:29" x14ac:dyDescent="0.25">
      <c r="K4788" s="128"/>
      <c r="X4788" s="234">
        <v>2022</v>
      </c>
      <c r="Y4788" s="234">
        <v>7</v>
      </c>
      <c r="Z4788" s="234">
        <v>19</v>
      </c>
      <c r="AA4788" s="235">
        <v>0.4166666666678793</v>
      </c>
      <c r="AB4788" s="236">
        <v>24.1</v>
      </c>
      <c r="AC4788" s="127">
        <f t="shared" si="89"/>
        <v>24</v>
      </c>
    </row>
    <row r="4789" ht="14.5" customHeight="1" spans="11:29" x14ac:dyDescent="0.25">
      <c r="K4789" s="128"/>
      <c r="X4789" s="234">
        <v>2022</v>
      </c>
      <c r="Y4789" s="234">
        <v>7</v>
      </c>
      <c r="Z4789" s="234">
        <v>19</v>
      </c>
      <c r="AA4789" s="235">
        <v>0.4583333333321207</v>
      </c>
      <c r="AB4789" s="236">
        <v>25.3</v>
      </c>
      <c r="AC4789" s="127">
        <f t="shared" si="89"/>
        <v>25</v>
      </c>
    </row>
    <row r="4790" ht="14.5" customHeight="1" spans="11:29" x14ac:dyDescent="0.25">
      <c r="K4790" s="128"/>
      <c r="X4790" s="234">
        <v>2022</v>
      </c>
      <c r="Y4790" s="234">
        <v>7</v>
      </c>
      <c r="Z4790" s="234">
        <v>19</v>
      </c>
      <c r="AA4790" s="235">
        <v>0.5</v>
      </c>
      <c r="AB4790" s="236">
        <v>25.8</v>
      </c>
      <c r="AC4790" s="127">
        <f t="shared" si="89"/>
        <v>26</v>
      </c>
    </row>
    <row r="4791" ht="14.5" customHeight="1" spans="11:29" x14ac:dyDescent="0.25">
      <c r="K4791" s="128"/>
      <c r="X4791" s="234">
        <v>2022</v>
      </c>
      <c r="Y4791" s="234">
        <v>7</v>
      </c>
      <c r="Z4791" s="234">
        <v>19</v>
      </c>
      <c r="AA4791" s="235">
        <v>0.5416666666678793</v>
      </c>
      <c r="AB4791" s="236">
        <v>26.7</v>
      </c>
      <c r="AC4791" s="127">
        <f t="shared" si="89"/>
        <v>27</v>
      </c>
    </row>
    <row r="4792" ht="14.5" customHeight="1" spans="11:29" x14ac:dyDescent="0.25">
      <c r="K4792" s="128"/>
      <c r="X4792" s="234">
        <v>2022</v>
      </c>
      <c r="Y4792" s="234">
        <v>7</v>
      </c>
      <c r="Z4792" s="234">
        <v>19</v>
      </c>
      <c r="AA4792" s="235">
        <v>0.5833333333321207</v>
      </c>
      <c r="AB4792" s="236">
        <v>27.3</v>
      </c>
      <c r="AC4792" s="127">
        <f t="shared" si="89"/>
        <v>27</v>
      </c>
    </row>
    <row r="4793" ht="14.5" customHeight="1" spans="11:29" x14ac:dyDescent="0.25">
      <c r="K4793" s="128"/>
      <c r="X4793" s="234">
        <v>2022</v>
      </c>
      <c r="Y4793" s="234">
        <v>7</v>
      </c>
      <c r="Z4793" s="234">
        <v>19</v>
      </c>
      <c r="AA4793" s="235">
        <v>0.625</v>
      </c>
      <c r="AB4793" s="236">
        <v>27.9</v>
      </c>
      <c r="AC4793" s="127">
        <f t="shared" si="89"/>
        <v>28</v>
      </c>
    </row>
    <row r="4794" ht="14.5" customHeight="1" spans="11:29" x14ac:dyDescent="0.25">
      <c r="K4794" s="128"/>
      <c r="X4794" s="234">
        <v>2022</v>
      </c>
      <c r="Y4794" s="234">
        <v>7</v>
      </c>
      <c r="Z4794" s="234">
        <v>19</v>
      </c>
      <c r="AA4794" s="235">
        <v>0.6666666666678793</v>
      </c>
      <c r="AB4794" s="236">
        <v>27.8</v>
      </c>
      <c r="AC4794" s="127">
        <f t="shared" si="89"/>
        <v>28</v>
      </c>
    </row>
    <row r="4795" ht="14.5" customHeight="1" spans="11:29" x14ac:dyDescent="0.25">
      <c r="K4795" s="128"/>
      <c r="X4795" s="234">
        <v>2022</v>
      </c>
      <c r="Y4795" s="234">
        <v>7</v>
      </c>
      <c r="Z4795" s="234">
        <v>19</v>
      </c>
      <c r="AA4795" s="235">
        <v>0.7083333333321207</v>
      </c>
      <c r="AB4795" s="236">
        <v>27.7</v>
      </c>
      <c r="AC4795" s="127">
        <f t="shared" si="89"/>
        <v>28</v>
      </c>
    </row>
    <row r="4796" ht="14.5" customHeight="1" spans="11:29" x14ac:dyDescent="0.25">
      <c r="K4796" s="128"/>
      <c r="X4796" s="234">
        <v>2022</v>
      </c>
      <c r="Y4796" s="234">
        <v>7</v>
      </c>
      <c r="Z4796" s="234">
        <v>19</v>
      </c>
      <c r="AA4796" s="235">
        <v>0.75</v>
      </c>
      <c r="AB4796" s="236">
        <v>27.3</v>
      </c>
      <c r="AC4796" s="127">
        <f t="shared" si="89"/>
        <v>27</v>
      </c>
    </row>
    <row r="4797" ht="14.5" customHeight="1" spans="11:29" x14ac:dyDescent="0.25">
      <c r="K4797" s="128"/>
      <c r="X4797" s="234">
        <v>2022</v>
      </c>
      <c r="Y4797" s="234">
        <v>7</v>
      </c>
      <c r="Z4797" s="234">
        <v>19</v>
      </c>
      <c r="AA4797" s="235">
        <v>0.7916666666678793</v>
      </c>
      <c r="AB4797" s="236">
        <v>26.4</v>
      </c>
      <c r="AC4797" s="127">
        <f t="shared" si="89"/>
        <v>26</v>
      </c>
    </row>
    <row r="4798" ht="14.5" customHeight="1" spans="11:29" x14ac:dyDescent="0.25">
      <c r="K4798" s="128"/>
      <c r="X4798" s="234">
        <v>2022</v>
      </c>
      <c r="Y4798" s="234">
        <v>7</v>
      </c>
      <c r="Z4798" s="234">
        <v>19</v>
      </c>
      <c r="AA4798" s="235">
        <v>0.8333333333321207</v>
      </c>
      <c r="AB4798" s="236">
        <v>23.1</v>
      </c>
      <c r="AC4798" s="127">
        <f t="shared" si="89"/>
        <v>23</v>
      </c>
    </row>
    <row r="4799" ht="14.5" customHeight="1" spans="11:29" x14ac:dyDescent="0.25">
      <c r="K4799" s="128"/>
      <c r="X4799" s="234">
        <v>2022</v>
      </c>
      <c r="Y4799" s="234">
        <v>7</v>
      </c>
      <c r="Z4799" s="234">
        <v>19</v>
      </c>
      <c r="AA4799" s="235">
        <v>0.875</v>
      </c>
      <c r="AB4799" s="236">
        <v>18.7</v>
      </c>
      <c r="AC4799" s="127">
        <f t="shared" si="89"/>
        <v>19</v>
      </c>
    </row>
    <row r="4800" ht="14.5" customHeight="1" spans="11:29" x14ac:dyDescent="0.25">
      <c r="K4800" s="128"/>
      <c r="X4800" s="234">
        <v>2022</v>
      </c>
      <c r="Y4800" s="234">
        <v>7</v>
      </c>
      <c r="Z4800" s="234">
        <v>19</v>
      </c>
      <c r="AA4800" s="235">
        <v>0.9166666666678793</v>
      </c>
      <c r="AB4800" s="236">
        <v>15.7</v>
      </c>
      <c r="AC4800" s="127">
        <f t="shared" si="89"/>
        <v>16</v>
      </c>
    </row>
    <row r="4801" ht="14.5" customHeight="1" spans="11:29" x14ac:dyDescent="0.25">
      <c r="K4801" s="128"/>
      <c r="X4801" s="234">
        <v>2022</v>
      </c>
      <c r="Y4801" s="234">
        <v>7</v>
      </c>
      <c r="Z4801" s="234">
        <v>19</v>
      </c>
      <c r="AA4801" s="235">
        <v>0.9583333333321207</v>
      </c>
      <c r="AB4801" s="236">
        <v>13.7</v>
      </c>
      <c r="AC4801" s="127">
        <f t="shared" si="89"/>
        <v>14</v>
      </c>
    </row>
    <row r="4802" ht="14.5" customHeight="1" spans="11:29" x14ac:dyDescent="0.25">
      <c r="K4802" s="128"/>
      <c r="X4802" s="234">
        <v>2022</v>
      </c>
      <c r="Y4802" s="234">
        <v>7</v>
      </c>
      <c r="Z4802" s="234">
        <v>20</v>
      </c>
      <c r="AA4802" s="235">
        <v>0</v>
      </c>
      <c r="AB4802" s="236">
        <v>13.5</v>
      </c>
      <c r="AC4802" s="127">
        <f t="shared" si="89"/>
        <v>14</v>
      </c>
    </row>
    <row r="4803" ht="14.5" customHeight="1" spans="11:29" x14ac:dyDescent="0.25">
      <c r="K4803" s="128"/>
      <c r="X4803" s="234">
        <v>2022</v>
      </c>
      <c r="Y4803" s="234">
        <v>7</v>
      </c>
      <c r="Z4803" s="234">
        <v>20</v>
      </c>
      <c r="AA4803" s="235">
        <v>0.041666666667879326</v>
      </c>
      <c r="AB4803" s="236">
        <v>12.9</v>
      </c>
      <c r="AC4803" s="127">
        <f t="shared" si="89"/>
        <v>13</v>
      </c>
    </row>
    <row r="4804" ht="14.5" customHeight="1" spans="11:29" x14ac:dyDescent="0.25">
      <c r="K4804" s="128"/>
      <c r="X4804" s="234">
        <v>2022</v>
      </c>
      <c r="Y4804" s="234">
        <v>7</v>
      </c>
      <c r="Z4804" s="234">
        <v>20</v>
      </c>
      <c r="AA4804" s="235">
        <v>0.08333333333212067</v>
      </c>
      <c r="AB4804" s="236">
        <v>12.5</v>
      </c>
      <c r="AC4804" s="127">
        <f t="shared" si="89"/>
        <v>13</v>
      </c>
    </row>
    <row r="4805" ht="14.5" customHeight="1" spans="11:29" x14ac:dyDescent="0.25">
      <c r="K4805" s="128"/>
      <c r="X4805" s="234">
        <v>2022</v>
      </c>
      <c r="Y4805" s="234">
        <v>7</v>
      </c>
      <c r="Z4805" s="234">
        <v>20</v>
      </c>
      <c r="AA4805" s="235">
        <v>0.125</v>
      </c>
      <c r="AB4805" s="236">
        <v>10.5</v>
      </c>
      <c r="AC4805" s="127">
        <f t="shared" si="89"/>
        <v>11</v>
      </c>
    </row>
    <row r="4806" ht="14.5" customHeight="1" spans="11:29" x14ac:dyDescent="0.25">
      <c r="K4806" s="128"/>
      <c r="X4806" s="234">
        <v>2022</v>
      </c>
      <c r="Y4806" s="234">
        <v>7</v>
      </c>
      <c r="Z4806" s="234">
        <v>20</v>
      </c>
      <c r="AA4806" s="235">
        <v>0.16666666666787933</v>
      </c>
      <c r="AB4806" s="236">
        <v>10.1</v>
      </c>
      <c r="AC4806" s="127">
        <f t="shared" si="89"/>
        <v>10</v>
      </c>
    </row>
    <row r="4807" ht="14.5" customHeight="1" spans="11:29" x14ac:dyDescent="0.25">
      <c r="K4807" s="128"/>
      <c r="X4807" s="234">
        <v>2022</v>
      </c>
      <c r="Y4807" s="234">
        <v>7</v>
      </c>
      <c r="Z4807" s="234">
        <v>20</v>
      </c>
      <c r="AA4807" s="235">
        <v>0.20833333333212067</v>
      </c>
      <c r="AB4807" s="236">
        <v>9.7</v>
      </c>
      <c r="AC4807" s="127">
        <f t="shared" si="89"/>
        <v>10</v>
      </c>
    </row>
    <row r="4808" ht="14.5" customHeight="1" spans="11:29" x14ac:dyDescent="0.25">
      <c r="K4808" s="128"/>
      <c r="X4808" s="234">
        <v>2022</v>
      </c>
      <c r="Y4808" s="234">
        <v>7</v>
      </c>
      <c r="Z4808" s="234">
        <v>20</v>
      </c>
      <c r="AA4808" s="235">
        <v>0.25</v>
      </c>
      <c r="AB4808" s="236">
        <v>11.9</v>
      </c>
      <c r="AC4808" s="127">
        <f t="shared" si="89"/>
        <v>12</v>
      </c>
    </row>
    <row r="4809" ht="14.5" customHeight="1" spans="11:29" x14ac:dyDescent="0.25">
      <c r="K4809" s="128"/>
      <c r="X4809" s="234">
        <v>2022</v>
      </c>
      <c r="Y4809" s="234">
        <v>7</v>
      </c>
      <c r="Z4809" s="234">
        <v>20</v>
      </c>
      <c r="AA4809" s="235">
        <v>0.2916666666678793</v>
      </c>
      <c r="AB4809" s="236">
        <v>14.9</v>
      </c>
      <c r="AC4809" s="127">
        <f t="shared" si="89"/>
        <v>15</v>
      </c>
    </row>
    <row r="4810" ht="14.5" customHeight="1" spans="11:29" x14ac:dyDescent="0.25">
      <c r="K4810" s="128"/>
      <c r="X4810" s="234">
        <v>2022</v>
      </c>
      <c r="Y4810" s="234">
        <v>7</v>
      </c>
      <c r="Z4810" s="234">
        <v>20</v>
      </c>
      <c r="AA4810" s="235">
        <v>0.3333333333321207</v>
      </c>
      <c r="AB4810" s="236">
        <v>17.3</v>
      </c>
      <c r="AC4810" s="127">
        <f t="shared" si="89"/>
        <v>17</v>
      </c>
    </row>
    <row r="4811" ht="14.5" customHeight="1" spans="11:29" x14ac:dyDescent="0.25">
      <c r="K4811" s="128"/>
      <c r="X4811" s="234">
        <v>2022</v>
      </c>
      <c r="Y4811" s="234">
        <v>7</v>
      </c>
      <c r="Z4811" s="234">
        <v>20</v>
      </c>
      <c r="AA4811" s="235">
        <v>0.375</v>
      </c>
      <c r="AB4811" s="236">
        <v>18.1</v>
      </c>
      <c r="AC4811" s="127">
        <f t="shared" ref="AC4811:AC4874" si="90">ROUND(AB4811,0)</f>
        <v>18</v>
      </c>
    </row>
    <row r="4812" ht="14.5" customHeight="1" spans="11:29" x14ac:dyDescent="0.25">
      <c r="K4812" s="128"/>
      <c r="X4812" s="234">
        <v>2022</v>
      </c>
      <c r="Y4812" s="234">
        <v>7</v>
      </c>
      <c r="Z4812" s="234">
        <v>20</v>
      </c>
      <c r="AA4812" s="235">
        <v>0.4166666666678793</v>
      </c>
      <c r="AB4812" s="236">
        <v>19.1</v>
      </c>
      <c r="AC4812" s="127">
        <f t="shared" si="90"/>
        <v>19</v>
      </c>
    </row>
    <row r="4813" ht="14.5" customHeight="1" spans="11:29" x14ac:dyDescent="0.25">
      <c r="K4813" s="128"/>
      <c r="X4813" s="234">
        <v>2022</v>
      </c>
      <c r="Y4813" s="234">
        <v>7</v>
      </c>
      <c r="Z4813" s="234">
        <v>20</v>
      </c>
      <c r="AA4813" s="235">
        <v>0.4583333333321207</v>
      </c>
      <c r="AB4813" s="236">
        <v>20.6</v>
      </c>
      <c r="AC4813" s="127">
        <f t="shared" si="90"/>
        <v>21</v>
      </c>
    </row>
    <row r="4814" ht="14.5" customHeight="1" spans="11:29" x14ac:dyDescent="0.25">
      <c r="K4814" s="128"/>
      <c r="X4814" s="234">
        <v>2022</v>
      </c>
      <c r="Y4814" s="234">
        <v>7</v>
      </c>
      <c r="Z4814" s="234">
        <v>20</v>
      </c>
      <c r="AA4814" s="235">
        <v>0.5</v>
      </c>
      <c r="AB4814" s="236">
        <v>21.5</v>
      </c>
      <c r="AC4814" s="127">
        <f t="shared" si="90"/>
        <v>22</v>
      </c>
    </row>
    <row r="4815" ht="14.5" customHeight="1" spans="11:29" x14ac:dyDescent="0.25">
      <c r="K4815" s="128"/>
      <c r="X4815" s="234">
        <v>2022</v>
      </c>
      <c r="Y4815" s="234">
        <v>7</v>
      </c>
      <c r="Z4815" s="234">
        <v>20</v>
      </c>
      <c r="AA4815" s="235">
        <v>0.5416666666678793</v>
      </c>
      <c r="AB4815" s="236">
        <v>23</v>
      </c>
      <c r="AC4815" s="127">
        <f t="shared" si="90"/>
        <v>23</v>
      </c>
    </row>
    <row r="4816" ht="14.5" customHeight="1" spans="11:29" x14ac:dyDescent="0.25">
      <c r="K4816" s="128"/>
      <c r="X4816" s="234">
        <v>2022</v>
      </c>
      <c r="Y4816" s="234">
        <v>7</v>
      </c>
      <c r="Z4816" s="234">
        <v>20</v>
      </c>
      <c r="AA4816" s="235">
        <v>0.5833333333321207</v>
      </c>
      <c r="AB4816" s="236">
        <v>24.1</v>
      </c>
      <c r="AC4816" s="127">
        <f t="shared" si="90"/>
        <v>24</v>
      </c>
    </row>
    <row r="4817" ht="14.5" customHeight="1" spans="11:29" x14ac:dyDescent="0.25">
      <c r="K4817" s="128"/>
      <c r="X4817" s="234">
        <v>2022</v>
      </c>
      <c r="Y4817" s="234">
        <v>7</v>
      </c>
      <c r="Z4817" s="234">
        <v>20</v>
      </c>
      <c r="AA4817" s="235">
        <v>0.625</v>
      </c>
      <c r="AB4817" s="236">
        <v>24.3</v>
      </c>
      <c r="AC4817" s="127">
        <f t="shared" si="90"/>
        <v>24</v>
      </c>
    </row>
    <row r="4818" ht="14.5" customHeight="1" spans="11:29" x14ac:dyDescent="0.25">
      <c r="K4818" s="128"/>
      <c r="X4818" s="234">
        <v>2022</v>
      </c>
      <c r="Y4818" s="234">
        <v>7</v>
      </c>
      <c r="Z4818" s="234">
        <v>20</v>
      </c>
      <c r="AA4818" s="235">
        <v>0.6666666666678793</v>
      </c>
      <c r="AB4818" s="236">
        <v>24.3</v>
      </c>
      <c r="AC4818" s="127">
        <f t="shared" si="90"/>
        <v>24</v>
      </c>
    </row>
    <row r="4819" ht="14.5" customHeight="1" spans="11:29" x14ac:dyDescent="0.25">
      <c r="K4819" s="128"/>
      <c r="X4819" s="234">
        <v>2022</v>
      </c>
      <c r="Y4819" s="234">
        <v>7</v>
      </c>
      <c r="Z4819" s="234">
        <v>20</v>
      </c>
      <c r="AA4819" s="235">
        <v>0.7083333333321207</v>
      </c>
      <c r="AB4819" s="236">
        <v>24.5</v>
      </c>
      <c r="AC4819" s="127">
        <f t="shared" si="90"/>
        <v>25</v>
      </c>
    </row>
    <row r="4820" ht="14.5" customHeight="1" spans="11:29" x14ac:dyDescent="0.25">
      <c r="K4820" s="128"/>
      <c r="X4820" s="234">
        <v>2022</v>
      </c>
      <c r="Y4820" s="234">
        <v>7</v>
      </c>
      <c r="Z4820" s="234">
        <v>20</v>
      </c>
      <c r="AA4820" s="235">
        <v>0.75</v>
      </c>
      <c r="AB4820" s="236">
        <v>23.8</v>
      </c>
      <c r="AC4820" s="127">
        <f t="shared" si="90"/>
        <v>24</v>
      </c>
    </row>
    <row r="4821" ht="14.5" customHeight="1" spans="11:29" x14ac:dyDescent="0.25">
      <c r="K4821" s="128"/>
      <c r="X4821" s="234">
        <v>2022</v>
      </c>
      <c r="Y4821" s="234">
        <v>7</v>
      </c>
      <c r="Z4821" s="234">
        <v>20</v>
      </c>
      <c r="AA4821" s="235">
        <v>0.7916666666678793</v>
      </c>
      <c r="AB4821" s="236">
        <v>23.2</v>
      </c>
      <c r="AC4821" s="127">
        <f t="shared" si="90"/>
        <v>23</v>
      </c>
    </row>
    <row r="4822" ht="14.5" customHeight="1" spans="11:29" x14ac:dyDescent="0.25">
      <c r="K4822" s="128"/>
      <c r="X4822" s="234">
        <v>2022</v>
      </c>
      <c r="Y4822" s="234">
        <v>7</v>
      </c>
      <c r="Z4822" s="234">
        <v>20</v>
      </c>
      <c r="AA4822" s="235">
        <v>0.8333333333321207</v>
      </c>
      <c r="AB4822" s="236">
        <v>21.4</v>
      </c>
      <c r="AC4822" s="127">
        <f t="shared" si="90"/>
        <v>21</v>
      </c>
    </row>
    <row r="4823" ht="14.5" customHeight="1" spans="11:29" x14ac:dyDescent="0.25">
      <c r="K4823" s="128"/>
      <c r="X4823" s="234">
        <v>2022</v>
      </c>
      <c r="Y4823" s="234">
        <v>7</v>
      </c>
      <c r="Z4823" s="234">
        <v>20</v>
      </c>
      <c r="AA4823" s="235">
        <v>0.875</v>
      </c>
      <c r="AB4823" s="236">
        <v>18.9</v>
      </c>
      <c r="AC4823" s="127">
        <f t="shared" si="90"/>
        <v>19</v>
      </c>
    </row>
    <row r="4824" ht="14.5" customHeight="1" spans="11:29" x14ac:dyDescent="0.25">
      <c r="K4824" s="128"/>
      <c r="X4824" s="234">
        <v>2022</v>
      </c>
      <c r="Y4824" s="234">
        <v>7</v>
      </c>
      <c r="Z4824" s="234">
        <v>20</v>
      </c>
      <c r="AA4824" s="235">
        <v>0.9166666666678793</v>
      </c>
      <c r="AB4824" s="236">
        <v>17.8</v>
      </c>
      <c r="AC4824" s="127">
        <f t="shared" si="90"/>
        <v>18</v>
      </c>
    </row>
    <row r="4825" ht="14.5" customHeight="1" spans="11:29" x14ac:dyDescent="0.25">
      <c r="K4825" s="128"/>
      <c r="X4825" s="234">
        <v>2022</v>
      </c>
      <c r="Y4825" s="234">
        <v>7</v>
      </c>
      <c r="Z4825" s="234">
        <v>20</v>
      </c>
      <c r="AA4825" s="235">
        <v>0.9583333333321207</v>
      </c>
      <c r="AB4825" s="236">
        <v>16.1</v>
      </c>
      <c r="AC4825" s="127">
        <f t="shared" si="90"/>
        <v>16</v>
      </c>
    </row>
    <row r="4826" ht="14.5" customHeight="1" spans="11:29" x14ac:dyDescent="0.25">
      <c r="K4826" s="128"/>
      <c r="X4826" s="234">
        <v>2022</v>
      </c>
      <c r="Y4826" s="234">
        <v>7</v>
      </c>
      <c r="Z4826" s="234">
        <v>21</v>
      </c>
      <c r="AA4826" s="235">
        <v>0</v>
      </c>
      <c r="AB4826" s="236">
        <v>16</v>
      </c>
      <c r="AC4826" s="127">
        <f t="shared" si="90"/>
        <v>16</v>
      </c>
    </row>
    <row r="4827" ht="14.5" customHeight="1" spans="11:29" x14ac:dyDescent="0.25">
      <c r="K4827" s="128"/>
      <c r="X4827" s="234">
        <v>2022</v>
      </c>
      <c r="Y4827" s="234">
        <v>7</v>
      </c>
      <c r="Z4827" s="234">
        <v>21</v>
      </c>
      <c r="AA4827" s="235">
        <v>0.041666666667879326</v>
      </c>
      <c r="AB4827" s="236">
        <v>13.4</v>
      </c>
      <c r="AC4827" s="127">
        <f t="shared" si="90"/>
        <v>13</v>
      </c>
    </row>
    <row r="4828" ht="14.5" customHeight="1" spans="11:29" x14ac:dyDescent="0.25">
      <c r="K4828" s="128"/>
      <c r="X4828" s="234">
        <v>2022</v>
      </c>
      <c r="Y4828" s="234">
        <v>7</v>
      </c>
      <c r="Z4828" s="234">
        <v>21</v>
      </c>
      <c r="AA4828" s="235">
        <v>0.08333333333212067</v>
      </c>
      <c r="AB4828" s="236">
        <v>12.8</v>
      </c>
      <c r="AC4828" s="127">
        <f t="shared" si="90"/>
        <v>13</v>
      </c>
    </row>
    <row r="4829" ht="14.5" customHeight="1" spans="11:29" x14ac:dyDescent="0.25">
      <c r="K4829" s="128"/>
      <c r="X4829" s="234">
        <v>2022</v>
      </c>
      <c r="Y4829" s="234">
        <v>7</v>
      </c>
      <c r="Z4829" s="234">
        <v>21</v>
      </c>
      <c r="AA4829" s="235">
        <v>0.125</v>
      </c>
      <c r="AB4829" s="236">
        <v>11.9</v>
      </c>
      <c r="AC4829" s="127">
        <f t="shared" si="90"/>
        <v>12</v>
      </c>
    </row>
    <row r="4830" ht="14.5" customHeight="1" spans="11:29" x14ac:dyDescent="0.25">
      <c r="K4830" s="128"/>
      <c r="X4830" s="234">
        <v>2022</v>
      </c>
      <c r="Y4830" s="234">
        <v>7</v>
      </c>
      <c r="Z4830" s="234">
        <v>21</v>
      </c>
      <c r="AA4830" s="235">
        <v>0.16666666666787933</v>
      </c>
      <c r="AB4830" s="236">
        <v>11.7</v>
      </c>
      <c r="AC4830" s="127">
        <f t="shared" si="90"/>
        <v>12</v>
      </c>
    </row>
    <row r="4831" ht="14.5" customHeight="1" spans="11:29" x14ac:dyDescent="0.25">
      <c r="K4831" s="128"/>
      <c r="X4831" s="234">
        <v>2022</v>
      </c>
      <c r="Y4831" s="234">
        <v>7</v>
      </c>
      <c r="Z4831" s="234">
        <v>21</v>
      </c>
      <c r="AA4831" s="235">
        <v>0.20833333333212067</v>
      </c>
      <c r="AB4831" s="236">
        <v>12.2</v>
      </c>
      <c r="AC4831" s="127">
        <f t="shared" si="90"/>
        <v>12</v>
      </c>
    </row>
    <row r="4832" ht="14.5" customHeight="1" spans="11:29" x14ac:dyDescent="0.25">
      <c r="K4832" s="128"/>
      <c r="X4832" s="234">
        <v>2022</v>
      </c>
      <c r="Y4832" s="234">
        <v>7</v>
      </c>
      <c r="Z4832" s="234">
        <v>21</v>
      </c>
      <c r="AA4832" s="235">
        <v>0.25</v>
      </c>
      <c r="AB4832" s="236">
        <v>13.7</v>
      </c>
      <c r="AC4832" s="127">
        <f t="shared" si="90"/>
        <v>14</v>
      </c>
    </row>
    <row r="4833" ht="14.5" customHeight="1" spans="11:29" x14ac:dyDescent="0.25">
      <c r="K4833" s="128"/>
      <c r="X4833" s="234">
        <v>2022</v>
      </c>
      <c r="Y4833" s="234">
        <v>7</v>
      </c>
      <c r="Z4833" s="234">
        <v>21</v>
      </c>
      <c r="AA4833" s="235">
        <v>0.2916666666678793</v>
      </c>
      <c r="AB4833" s="236">
        <v>17.3</v>
      </c>
      <c r="AC4833" s="127">
        <f t="shared" si="90"/>
        <v>17</v>
      </c>
    </row>
    <row r="4834" ht="14.5" customHeight="1" spans="11:29" x14ac:dyDescent="0.25">
      <c r="K4834" s="128"/>
      <c r="X4834" s="234">
        <v>2022</v>
      </c>
      <c r="Y4834" s="234">
        <v>7</v>
      </c>
      <c r="Z4834" s="234">
        <v>21</v>
      </c>
      <c r="AA4834" s="235">
        <v>0.3333333333321207</v>
      </c>
      <c r="AB4834" s="236">
        <v>20.1</v>
      </c>
      <c r="AC4834" s="127">
        <f t="shared" si="90"/>
        <v>20</v>
      </c>
    </row>
    <row r="4835" ht="14.5" customHeight="1" spans="11:29" x14ac:dyDescent="0.25">
      <c r="K4835" s="128"/>
      <c r="X4835" s="234">
        <v>2022</v>
      </c>
      <c r="Y4835" s="234">
        <v>7</v>
      </c>
      <c r="Z4835" s="234">
        <v>21</v>
      </c>
      <c r="AA4835" s="235">
        <v>0.375</v>
      </c>
      <c r="AB4835" s="236">
        <v>21.8</v>
      </c>
      <c r="AC4835" s="127">
        <f t="shared" si="90"/>
        <v>22</v>
      </c>
    </row>
    <row r="4836" ht="14.5" customHeight="1" spans="11:29" x14ac:dyDescent="0.25">
      <c r="K4836" s="128"/>
      <c r="X4836" s="234">
        <v>2022</v>
      </c>
      <c r="Y4836" s="234">
        <v>7</v>
      </c>
      <c r="Z4836" s="234">
        <v>21</v>
      </c>
      <c r="AA4836" s="235">
        <v>0.4166666666678793</v>
      </c>
      <c r="AB4836" s="236">
        <v>23.6</v>
      </c>
      <c r="AC4836" s="127">
        <f t="shared" si="90"/>
        <v>24</v>
      </c>
    </row>
    <row r="4837" ht="14.5" customHeight="1" spans="11:29" x14ac:dyDescent="0.25">
      <c r="K4837" s="128"/>
      <c r="X4837" s="234">
        <v>2022</v>
      </c>
      <c r="Y4837" s="234">
        <v>7</v>
      </c>
      <c r="Z4837" s="234">
        <v>21</v>
      </c>
      <c r="AA4837" s="235">
        <v>0.4583333333321207</v>
      </c>
      <c r="AB4837" s="236">
        <v>25</v>
      </c>
      <c r="AC4837" s="127">
        <f t="shared" si="90"/>
        <v>25</v>
      </c>
    </row>
    <row r="4838" ht="14.5" customHeight="1" spans="11:29" x14ac:dyDescent="0.25">
      <c r="K4838" s="128"/>
      <c r="X4838" s="234">
        <v>2022</v>
      </c>
      <c r="Y4838" s="234">
        <v>7</v>
      </c>
      <c r="Z4838" s="234">
        <v>21</v>
      </c>
      <c r="AA4838" s="235">
        <v>0.5</v>
      </c>
      <c r="AB4838" s="236">
        <v>25.7</v>
      </c>
      <c r="AC4838" s="127">
        <f t="shared" si="90"/>
        <v>26</v>
      </c>
    </row>
    <row r="4839" ht="14.5" customHeight="1" spans="11:29" x14ac:dyDescent="0.25">
      <c r="K4839" s="128"/>
      <c r="X4839" s="234">
        <v>2022</v>
      </c>
      <c r="Y4839" s="234">
        <v>7</v>
      </c>
      <c r="Z4839" s="234">
        <v>21</v>
      </c>
      <c r="AA4839" s="235">
        <v>0.5416666666678793</v>
      </c>
      <c r="AB4839" s="236">
        <v>26.2</v>
      </c>
      <c r="AC4839" s="127">
        <f t="shared" si="90"/>
        <v>26</v>
      </c>
    </row>
    <row r="4840" ht="14.5" customHeight="1" spans="11:29" x14ac:dyDescent="0.25">
      <c r="K4840" s="128"/>
      <c r="X4840" s="234">
        <v>2022</v>
      </c>
      <c r="Y4840" s="234">
        <v>7</v>
      </c>
      <c r="Z4840" s="234">
        <v>21</v>
      </c>
      <c r="AA4840" s="235">
        <v>0.5833333333321207</v>
      </c>
      <c r="AB4840" s="236">
        <v>26.7</v>
      </c>
      <c r="AC4840" s="127">
        <f t="shared" si="90"/>
        <v>27</v>
      </c>
    </row>
    <row r="4841" ht="14.5" customHeight="1" spans="11:29" x14ac:dyDescent="0.25">
      <c r="K4841" s="128"/>
      <c r="X4841" s="234">
        <v>2022</v>
      </c>
      <c r="Y4841" s="234">
        <v>7</v>
      </c>
      <c r="Z4841" s="234">
        <v>21</v>
      </c>
      <c r="AA4841" s="235">
        <v>0.625</v>
      </c>
      <c r="AB4841" s="236">
        <v>27</v>
      </c>
      <c r="AC4841" s="127">
        <f t="shared" si="90"/>
        <v>27</v>
      </c>
    </row>
    <row r="4842" ht="14.5" customHeight="1" spans="11:29" x14ac:dyDescent="0.25">
      <c r="K4842" s="128"/>
      <c r="X4842" s="234">
        <v>2022</v>
      </c>
      <c r="Y4842" s="234">
        <v>7</v>
      </c>
      <c r="Z4842" s="234">
        <v>21</v>
      </c>
      <c r="AA4842" s="235">
        <v>0.6666666666678793</v>
      </c>
      <c r="AB4842" s="236">
        <v>27</v>
      </c>
      <c r="AC4842" s="127">
        <f t="shared" si="90"/>
        <v>27</v>
      </c>
    </row>
    <row r="4843" ht="14.5" customHeight="1" spans="11:29" x14ac:dyDescent="0.25">
      <c r="K4843" s="128"/>
      <c r="X4843" s="234">
        <v>2022</v>
      </c>
      <c r="Y4843" s="234">
        <v>7</v>
      </c>
      <c r="Z4843" s="234">
        <v>21</v>
      </c>
      <c r="AA4843" s="235">
        <v>0.7083333333321207</v>
      </c>
      <c r="AB4843" s="236">
        <v>27</v>
      </c>
      <c r="AC4843" s="127">
        <f t="shared" si="90"/>
        <v>27</v>
      </c>
    </row>
    <row r="4844" ht="14.5" customHeight="1" spans="11:29" x14ac:dyDescent="0.25">
      <c r="K4844" s="128"/>
      <c r="X4844" s="234">
        <v>2022</v>
      </c>
      <c r="Y4844" s="234">
        <v>7</v>
      </c>
      <c r="Z4844" s="234">
        <v>21</v>
      </c>
      <c r="AA4844" s="235">
        <v>0.75</v>
      </c>
      <c r="AB4844" s="236">
        <v>26.3</v>
      </c>
      <c r="AC4844" s="127">
        <f t="shared" si="90"/>
        <v>26</v>
      </c>
    </row>
    <row r="4845" ht="14.5" customHeight="1" spans="11:29" x14ac:dyDescent="0.25">
      <c r="K4845" s="128"/>
      <c r="X4845" s="234">
        <v>2022</v>
      </c>
      <c r="Y4845" s="234">
        <v>7</v>
      </c>
      <c r="Z4845" s="234">
        <v>21</v>
      </c>
      <c r="AA4845" s="235">
        <v>0.7916666666678793</v>
      </c>
      <c r="AB4845" s="236">
        <v>25.2</v>
      </c>
      <c r="AC4845" s="127">
        <f t="shared" si="90"/>
        <v>25</v>
      </c>
    </row>
    <row r="4846" ht="14.5" customHeight="1" spans="11:29" x14ac:dyDescent="0.25">
      <c r="K4846" s="128"/>
      <c r="X4846" s="234">
        <v>2022</v>
      </c>
      <c r="Y4846" s="234">
        <v>7</v>
      </c>
      <c r="Z4846" s="234">
        <v>21</v>
      </c>
      <c r="AA4846" s="235">
        <v>0.8333333333321207</v>
      </c>
      <c r="AB4846" s="236">
        <v>23</v>
      </c>
      <c r="AC4846" s="127">
        <f t="shared" si="90"/>
        <v>23</v>
      </c>
    </row>
    <row r="4847" ht="14.5" customHeight="1" spans="11:29" x14ac:dyDescent="0.25">
      <c r="K4847" s="128"/>
      <c r="X4847" s="234">
        <v>2022</v>
      </c>
      <c r="Y4847" s="234">
        <v>7</v>
      </c>
      <c r="Z4847" s="234">
        <v>21</v>
      </c>
      <c r="AA4847" s="235">
        <v>0.875</v>
      </c>
      <c r="AB4847" s="236">
        <v>20.5</v>
      </c>
      <c r="AC4847" s="127">
        <f t="shared" si="90"/>
        <v>21</v>
      </c>
    </row>
    <row r="4848" ht="14.5" customHeight="1" spans="11:29" x14ac:dyDescent="0.25">
      <c r="K4848" s="128"/>
      <c r="X4848" s="234">
        <v>2022</v>
      </c>
      <c r="Y4848" s="234">
        <v>7</v>
      </c>
      <c r="Z4848" s="234">
        <v>21</v>
      </c>
      <c r="AA4848" s="235">
        <v>0.9166666666678793</v>
      </c>
      <c r="AB4848" s="236">
        <v>16.4</v>
      </c>
      <c r="AC4848" s="127">
        <f t="shared" si="90"/>
        <v>16</v>
      </c>
    </row>
    <row r="4849" ht="14.5" customHeight="1" spans="11:29" x14ac:dyDescent="0.25">
      <c r="K4849" s="128"/>
      <c r="X4849" s="234">
        <v>2022</v>
      </c>
      <c r="Y4849" s="234">
        <v>7</v>
      </c>
      <c r="Z4849" s="234">
        <v>21</v>
      </c>
      <c r="AA4849" s="235">
        <v>0.9583333333321207</v>
      </c>
      <c r="AB4849" s="236">
        <v>16.7</v>
      </c>
      <c r="AC4849" s="127">
        <f t="shared" si="90"/>
        <v>17</v>
      </c>
    </row>
    <row r="4850" ht="14.5" customHeight="1" spans="11:29" x14ac:dyDescent="0.25">
      <c r="K4850" s="128"/>
      <c r="X4850" s="234">
        <v>2022</v>
      </c>
      <c r="Y4850" s="234">
        <v>7</v>
      </c>
      <c r="Z4850" s="234">
        <v>22</v>
      </c>
      <c r="AA4850" s="235">
        <v>0</v>
      </c>
      <c r="AB4850" s="236">
        <v>15.7</v>
      </c>
      <c r="AC4850" s="127">
        <f t="shared" si="90"/>
        <v>16</v>
      </c>
    </row>
    <row r="4851" ht="14.5" customHeight="1" spans="11:29" x14ac:dyDescent="0.25">
      <c r="K4851" s="128"/>
      <c r="X4851" s="234">
        <v>2022</v>
      </c>
      <c r="Y4851" s="234">
        <v>7</v>
      </c>
      <c r="Z4851" s="234">
        <v>22</v>
      </c>
      <c r="AA4851" s="235">
        <v>0.041666666667879326</v>
      </c>
      <c r="AB4851" s="236">
        <v>13.9</v>
      </c>
      <c r="AC4851" s="127">
        <f t="shared" si="90"/>
        <v>14</v>
      </c>
    </row>
    <row r="4852" ht="14.5" customHeight="1" spans="11:29" x14ac:dyDescent="0.25">
      <c r="K4852" s="128"/>
      <c r="X4852" s="234">
        <v>2022</v>
      </c>
      <c r="Y4852" s="234">
        <v>7</v>
      </c>
      <c r="Z4852" s="234">
        <v>22</v>
      </c>
      <c r="AA4852" s="235">
        <v>0.08333333333212067</v>
      </c>
      <c r="AB4852" s="236">
        <v>14.1</v>
      </c>
      <c r="AC4852" s="127">
        <f t="shared" si="90"/>
        <v>14</v>
      </c>
    </row>
    <row r="4853" ht="14.5" customHeight="1" spans="11:29" x14ac:dyDescent="0.25">
      <c r="K4853" s="128"/>
      <c r="X4853" s="234">
        <v>2022</v>
      </c>
      <c r="Y4853" s="234">
        <v>7</v>
      </c>
      <c r="Z4853" s="234">
        <v>22</v>
      </c>
      <c r="AA4853" s="235">
        <v>0.125</v>
      </c>
      <c r="AB4853" s="236">
        <v>14.6</v>
      </c>
      <c r="AC4853" s="127">
        <f t="shared" si="90"/>
        <v>15</v>
      </c>
    </row>
    <row r="4854" ht="14.5" customHeight="1" spans="11:29" x14ac:dyDescent="0.25">
      <c r="K4854" s="128"/>
      <c r="X4854" s="234">
        <v>2022</v>
      </c>
      <c r="Y4854" s="234">
        <v>7</v>
      </c>
      <c r="Z4854" s="234">
        <v>22</v>
      </c>
      <c r="AA4854" s="235">
        <v>0.16666666666787933</v>
      </c>
      <c r="AB4854" s="236">
        <v>13.2</v>
      </c>
      <c r="AC4854" s="127">
        <f t="shared" si="90"/>
        <v>13</v>
      </c>
    </row>
    <row r="4855" ht="14.5" customHeight="1" spans="11:29" x14ac:dyDescent="0.25">
      <c r="K4855" s="128"/>
      <c r="X4855" s="234">
        <v>2022</v>
      </c>
      <c r="Y4855" s="234">
        <v>7</v>
      </c>
      <c r="Z4855" s="234">
        <v>22</v>
      </c>
      <c r="AA4855" s="235">
        <v>0.20833333333212067</v>
      </c>
      <c r="AB4855" s="236">
        <v>11.9</v>
      </c>
      <c r="AC4855" s="127">
        <f t="shared" si="90"/>
        <v>12</v>
      </c>
    </row>
    <row r="4856" ht="14.5" customHeight="1" spans="11:29" x14ac:dyDescent="0.25">
      <c r="K4856" s="128"/>
      <c r="X4856" s="234">
        <v>2022</v>
      </c>
      <c r="Y4856" s="234">
        <v>7</v>
      </c>
      <c r="Z4856" s="234">
        <v>22</v>
      </c>
      <c r="AA4856" s="235">
        <v>0.25</v>
      </c>
      <c r="AB4856" s="236">
        <v>13</v>
      </c>
      <c r="AC4856" s="127">
        <f t="shared" si="90"/>
        <v>13</v>
      </c>
    </row>
    <row r="4857" ht="14.5" customHeight="1" spans="11:29" x14ac:dyDescent="0.25">
      <c r="K4857" s="128"/>
      <c r="X4857" s="234">
        <v>2022</v>
      </c>
      <c r="Y4857" s="234">
        <v>7</v>
      </c>
      <c r="Z4857" s="234">
        <v>22</v>
      </c>
      <c r="AA4857" s="235">
        <v>0.2916666666678793</v>
      </c>
      <c r="AB4857" s="236">
        <v>15.5</v>
      </c>
      <c r="AC4857" s="127">
        <f t="shared" si="90"/>
        <v>16</v>
      </c>
    </row>
    <row r="4858" ht="14.5" customHeight="1" spans="11:29" x14ac:dyDescent="0.25">
      <c r="K4858" s="128"/>
      <c r="X4858" s="234">
        <v>2022</v>
      </c>
      <c r="Y4858" s="234">
        <v>7</v>
      </c>
      <c r="Z4858" s="234">
        <v>22</v>
      </c>
      <c r="AA4858" s="235">
        <v>0.3333333333321207</v>
      </c>
      <c r="AB4858" s="236">
        <v>16.6</v>
      </c>
      <c r="AC4858" s="127">
        <f t="shared" si="90"/>
        <v>17</v>
      </c>
    </row>
    <row r="4859" ht="14.5" customHeight="1" spans="11:29" x14ac:dyDescent="0.25">
      <c r="K4859" s="128"/>
      <c r="X4859" s="234">
        <v>2022</v>
      </c>
      <c r="Y4859" s="234">
        <v>7</v>
      </c>
      <c r="Z4859" s="234">
        <v>22</v>
      </c>
      <c r="AA4859" s="235">
        <v>0.375</v>
      </c>
      <c r="AB4859" s="236">
        <v>18.6</v>
      </c>
      <c r="AC4859" s="127">
        <f t="shared" si="90"/>
        <v>19</v>
      </c>
    </row>
    <row r="4860" ht="14.5" customHeight="1" spans="11:29" x14ac:dyDescent="0.25">
      <c r="K4860" s="128"/>
      <c r="X4860" s="234">
        <v>2022</v>
      </c>
      <c r="Y4860" s="234">
        <v>7</v>
      </c>
      <c r="Z4860" s="234">
        <v>22</v>
      </c>
      <c r="AA4860" s="235">
        <v>0.4166666666678793</v>
      </c>
      <c r="AB4860" s="236">
        <v>19.4</v>
      </c>
      <c r="AC4860" s="127">
        <f t="shared" si="90"/>
        <v>19</v>
      </c>
    </row>
    <row r="4861" ht="14.5" customHeight="1" spans="11:29" x14ac:dyDescent="0.25">
      <c r="K4861" s="128"/>
      <c r="X4861" s="234">
        <v>2022</v>
      </c>
      <c r="Y4861" s="234">
        <v>7</v>
      </c>
      <c r="Z4861" s="234">
        <v>22</v>
      </c>
      <c r="AA4861" s="235">
        <v>0.4583333333321207</v>
      </c>
      <c r="AB4861" s="236">
        <v>21.2</v>
      </c>
      <c r="AC4861" s="127">
        <f t="shared" si="90"/>
        <v>21</v>
      </c>
    </row>
    <row r="4862" ht="14.5" customHeight="1" spans="11:29" x14ac:dyDescent="0.25">
      <c r="K4862" s="128"/>
      <c r="X4862" s="234">
        <v>2022</v>
      </c>
      <c r="Y4862" s="234">
        <v>7</v>
      </c>
      <c r="Z4862" s="234">
        <v>22</v>
      </c>
      <c r="AA4862" s="235">
        <v>0.5</v>
      </c>
      <c r="AB4862" s="236">
        <v>21.7</v>
      </c>
      <c r="AC4862" s="127">
        <f t="shared" si="90"/>
        <v>22</v>
      </c>
    </row>
    <row r="4863" ht="14.5" customHeight="1" spans="11:29" x14ac:dyDescent="0.25">
      <c r="K4863" s="128"/>
      <c r="X4863" s="234">
        <v>2022</v>
      </c>
      <c r="Y4863" s="234">
        <v>7</v>
      </c>
      <c r="Z4863" s="234">
        <v>22</v>
      </c>
      <c r="AA4863" s="235">
        <v>0.5416666666678793</v>
      </c>
      <c r="AB4863" s="236">
        <v>21.7</v>
      </c>
      <c r="AC4863" s="127">
        <f t="shared" si="90"/>
        <v>22</v>
      </c>
    </row>
    <row r="4864" ht="14.5" customHeight="1" spans="11:29" x14ac:dyDescent="0.25">
      <c r="K4864" s="128"/>
      <c r="X4864" s="234">
        <v>2022</v>
      </c>
      <c r="Y4864" s="234">
        <v>7</v>
      </c>
      <c r="Z4864" s="234">
        <v>22</v>
      </c>
      <c r="AA4864" s="235">
        <v>0.5833333333321207</v>
      </c>
      <c r="AB4864" s="236">
        <v>22.4</v>
      </c>
      <c r="AC4864" s="127">
        <f t="shared" si="90"/>
        <v>22</v>
      </c>
    </row>
    <row r="4865" ht="14.5" customHeight="1" spans="11:29" x14ac:dyDescent="0.25">
      <c r="K4865" s="128"/>
      <c r="X4865" s="234">
        <v>2022</v>
      </c>
      <c r="Y4865" s="234">
        <v>7</v>
      </c>
      <c r="Z4865" s="234">
        <v>22</v>
      </c>
      <c r="AA4865" s="235">
        <v>0.625</v>
      </c>
      <c r="AB4865" s="236">
        <v>21.1</v>
      </c>
      <c r="AC4865" s="127">
        <f t="shared" si="90"/>
        <v>21</v>
      </c>
    </row>
    <row r="4866" ht="14.5" customHeight="1" spans="11:29" x14ac:dyDescent="0.25">
      <c r="K4866" s="128"/>
      <c r="X4866" s="234">
        <v>2022</v>
      </c>
      <c r="Y4866" s="234">
        <v>7</v>
      </c>
      <c r="Z4866" s="234">
        <v>22</v>
      </c>
      <c r="AA4866" s="235">
        <v>0.6666666666678793</v>
      </c>
      <c r="AB4866" s="236">
        <v>15.6</v>
      </c>
      <c r="AC4866" s="127">
        <f t="shared" si="90"/>
        <v>16</v>
      </c>
    </row>
    <row r="4867" ht="14.5" customHeight="1" spans="11:29" x14ac:dyDescent="0.25">
      <c r="K4867" s="128"/>
      <c r="X4867" s="234">
        <v>2022</v>
      </c>
      <c r="Y4867" s="234">
        <v>7</v>
      </c>
      <c r="Z4867" s="234">
        <v>22</v>
      </c>
      <c r="AA4867" s="235">
        <v>0.7083333333321207</v>
      </c>
      <c r="AB4867" s="236">
        <v>14.9</v>
      </c>
      <c r="AC4867" s="127">
        <f t="shared" si="90"/>
        <v>15</v>
      </c>
    </row>
    <row r="4868" ht="14.5" customHeight="1" spans="11:29" x14ac:dyDescent="0.25">
      <c r="K4868" s="128"/>
      <c r="X4868" s="234">
        <v>2022</v>
      </c>
      <c r="Y4868" s="234">
        <v>7</v>
      </c>
      <c r="Z4868" s="234">
        <v>22</v>
      </c>
      <c r="AA4868" s="235">
        <v>0.75</v>
      </c>
      <c r="AB4868" s="236">
        <v>15.4</v>
      </c>
      <c r="AC4868" s="127">
        <f t="shared" si="90"/>
        <v>15</v>
      </c>
    </row>
    <row r="4869" ht="14.5" customHeight="1" spans="11:29" x14ac:dyDescent="0.25">
      <c r="K4869" s="128"/>
      <c r="X4869" s="234">
        <v>2022</v>
      </c>
      <c r="Y4869" s="234">
        <v>7</v>
      </c>
      <c r="Z4869" s="234">
        <v>22</v>
      </c>
      <c r="AA4869" s="235">
        <v>0.7916666666678793</v>
      </c>
      <c r="AB4869" s="236">
        <v>15.5</v>
      </c>
      <c r="AC4869" s="127">
        <f t="shared" si="90"/>
        <v>16</v>
      </c>
    </row>
    <row r="4870" ht="14.5" customHeight="1" spans="11:29" x14ac:dyDescent="0.25">
      <c r="K4870" s="128"/>
      <c r="X4870" s="234">
        <v>2022</v>
      </c>
      <c r="Y4870" s="234">
        <v>7</v>
      </c>
      <c r="Z4870" s="234">
        <v>22</v>
      </c>
      <c r="AA4870" s="235">
        <v>0.8333333333321207</v>
      </c>
      <c r="AB4870" s="236">
        <v>15.2</v>
      </c>
      <c r="AC4870" s="127">
        <f t="shared" si="90"/>
        <v>15</v>
      </c>
    </row>
    <row r="4871" ht="14.5" customHeight="1" spans="11:29" x14ac:dyDescent="0.25">
      <c r="K4871" s="128"/>
      <c r="X4871" s="234">
        <v>2022</v>
      </c>
      <c r="Y4871" s="234">
        <v>7</v>
      </c>
      <c r="Z4871" s="234">
        <v>22</v>
      </c>
      <c r="AA4871" s="235">
        <v>0.875</v>
      </c>
      <c r="AB4871" s="236">
        <v>14.4</v>
      </c>
      <c r="AC4871" s="127">
        <f t="shared" si="90"/>
        <v>14</v>
      </c>
    </row>
    <row r="4872" ht="14.5" customHeight="1" spans="11:29" x14ac:dyDescent="0.25">
      <c r="K4872" s="128"/>
      <c r="X4872" s="234">
        <v>2022</v>
      </c>
      <c r="Y4872" s="234">
        <v>7</v>
      </c>
      <c r="Z4872" s="234">
        <v>22</v>
      </c>
      <c r="AA4872" s="235">
        <v>0.9166666666678793</v>
      </c>
      <c r="AB4872" s="236">
        <v>14.1</v>
      </c>
      <c r="AC4872" s="127">
        <f t="shared" si="90"/>
        <v>14</v>
      </c>
    </row>
    <row r="4873" ht="14.5" customHeight="1" spans="11:29" x14ac:dyDescent="0.25">
      <c r="K4873" s="128"/>
      <c r="X4873" s="234">
        <v>2022</v>
      </c>
      <c r="Y4873" s="234">
        <v>7</v>
      </c>
      <c r="Z4873" s="234">
        <v>22</v>
      </c>
      <c r="AA4873" s="235">
        <v>0.9583333333321207</v>
      </c>
      <c r="AB4873" s="236">
        <v>13.9</v>
      </c>
      <c r="AC4873" s="127">
        <f t="shared" si="90"/>
        <v>14</v>
      </c>
    </row>
    <row r="4874" ht="14.5" customHeight="1" spans="11:29" x14ac:dyDescent="0.25">
      <c r="K4874" s="128"/>
      <c r="X4874" s="234">
        <v>2022</v>
      </c>
      <c r="Y4874" s="234">
        <v>7</v>
      </c>
      <c r="Z4874" s="234">
        <v>23</v>
      </c>
      <c r="AA4874" s="235">
        <v>0</v>
      </c>
      <c r="AB4874" s="236">
        <v>13.8</v>
      </c>
      <c r="AC4874" s="127">
        <f t="shared" si="90"/>
        <v>14</v>
      </c>
    </row>
    <row r="4875" ht="14.5" customHeight="1" spans="11:29" x14ac:dyDescent="0.25">
      <c r="K4875" s="128"/>
      <c r="X4875" s="234">
        <v>2022</v>
      </c>
      <c r="Y4875" s="234">
        <v>7</v>
      </c>
      <c r="Z4875" s="234">
        <v>23</v>
      </c>
      <c r="AA4875" s="235">
        <v>0.041666666667879326</v>
      </c>
      <c r="AB4875" s="236">
        <v>13.8</v>
      </c>
      <c r="AC4875" s="127">
        <f t="shared" ref="AC4875:AC4938" si="91">ROUND(AB4875,0)</f>
        <v>14</v>
      </c>
    </row>
    <row r="4876" ht="14.5" customHeight="1" spans="11:29" x14ac:dyDescent="0.25">
      <c r="K4876" s="128"/>
      <c r="X4876" s="234">
        <v>2022</v>
      </c>
      <c r="Y4876" s="234">
        <v>7</v>
      </c>
      <c r="Z4876" s="234">
        <v>23</v>
      </c>
      <c r="AA4876" s="235">
        <v>0.08333333333212067</v>
      </c>
      <c r="AB4876" s="236">
        <v>13.1</v>
      </c>
      <c r="AC4876" s="127">
        <f t="shared" si="91"/>
        <v>13</v>
      </c>
    </row>
    <row r="4877" ht="14.5" customHeight="1" spans="11:29" x14ac:dyDescent="0.25">
      <c r="K4877" s="128"/>
      <c r="X4877" s="234">
        <v>2022</v>
      </c>
      <c r="Y4877" s="234">
        <v>7</v>
      </c>
      <c r="Z4877" s="234">
        <v>23</v>
      </c>
      <c r="AA4877" s="235">
        <v>0.125</v>
      </c>
      <c r="AB4877" s="236">
        <v>12.1</v>
      </c>
      <c r="AC4877" s="127">
        <f t="shared" si="91"/>
        <v>12</v>
      </c>
    </row>
    <row r="4878" ht="14.5" customHeight="1" spans="11:29" x14ac:dyDescent="0.25">
      <c r="K4878" s="128"/>
      <c r="X4878" s="234">
        <v>2022</v>
      </c>
      <c r="Y4878" s="234">
        <v>7</v>
      </c>
      <c r="Z4878" s="234">
        <v>23</v>
      </c>
      <c r="AA4878" s="235">
        <v>0.16666666666787933</v>
      </c>
      <c r="AB4878" s="236">
        <v>12.5</v>
      </c>
      <c r="AC4878" s="127">
        <f t="shared" si="91"/>
        <v>13</v>
      </c>
    </row>
    <row r="4879" ht="14.5" customHeight="1" spans="11:29" x14ac:dyDescent="0.25">
      <c r="K4879" s="128"/>
      <c r="X4879" s="234">
        <v>2022</v>
      </c>
      <c r="Y4879" s="234">
        <v>7</v>
      </c>
      <c r="Z4879" s="234">
        <v>23</v>
      </c>
      <c r="AA4879" s="235">
        <v>0.20833333333212067</v>
      </c>
      <c r="AB4879" s="236">
        <v>12.2</v>
      </c>
      <c r="AC4879" s="127">
        <f t="shared" si="91"/>
        <v>12</v>
      </c>
    </row>
    <row r="4880" ht="14.5" customHeight="1" spans="11:29" x14ac:dyDescent="0.25">
      <c r="K4880" s="128"/>
      <c r="X4880" s="234">
        <v>2022</v>
      </c>
      <c r="Y4880" s="234">
        <v>7</v>
      </c>
      <c r="Z4880" s="234">
        <v>23</v>
      </c>
      <c r="AA4880" s="235">
        <v>0.25</v>
      </c>
      <c r="AB4880" s="236">
        <v>12.2</v>
      </c>
      <c r="AC4880" s="127">
        <f t="shared" si="91"/>
        <v>12</v>
      </c>
    </row>
    <row r="4881" ht="14.5" customHeight="1" spans="11:29" x14ac:dyDescent="0.25">
      <c r="K4881" s="128"/>
      <c r="X4881" s="234">
        <v>2022</v>
      </c>
      <c r="Y4881" s="234">
        <v>7</v>
      </c>
      <c r="Z4881" s="234">
        <v>23</v>
      </c>
      <c r="AA4881" s="235">
        <v>0.2916666666678793</v>
      </c>
      <c r="AB4881" s="236">
        <v>13.8</v>
      </c>
      <c r="AC4881" s="127">
        <f t="shared" si="91"/>
        <v>14</v>
      </c>
    </row>
    <row r="4882" ht="14.5" customHeight="1" spans="11:29" x14ac:dyDescent="0.25">
      <c r="K4882" s="128"/>
      <c r="X4882" s="234">
        <v>2022</v>
      </c>
      <c r="Y4882" s="234">
        <v>7</v>
      </c>
      <c r="Z4882" s="234">
        <v>23</v>
      </c>
      <c r="AA4882" s="235">
        <v>0.3333333333321207</v>
      </c>
      <c r="AB4882" s="236">
        <v>16.3</v>
      </c>
      <c r="AC4882" s="127">
        <f t="shared" si="91"/>
        <v>16</v>
      </c>
    </row>
    <row r="4883" ht="14.5" customHeight="1" spans="11:29" x14ac:dyDescent="0.25">
      <c r="K4883" s="128"/>
      <c r="X4883" s="234">
        <v>2022</v>
      </c>
      <c r="Y4883" s="234">
        <v>7</v>
      </c>
      <c r="Z4883" s="234">
        <v>23</v>
      </c>
      <c r="AA4883" s="235">
        <v>0.375</v>
      </c>
      <c r="AB4883" s="236">
        <v>17.8</v>
      </c>
      <c r="AC4883" s="127">
        <f t="shared" si="91"/>
        <v>18</v>
      </c>
    </row>
    <row r="4884" ht="14.5" customHeight="1" spans="11:29" x14ac:dyDescent="0.25">
      <c r="K4884" s="128"/>
      <c r="X4884" s="234">
        <v>2022</v>
      </c>
      <c r="Y4884" s="234">
        <v>7</v>
      </c>
      <c r="Z4884" s="234">
        <v>23</v>
      </c>
      <c r="AA4884" s="235">
        <v>0.4166666666678793</v>
      </c>
      <c r="AB4884" s="236">
        <v>19.6</v>
      </c>
      <c r="AC4884" s="127">
        <f t="shared" si="91"/>
        <v>20</v>
      </c>
    </row>
    <row r="4885" ht="14.5" customHeight="1" spans="11:29" x14ac:dyDescent="0.25">
      <c r="K4885" s="128"/>
      <c r="X4885" s="234">
        <v>2022</v>
      </c>
      <c r="Y4885" s="234">
        <v>7</v>
      </c>
      <c r="Z4885" s="234">
        <v>23</v>
      </c>
      <c r="AA4885" s="235">
        <v>0.4583333333321207</v>
      </c>
      <c r="AB4885" s="236">
        <v>20.7</v>
      </c>
      <c r="AC4885" s="127">
        <f t="shared" si="91"/>
        <v>21</v>
      </c>
    </row>
    <row r="4886" ht="14.5" customHeight="1" spans="11:29" x14ac:dyDescent="0.25">
      <c r="K4886" s="128"/>
      <c r="X4886" s="234">
        <v>2022</v>
      </c>
      <c r="Y4886" s="234">
        <v>7</v>
      </c>
      <c r="Z4886" s="234">
        <v>23</v>
      </c>
      <c r="AA4886" s="235">
        <v>0.5</v>
      </c>
      <c r="AB4886" s="236">
        <v>22.1</v>
      </c>
      <c r="AC4886" s="127">
        <f t="shared" si="91"/>
        <v>22</v>
      </c>
    </row>
    <row r="4887" ht="14.5" customHeight="1" spans="11:29" x14ac:dyDescent="0.25">
      <c r="K4887" s="128"/>
      <c r="X4887" s="234">
        <v>2022</v>
      </c>
      <c r="Y4887" s="234">
        <v>7</v>
      </c>
      <c r="Z4887" s="234">
        <v>23</v>
      </c>
      <c r="AA4887" s="235">
        <v>0.5416666666678793</v>
      </c>
      <c r="AB4887" s="236">
        <v>22.8</v>
      </c>
      <c r="AC4887" s="127">
        <f t="shared" si="91"/>
        <v>23</v>
      </c>
    </row>
    <row r="4888" ht="14.5" customHeight="1" spans="11:29" x14ac:dyDescent="0.25">
      <c r="K4888" s="128"/>
      <c r="X4888" s="234">
        <v>2022</v>
      </c>
      <c r="Y4888" s="234">
        <v>7</v>
      </c>
      <c r="Z4888" s="234">
        <v>23</v>
      </c>
      <c r="AA4888" s="235">
        <v>0.5833333333321207</v>
      </c>
      <c r="AB4888" s="236">
        <v>23.4</v>
      </c>
      <c r="AC4888" s="127">
        <f t="shared" si="91"/>
        <v>23</v>
      </c>
    </row>
    <row r="4889" ht="14.5" customHeight="1" spans="11:29" x14ac:dyDescent="0.25">
      <c r="K4889" s="128"/>
      <c r="X4889" s="234">
        <v>2022</v>
      </c>
      <c r="Y4889" s="234">
        <v>7</v>
      </c>
      <c r="Z4889" s="234">
        <v>23</v>
      </c>
      <c r="AA4889" s="235">
        <v>0.625</v>
      </c>
      <c r="AB4889" s="236">
        <v>24</v>
      </c>
      <c r="AC4889" s="127">
        <f t="shared" si="91"/>
        <v>24</v>
      </c>
    </row>
    <row r="4890" ht="14.5" customHeight="1" spans="11:29" x14ac:dyDescent="0.25">
      <c r="K4890" s="128"/>
      <c r="X4890" s="234">
        <v>2022</v>
      </c>
      <c r="Y4890" s="234">
        <v>7</v>
      </c>
      <c r="Z4890" s="234">
        <v>23</v>
      </c>
      <c r="AA4890" s="235">
        <v>0.6666666666678793</v>
      </c>
      <c r="AB4890" s="236">
        <v>23.6</v>
      </c>
      <c r="AC4890" s="127">
        <f t="shared" si="91"/>
        <v>24</v>
      </c>
    </row>
    <row r="4891" ht="14.5" customHeight="1" spans="11:29" x14ac:dyDescent="0.25">
      <c r="K4891" s="128"/>
      <c r="X4891" s="234">
        <v>2022</v>
      </c>
      <c r="Y4891" s="234">
        <v>7</v>
      </c>
      <c r="Z4891" s="234">
        <v>23</v>
      </c>
      <c r="AA4891" s="235">
        <v>0.7083333333321207</v>
      </c>
      <c r="AB4891" s="236">
        <v>22.9</v>
      </c>
      <c r="AC4891" s="127">
        <f t="shared" si="91"/>
        <v>23</v>
      </c>
    </row>
    <row r="4892" ht="14.5" customHeight="1" spans="11:29" x14ac:dyDescent="0.25">
      <c r="K4892" s="128"/>
      <c r="X4892" s="234">
        <v>2022</v>
      </c>
      <c r="Y4892" s="234">
        <v>7</v>
      </c>
      <c r="Z4892" s="234">
        <v>23</v>
      </c>
      <c r="AA4892" s="235">
        <v>0.75</v>
      </c>
      <c r="AB4892" s="236">
        <v>22.3</v>
      </c>
      <c r="AC4892" s="127">
        <f t="shared" si="91"/>
        <v>22</v>
      </c>
    </row>
    <row r="4893" ht="14.5" customHeight="1" spans="11:29" x14ac:dyDescent="0.25">
      <c r="K4893" s="128"/>
      <c r="X4893" s="234">
        <v>2022</v>
      </c>
      <c r="Y4893" s="234">
        <v>7</v>
      </c>
      <c r="Z4893" s="234">
        <v>23</v>
      </c>
      <c r="AA4893" s="235">
        <v>0.7916666666678793</v>
      </c>
      <c r="AB4893" s="236">
        <v>21</v>
      </c>
      <c r="AC4893" s="127">
        <f t="shared" si="91"/>
        <v>21</v>
      </c>
    </row>
    <row r="4894" ht="14.5" customHeight="1" spans="11:29" x14ac:dyDescent="0.25">
      <c r="K4894" s="128"/>
      <c r="X4894" s="234">
        <v>2022</v>
      </c>
      <c r="Y4894" s="234">
        <v>7</v>
      </c>
      <c r="Z4894" s="234">
        <v>23</v>
      </c>
      <c r="AA4894" s="235">
        <v>0.8333333333321207</v>
      </c>
      <c r="AB4894" s="236">
        <v>20.1</v>
      </c>
      <c r="AC4894" s="127">
        <f t="shared" si="91"/>
        <v>20</v>
      </c>
    </row>
    <row r="4895" ht="14.5" customHeight="1" spans="11:29" x14ac:dyDescent="0.25">
      <c r="K4895" s="128"/>
      <c r="X4895" s="234">
        <v>2022</v>
      </c>
      <c r="Y4895" s="234">
        <v>7</v>
      </c>
      <c r="Z4895" s="234">
        <v>23</v>
      </c>
      <c r="AA4895" s="235">
        <v>0.875</v>
      </c>
      <c r="AB4895" s="236">
        <v>17.8</v>
      </c>
      <c r="AC4895" s="127">
        <f t="shared" si="91"/>
        <v>18</v>
      </c>
    </row>
    <row r="4896" ht="14.5" customHeight="1" spans="11:29" x14ac:dyDescent="0.25">
      <c r="K4896" s="128"/>
      <c r="X4896" s="234">
        <v>2022</v>
      </c>
      <c r="Y4896" s="234">
        <v>7</v>
      </c>
      <c r="Z4896" s="234">
        <v>23</v>
      </c>
      <c r="AA4896" s="235">
        <v>0.9166666666678793</v>
      </c>
      <c r="AB4896" s="236">
        <v>16.7</v>
      </c>
      <c r="AC4896" s="127">
        <f t="shared" si="91"/>
        <v>17</v>
      </c>
    </row>
    <row r="4897" ht="14.5" customHeight="1" spans="11:29" x14ac:dyDescent="0.25">
      <c r="K4897" s="128"/>
      <c r="X4897" s="234">
        <v>2022</v>
      </c>
      <c r="Y4897" s="234">
        <v>7</v>
      </c>
      <c r="Z4897" s="234">
        <v>23</v>
      </c>
      <c r="AA4897" s="235">
        <v>0.9583333333321207</v>
      </c>
      <c r="AB4897" s="236">
        <v>15.7</v>
      </c>
      <c r="AC4897" s="127">
        <f t="shared" si="91"/>
        <v>16</v>
      </c>
    </row>
    <row r="4898" ht="14.5" customHeight="1" spans="11:29" x14ac:dyDescent="0.25">
      <c r="K4898" s="128"/>
      <c r="X4898" s="234">
        <v>2022</v>
      </c>
      <c r="Y4898" s="234">
        <v>7</v>
      </c>
      <c r="Z4898" s="234">
        <v>24</v>
      </c>
      <c r="AA4898" s="235">
        <v>0</v>
      </c>
      <c r="AB4898" s="236">
        <v>15.1</v>
      </c>
      <c r="AC4898" s="127">
        <f t="shared" si="91"/>
        <v>15</v>
      </c>
    </row>
    <row r="4899" ht="14.5" customHeight="1" spans="11:29" x14ac:dyDescent="0.25">
      <c r="K4899" s="128"/>
      <c r="X4899" s="234">
        <v>2022</v>
      </c>
      <c r="Y4899" s="234">
        <v>7</v>
      </c>
      <c r="Z4899" s="234">
        <v>24</v>
      </c>
      <c r="AA4899" s="235">
        <v>0.041666666667879326</v>
      </c>
      <c r="AB4899" s="236">
        <v>14.8</v>
      </c>
      <c r="AC4899" s="127">
        <f t="shared" si="91"/>
        <v>15</v>
      </c>
    </row>
    <row r="4900" ht="14.5" customHeight="1" spans="11:29" x14ac:dyDescent="0.25">
      <c r="K4900" s="128"/>
      <c r="X4900" s="234">
        <v>2022</v>
      </c>
      <c r="Y4900" s="234">
        <v>7</v>
      </c>
      <c r="Z4900" s="234">
        <v>24</v>
      </c>
      <c r="AA4900" s="235">
        <v>0.08333333333212067</v>
      </c>
      <c r="AB4900" s="236">
        <v>13.9</v>
      </c>
      <c r="AC4900" s="127">
        <f t="shared" si="91"/>
        <v>14</v>
      </c>
    </row>
    <row r="4901" ht="14.5" customHeight="1" spans="11:29" x14ac:dyDescent="0.25">
      <c r="K4901" s="128"/>
      <c r="X4901" s="234">
        <v>2022</v>
      </c>
      <c r="Y4901" s="234">
        <v>7</v>
      </c>
      <c r="Z4901" s="234">
        <v>24</v>
      </c>
      <c r="AA4901" s="235">
        <v>0.125</v>
      </c>
      <c r="AB4901" s="236">
        <v>13.7</v>
      </c>
      <c r="AC4901" s="127">
        <f t="shared" si="91"/>
        <v>14</v>
      </c>
    </row>
    <row r="4902" ht="14.5" customHeight="1" spans="11:29" x14ac:dyDescent="0.25">
      <c r="K4902" s="128"/>
      <c r="X4902" s="234">
        <v>2022</v>
      </c>
      <c r="Y4902" s="234">
        <v>7</v>
      </c>
      <c r="Z4902" s="234">
        <v>24</v>
      </c>
      <c r="AA4902" s="235">
        <v>0.16666666666787933</v>
      </c>
      <c r="AB4902" s="236">
        <v>12.5</v>
      </c>
      <c r="AC4902" s="127">
        <f t="shared" si="91"/>
        <v>13</v>
      </c>
    </row>
    <row r="4903" ht="14.5" customHeight="1" spans="11:29" x14ac:dyDescent="0.25">
      <c r="K4903" s="128"/>
      <c r="X4903" s="234">
        <v>2022</v>
      </c>
      <c r="Y4903" s="234">
        <v>7</v>
      </c>
      <c r="Z4903" s="234">
        <v>24</v>
      </c>
      <c r="AA4903" s="235">
        <v>0.20833333333212067</v>
      </c>
      <c r="AB4903" s="236">
        <v>12.2</v>
      </c>
      <c r="AC4903" s="127">
        <f t="shared" si="91"/>
        <v>12</v>
      </c>
    </row>
    <row r="4904" ht="14.5" customHeight="1" spans="11:29" x14ac:dyDescent="0.25">
      <c r="K4904" s="128"/>
      <c r="X4904" s="234">
        <v>2022</v>
      </c>
      <c r="Y4904" s="234">
        <v>7</v>
      </c>
      <c r="Z4904" s="234">
        <v>24</v>
      </c>
      <c r="AA4904" s="235">
        <v>0.25</v>
      </c>
      <c r="AB4904" s="236">
        <v>13.5</v>
      </c>
      <c r="AC4904" s="127">
        <f t="shared" si="91"/>
        <v>14</v>
      </c>
    </row>
    <row r="4905" ht="14.5" customHeight="1" spans="11:29" x14ac:dyDescent="0.25">
      <c r="K4905" s="128"/>
      <c r="X4905" s="234">
        <v>2022</v>
      </c>
      <c r="Y4905" s="234">
        <v>7</v>
      </c>
      <c r="Z4905" s="234">
        <v>24</v>
      </c>
      <c r="AA4905" s="235">
        <v>0.2916666666678793</v>
      </c>
      <c r="AB4905" s="236">
        <v>15.1</v>
      </c>
      <c r="AC4905" s="127">
        <f t="shared" si="91"/>
        <v>15</v>
      </c>
    </row>
    <row r="4906" ht="14.5" customHeight="1" spans="11:29" x14ac:dyDescent="0.25">
      <c r="K4906" s="128"/>
      <c r="X4906" s="234">
        <v>2022</v>
      </c>
      <c r="Y4906" s="234">
        <v>7</v>
      </c>
      <c r="Z4906" s="234">
        <v>24</v>
      </c>
      <c r="AA4906" s="235">
        <v>0.3333333333321207</v>
      </c>
      <c r="AB4906" s="236">
        <v>18.1</v>
      </c>
      <c r="AC4906" s="127">
        <f t="shared" si="91"/>
        <v>18</v>
      </c>
    </row>
    <row r="4907" ht="14.5" customHeight="1" spans="11:29" x14ac:dyDescent="0.25">
      <c r="K4907" s="128"/>
      <c r="X4907" s="234">
        <v>2022</v>
      </c>
      <c r="Y4907" s="234">
        <v>7</v>
      </c>
      <c r="Z4907" s="234">
        <v>24</v>
      </c>
      <c r="AA4907" s="235">
        <v>0.375</v>
      </c>
      <c r="AB4907" s="236">
        <v>21.8</v>
      </c>
      <c r="AC4907" s="127">
        <f t="shared" si="91"/>
        <v>22</v>
      </c>
    </row>
    <row r="4908" ht="14.5" customHeight="1" spans="11:29" x14ac:dyDescent="0.25">
      <c r="K4908" s="128"/>
      <c r="X4908" s="234">
        <v>2022</v>
      </c>
      <c r="Y4908" s="234">
        <v>7</v>
      </c>
      <c r="Z4908" s="234">
        <v>24</v>
      </c>
      <c r="AA4908" s="235">
        <v>0.4166666666678793</v>
      </c>
      <c r="AB4908" s="236">
        <v>23.6</v>
      </c>
      <c r="AC4908" s="127">
        <f t="shared" si="91"/>
        <v>24</v>
      </c>
    </row>
    <row r="4909" ht="14.5" customHeight="1" spans="11:29" x14ac:dyDescent="0.25">
      <c r="K4909" s="128"/>
      <c r="X4909" s="234">
        <v>2022</v>
      </c>
      <c r="Y4909" s="234">
        <v>7</v>
      </c>
      <c r="Z4909" s="234">
        <v>24</v>
      </c>
      <c r="AA4909" s="235">
        <v>0.4583333333321207</v>
      </c>
      <c r="AB4909" s="236">
        <v>25.1</v>
      </c>
      <c r="AC4909" s="127">
        <f t="shared" si="91"/>
        <v>25</v>
      </c>
    </row>
    <row r="4910" ht="14.5" customHeight="1" spans="11:29" x14ac:dyDescent="0.25">
      <c r="K4910" s="128"/>
      <c r="X4910" s="234">
        <v>2022</v>
      </c>
      <c r="Y4910" s="234">
        <v>7</v>
      </c>
      <c r="Z4910" s="234">
        <v>24</v>
      </c>
      <c r="AA4910" s="235">
        <v>0.5</v>
      </c>
      <c r="AB4910" s="236">
        <v>26</v>
      </c>
      <c r="AC4910" s="127">
        <f t="shared" si="91"/>
        <v>26</v>
      </c>
    </row>
    <row r="4911" ht="14.5" customHeight="1" spans="11:29" x14ac:dyDescent="0.25">
      <c r="K4911" s="128"/>
      <c r="X4911" s="234">
        <v>2022</v>
      </c>
      <c r="Y4911" s="234">
        <v>7</v>
      </c>
      <c r="Z4911" s="234">
        <v>24</v>
      </c>
      <c r="AA4911" s="235">
        <v>0.5416666666678793</v>
      </c>
      <c r="AB4911" s="236">
        <v>26.1</v>
      </c>
      <c r="AC4911" s="127">
        <f t="shared" si="91"/>
        <v>26</v>
      </c>
    </row>
    <row r="4912" ht="14.5" customHeight="1" spans="11:29" x14ac:dyDescent="0.25">
      <c r="K4912" s="128"/>
      <c r="X4912" s="234">
        <v>2022</v>
      </c>
      <c r="Y4912" s="234">
        <v>7</v>
      </c>
      <c r="Z4912" s="234">
        <v>24</v>
      </c>
      <c r="AA4912" s="235">
        <v>0.5833333333321207</v>
      </c>
      <c r="AB4912" s="236">
        <v>25.8</v>
      </c>
      <c r="AC4912" s="127">
        <f t="shared" si="91"/>
        <v>26</v>
      </c>
    </row>
    <row r="4913" ht="14.5" customHeight="1" spans="11:29" x14ac:dyDescent="0.25">
      <c r="K4913" s="128"/>
      <c r="X4913" s="234">
        <v>2022</v>
      </c>
      <c r="Y4913" s="234">
        <v>7</v>
      </c>
      <c r="Z4913" s="234">
        <v>24</v>
      </c>
      <c r="AA4913" s="235">
        <v>0.625</v>
      </c>
      <c r="AB4913" s="236">
        <v>25.9</v>
      </c>
      <c r="AC4913" s="127">
        <f t="shared" si="91"/>
        <v>26</v>
      </c>
    </row>
    <row r="4914" ht="14.5" customHeight="1" spans="11:29" x14ac:dyDescent="0.25">
      <c r="K4914" s="128"/>
      <c r="X4914" s="234">
        <v>2022</v>
      </c>
      <c r="Y4914" s="234">
        <v>7</v>
      </c>
      <c r="Z4914" s="234">
        <v>24</v>
      </c>
      <c r="AA4914" s="235">
        <v>0.6666666666678793</v>
      </c>
      <c r="AB4914" s="236">
        <v>26.3</v>
      </c>
      <c r="AC4914" s="127">
        <f t="shared" si="91"/>
        <v>26</v>
      </c>
    </row>
    <row r="4915" ht="14.5" customHeight="1" spans="11:29" x14ac:dyDescent="0.25">
      <c r="K4915" s="128"/>
      <c r="X4915" s="234">
        <v>2022</v>
      </c>
      <c r="Y4915" s="234">
        <v>7</v>
      </c>
      <c r="Z4915" s="234">
        <v>24</v>
      </c>
      <c r="AA4915" s="235">
        <v>0.7083333333321207</v>
      </c>
      <c r="AB4915" s="236">
        <v>25</v>
      </c>
      <c r="AC4915" s="127">
        <f t="shared" si="91"/>
        <v>25</v>
      </c>
    </row>
    <row r="4916" ht="14.5" customHeight="1" spans="11:29" x14ac:dyDescent="0.25">
      <c r="K4916" s="128"/>
      <c r="X4916" s="234">
        <v>2022</v>
      </c>
      <c r="Y4916" s="234">
        <v>7</v>
      </c>
      <c r="Z4916" s="234">
        <v>24</v>
      </c>
      <c r="AA4916" s="235">
        <v>0.75</v>
      </c>
      <c r="AB4916" s="236">
        <v>24.5</v>
      </c>
      <c r="AC4916" s="127">
        <f t="shared" si="91"/>
        <v>25</v>
      </c>
    </row>
    <row r="4917" ht="14.5" customHeight="1" spans="11:29" x14ac:dyDescent="0.25">
      <c r="K4917" s="128"/>
      <c r="X4917" s="234">
        <v>2022</v>
      </c>
      <c r="Y4917" s="234">
        <v>7</v>
      </c>
      <c r="Z4917" s="234">
        <v>24</v>
      </c>
      <c r="AA4917" s="235">
        <v>0.7916666666678793</v>
      </c>
      <c r="AB4917" s="236">
        <v>22.7</v>
      </c>
      <c r="AC4917" s="127">
        <f t="shared" si="91"/>
        <v>23</v>
      </c>
    </row>
    <row r="4918" ht="14.5" customHeight="1" spans="11:29" x14ac:dyDescent="0.25">
      <c r="K4918" s="128"/>
      <c r="X4918" s="234">
        <v>2022</v>
      </c>
      <c r="Y4918" s="234">
        <v>7</v>
      </c>
      <c r="Z4918" s="234">
        <v>24</v>
      </c>
      <c r="AA4918" s="235">
        <v>0.8333333333321207</v>
      </c>
      <c r="AB4918" s="236">
        <v>21.2</v>
      </c>
      <c r="AC4918" s="127">
        <f t="shared" si="91"/>
        <v>21</v>
      </c>
    </row>
    <row r="4919" ht="14.5" customHeight="1" spans="11:29" x14ac:dyDescent="0.25">
      <c r="K4919" s="128"/>
      <c r="X4919" s="234">
        <v>2022</v>
      </c>
      <c r="Y4919" s="234">
        <v>7</v>
      </c>
      <c r="Z4919" s="234">
        <v>24</v>
      </c>
      <c r="AA4919" s="235">
        <v>0.875</v>
      </c>
      <c r="AB4919" s="236">
        <v>19.9</v>
      </c>
      <c r="AC4919" s="127">
        <f t="shared" si="91"/>
        <v>20</v>
      </c>
    </row>
    <row r="4920" ht="14.5" customHeight="1" spans="11:29" x14ac:dyDescent="0.25">
      <c r="K4920" s="128"/>
      <c r="X4920" s="234">
        <v>2022</v>
      </c>
      <c r="Y4920" s="234">
        <v>7</v>
      </c>
      <c r="Z4920" s="234">
        <v>24</v>
      </c>
      <c r="AA4920" s="235">
        <v>0.9166666666678793</v>
      </c>
      <c r="AB4920" s="236">
        <v>18.6</v>
      </c>
      <c r="AC4920" s="127">
        <f t="shared" si="91"/>
        <v>19</v>
      </c>
    </row>
    <row r="4921" ht="14.5" customHeight="1" spans="11:29" x14ac:dyDescent="0.25">
      <c r="K4921" s="128"/>
      <c r="X4921" s="234">
        <v>2022</v>
      </c>
      <c r="Y4921" s="234">
        <v>7</v>
      </c>
      <c r="Z4921" s="234">
        <v>24</v>
      </c>
      <c r="AA4921" s="235">
        <v>0.9583333333321207</v>
      </c>
      <c r="AB4921" s="236">
        <v>18.6</v>
      </c>
      <c r="AC4921" s="127">
        <f t="shared" si="91"/>
        <v>19</v>
      </c>
    </row>
    <row r="4922" ht="14.5" customHeight="1" spans="11:29" x14ac:dyDescent="0.25">
      <c r="K4922" s="128"/>
      <c r="X4922" s="234">
        <v>2022</v>
      </c>
      <c r="Y4922" s="234">
        <v>7</v>
      </c>
      <c r="Z4922" s="234">
        <v>25</v>
      </c>
      <c r="AA4922" s="235">
        <v>0</v>
      </c>
      <c r="AB4922" s="236">
        <v>18</v>
      </c>
      <c r="AC4922" s="127">
        <f t="shared" si="91"/>
        <v>18</v>
      </c>
    </row>
    <row r="4923" ht="14.5" customHeight="1" spans="11:29" x14ac:dyDescent="0.25">
      <c r="K4923" s="128"/>
      <c r="X4923" s="234">
        <v>2022</v>
      </c>
      <c r="Y4923" s="234">
        <v>7</v>
      </c>
      <c r="Z4923" s="234">
        <v>25</v>
      </c>
      <c r="AA4923" s="235">
        <v>0.041666666667879326</v>
      </c>
      <c r="AB4923" s="236">
        <v>16.5</v>
      </c>
      <c r="AC4923" s="127">
        <f t="shared" si="91"/>
        <v>17</v>
      </c>
    </row>
    <row r="4924" ht="14.5" customHeight="1" spans="11:29" x14ac:dyDescent="0.25">
      <c r="K4924" s="128"/>
      <c r="X4924" s="234">
        <v>2022</v>
      </c>
      <c r="Y4924" s="234">
        <v>7</v>
      </c>
      <c r="Z4924" s="234">
        <v>25</v>
      </c>
      <c r="AA4924" s="235">
        <v>0.08333333333212067</v>
      </c>
      <c r="AB4924" s="236">
        <v>14.8</v>
      </c>
      <c r="AC4924" s="127">
        <f t="shared" si="91"/>
        <v>15</v>
      </c>
    </row>
    <row r="4925" ht="14.5" customHeight="1" spans="11:29" x14ac:dyDescent="0.25">
      <c r="K4925" s="128"/>
      <c r="X4925" s="234">
        <v>2022</v>
      </c>
      <c r="Y4925" s="234">
        <v>7</v>
      </c>
      <c r="Z4925" s="234">
        <v>25</v>
      </c>
      <c r="AA4925" s="235">
        <v>0.125</v>
      </c>
      <c r="AB4925" s="236">
        <v>14</v>
      </c>
      <c r="AC4925" s="127">
        <f t="shared" si="91"/>
        <v>14</v>
      </c>
    </row>
    <row r="4926" ht="14.5" customHeight="1" spans="11:29" x14ac:dyDescent="0.25">
      <c r="K4926" s="128"/>
      <c r="X4926" s="234">
        <v>2022</v>
      </c>
      <c r="Y4926" s="234">
        <v>7</v>
      </c>
      <c r="Z4926" s="234">
        <v>25</v>
      </c>
      <c r="AA4926" s="235">
        <v>0.16666666666787933</v>
      </c>
      <c r="AB4926" s="236">
        <v>13.7</v>
      </c>
      <c r="AC4926" s="127">
        <f t="shared" si="91"/>
        <v>14</v>
      </c>
    </row>
    <row r="4927" ht="14.5" customHeight="1" spans="11:29" x14ac:dyDescent="0.25">
      <c r="K4927" s="128"/>
      <c r="X4927" s="234">
        <v>2022</v>
      </c>
      <c r="Y4927" s="234">
        <v>7</v>
      </c>
      <c r="Z4927" s="234">
        <v>25</v>
      </c>
      <c r="AA4927" s="235">
        <v>0.20833333333212067</v>
      </c>
      <c r="AB4927" s="236">
        <v>13.2</v>
      </c>
      <c r="AC4927" s="127">
        <f t="shared" si="91"/>
        <v>13</v>
      </c>
    </row>
    <row r="4928" ht="14.5" customHeight="1" spans="11:29" x14ac:dyDescent="0.25">
      <c r="K4928" s="128"/>
      <c r="X4928" s="234">
        <v>2022</v>
      </c>
      <c r="Y4928" s="234">
        <v>7</v>
      </c>
      <c r="Z4928" s="234">
        <v>25</v>
      </c>
      <c r="AA4928" s="235">
        <v>0.25</v>
      </c>
      <c r="AB4928" s="236">
        <v>13.1</v>
      </c>
      <c r="AC4928" s="127">
        <f t="shared" si="91"/>
        <v>13</v>
      </c>
    </row>
    <row r="4929" ht="14.5" customHeight="1" spans="11:29" x14ac:dyDescent="0.25">
      <c r="K4929" s="128"/>
      <c r="X4929" s="234">
        <v>2022</v>
      </c>
      <c r="Y4929" s="234">
        <v>7</v>
      </c>
      <c r="Z4929" s="234">
        <v>25</v>
      </c>
      <c r="AA4929" s="235">
        <v>0.2916666666678793</v>
      </c>
      <c r="AB4929" s="236">
        <v>13.2</v>
      </c>
      <c r="AC4929" s="127">
        <f t="shared" si="91"/>
        <v>13</v>
      </c>
    </row>
    <row r="4930" ht="14.5" customHeight="1" spans="11:29" x14ac:dyDescent="0.25">
      <c r="K4930" s="128"/>
      <c r="X4930" s="234">
        <v>2022</v>
      </c>
      <c r="Y4930" s="234">
        <v>7</v>
      </c>
      <c r="Z4930" s="234">
        <v>25</v>
      </c>
      <c r="AA4930" s="235">
        <v>0.3333333333321207</v>
      </c>
      <c r="AB4930" s="236">
        <v>13.7</v>
      </c>
      <c r="AC4930" s="127">
        <f t="shared" si="91"/>
        <v>14</v>
      </c>
    </row>
    <row r="4931" ht="14.5" customHeight="1" spans="11:29" x14ac:dyDescent="0.25">
      <c r="K4931" s="128"/>
      <c r="X4931" s="234">
        <v>2022</v>
      </c>
      <c r="Y4931" s="234">
        <v>7</v>
      </c>
      <c r="Z4931" s="234">
        <v>25</v>
      </c>
      <c r="AA4931" s="235">
        <v>0.375</v>
      </c>
      <c r="AB4931" s="236">
        <v>14.8</v>
      </c>
      <c r="AC4931" s="127">
        <f t="shared" si="91"/>
        <v>15</v>
      </c>
    </row>
    <row r="4932" ht="14.5" customHeight="1" spans="11:29" x14ac:dyDescent="0.25">
      <c r="K4932" s="128"/>
      <c r="X4932" s="234">
        <v>2022</v>
      </c>
      <c r="Y4932" s="234">
        <v>7</v>
      </c>
      <c r="Z4932" s="234">
        <v>25</v>
      </c>
      <c r="AA4932" s="235">
        <v>0.4166666666678793</v>
      </c>
      <c r="AB4932" s="236">
        <v>16</v>
      </c>
      <c r="AC4932" s="127">
        <f t="shared" si="91"/>
        <v>16</v>
      </c>
    </row>
    <row r="4933" ht="14.5" customHeight="1" spans="11:29" x14ac:dyDescent="0.25">
      <c r="K4933" s="128"/>
      <c r="X4933" s="234">
        <v>2022</v>
      </c>
      <c r="Y4933" s="234">
        <v>7</v>
      </c>
      <c r="Z4933" s="234">
        <v>25</v>
      </c>
      <c r="AA4933" s="235">
        <v>0.4583333333321207</v>
      </c>
      <c r="AB4933" s="236">
        <v>17.3</v>
      </c>
      <c r="AC4933" s="127">
        <f t="shared" si="91"/>
        <v>17</v>
      </c>
    </row>
    <row r="4934" ht="14.5" customHeight="1" spans="11:29" x14ac:dyDescent="0.25">
      <c r="K4934" s="128"/>
      <c r="X4934" s="234">
        <v>2022</v>
      </c>
      <c r="Y4934" s="234">
        <v>7</v>
      </c>
      <c r="Z4934" s="234">
        <v>25</v>
      </c>
      <c r="AA4934" s="235">
        <v>0.5</v>
      </c>
      <c r="AB4934" s="236">
        <v>18</v>
      </c>
      <c r="AC4934" s="127">
        <f t="shared" si="91"/>
        <v>18</v>
      </c>
    </row>
    <row r="4935" ht="14.5" customHeight="1" spans="11:29" x14ac:dyDescent="0.25">
      <c r="K4935" s="128"/>
      <c r="X4935" s="234">
        <v>2022</v>
      </c>
      <c r="Y4935" s="234">
        <v>7</v>
      </c>
      <c r="Z4935" s="234">
        <v>25</v>
      </c>
      <c r="AA4935" s="235">
        <v>0.5416666666678793</v>
      </c>
      <c r="AB4935" s="236">
        <v>20.2</v>
      </c>
      <c r="AC4935" s="127">
        <f t="shared" si="91"/>
        <v>20</v>
      </c>
    </row>
    <row r="4936" ht="14.5" customHeight="1" spans="11:29" x14ac:dyDescent="0.25">
      <c r="K4936" s="128"/>
      <c r="X4936" s="234">
        <v>2022</v>
      </c>
      <c r="Y4936" s="234">
        <v>7</v>
      </c>
      <c r="Z4936" s="234">
        <v>25</v>
      </c>
      <c r="AA4936" s="235">
        <v>0.5833333333321207</v>
      </c>
      <c r="AB4936" s="236">
        <v>21.1</v>
      </c>
      <c r="AC4936" s="127">
        <f t="shared" si="91"/>
        <v>21</v>
      </c>
    </row>
    <row r="4937" ht="14.5" customHeight="1" spans="11:29" x14ac:dyDescent="0.25">
      <c r="K4937" s="128"/>
      <c r="X4937" s="234">
        <v>2022</v>
      </c>
      <c r="Y4937" s="234">
        <v>7</v>
      </c>
      <c r="Z4937" s="234">
        <v>25</v>
      </c>
      <c r="AA4937" s="235">
        <v>0.625</v>
      </c>
      <c r="AB4937" s="236">
        <v>20.9</v>
      </c>
      <c r="AC4937" s="127">
        <f t="shared" si="91"/>
        <v>21</v>
      </c>
    </row>
    <row r="4938" ht="14.5" customHeight="1" spans="11:29" x14ac:dyDescent="0.25">
      <c r="K4938" s="128"/>
      <c r="X4938" s="234">
        <v>2022</v>
      </c>
      <c r="Y4938" s="234">
        <v>7</v>
      </c>
      <c r="Z4938" s="234">
        <v>25</v>
      </c>
      <c r="AA4938" s="235">
        <v>0.6666666666678793</v>
      </c>
      <c r="AB4938" s="236">
        <v>20.2</v>
      </c>
      <c r="AC4938" s="127">
        <f t="shared" si="91"/>
        <v>20</v>
      </c>
    </row>
    <row r="4939" ht="14.5" customHeight="1" spans="11:29" x14ac:dyDescent="0.25">
      <c r="K4939" s="128"/>
      <c r="X4939" s="234">
        <v>2022</v>
      </c>
      <c r="Y4939" s="234">
        <v>7</v>
      </c>
      <c r="Z4939" s="234">
        <v>25</v>
      </c>
      <c r="AA4939" s="235">
        <v>0.7083333333321207</v>
      </c>
      <c r="AB4939" s="236">
        <v>19.5</v>
      </c>
      <c r="AC4939" s="127">
        <f t="shared" ref="AC4939:AC5002" si="92">ROUND(AB4939,0)</f>
        <v>20</v>
      </c>
    </row>
    <row r="4940" ht="14.5" customHeight="1" spans="11:29" x14ac:dyDescent="0.25">
      <c r="K4940" s="128"/>
      <c r="X4940" s="234">
        <v>2022</v>
      </c>
      <c r="Y4940" s="234">
        <v>7</v>
      </c>
      <c r="Z4940" s="234">
        <v>25</v>
      </c>
      <c r="AA4940" s="235">
        <v>0.75</v>
      </c>
      <c r="AB4940" s="236">
        <v>19</v>
      </c>
      <c r="AC4940" s="127">
        <f t="shared" si="92"/>
        <v>19</v>
      </c>
    </row>
    <row r="4941" ht="14.5" customHeight="1" spans="11:29" x14ac:dyDescent="0.25">
      <c r="K4941" s="128"/>
      <c r="X4941" s="234">
        <v>2022</v>
      </c>
      <c r="Y4941" s="234">
        <v>7</v>
      </c>
      <c r="Z4941" s="234">
        <v>25</v>
      </c>
      <c r="AA4941" s="235">
        <v>0.7916666666678793</v>
      </c>
      <c r="AB4941" s="236">
        <v>19</v>
      </c>
      <c r="AC4941" s="127">
        <f t="shared" si="92"/>
        <v>19</v>
      </c>
    </row>
    <row r="4942" ht="14.5" customHeight="1" spans="11:29" x14ac:dyDescent="0.25">
      <c r="K4942" s="128"/>
      <c r="X4942" s="234">
        <v>2022</v>
      </c>
      <c r="Y4942" s="234">
        <v>7</v>
      </c>
      <c r="Z4942" s="234">
        <v>25</v>
      </c>
      <c r="AA4942" s="235">
        <v>0.8333333333321207</v>
      </c>
      <c r="AB4942" s="236">
        <v>18.3</v>
      </c>
      <c r="AC4942" s="127">
        <f t="shared" si="92"/>
        <v>18</v>
      </c>
    </row>
    <row r="4943" ht="14.5" customHeight="1" spans="11:29" x14ac:dyDescent="0.25">
      <c r="K4943" s="128"/>
      <c r="X4943" s="234">
        <v>2022</v>
      </c>
      <c r="Y4943" s="234">
        <v>7</v>
      </c>
      <c r="Z4943" s="234">
        <v>25</v>
      </c>
      <c r="AA4943" s="235">
        <v>0.875</v>
      </c>
      <c r="AB4943" s="236">
        <v>17.3</v>
      </c>
      <c r="AC4943" s="127">
        <f t="shared" si="92"/>
        <v>17</v>
      </c>
    </row>
    <row r="4944" ht="14.5" customHeight="1" spans="11:29" x14ac:dyDescent="0.25">
      <c r="K4944" s="128"/>
      <c r="X4944" s="234">
        <v>2022</v>
      </c>
      <c r="Y4944" s="234">
        <v>7</v>
      </c>
      <c r="Z4944" s="234">
        <v>25</v>
      </c>
      <c r="AA4944" s="235">
        <v>0.9166666666678793</v>
      </c>
      <c r="AB4944" s="236">
        <v>16.9</v>
      </c>
      <c r="AC4944" s="127">
        <f t="shared" si="92"/>
        <v>17</v>
      </c>
    </row>
    <row r="4945" ht="14.5" customHeight="1" spans="11:29" x14ac:dyDescent="0.25">
      <c r="K4945" s="128"/>
      <c r="X4945" s="234">
        <v>2022</v>
      </c>
      <c r="Y4945" s="234">
        <v>7</v>
      </c>
      <c r="Z4945" s="234">
        <v>25</v>
      </c>
      <c r="AA4945" s="235">
        <v>0.9583333333321207</v>
      </c>
      <c r="AB4945" s="236">
        <v>16</v>
      </c>
      <c r="AC4945" s="127">
        <f t="shared" si="92"/>
        <v>16</v>
      </c>
    </row>
    <row r="4946" ht="14.5" customHeight="1" spans="11:29" x14ac:dyDescent="0.25">
      <c r="K4946" s="128"/>
      <c r="X4946" s="234">
        <v>2022</v>
      </c>
      <c r="Y4946" s="234">
        <v>7</v>
      </c>
      <c r="Z4946" s="234">
        <v>26</v>
      </c>
      <c r="AA4946" s="235">
        <v>0</v>
      </c>
      <c r="AB4946" s="236">
        <v>15.4</v>
      </c>
      <c r="AC4946" s="127">
        <f t="shared" si="92"/>
        <v>15</v>
      </c>
    </row>
    <row r="4947" ht="14.5" customHeight="1" spans="11:29" x14ac:dyDescent="0.25">
      <c r="K4947" s="128"/>
      <c r="X4947" s="234">
        <v>2022</v>
      </c>
      <c r="Y4947" s="234">
        <v>7</v>
      </c>
      <c r="Z4947" s="234">
        <v>26</v>
      </c>
      <c r="AA4947" s="235">
        <v>0.041666666667879326</v>
      </c>
      <c r="AB4947" s="236">
        <v>14.6</v>
      </c>
      <c r="AC4947" s="127">
        <f t="shared" si="92"/>
        <v>15</v>
      </c>
    </row>
    <row r="4948" ht="14.5" customHeight="1" spans="11:29" x14ac:dyDescent="0.25">
      <c r="K4948" s="128"/>
      <c r="X4948" s="234">
        <v>2022</v>
      </c>
      <c r="Y4948" s="234">
        <v>7</v>
      </c>
      <c r="Z4948" s="234">
        <v>26</v>
      </c>
      <c r="AA4948" s="235">
        <v>0.08333333333212067</v>
      </c>
      <c r="AB4948" s="236">
        <v>13.4</v>
      </c>
      <c r="AC4948" s="127">
        <f t="shared" si="92"/>
        <v>13</v>
      </c>
    </row>
    <row r="4949" ht="14.5" customHeight="1" spans="11:29" x14ac:dyDescent="0.25">
      <c r="K4949" s="128"/>
      <c r="X4949" s="234">
        <v>2022</v>
      </c>
      <c r="Y4949" s="234">
        <v>7</v>
      </c>
      <c r="Z4949" s="234">
        <v>26</v>
      </c>
      <c r="AA4949" s="235">
        <v>0.125</v>
      </c>
      <c r="AB4949" s="236">
        <v>13.1</v>
      </c>
      <c r="AC4949" s="127">
        <f t="shared" si="92"/>
        <v>13</v>
      </c>
    </row>
    <row r="4950" ht="14.5" customHeight="1" spans="11:29" x14ac:dyDescent="0.25">
      <c r="K4950" s="128"/>
      <c r="X4950" s="234">
        <v>2022</v>
      </c>
      <c r="Y4950" s="234">
        <v>7</v>
      </c>
      <c r="Z4950" s="234">
        <v>26</v>
      </c>
      <c r="AA4950" s="235">
        <v>0.16666666666787933</v>
      </c>
      <c r="AB4950" s="236">
        <v>14</v>
      </c>
      <c r="AC4950" s="127">
        <f t="shared" si="92"/>
        <v>14</v>
      </c>
    </row>
    <row r="4951" ht="14.5" customHeight="1" spans="11:29" x14ac:dyDescent="0.25">
      <c r="K4951" s="128"/>
      <c r="X4951" s="234">
        <v>2022</v>
      </c>
      <c r="Y4951" s="234">
        <v>7</v>
      </c>
      <c r="Z4951" s="234">
        <v>26</v>
      </c>
      <c r="AA4951" s="235">
        <v>0.20833333333212067</v>
      </c>
      <c r="AB4951" s="236">
        <v>13.9</v>
      </c>
      <c r="AC4951" s="127">
        <f t="shared" si="92"/>
        <v>14</v>
      </c>
    </row>
    <row r="4952" ht="14.5" customHeight="1" spans="11:29" x14ac:dyDescent="0.25">
      <c r="K4952" s="128"/>
      <c r="X4952" s="234">
        <v>2022</v>
      </c>
      <c r="Y4952" s="234">
        <v>7</v>
      </c>
      <c r="Z4952" s="234">
        <v>26</v>
      </c>
      <c r="AA4952" s="235">
        <v>0.25</v>
      </c>
      <c r="AB4952" s="236">
        <v>14.4</v>
      </c>
      <c r="AC4952" s="127">
        <f t="shared" si="92"/>
        <v>14</v>
      </c>
    </row>
    <row r="4953" ht="14.5" customHeight="1" spans="11:29" x14ac:dyDescent="0.25">
      <c r="K4953" s="128"/>
      <c r="X4953" s="234">
        <v>2022</v>
      </c>
      <c r="Y4953" s="234">
        <v>7</v>
      </c>
      <c r="Z4953" s="234">
        <v>26</v>
      </c>
      <c r="AA4953" s="235">
        <v>0.2916666666678793</v>
      </c>
      <c r="AB4953" s="236">
        <v>15.8</v>
      </c>
      <c r="AC4953" s="127">
        <f t="shared" si="92"/>
        <v>16</v>
      </c>
    </row>
    <row r="4954" ht="14.5" customHeight="1" spans="11:29" x14ac:dyDescent="0.25">
      <c r="K4954" s="128"/>
      <c r="X4954" s="234">
        <v>2022</v>
      </c>
      <c r="Y4954" s="234">
        <v>7</v>
      </c>
      <c r="Z4954" s="234">
        <v>26</v>
      </c>
      <c r="AA4954" s="235">
        <v>0.3333333333321207</v>
      </c>
      <c r="AB4954" s="236">
        <v>17</v>
      </c>
      <c r="AC4954" s="127">
        <f t="shared" si="92"/>
        <v>17</v>
      </c>
    </row>
    <row r="4955" ht="14.5" customHeight="1" spans="11:29" x14ac:dyDescent="0.25">
      <c r="K4955" s="128"/>
      <c r="X4955" s="234">
        <v>2022</v>
      </c>
      <c r="Y4955" s="234">
        <v>7</v>
      </c>
      <c r="Z4955" s="234">
        <v>26</v>
      </c>
      <c r="AA4955" s="235">
        <v>0.375</v>
      </c>
      <c r="AB4955" s="236">
        <v>18.7</v>
      </c>
      <c r="AC4955" s="127">
        <f t="shared" si="92"/>
        <v>19</v>
      </c>
    </row>
    <row r="4956" ht="14.5" customHeight="1" spans="11:29" x14ac:dyDescent="0.25">
      <c r="K4956" s="128"/>
      <c r="X4956" s="234">
        <v>2022</v>
      </c>
      <c r="Y4956" s="234">
        <v>7</v>
      </c>
      <c r="Z4956" s="234">
        <v>26</v>
      </c>
      <c r="AA4956" s="235">
        <v>0.4166666666678793</v>
      </c>
      <c r="AB4956" s="236">
        <v>18.8</v>
      </c>
      <c r="AC4956" s="127">
        <f t="shared" si="92"/>
        <v>19</v>
      </c>
    </row>
    <row r="4957" ht="14.5" customHeight="1" spans="11:29" x14ac:dyDescent="0.25">
      <c r="K4957" s="128"/>
      <c r="X4957" s="234">
        <v>2022</v>
      </c>
      <c r="Y4957" s="234">
        <v>7</v>
      </c>
      <c r="Z4957" s="234">
        <v>26</v>
      </c>
      <c r="AA4957" s="235">
        <v>0.4583333333321207</v>
      </c>
      <c r="AB4957" s="236">
        <v>19.2</v>
      </c>
      <c r="AC4957" s="127">
        <f t="shared" si="92"/>
        <v>19</v>
      </c>
    </row>
    <row r="4958" ht="14.5" customHeight="1" spans="11:29" x14ac:dyDescent="0.25">
      <c r="K4958" s="128"/>
      <c r="X4958" s="234">
        <v>2022</v>
      </c>
      <c r="Y4958" s="234">
        <v>7</v>
      </c>
      <c r="Z4958" s="234">
        <v>26</v>
      </c>
      <c r="AA4958" s="235">
        <v>0.5</v>
      </c>
      <c r="AB4958" s="236">
        <v>20.9</v>
      </c>
      <c r="AC4958" s="127">
        <f t="shared" si="92"/>
        <v>21</v>
      </c>
    </row>
    <row r="4959" ht="14.5" customHeight="1" spans="11:29" x14ac:dyDescent="0.25">
      <c r="K4959" s="128"/>
      <c r="X4959" s="234">
        <v>2022</v>
      </c>
      <c r="Y4959" s="234">
        <v>7</v>
      </c>
      <c r="Z4959" s="234">
        <v>26</v>
      </c>
      <c r="AA4959" s="235">
        <v>0.5416666666678793</v>
      </c>
      <c r="AB4959" s="236">
        <v>22.3</v>
      </c>
      <c r="AC4959" s="127">
        <f t="shared" si="92"/>
        <v>22</v>
      </c>
    </row>
    <row r="4960" ht="14.5" customHeight="1" spans="11:29" x14ac:dyDescent="0.25">
      <c r="K4960" s="128"/>
      <c r="X4960" s="234">
        <v>2022</v>
      </c>
      <c r="Y4960" s="234">
        <v>7</v>
      </c>
      <c r="Z4960" s="234">
        <v>26</v>
      </c>
      <c r="AA4960" s="235">
        <v>0.5833333333321207</v>
      </c>
      <c r="AB4960" s="236">
        <v>22.2</v>
      </c>
      <c r="AC4960" s="127">
        <f t="shared" si="92"/>
        <v>22</v>
      </c>
    </row>
    <row r="4961" ht="14.5" customHeight="1" spans="11:29" x14ac:dyDescent="0.25">
      <c r="K4961" s="128"/>
      <c r="X4961" s="234">
        <v>2022</v>
      </c>
      <c r="Y4961" s="234">
        <v>7</v>
      </c>
      <c r="Z4961" s="234">
        <v>26</v>
      </c>
      <c r="AA4961" s="235">
        <v>0.625</v>
      </c>
      <c r="AB4961" s="236">
        <v>22.8</v>
      </c>
      <c r="AC4961" s="127">
        <f t="shared" si="92"/>
        <v>23</v>
      </c>
    </row>
    <row r="4962" ht="14.5" customHeight="1" spans="11:29" x14ac:dyDescent="0.25">
      <c r="K4962" s="128"/>
      <c r="X4962" s="234">
        <v>2022</v>
      </c>
      <c r="Y4962" s="234">
        <v>7</v>
      </c>
      <c r="Z4962" s="234">
        <v>26</v>
      </c>
      <c r="AA4962" s="235">
        <v>0.6666666666678793</v>
      </c>
      <c r="AB4962" s="236">
        <v>23.2</v>
      </c>
      <c r="AC4962" s="127">
        <f t="shared" si="92"/>
        <v>23</v>
      </c>
    </row>
    <row r="4963" ht="14.5" customHeight="1" spans="11:29" x14ac:dyDescent="0.25">
      <c r="K4963" s="128"/>
      <c r="X4963" s="234">
        <v>2022</v>
      </c>
      <c r="Y4963" s="234">
        <v>7</v>
      </c>
      <c r="Z4963" s="234">
        <v>26</v>
      </c>
      <c r="AA4963" s="235">
        <v>0.7083333333321207</v>
      </c>
      <c r="AB4963" s="236">
        <v>23.4</v>
      </c>
      <c r="AC4963" s="127">
        <f t="shared" si="92"/>
        <v>23</v>
      </c>
    </row>
    <row r="4964" ht="14.5" customHeight="1" spans="11:29" x14ac:dyDescent="0.25">
      <c r="K4964" s="128"/>
      <c r="X4964" s="234">
        <v>2022</v>
      </c>
      <c r="Y4964" s="234">
        <v>7</v>
      </c>
      <c r="Z4964" s="234">
        <v>26</v>
      </c>
      <c r="AA4964" s="235">
        <v>0.75</v>
      </c>
      <c r="AB4964" s="236">
        <v>23</v>
      </c>
      <c r="AC4964" s="127">
        <f t="shared" si="92"/>
        <v>23</v>
      </c>
    </row>
    <row r="4965" ht="14.5" customHeight="1" spans="11:29" x14ac:dyDescent="0.25">
      <c r="K4965" s="128"/>
      <c r="X4965" s="234">
        <v>2022</v>
      </c>
      <c r="Y4965" s="234">
        <v>7</v>
      </c>
      <c r="Z4965" s="234">
        <v>26</v>
      </c>
      <c r="AA4965" s="235">
        <v>0.7916666666678793</v>
      </c>
      <c r="AB4965" s="236">
        <v>21</v>
      </c>
      <c r="AC4965" s="127">
        <f t="shared" si="92"/>
        <v>21</v>
      </c>
    </row>
    <row r="4966" ht="14.5" customHeight="1" spans="11:29" x14ac:dyDescent="0.25">
      <c r="K4966" s="128"/>
      <c r="X4966" s="234">
        <v>2022</v>
      </c>
      <c r="Y4966" s="234">
        <v>7</v>
      </c>
      <c r="Z4966" s="234">
        <v>26</v>
      </c>
      <c r="AA4966" s="235">
        <v>0.8333333333321207</v>
      </c>
      <c r="AB4966" s="236">
        <v>19.6</v>
      </c>
      <c r="AC4966" s="127">
        <f t="shared" si="92"/>
        <v>20</v>
      </c>
    </row>
    <row r="4967" ht="14.5" customHeight="1" spans="11:29" x14ac:dyDescent="0.25">
      <c r="K4967" s="128"/>
      <c r="X4967" s="234">
        <v>2022</v>
      </c>
      <c r="Y4967" s="234">
        <v>7</v>
      </c>
      <c r="Z4967" s="234">
        <v>26</v>
      </c>
      <c r="AA4967" s="235">
        <v>0.875</v>
      </c>
      <c r="AB4967" s="236">
        <v>18.5</v>
      </c>
      <c r="AC4967" s="127">
        <f t="shared" si="92"/>
        <v>19</v>
      </c>
    </row>
    <row r="4968" ht="14.5" customHeight="1" spans="11:29" x14ac:dyDescent="0.25">
      <c r="K4968" s="128"/>
      <c r="X4968" s="234">
        <v>2022</v>
      </c>
      <c r="Y4968" s="234">
        <v>7</v>
      </c>
      <c r="Z4968" s="234">
        <v>26</v>
      </c>
      <c r="AA4968" s="235">
        <v>0.9166666666678793</v>
      </c>
      <c r="AB4968" s="236">
        <v>16.4</v>
      </c>
      <c r="AC4968" s="127">
        <f t="shared" si="92"/>
        <v>16</v>
      </c>
    </row>
    <row r="4969" ht="14.5" customHeight="1" spans="11:29" x14ac:dyDescent="0.25">
      <c r="K4969" s="128"/>
      <c r="X4969" s="234">
        <v>2022</v>
      </c>
      <c r="Y4969" s="234">
        <v>7</v>
      </c>
      <c r="Z4969" s="234">
        <v>26</v>
      </c>
      <c r="AA4969" s="235">
        <v>0.9583333333321207</v>
      </c>
      <c r="AB4969" s="236">
        <v>15.5</v>
      </c>
      <c r="AC4969" s="127">
        <f t="shared" si="92"/>
        <v>16</v>
      </c>
    </row>
    <row r="4970" ht="14.5" customHeight="1" spans="11:29" x14ac:dyDescent="0.25">
      <c r="K4970" s="128"/>
      <c r="X4970" s="234">
        <v>2022</v>
      </c>
      <c r="Y4970" s="234">
        <v>7</v>
      </c>
      <c r="Z4970" s="234">
        <v>27</v>
      </c>
      <c r="AA4970" s="235">
        <v>0</v>
      </c>
      <c r="AB4970" s="236">
        <v>15.7</v>
      </c>
      <c r="AC4970" s="127">
        <f t="shared" si="92"/>
        <v>16</v>
      </c>
    </row>
    <row r="4971" ht="14.5" customHeight="1" spans="11:29" x14ac:dyDescent="0.25">
      <c r="K4971" s="128"/>
      <c r="X4971" s="234">
        <v>2022</v>
      </c>
      <c r="Y4971" s="234">
        <v>7</v>
      </c>
      <c r="Z4971" s="234">
        <v>27</v>
      </c>
      <c r="AA4971" s="235">
        <v>0.041666666667879326</v>
      </c>
      <c r="AB4971" s="236">
        <v>16.3</v>
      </c>
      <c r="AC4971" s="127">
        <f t="shared" si="92"/>
        <v>16</v>
      </c>
    </row>
    <row r="4972" ht="14.5" customHeight="1" spans="11:29" x14ac:dyDescent="0.25">
      <c r="K4972" s="128"/>
      <c r="X4972" s="234">
        <v>2022</v>
      </c>
      <c r="Y4972" s="234">
        <v>7</v>
      </c>
      <c r="Z4972" s="234">
        <v>27</v>
      </c>
      <c r="AA4972" s="235">
        <v>0.08333333333212067</v>
      </c>
      <c r="AB4972" s="236">
        <v>16.3</v>
      </c>
      <c r="AC4972" s="127">
        <f t="shared" si="92"/>
        <v>16</v>
      </c>
    </row>
    <row r="4973" ht="14.5" customHeight="1" spans="11:29" x14ac:dyDescent="0.25">
      <c r="K4973" s="128"/>
      <c r="X4973" s="234">
        <v>2022</v>
      </c>
      <c r="Y4973" s="234">
        <v>7</v>
      </c>
      <c r="Z4973" s="234">
        <v>27</v>
      </c>
      <c r="AA4973" s="235">
        <v>0.125</v>
      </c>
      <c r="AB4973" s="236">
        <v>14.5</v>
      </c>
      <c r="AC4973" s="127">
        <f t="shared" si="92"/>
        <v>15</v>
      </c>
    </row>
    <row r="4974" ht="14.5" customHeight="1" spans="11:29" x14ac:dyDescent="0.25">
      <c r="K4974" s="128"/>
      <c r="X4974" s="234">
        <v>2022</v>
      </c>
      <c r="Y4974" s="234">
        <v>7</v>
      </c>
      <c r="Z4974" s="234">
        <v>27</v>
      </c>
      <c r="AA4974" s="235">
        <v>0.16666666666787933</v>
      </c>
      <c r="AB4974" s="236">
        <v>13.8</v>
      </c>
      <c r="AC4974" s="127">
        <f t="shared" si="92"/>
        <v>14</v>
      </c>
    </row>
    <row r="4975" ht="14.5" customHeight="1" spans="11:29" x14ac:dyDescent="0.25">
      <c r="K4975" s="128"/>
      <c r="X4975" s="234">
        <v>2022</v>
      </c>
      <c r="Y4975" s="234">
        <v>7</v>
      </c>
      <c r="Z4975" s="234">
        <v>27</v>
      </c>
      <c r="AA4975" s="235">
        <v>0.20833333333212067</v>
      </c>
      <c r="AB4975" s="236">
        <v>13.6</v>
      </c>
      <c r="AC4975" s="127">
        <f t="shared" si="92"/>
        <v>14</v>
      </c>
    </row>
    <row r="4976" ht="14.5" customHeight="1" spans="11:29" x14ac:dyDescent="0.25">
      <c r="K4976" s="128"/>
      <c r="X4976" s="234">
        <v>2022</v>
      </c>
      <c r="Y4976" s="234">
        <v>7</v>
      </c>
      <c r="Z4976" s="234">
        <v>27</v>
      </c>
      <c r="AA4976" s="235">
        <v>0.25</v>
      </c>
      <c r="AB4976" s="236">
        <v>15.1</v>
      </c>
      <c r="AC4976" s="127">
        <f t="shared" si="92"/>
        <v>15</v>
      </c>
    </row>
    <row r="4977" ht="14.5" customHeight="1" spans="11:29" x14ac:dyDescent="0.25">
      <c r="K4977" s="128"/>
      <c r="X4977" s="234">
        <v>2022</v>
      </c>
      <c r="Y4977" s="234">
        <v>7</v>
      </c>
      <c r="Z4977" s="234">
        <v>27</v>
      </c>
      <c r="AA4977" s="235">
        <v>0.2916666666678793</v>
      </c>
      <c r="AB4977" s="236">
        <v>17.2</v>
      </c>
      <c r="AC4977" s="127">
        <f t="shared" si="92"/>
        <v>17</v>
      </c>
    </row>
    <row r="4978" ht="14.5" customHeight="1" spans="11:29" x14ac:dyDescent="0.25">
      <c r="K4978" s="128"/>
      <c r="X4978" s="234">
        <v>2022</v>
      </c>
      <c r="Y4978" s="234">
        <v>7</v>
      </c>
      <c r="Z4978" s="234">
        <v>27</v>
      </c>
      <c r="AA4978" s="235">
        <v>0.3333333333321207</v>
      </c>
      <c r="AB4978" s="236">
        <v>19</v>
      </c>
      <c r="AC4978" s="127">
        <f t="shared" si="92"/>
        <v>19</v>
      </c>
    </row>
    <row r="4979" ht="14.5" customHeight="1" spans="11:29" x14ac:dyDescent="0.25">
      <c r="K4979" s="128"/>
      <c r="X4979" s="234">
        <v>2022</v>
      </c>
      <c r="Y4979" s="234">
        <v>7</v>
      </c>
      <c r="Z4979" s="234">
        <v>27</v>
      </c>
      <c r="AA4979" s="235">
        <v>0.375</v>
      </c>
      <c r="AB4979" s="236">
        <v>20</v>
      </c>
      <c r="AC4979" s="127">
        <f t="shared" si="92"/>
        <v>20</v>
      </c>
    </row>
    <row r="4980" ht="14.5" customHeight="1" spans="11:29" x14ac:dyDescent="0.25">
      <c r="K4980" s="128"/>
      <c r="X4980" s="234">
        <v>2022</v>
      </c>
      <c r="Y4980" s="234">
        <v>7</v>
      </c>
      <c r="Z4980" s="234">
        <v>27</v>
      </c>
      <c r="AA4980" s="235">
        <v>0.4166666666678793</v>
      </c>
      <c r="AB4980" s="236">
        <v>23</v>
      </c>
      <c r="AC4980" s="127">
        <f t="shared" si="92"/>
        <v>23</v>
      </c>
    </row>
    <row r="4981" ht="14.5" customHeight="1" spans="11:29" x14ac:dyDescent="0.25">
      <c r="K4981" s="128"/>
      <c r="X4981" s="234">
        <v>2022</v>
      </c>
      <c r="Y4981" s="234">
        <v>7</v>
      </c>
      <c r="Z4981" s="234">
        <v>27</v>
      </c>
      <c r="AA4981" s="235">
        <v>0.4583333333321207</v>
      </c>
      <c r="AB4981" s="236">
        <v>24.9</v>
      </c>
      <c r="AC4981" s="127">
        <f t="shared" si="92"/>
        <v>25</v>
      </c>
    </row>
    <row r="4982" ht="14.5" customHeight="1" spans="11:29" x14ac:dyDescent="0.25">
      <c r="K4982" s="128"/>
      <c r="X4982" s="234">
        <v>2022</v>
      </c>
      <c r="Y4982" s="234">
        <v>7</v>
      </c>
      <c r="Z4982" s="234">
        <v>27</v>
      </c>
      <c r="AA4982" s="235">
        <v>0.5</v>
      </c>
      <c r="AB4982" s="236">
        <v>25.4</v>
      </c>
      <c r="AC4982" s="127">
        <f t="shared" si="92"/>
        <v>25</v>
      </c>
    </row>
    <row r="4983" ht="14.5" customHeight="1" spans="11:29" x14ac:dyDescent="0.25">
      <c r="K4983" s="128"/>
      <c r="X4983" s="234">
        <v>2022</v>
      </c>
      <c r="Y4983" s="234">
        <v>7</v>
      </c>
      <c r="Z4983" s="234">
        <v>27</v>
      </c>
      <c r="AA4983" s="235">
        <v>0.5416666666678793</v>
      </c>
      <c r="AB4983" s="236">
        <v>26.8</v>
      </c>
      <c r="AC4983" s="127">
        <f t="shared" si="92"/>
        <v>27</v>
      </c>
    </row>
    <row r="4984" ht="14.5" customHeight="1" spans="11:29" x14ac:dyDescent="0.25">
      <c r="K4984" s="128"/>
      <c r="X4984" s="234">
        <v>2022</v>
      </c>
      <c r="Y4984" s="234">
        <v>7</v>
      </c>
      <c r="Z4984" s="234">
        <v>27</v>
      </c>
      <c r="AA4984" s="235">
        <v>0.5833333333321207</v>
      </c>
      <c r="AB4984" s="236">
        <v>27</v>
      </c>
      <c r="AC4984" s="127">
        <f t="shared" si="92"/>
        <v>27</v>
      </c>
    </row>
    <row r="4985" ht="14.5" customHeight="1" spans="11:29" x14ac:dyDescent="0.25">
      <c r="K4985" s="128"/>
      <c r="X4985" s="234">
        <v>2022</v>
      </c>
      <c r="Y4985" s="234">
        <v>7</v>
      </c>
      <c r="Z4985" s="234">
        <v>27</v>
      </c>
      <c r="AA4985" s="235">
        <v>0.625</v>
      </c>
      <c r="AB4985" s="236">
        <v>26.8</v>
      </c>
      <c r="AC4985" s="127">
        <f t="shared" si="92"/>
        <v>27</v>
      </c>
    </row>
    <row r="4986" ht="14.5" customHeight="1" spans="11:29" x14ac:dyDescent="0.25">
      <c r="K4986" s="128"/>
      <c r="X4986" s="234">
        <v>2022</v>
      </c>
      <c r="Y4986" s="234">
        <v>7</v>
      </c>
      <c r="Z4986" s="234">
        <v>27</v>
      </c>
      <c r="AA4986" s="235">
        <v>0.6666666666678793</v>
      </c>
      <c r="AB4986" s="236">
        <v>26.9</v>
      </c>
      <c r="AC4986" s="127">
        <f t="shared" si="92"/>
        <v>27</v>
      </c>
    </row>
    <row r="4987" ht="14.5" customHeight="1" spans="11:29" x14ac:dyDescent="0.25">
      <c r="K4987" s="128"/>
      <c r="X4987" s="234">
        <v>2022</v>
      </c>
      <c r="Y4987" s="234">
        <v>7</v>
      </c>
      <c r="Z4987" s="234">
        <v>27</v>
      </c>
      <c r="AA4987" s="235">
        <v>0.7083333333321207</v>
      </c>
      <c r="AB4987" s="236">
        <v>27.1</v>
      </c>
      <c r="AC4987" s="127">
        <f t="shared" si="92"/>
        <v>27</v>
      </c>
    </row>
    <row r="4988" ht="14.5" customHeight="1" spans="11:29" x14ac:dyDescent="0.25">
      <c r="K4988" s="128"/>
      <c r="X4988" s="234">
        <v>2022</v>
      </c>
      <c r="Y4988" s="234">
        <v>7</v>
      </c>
      <c r="Z4988" s="234">
        <v>27</v>
      </c>
      <c r="AA4988" s="235">
        <v>0.75</v>
      </c>
      <c r="AB4988" s="236">
        <v>26.2</v>
      </c>
      <c r="AC4988" s="127">
        <f t="shared" si="92"/>
        <v>26</v>
      </c>
    </row>
    <row r="4989" ht="14.5" customHeight="1" spans="11:29" x14ac:dyDescent="0.25">
      <c r="K4989" s="128"/>
      <c r="X4989" s="234">
        <v>2022</v>
      </c>
      <c r="Y4989" s="234">
        <v>7</v>
      </c>
      <c r="Z4989" s="234">
        <v>27</v>
      </c>
      <c r="AA4989" s="235">
        <v>0.7916666666678793</v>
      </c>
      <c r="AB4989" s="236">
        <v>24.6</v>
      </c>
      <c r="AC4989" s="127">
        <f t="shared" si="92"/>
        <v>25</v>
      </c>
    </row>
    <row r="4990" ht="14.5" customHeight="1" spans="11:29" x14ac:dyDescent="0.25">
      <c r="K4990" s="128"/>
      <c r="X4990" s="234">
        <v>2022</v>
      </c>
      <c r="Y4990" s="234">
        <v>7</v>
      </c>
      <c r="Z4990" s="234">
        <v>27</v>
      </c>
      <c r="AA4990" s="235">
        <v>0.8333333333321207</v>
      </c>
      <c r="AB4990" s="236">
        <v>22.7</v>
      </c>
      <c r="AC4990" s="127">
        <f t="shared" si="92"/>
        <v>23</v>
      </c>
    </row>
    <row r="4991" ht="14.5" customHeight="1" spans="11:29" x14ac:dyDescent="0.25">
      <c r="K4991" s="128"/>
      <c r="X4991" s="234">
        <v>2022</v>
      </c>
      <c r="Y4991" s="234">
        <v>7</v>
      </c>
      <c r="Z4991" s="234">
        <v>27</v>
      </c>
      <c r="AA4991" s="235">
        <v>0.875</v>
      </c>
      <c r="AB4991" s="236">
        <v>20.8</v>
      </c>
      <c r="AC4991" s="127">
        <f t="shared" si="92"/>
        <v>21</v>
      </c>
    </row>
    <row r="4992" ht="14.5" customHeight="1" spans="11:29" x14ac:dyDescent="0.25">
      <c r="K4992" s="128"/>
      <c r="X4992" s="234">
        <v>2022</v>
      </c>
      <c r="Y4992" s="234">
        <v>7</v>
      </c>
      <c r="Z4992" s="234">
        <v>27</v>
      </c>
      <c r="AA4992" s="235">
        <v>0.9166666666678793</v>
      </c>
      <c r="AB4992" s="236">
        <v>19.7</v>
      </c>
      <c r="AC4992" s="127">
        <f t="shared" si="92"/>
        <v>20</v>
      </c>
    </row>
    <row r="4993" ht="14.5" customHeight="1" spans="11:29" x14ac:dyDescent="0.25">
      <c r="K4993" s="128"/>
      <c r="X4993" s="234">
        <v>2022</v>
      </c>
      <c r="Y4993" s="234">
        <v>7</v>
      </c>
      <c r="Z4993" s="234">
        <v>27</v>
      </c>
      <c r="AA4993" s="235">
        <v>0.9583333333321207</v>
      </c>
      <c r="AB4993" s="236">
        <v>18.2</v>
      </c>
      <c r="AC4993" s="127">
        <f t="shared" si="92"/>
        <v>18</v>
      </c>
    </row>
    <row r="4994" ht="14.5" customHeight="1" spans="11:29" x14ac:dyDescent="0.25">
      <c r="K4994" s="128"/>
      <c r="X4994" s="234">
        <v>2022</v>
      </c>
      <c r="Y4994" s="234">
        <v>7</v>
      </c>
      <c r="Z4994" s="234">
        <v>28</v>
      </c>
      <c r="AA4994" s="235">
        <v>0</v>
      </c>
      <c r="AB4994" s="236">
        <v>16.7</v>
      </c>
      <c r="AC4994" s="127">
        <f t="shared" si="92"/>
        <v>17</v>
      </c>
    </row>
    <row r="4995" ht="14.5" customHeight="1" spans="11:29" x14ac:dyDescent="0.25">
      <c r="K4995" s="128"/>
      <c r="X4995" s="234">
        <v>2022</v>
      </c>
      <c r="Y4995" s="234">
        <v>7</v>
      </c>
      <c r="Z4995" s="234">
        <v>28</v>
      </c>
      <c r="AA4995" s="235">
        <v>0.041666666667879326</v>
      </c>
      <c r="AB4995" s="236">
        <v>16.1</v>
      </c>
      <c r="AC4995" s="127">
        <f t="shared" si="92"/>
        <v>16</v>
      </c>
    </row>
    <row r="4996" ht="14.5" customHeight="1" spans="11:29" x14ac:dyDescent="0.25">
      <c r="K4996" s="128"/>
      <c r="X4996" s="234">
        <v>2022</v>
      </c>
      <c r="Y4996" s="234">
        <v>7</v>
      </c>
      <c r="Z4996" s="234">
        <v>28</v>
      </c>
      <c r="AA4996" s="235">
        <v>0.08333333333212067</v>
      </c>
      <c r="AB4996" s="236">
        <v>15.1</v>
      </c>
      <c r="AC4996" s="127">
        <f t="shared" si="92"/>
        <v>15</v>
      </c>
    </row>
    <row r="4997" ht="14.5" customHeight="1" spans="11:29" x14ac:dyDescent="0.25">
      <c r="K4997" s="128"/>
      <c r="X4997" s="234">
        <v>2022</v>
      </c>
      <c r="Y4997" s="234">
        <v>7</v>
      </c>
      <c r="Z4997" s="234">
        <v>28</v>
      </c>
      <c r="AA4997" s="235">
        <v>0.125</v>
      </c>
      <c r="AB4997" s="236">
        <v>14.7</v>
      </c>
      <c r="AC4997" s="127">
        <f t="shared" si="92"/>
        <v>15</v>
      </c>
    </row>
    <row r="4998" ht="14.5" customHeight="1" spans="11:29" x14ac:dyDescent="0.25">
      <c r="K4998" s="128"/>
      <c r="X4998" s="234">
        <v>2022</v>
      </c>
      <c r="Y4998" s="234">
        <v>7</v>
      </c>
      <c r="Z4998" s="234">
        <v>28</v>
      </c>
      <c r="AA4998" s="235">
        <v>0.16666666666787933</v>
      </c>
      <c r="AB4998" s="236">
        <v>14.5</v>
      </c>
      <c r="AC4998" s="127">
        <f t="shared" si="92"/>
        <v>15</v>
      </c>
    </row>
    <row r="4999" ht="14.5" customHeight="1" spans="11:29" x14ac:dyDescent="0.25">
      <c r="K4999" s="128"/>
      <c r="X4999" s="234">
        <v>2022</v>
      </c>
      <c r="Y4999" s="234">
        <v>7</v>
      </c>
      <c r="Z4999" s="234">
        <v>28</v>
      </c>
      <c r="AA4999" s="235">
        <v>0.20833333333212067</v>
      </c>
      <c r="AB4999" s="236">
        <v>14</v>
      </c>
      <c r="AC4999" s="127">
        <f t="shared" si="92"/>
        <v>14</v>
      </c>
    </row>
    <row r="5000" ht="14.5" customHeight="1" spans="11:29" x14ac:dyDescent="0.25">
      <c r="K5000" s="128"/>
      <c r="X5000" s="234">
        <v>2022</v>
      </c>
      <c r="Y5000" s="234">
        <v>7</v>
      </c>
      <c r="Z5000" s="234">
        <v>28</v>
      </c>
      <c r="AA5000" s="235">
        <v>0.25</v>
      </c>
      <c r="AB5000" s="236">
        <v>15.2</v>
      </c>
      <c r="AC5000" s="127">
        <f t="shared" si="92"/>
        <v>15</v>
      </c>
    </row>
    <row r="5001" ht="14.5" customHeight="1" spans="11:29" x14ac:dyDescent="0.25">
      <c r="K5001" s="128"/>
      <c r="X5001" s="234">
        <v>2022</v>
      </c>
      <c r="Y5001" s="234">
        <v>7</v>
      </c>
      <c r="Z5001" s="234">
        <v>28</v>
      </c>
      <c r="AA5001" s="235">
        <v>0.2916666666678793</v>
      </c>
      <c r="AB5001" s="236">
        <v>17.3</v>
      </c>
      <c r="AC5001" s="127">
        <f t="shared" si="92"/>
        <v>17</v>
      </c>
    </row>
    <row r="5002" ht="14.5" customHeight="1" spans="11:29" x14ac:dyDescent="0.25">
      <c r="K5002" s="128"/>
      <c r="X5002" s="234">
        <v>2022</v>
      </c>
      <c r="Y5002" s="234">
        <v>7</v>
      </c>
      <c r="Z5002" s="234">
        <v>28</v>
      </c>
      <c r="AA5002" s="235">
        <v>0.3333333333321207</v>
      </c>
      <c r="AB5002" s="236">
        <v>19.1</v>
      </c>
      <c r="AC5002" s="127">
        <f t="shared" si="92"/>
        <v>19</v>
      </c>
    </row>
    <row r="5003" ht="14.5" customHeight="1" spans="11:29" x14ac:dyDescent="0.25">
      <c r="K5003" s="128"/>
      <c r="X5003" s="234">
        <v>2022</v>
      </c>
      <c r="Y5003" s="234">
        <v>7</v>
      </c>
      <c r="Z5003" s="234">
        <v>28</v>
      </c>
      <c r="AA5003" s="235">
        <v>0.375</v>
      </c>
      <c r="AB5003" s="236">
        <v>21.5</v>
      </c>
      <c r="AC5003" s="127">
        <f t="shared" ref="AC5003:AC5066" si="93">ROUND(AB5003,0)</f>
        <v>22</v>
      </c>
    </row>
    <row r="5004" ht="14.5" customHeight="1" spans="11:29" x14ac:dyDescent="0.25">
      <c r="K5004" s="128"/>
      <c r="X5004" s="234">
        <v>2022</v>
      </c>
      <c r="Y5004" s="234">
        <v>7</v>
      </c>
      <c r="Z5004" s="234">
        <v>28</v>
      </c>
      <c r="AA5004" s="235">
        <v>0.4166666666678793</v>
      </c>
      <c r="AB5004" s="236">
        <v>23.8</v>
      </c>
      <c r="AC5004" s="127">
        <f t="shared" si="93"/>
        <v>24</v>
      </c>
    </row>
    <row r="5005" ht="14.5" customHeight="1" spans="11:29" x14ac:dyDescent="0.25">
      <c r="K5005" s="128"/>
      <c r="X5005" s="234">
        <v>2022</v>
      </c>
      <c r="Y5005" s="234">
        <v>7</v>
      </c>
      <c r="Z5005" s="234">
        <v>28</v>
      </c>
      <c r="AA5005" s="235">
        <v>0.4583333333321207</v>
      </c>
      <c r="AB5005" s="236">
        <v>25.6</v>
      </c>
      <c r="AC5005" s="127">
        <f t="shared" si="93"/>
        <v>26</v>
      </c>
    </row>
    <row r="5006" ht="14.5" customHeight="1" spans="11:29" x14ac:dyDescent="0.25">
      <c r="K5006" s="128"/>
      <c r="X5006" s="234">
        <v>2022</v>
      </c>
      <c r="Y5006" s="234">
        <v>7</v>
      </c>
      <c r="Z5006" s="234">
        <v>28</v>
      </c>
      <c r="AA5006" s="235">
        <v>0.5</v>
      </c>
      <c r="AB5006" s="236">
        <v>26.8</v>
      </c>
      <c r="AC5006" s="127">
        <f t="shared" si="93"/>
        <v>27</v>
      </c>
    </row>
    <row r="5007" ht="14.5" customHeight="1" spans="11:29" x14ac:dyDescent="0.25">
      <c r="K5007" s="128"/>
      <c r="X5007" s="234">
        <v>2022</v>
      </c>
      <c r="Y5007" s="234">
        <v>7</v>
      </c>
      <c r="Z5007" s="234">
        <v>28</v>
      </c>
      <c r="AA5007" s="235">
        <v>0.5416666666678793</v>
      </c>
      <c r="AB5007" s="236">
        <v>28.3</v>
      </c>
      <c r="AC5007" s="127">
        <f t="shared" si="93"/>
        <v>28</v>
      </c>
    </row>
    <row r="5008" ht="14.5" customHeight="1" spans="11:29" x14ac:dyDescent="0.25">
      <c r="K5008" s="128"/>
      <c r="X5008" s="234">
        <v>2022</v>
      </c>
      <c r="Y5008" s="234">
        <v>7</v>
      </c>
      <c r="Z5008" s="234">
        <v>28</v>
      </c>
      <c r="AA5008" s="235">
        <v>0.5833333333321207</v>
      </c>
      <c r="AB5008" s="236">
        <v>29</v>
      </c>
      <c r="AC5008" s="127">
        <f t="shared" si="93"/>
        <v>29</v>
      </c>
    </row>
    <row r="5009" ht="14.5" customHeight="1" spans="11:29" x14ac:dyDescent="0.25">
      <c r="K5009" s="128"/>
      <c r="X5009" s="234">
        <v>2022</v>
      </c>
      <c r="Y5009" s="234">
        <v>7</v>
      </c>
      <c r="Z5009" s="234">
        <v>28</v>
      </c>
      <c r="AA5009" s="235">
        <v>0.625</v>
      </c>
      <c r="AB5009" s="236">
        <v>30.3</v>
      </c>
      <c r="AC5009" s="127">
        <f t="shared" si="93"/>
        <v>30</v>
      </c>
    </row>
    <row r="5010" ht="14.5" customHeight="1" spans="11:29" x14ac:dyDescent="0.25">
      <c r="K5010" s="128"/>
      <c r="X5010" s="234">
        <v>2022</v>
      </c>
      <c r="Y5010" s="234">
        <v>7</v>
      </c>
      <c r="Z5010" s="234">
        <v>28</v>
      </c>
      <c r="AA5010" s="235">
        <v>0.6666666666678793</v>
      </c>
      <c r="AB5010" s="236">
        <v>30.2</v>
      </c>
      <c r="AC5010" s="127">
        <f t="shared" si="93"/>
        <v>30</v>
      </c>
    </row>
    <row r="5011" ht="14.5" customHeight="1" spans="11:29" x14ac:dyDescent="0.25">
      <c r="K5011" s="128"/>
      <c r="X5011" s="234">
        <v>2022</v>
      </c>
      <c r="Y5011" s="234">
        <v>7</v>
      </c>
      <c r="Z5011" s="234">
        <v>28</v>
      </c>
      <c r="AA5011" s="235">
        <v>0.7083333333321207</v>
      </c>
      <c r="AB5011" s="236">
        <v>29.5</v>
      </c>
      <c r="AC5011" s="127">
        <f t="shared" si="93"/>
        <v>30</v>
      </c>
    </row>
    <row r="5012" ht="14.5" customHeight="1" spans="11:29" x14ac:dyDescent="0.25">
      <c r="K5012" s="128"/>
      <c r="X5012" s="234">
        <v>2022</v>
      </c>
      <c r="Y5012" s="234">
        <v>7</v>
      </c>
      <c r="Z5012" s="234">
        <v>28</v>
      </c>
      <c r="AA5012" s="235">
        <v>0.75</v>
      </c>
      <c r="AB5012" s="236">
        <v>27.5</v>
      </c>
      <c r="AC5012" s="127">
        <f t="shared" si="93"/>
        <v>28</v>
      </c>
    </row>
    <row r="5013" ht="14.5" customHeight="1" spans="11:29" x14ac:dyDescent="0.25">
      <c r="K5013" s="128"/>
      <c r="X5013" s="234">
        <v>2022</v>
      </c>
      <c r="Y5013" s="234">
        <v>7</v>
      </c>
      <c r="Z5013" s="234">
        <v>28</v>
      </c>
      <c r="AA5013" s="235">
        <v>0.7916666666678793</v>
      </c>
      <c r="AB5013" s="236">
        <v>25.8</v>
      </c>
      <c r="AC5013" s="127">
        <f t="shared" si="93"/>
        <v>26</v>
      </c>
    </row>
    <row r="5014" ht="14.5" customHeight="1" spans="11:29" x14ac:dyDescent="0.25">
      <c r="K5014" s="128"/>
      <c r="X5014" s="234">
        <v>2022</v>
      </c>
      <c r="Y5014" s="234">
        <v>7</v>
      </c>
      <c r="Z5014" s="234">
        <v>28</v>
      </c>
      <c r="AA5014" s="235">
        <v>0.8333333333321207</v>
      </c>
      <c r="AB5014" s="236">
        <v>24.5</v>
      </c>
      <c r="AC5014" s="127">
        <f t="shared" si="93"/>
        <v>25</v>
      </c>
    </row>
    <row r="5015" ht="14.5" customHeight="1" spans="11:29" x14ac:dyDescent="0.25">
      <c r="K5015" s="128"/>
      <c r="X5015" s="234">
        <v>2022</v>
      </c>
      <c r="Y5015" s="234">
        <v>7</v>
      </c>
      <c r="Z5015" s="234">
        <v>28</v>
      </c>
      <c r="AA5015" s="235">
        <v>0.875</v>
      </c>
      <c r="AB5015" s="236">
        <v>22.6</v>
      </c>
      <c r="AC5015" s="127">
        <f t="shared" si="93"/>
        <v>23</v>
      </c>
    </row>
    <row r="5016" ht="14.5" customHeight="1" spans="11:29" x14ac:dyDescent="0.25">
      <c r="K5016" s="128"/>
      <c r="X5016" s="234">
        <v>2022</v>
      </c>
      <c r="Y5016" s="234">
        <v>7</v>
      </c>
      <c r="Z5016" s="234">
        <v>28</v>
      </c>
      <c r="AA5016" s="235">
        <v>0.9166666666678793</v>
      </c>
      <c r="AB5016" s="236">
        <v>21.1</v>
      </c>
      <c r="AC5016" s="127">
        <f t="shared" si="93"/>
        <v>21</v>
      </c>
    </row>
    <row r="5017" ht="14.5" customHeight="1" spans="11:29" x14ac:dyDescent="0.25">
      <c r="K5017" s="128"/>
      <c r="X5017" s="234">
        <v>2022</v>
      </c>
      <c r="Y5017" s="234">
        <v>7</v>
      </c>
      <c r="Z5017" s="234">
        <v>28</v>
      </c>
      <c r="AA5017" s="235">
        <v>0.9583333333321207</v>
      </c>
      <c r="AB5017" s="236">
        <v>20.4</v>
      </c>
      <c r="AC5017" s="127">
        <f t="shared" si="93"/>
        <v>20</v>
      </c>
    </row>
    <row r="5018" ht="14.5" customHeight="1" spans="11:29" x14ac:dyDescent="0.25">
      <c r="K5018" s="128"/>
      <c r="X5018" s="234">
        <v>2022</v>
      </c>
      <c r="Y5018" s="234">
        <v>7</v>
      </c>
      <c r="Z5018" s="234">
        <v>29</v>
      </c>
      <c r="AA5018" s="235">
        <v>0</v>
      </c>
      <c r="AB5018" s="236">
        <v>19.4</v>
      </c>
      <c r="AC5018" s="127">
        <f t="shared" si="93"/>
        <v>19</v>
      </c>
    </row>
    <row r="5019" ht="14.5" customHeight="1" spans="11:29" x14ac:dyDescent="0.25">
      <c r="K5019" s="128"/>
      <c r="X5019" s="234">
        <v>2022</v>
      </c>
      <c r="Y5019" s="234">
        <v>7</v>
      </c>
      <c r="Z5019" s="234">
        <v>29</v>
      </c>
      <c r="AA5019" s="235">
        <v>0.041666666667879326</v>
      </c>
      <c r="AB5019" s="236">
        <v>19.3</v>
      </c>
      <c r="AC5019" s="127">
        <f t="shared" si="93"/>
        <v>19</v>
      </c>
    </row>
    <row r="5020" ht="14.5" customHeight="1" spans="11:29" x14ac:dyDescent="0.25">
      <c r="K5020" s="128"/>
      <c r="X5020" s="234">
        <v>2022</v>
      </c>
      <c r="Y5020" s="234">
        <v>7</v>
      </c>
      <c r="Z5020" s="234">
        <v>29</v>
      </c>
      <c r="AA5020" s="235">
        <v>0.08333333333212067</v>
      </c>
      <c r="AB5020" s="236">
        <v>16.7</v>
      </c>
      <c r="AC5020" s="127">
        <f t="shared" si="93"/>
        <v>17</v>
      </c>
    </row>
    <row r="5021" ht="14.5" customHeight="1" spans="11:29" x14ac:dyDescent="0.25">
      <c r="K5021" s="128"/>
      <c r="X5021" s="234">
        <v>2022</v>
      </c>
      <c r="Y5021" s="234">
        <v>7</v>
      </c>
      <c r="Z5021" s="234">
        <v>29</v>
      </c>
      <c r="AA5021" s="235">
        <v>0.125</v>
      </c>
      <c r="AB5021" s="236">
        <v>16.2</v>
      </c>
      <c r="AC5021" s="127">
        <f t="shared" si="93"/>
        <v>16</v>
      </c>
    </row>
    <row r="5022" ht="14.5" customHeight="1" spans="11:29" x14ac:dyDescent="0.25">
      <c r="K5022" s="128"/>
      <c r="X5022" s="234">
        <v>2022</v>
      </c>
      <c r="Y5022" s="234">
        <v>7</v>
      </c>
      <c r="Z5022" s="234">
        <v>29</v>
      </c>
      <c r="AA5022" s="235">
        <v>0.16666666666787933</v>
      </c>
      <c r="AB5022" s="236">
        <v>15.9</v>
      </c>
      <c r="AC5022" s="127">
        <f t="shared" si="93"/>
        <v>16</v>
      </c>
    </row>
    <row r="5023" ht="14.5" customHeight="1" spans="11:29" x14ac:dyDescent="0.25">
      <c r="K5023" s="128"/>
      <c r="X5023" s="234">
        <v>2022</v>
      </c>
      <c r="Y5023" s="234">
        <v>7</v>
      </c>
      <c r="Z5023" s="234">
        <v>29</v>
      </c>
      <c r="AA5023" s="235">
        <v>0.20833333333212067</v>
      </c>
      <c r="AB5023" s="236">
        <v>15.8</v>
      </c>
      <c r="AC5023" s="127">
        <f t="shared" si="93"/>
        <v>16</v>
      </c>
    </row>
    <row r="5024" ht="14.5" customHeight="1" spans="11:29" x14ac:dyDescent="0.25">
      <c r="K5024" s="128"/>
      <c r="X5024" s="234">
        <v>2022</v>
      </c>
      <c r="Y5024" s="234">
        <v>7</v>
      </c>
      <c r="Z5024" s="234">
        <v>29</v>
      </c>
      <c r="AA5024" s="235">
        <v>0.25</v>
      </c>
      <c r="AB5024" s="236">
        <v>17.4</v>
      </c>
      <c r="AC5024" s="127">
        <f t="shared" si="93"/>
        <v>17</v>
      </c>
    </row>
    <row r="5025" ht="14.5" customHeight="1" spans="11:29" x14ac:dyDescent="0.25">
      <c r="K5025" s="128"/>
      <c r="X5025" s="234">
        <v>2022</v>
      </c>
      <c r="Y5025" s="234">
        <v>7</v>
      </c>
      <c r="Z5025" s="234">
        <v>29</v>
      </c>
      <c r="AA5025" s="235">
        <v>0.2916666666678793</v>
      </c>
      <c r="AB5025" s="236">
        <v>19.9</v>
      </c>
      <c r="AC5025" s="127">
        <f t="shared" si="93"/>
        <v>20</v>
      </c>
    </row>
    <row r="5026" ht="14.5" customHeight="1" spans="11:29" x14ac:dyDescent="0.25">
      <c r="K5026" s="128"/>
      <c r="X5026" s="234">
        <v>2022</v>
      </c>
      <c r="Y5026" s="234">
        <v>7</v>
      </c>
      <c r="Z5026" s="234">
        <v>29</v>
      </c>
      <c r="AA5026" s="235">
        <v>0.3333333333321207</v>
      </c>
      <c r="AB5026" s="236">
        <v>22.6</v>
      </c>
      <c r="AC5026" s="127">
        <f t="shared" si="93"/>
        <v>23</v>
      </c>
    </row>
    <row r="5027" ht="14.5" customHeight="1" spans="11:29" x14ac:dyDescent="0.25">
      <c r="K5027" s="128"/>
      <c r="X5027" s="234">
        <v>2022</v>
      </c>
      <c r="Y5027" s="234">
        <v>7</v>
      </c>
      <c r="Z5027" s="234">
        <v>29</v>
      </c>
      <c r="AA5027" s="235">
        <v>0.375</v>
      </c>
      <c r="AB5027" s="236">
        <v>25.5</v>
      </c>
      <c r="AC5027" s="127">
        <f t="shared" si="93"/>
        <v>26</v>
      </c>
    </row>
    <row r="5028" ht="14.5" customHeight="1" spans="11:29" x14ac:dyDescent="0.25">
      <c r="K5028" s="128"/>
      <c r="X5028" s="234">
        <v>2022</v>
      </c>
      <c r="Y5028" s="234">
        <v>7</v>
      </c>
      <c r="Z5028" s="234">
        <v>29</v>
      </c>
      <c r="AA5028" s="235">
        <v>0.4166666666678793</v>
      </c>
      <c r="AB5028" s="236">
        <v>27.3</v>
      </c>
      <c r="AC5028" s="127">
        <f t="shared" si="93"/>
        <v>27</v>
      </c>
    </row>
    <row r="5029" ht="14.5" customHeight="1" spans="11:29" x14ac:dyDescent="0.25">
      <c r="K5029" s="128"/>
      <c r="X5029" s="234">
        <v>2022</v>
      </c>
      <c r="Y5029" s="234">
        <v>7</v>
      </c>
      <c r="Z5029" s="234">
        <v>29</v>
      </c>
      <c r="AA5029" s="235">
        <v>0.4583333333321207</v>
      </c>
      <c r="AB5029" s="236">
        <v>28.8</v>
      </c>
      <c r="AC5029" s="127">
        <f t="shared" si="93"/>
        <v>29</v>
      </c>
    </row>
    <row r="5030" ht="14.5" customHeight="1" spans="11:29" x14ac:dyDescent="0.25">
      <c r="K5030" s="128"/>
      <c r="X5030" s="234">
        <v>2022</v>
      </c>
      <c r="Y5030" s="234">
        <v>7</v>
      </c>
      <c r="Z5030" s="234">
        <v>29</v>
      </c>
      <c r="AA5030" s="235">
        <v>0.5</v>
      </c>
      <c r="AB5030" s="236">
        <v>29.5</v>
      </c>
      <c r="AC5030" s="127">
        <f t="shared" si="93"/>
        <v>30</v>
      </c>
    </row>
    <row r="5031" ht="14.5" customHeight="1" spans="11:29" x14ac:dyDescent="0.25">
      <c r="K5031" s="128"/>
      <c r="X5031" s="234">
        <v>2022</v>
      </c>
      <c r="Y5031" s="234">
        <v>7</v>
      </c>
      <c r="Z5031" s="234">
        <v>29</v>
      </c>
      <c r="AA5031" s="235">
        <v>0.5416666666678793</v>
      </c>
      <c r="AB5031" s="236">
        <v>29.3</v>
      </c>
      <c r="AC5031" s="127">
        <f t="shared" si="93"/>
        <v>29</v>
      </c>
    </row>
    <row r="5032" ht="14.5" customHeight="1" spans="11:29" x14ac:dyDescent="0.25">
      <c r="K5032" s="128"/>
      <c r="X5032" s="234">
        <v>2022</v>
      </c>
      <c r="Y5032" s="234">
        <v>7</v>
      </c>
      <c r="Z5032" s="234">
        <v>29</v>
      </c>
      <c r="AA5032" s="235">
        <v>0.5833333333321207</v>
      </c>
      <c r="AB5032" s="236">
        <v>30.4</v>
      </c>
      <c r="AC5032" s="127">
        <f t="shared" si="93"/>
        <v>30</v>
      </c>
    </row>
    <row r="5033" ht="14.5" customHeight="1" spans="11:29" x14ac:dyDescent="0.25">
      <c r="K5033" s="128"/>
      <c r="X5033" s="234">
        <v>2022</v>
      </c>
      <c r="Y5033" s="234">
        <v>7</v>
      </c>
      <c r="Z5033" s="234">
        <v>29</v>
      </c>
      <c r="AA5033" s="235">
        <v>0.625</v>
      </c>
      <c r="AB5033" s="236">
        <v>31</v>
      </c>
      <c r="AC5033" s="127">
        <f t="shared" si="93"/>
        <v>31</v>
      </c>
    </row>
    <row r="5034" ht="14.5" customHeight="1" spans="11:29" x14ac:dyDescent="0.25">
      <c r="K5034" s="128"/>
      <c r="X5034" s="234">
        <v>2022</v>
      </c>
      <c r="Y5034" s="234">
        <v>7</v>
      </c>
      <c r="Z5034" s="234">
        <v>29</v>
      </c>
      <c r="AA5034" s="235">
        <v>0.6666666666678793</v>
      </c>
      <c r="AB5034" s="236">
        <v>30.8</v>
      </c>
      <c r="AC5034" s="127">
        <f t="shared" si="93"/>
        <v>31</v>
      </c>
    </row>
    <row r="5035" ht="14.5" customHeight="1" spans="11:29" x14ac:dyDescent="0.25">
      <c r="K5035" s="128"/>
      <c r="X5035" s="234">
        <v>2022</v>
      </c>
      <c r="Y5035" s="234">
        <v>7</v>
      </c>
      <c r="Z5035" s="234">
        <v>29</v>
      </c>
      <c r="AA5035" s="235">
        <v>0.7083333333321207</v>
      </c>
      <c r="AB5035" s="236">
        <v>28.5</v>
      </c>
      <c r="AC5035" s="127">
        <f t="shared" si="93"/>
        <v>29</v>
      </c>
    </row>
    <row r="5036" ht="14.5" customHeight="1" spans="11:29" x14ac:dyDescent="0.25">
      <c r="K5036" s="128"/>
      <c r="X5036" s="234">
        <v>2022</v>
      </c>
      <c r="Y5036" s="234">
        <v>7</v>
      </c>
      <c r="Z5036" s="234">
        <v>29</v>
      </c>
      <c r="AA5036" s="235">
        <v>0.75</v>
      </c>
      <c r="AB5036" s="236">
        <v>17.9</v>
      </c>
      <c r="AC5036" s="127">
        <f t="shared" si="93"/>
        <v>18</v>
      </c>
    </row>
    <row r="5037" ht="14.5" customHeight="1" spans="11:29" x14ac:dyDescent="0.25">
      <c r="K5037" s="128"/>
      <c r="X5037" s="234">
        <v>2022</v>
      </c>
      <c r="Y5037" s="234">
        <v>7</v>
      </c>
      <c r="Z5037" s="234">
        <v>29</v>
      </c>
      <c r="AA5037" s="235">
        <v>0.7916666666678793</v>
      </c>
      <c r="AB5037" s="236">
        <v>19.9</v>
      </c>
      <c r="AC5037" s="127">
        <f t="shared" si="93"/>
        <v>20</v>
      </c>
    </row>
    <row r="5038" ht="14.5" customHeight="1" spans="11:29" x14ac:dyDescent="0.25">
      <c r="K5038" s="128"/>
      <c r="X5038" s="234">
        <v>2022</v>
      </c>
      <c r="Y5038" s="234">
        <v>7</v>
      </c>
      <c r="Z5038" s="234">
        <v>29</v>
      </c>
      <c r="AA5038" s="235">
        <v>0.8333333333321207</v>
      </c>
      <c r="AB5038" s="236">
        <v>22</v>
      </c>
      <c r="AC5038" s="127">
        <f t="shared" si="93"/>
        <v>22</v>
      </c>
    </row>
    <row r="5039" ht="14.5" customHeight="1" spans="11:29" x14ac:dyDescent="0.25">
      <c r="K5039" s="128"/>
      <c r="X5039" s="234">
        <v>2022</v>
      </c>
      <c r="Y5039" s="234">
        <v>7</v>
      </c>
      <c r="Z5039" s="234">
        <v>29</v>
      </c>
      <c r="AA5039" s="235">
        <v>0.875</v>
      </c>
      <c r="AB5039" s="236">
        <v>17.2</v>
      </c>
      <c r="AC5039" s="127">
        <f t="shared" si="93"/>
        <v>17</v>
      </c>
    </row>
    <row r="5040" ht="14.5" customHeight="1" spans="11:29" x14ac:dyDescent="0.25">
      <c r="K5040" s="128"/>
      <c r="X5040" s="234">
        <v>2022</v>
      </c>
      <c r="Y5040" s="234">
        <v>7</v>
      </c>
      <c r="Z5040" s="234">
        <v>29</v>
      </c>
      <c r="AA5040" s="235">
        <v>0.9166666666678793</v>
      </c>
      <c r="AB5040" s="236">
        <v>17.1</v>
      </c>
      <c r="AC5040" s="127">
        <f t="shared" si="93"/>
        <v>17</v>
      </c>
    </row>
    <row r="5041" ht="14.5" customHeight="1" spans="11:29" x14ac:dyDescent="0.25">
      <c r="K5041" s="128"/>
      <c r="X5041" s="234">
        <v>2022</v>
      </c>
      <c r="Y5041" s="234">
        <v>7</v>
      </c>
      <c r="Z5041" s="234">
        <v>29</v>
      </c>
      <c r="AA5041" s="235">
        <v>0.9583333333321207</v>
      </c>
      <c r="AB5041" s="236">
        <v>17</v>
      </c>
      <c r="AC5041" s="127">
        <f t="shared" si="93"/>
        <v>17</v>
      </c>
    </row>
    <row r="5042" ht="14.5" customHeight="1" spans="11:29" x14ac:dyDescent="0.25">
      <c r="K5042" s="128"/>
      <c r="X5042" s="234">
        <v>2022</v>
      </c>
      <c r="Y5042" s="234">
        <v>7</v>
      </c>
      <c r="Z5042" s="234">
        <v>30</v>
      </c>
      <c r="AA5042" s="235">
        <v>0</v>
      </c>
      <c r="AB5042" s="236">
        <v>17</v>
      </c>
      <c r="AC5042" s="127">
        <f t="shared" si="93"/>
        <v>17</v>
      </c>
    </row>
    <row r="5043" ht="14.5" customHeight="1" spans="11:29" x14ac:dyDescent="0.25">
      <c r="K5043" s="128"/>
      <c r="X5043" s="234">
        <v>2022</v>
      </c>
      <c r="Y5043" s="234">
        <v>7</v>
      </c>
      <c r="Z5043" s="234">
        <v>30</v>
      </c>
      <c r="AA5043" s="235">
        <v>0.041666666667879326</v>
      </c>
      <c r="AB5043" s="236">
        <v>16.1</v>
      </c>
      <c r="AC5043" s="127">
        <f t="shared" si="93"/>
        <v>16</v>
      </c>
    </row>
    <row r="5044" ht="14.5" customHeight="1" spans="11:29" x14ac:dyDescent="0.25">
      <c r="K5044" s="128"/>
      <c r="X5044" s="234">
        <v>2022</v>
      </c>
      <c r="Y5044" s="234">
        <v>7</v>
      </c>
      <c r="Z5044" s="234">
        <v>30</v>
      </c>
      <c r="AA5044" s="235">
        <v>0.08333333333212067</v>
      </c>
      <c r="AB5044" s="236">
        <v>15.9</v>
      </c>
      <c r="AC5044" s="127">
        <f t="shared" si="93"/>
        <v>16</v>
      </c>
    </row>
    <row r="5045" ht="14.5" customHeight="1" spans="11:29" x14ac:dyDescent="0.25">
      <c r="K5045" s="128"/>
      <c r="X5045" s="234">
        <v>2022</v>
      </c>
      <c r="Y5045" s="234">
        <v>7</v>
      </c>
      <c r="Z5045" s="234">
        <v>30</v>
      </c>
      <c r="AA5045" s="235">
        <v>0.125</v>
      </c>
      <c r="AB5045" s="236">
        <v>15.3</v>
      </c>
      <c r="AC5045" s="127">
        <f t="shared" si="93"/>
        <v>15</v>
      </c>
    </row>
    <row r="5046" ht="14.5" customHeight="1" spans="11:29" x14ac:dyDescent="0.25">
      <c r="K5046" s="128"/>
      <c r="X5046" s="234">
        <v>2022</v>
      </c>
      <c r="Y5046" s="234">
        <v>7</v>
      </c>
      <c r="Z5046" s="234">
        <v>30</v>
      </c>
      <c r="AA5046" s="235">
        <v>0.16666666666787933</v>
      </c>
      <c r="AB5046" s="236">
        <v>15.1</v>
      </c>
      <c r="AC5046" s="127">
        <f t="shared" si="93"/>
        <v>15</v>
      </c>
    </row>
    <row r="5047" ht="14.5" customHeight="1" spans="11:29" x14ac:dyDescent="0.25">
      <c r="K5047" s="128"/>
      <c r="X5047" s="234">
        <v>2022</v>
      </c>
      <c r="Y5047" s="234">
        <v>7</v>
      </c>
      <c r="Z5047" s="234">
        <v>30</v>
      </c>
      <c r="AA5047" s="235">
        <v>0.20833333333212067</v>
      </c>
      <c r="AB5047" s="236">
        <v>14.6</v>
      </c>
      <c r="AC5047" s="127">
        <f t="shared" si="93"/>
        <v>15</v>
      </c>
    </row>
    <row r="5048" ht="14.5" customHeight="1" spans="11:29" x14ac:dyDescent="0.25">
      <c r="K5048" s="128"/>
      <c r="X5048" s="234">
        <v>2022</v>
      </c>
      <c r="Y5048" s="234">
        <v>7</v>
      </c>
      <c r="Z5048" s="234">
        <v>30</v>
      </c>
      <c r="AA5048" s="235">
        <v>0.25</v>
      </c>
      <c r="AB5048" s="236">
        <v>14.9</v>
      </c>
      <c r="AC5048" s="127">
        <f t="shared" si="93"/>
        <v>15</v>
      </c>
    </row>
    <row r="5049" ht="14.5" customHeight="1" spans="11:29" x14ac:dyDescent="0.25">
      <c r="K5049" s="128"/>
      <c r="X5049" s="234">
        <v>2022</v>
      </c>
      <c r="Y5049" s="234">
        <v>7</v>
      </c>
      <c r="Z5049" s="234">
        <v>30</v>
      </c>
      <c r="AA5049" s="235">
        <v>0.2916666666678793</v>
      </c>
      <c r="AB5049" s="236">
        <v>17.7</v>
      </c>
      <c r="AC5049" s="127">
        <f t="shared" si="93"/>
        <v>18</v>
      </c>
    </row>
    <row r="5050" ht="14.5" customHeight="1" spans="11:29" x14ac:dyDescent="0.25">
      <c r="K5050" s="128"/>
      <c r="X5050" s="234">
        <v>2022</v>
      </c>
      <c r="Y5050" s="234">
        <v>7</v>
      </c>
      <c r="Z5050" s="234">
        <v>30</v>
      </c>
      <c r="AA5050" s="235">
        <v>0.3333333333321207</v>
      </c>
      <c r="AB5050" s="236">
        <v>20.7</v>
      </c>
      <c r="AC5050" s="127">
        <f t="shared" si="93"/>
        <v>21</v>
      </c>
    </row>
    <row r="5051" ht="14.5" customHeight="1" spans="11:29" x14ac:dyDescent="0.25">
      <c r="K5051" s="128"/>
      <c r="X5051" s="234">
        <v>2022</v>
      </c>
      <c r="Y5051" s="234">
        <v>7</v>
      </c>
      <c r="Z5051" s="234">
        <v>30</v>
      </c>
      <c r="AA5051" s="235">
        <v>0.375</v>
      </c>
      <c r="AB5051" s="236">
        <v>22.2</v>
      </c>
      <c r="AC5051" s="127">
        <f t="shared" si="93"/>
        <v>22</v>
      </c>
    </row>
    <row r="5052" ht="14.5" customHeight="1" spans="11:29" x14ac:dyDescent="0.25">
      <c r="K5052" s="128"/>
      <c r="X5052" s="234">
        <v>2022</v>
      </c>
      <c r="Y5052" s="234">
        <v>7</v>
      </c>
      <c r="Z5052" s="234">
        <v>30</v>
      </c>
      <c r="AA5052" s="235">
        <v>0.4166666666678793</v>
      </c>
      <c r="AB5052" s="236">
        <v>24.1</v>
      </c>
      <c r="AC5052" s="127">
        <f t="shared" si="93"/>
        <v>24</v>
      </c>
    </row>
    <row r="5053" ht="14.5" customHeight="1" spans="11:29" x14ac:dyDescent="0.25">
      <c r="K5053" s="128"/>
      <c r="X5053" s="234">
        <v>2022</v>
      </c>
      <c r="Y5053" s="234">
        <v>7</v>
      </c>
      <c r="Z5053" s="234">
        <v>30</v>
      </c>
      <c r="AA5053" s="235">
        <v>0.4583333333321207</v>
      </c>
      <c r="AB5053" s="236">
        <v>26.2</v>
      </c>
      <c r="AC5053" s="127">
        <f t="shared" si="93"/>
        <v>26</v>
      </c>
    </row>
    <row r="5054" ht="14.5" customHeight="1" spans="11:29" x14ac:dyDescent="0.25">
      <c r="K5054" s="128"/>
      <c r="X5054" s="234">
        <v>2022</v>
      </c>
      <c r="Y5054" s="234">
        <v>7</v>
      </c>
      <c r="Z5054" s="234">
        <v>30</v>
      </c>
      <c r="AA5054" s="235">
        <v>0.5</v>
      </c>
      <c r="AB5054" s="236">
        <v>27</v>
      </c>
      <c r="AC5054" s="127">
        <f t="shared" si="93"/>
        <v>27</v>
      </c>
    </row>
    <row r="5055" ht="14.5" customHeight="1" spans="11:29" x14ac:dyDescent="0.25">
      <c r="K5055" s="128"/>
      <c r="X5055" s="234">
        <v>2022</v>
      </c>
      <c r="Y5055" s="234">
        <v>7</v>
      </c>
      <c r="Z5055" s="234">
        <v>30</v>
      </c>
      <c r="AA5055" s="235">
        <v>0.5416666666678793</v>
      </c>
      <c r="AB5055" s="236">
        <v>26.6</v>
      </c>
      <c r="AC5055" s="127">
        <f t="shared" si="93"/>
        <v>27</v>
      </c>
    </row>
    <row r="5056" ht="14.5" customHeight="1" spans="11:29" x14ac:dyDescent="0.25">
      <c r="K5056" s="128"/>
      <c r="X5056" s="234">
        <v>2022</v>
      </c>
      <c r="Y5056" s="234">
        <v>7</v>
      </c>
      <c r="Z5056" s="234">
        <v>30</v>
      </c>
      <c r="AA5056" s="235">
        <v>0.5833333333321207</v>
      </c>
      <c r="AB5056" s="236">
        <v>25.3</v>
      </c>
      <c r="AC5056" s="127">
        <f t="shared" si="93"/>
        <v>25</v>
      </c>
    </row>
    <row r="5057" ht="14.5" customHeight="1" spans="11:29" x14ac:dyDescent="0.25">
      <c r="K5057" s="128"/>
      <c r="X5057" s="234">
        <v>2022</v>
      </c>
      <c r="Y5057" s="234">
        <v>7</v>
      </c>
      <c r="Z5057" s="234">
        <v>30</v>
      </c>
      <c r="AA5057" s="235">
        <v>0.625</v>
      </c>
      <c r="AB5057" s="236">
        <v>24.9</v>
      </c>
      <c r="AC5057" s="127">
        <f t="shared" si="93"/>
        <v>25</v>
      </c>
    </row>
    <row r="5058" ht="14.5" customHeight="1" spans="11:29" x14ac:dyDescent="0.25">
      <c r="K5058" s="128"/>
      <c r="X5058" s="234">
        <v>2022</v>
      </c>
      <c r="Y5058" s="234">
        <v>7</v>
      </c>
      <c r="Z5058" s="234">
        <v>30</v>
      </c>
      <c r="AA5058" s="235">
        <v>0.6666666666678793</v>
      </c>
      <c r="AB5058" s="236">
        <v>25.4</v>
      </c>
      <c r="AC5058" s="127">
        <f t="shared" si="93"/>
        <v>25</v>
      </c>
    </row>
    <row r="5059" ht="14.5" customHeight="1" spans="11:29" x14ac:dyDescent="0.25">
      <c r="K5059" s="128"/>
      <c r="X5059" s="234">
        <v>2022</v>
      </c>
      <c r="Y5059" s="234">
        <v>7</v>
      </c>
      <c r="Z5059" s="234">
        <v>30</v>
      </c>
      <c r="AA5059" s="235">
        <v>0.7083333333321207</v>
      </c>
      <c r="AB5059" s="236">
        <v>23.9</v>
      </c>
      <c r="AC5059" s="127">
        <f t="shared" si="93"/>
        <v>24</v>
      </c>
    </row>
    <row r="5060" ht="14.5" customHeight="1" spans="11:29" x14ac:dyDescent="0.25">
      <c r="K5060" s="128"/>
      <c r="X5060" s="234">
        <v>2022</v>
      </c>
      <c r="Y5060" s="234">
        <v>7</v>
      </c>
      <c r="Z5060" s="234">
        <v>30</v>
      </c>
      <c r="AA5060" s="235">
        <v>0.75</v>
      </c>
      <c r="AB5060" s="236">
        <v>21.5</v>
      </c>
      <c r="AC5060" s="127">
        <f t="shared" si="93"/>
        <v>22</v>
      </c>
    </row>
    <row r="5061" ht="14.5" customHeight="1" spans="11:29" x14ac:dyDescent="0.25">
      <c r="K5061" s="128"/>
      <c r="X5061" s="234">
        <v>2022</v>
      </c>
      <c r="Y5061" s="234">
        <v>7</v>
      </c>
      <c r="Z5061" s="234">
        <v>30</v>
      </c>
      <c r="AA5061" s="235">
        <v>0.7916666666678793</v>
      </c>
      <c r="AB5061" s="236">
        <v>16.6</v>
      </c>
      <c r="AC5061" s="127">
        <f t="shared" si="93"/>
        <v>17</v>
      </c>
    </row>
    <row r="5062" ht="14.5" customHeight="1" spans="11:29" x14ac:dyDescent="0.25">
      <c r="K5062" s="128"/>
      <c r="X5062" s="234">
        <v>2022</v>
      </c>
      <c r="Y5062" s="234">
        <v>7</v>
      </c>
      <c r="Z5062" s="234">
        <v>30</v>
      </c>
      <c r="AA5062" s="235">
        <v>0.8333333333321207</v>
      </c>
      <c r="AB5062" s="236">
        <v>16.7</v>
      </c>
      <c r="AC5062" s="127">
        <f t="shared" si="93"/>
        <v>17</v>
      </c>
    </row>
    <row r="5063" ht="14.5" customHeight="1" spans="11:29" x14ac:dyDescent="0.25">
      <c r="K5063" s="128"/>
      <c r="X5063" s="234">
        <v>2022</v>
      </c>
      <c r="Y5063" s="234">
        <v>7</v>
      </c>
      <c r="Z5063" s="234">
        <v>30</v>
      </c>
      <c r="AA5063" s="235">
        <v>0.875</v>
      </c>
      <c r="AB5063" s="236">
        <v>16.6</v>
      </c>
      <c r="AC5063" s="127">
        <f t="shared" si="93"/>
        <v>17</v>
      </c>
    </row>
    <row r="5064" ht="14.5" customHeight="1" spans="11:29" x14ac:dyDescent="0.25">
      <c r="K5064" s="128"/>
      <c r="X5064" s="234">
        <v>2022</v>
      </c>
      <c r="Y5064" s="234">
        <v>7</v>
      </c>
      <c r="Z5064" s="234">
        <v>30</v>
      </c>
      <c r="AA5064" s="235">
        <v>0.9166666666678793</v>
      </c>
      <c r="AB5064" s="236">
        <v>15.3</v>
      </c>
      <c r="AC5064" s="127">
        <f t="shared" si="93"/>
        <v>15</v>
      </c>
    </row>
    <row r="5065" ht="14.5" customHeight="1" spans="11:29" x14ac:dyDescent="0.25">
      <c r="K5065" s="128"/>
      <c r="X5065" s="234">
        <v>2022</v>
      </c>
      <c r="Y5065" s="234">
        <v>7</v>
      </c>
      <c r="Z5065" s="234">
        <v>30</v>
      </c>
      <c r="AA5065" s="235">
        <v>0.9583333333321207</v>
      </c>
      <c r="AB5065" s="236">
        <v>14.6</v>
      </c>
      <c r="AC5065" s="127">
        <f t="shared" si="93"/>
        <v>15</v>
      </c>
    </row>
    <row r="5066" ht="14.5" customHeight="1" spans="11:29" x14ac:dyDescent="0.25">
      <c r="K5066" s="128"/>
      <c r="X5066" s="234">
        <v>2022</v>
      </c>
      <c r="Y5066" s="234">
        <v>7</v>
      </c>
      <c r="Z5066" s="234">
        <v>31</v>
      </c>
      <c r="AA5066" s="235">
        <v>0</v>
      </c>
      <c r="AB5066" s="236">
        <v>14.4</v>
      </c>
      <c r="AC5066" s="127">
        <f t="shared" si="93"/>
        <v>14</v>
      </c>
    </row>
    <row r="5067" ht="14.5" customHeight="1" spans="11:29" x14ac:dyDescent="0.25">
      <c r="K5067" s="128"/>
      <c r="X5067" s="234">
        <v>2022</v>
      </c>
      <c r="Y5067" s="234">
        <v>7</v>
      </c>
      <c r="Z5067" s="234">
        <v>31</v>
      </c>
      <c r="AA5067" s="235">
        <v>0.041666666667879326</v>
      </c>
      <c r="AB5067" s="236">
        <v>13.2</v>
      </c>
      <c r="AC5067" s="127">
        <f t="shared" ref="AC5067:AC5130" si="94">ROUND(AB5067,0)</f>
        <v>13</v>
      </c>
    </row>
    <row r="5068" ht="14.5" customHeight="1" spans="11:29" x14ac:dyDescent="0.25">
      <c r="K5068" s="128"/>
      <c r="X5068" s="234">
        <v>2022</v>
      </c>
      <c r="Y5068" s="234">
        <v>7</v>
      </c>
      <c r="Z5068" s="234">
        <v>31</v>
      </c>
      <c r="AA5068" s="235">
        <v>0.08333333333212067</v>
      </c>
      <c r="AB5068" s="236">
        <v>13.2</v>
      </c>
      <c r="AC5068" s="127">
        <f t="shared" si="94"/>
        <v>13</v>
      </c>
    </row>
    <row r="5069" ht="14.5" customHeight="1" spans="11:29" x14ac:dyDescent="0.25">
      <c r="K5069" s="128"/>
      <c r="X5069" s="234">
        <v>2022</v>
      </c>
      <c r="Y5069" s="234">
        <v>7</v>
      </c>
      <c r="Z5069" s="234">
        <v>31</v>
      </c>
      <c r="AA5069" s="235">
        <v>0.125</v>
      </c>
      <c r="AB5069" s="236">
        <v>12.4</v>
      </c>
      <c r="AC5069" s="127">
        <f t="shared" si="94"/>
        <v>12</v>
      </c>
    </row>
    <row r="5070" ht="14.5" customHeight="1" spans="11:29" x14ac:dyDescent="0.25">
      <c r="K5070" s="128"/>
      <c r="X5070" s="234">
        <v>2022</v>
      </c>
      <c r="Y5070" s="234">
        <v>7</v>
      </c>
      <c r="Z5070" s="234">
        <v>31</v>
      </c>
      <c r="AA5070" s="235">
        <v>0.16666666666787933</v>
      </c>
      <c r="AB5070" s="236">
        <v>13.8</v>
      </c>
      <c r="AC5070" s="127">
        <f t="shared" si="94"/>
        <v>14</v>
      </c>
    </row>
    <row r="5071" ht="14.5" customHeight="1" spans="11:29" x14ac:dyDescent="0.25">
      <c r="K5071" s="128"/>
      <c r="X5071" s="234">
        <v>2022</v>
      </c>
      <c r="Y5071" s="234">
        <v>7</v>
      </c>
      <c r="Z5071" s="234">
        <v>31</v>
      </c>
      <c r="AA5071" s="235">
        <v>0.20833333333212067</v>
      </c>
      <c r="AB5071" s="236">
        <v>14.4</v>
      </c>
      <c r="AC5071" s="127">
        <f t="shared" si="94"/>
        <v>14</v>
      </c>
    </row>
    <row r="5072" ht="14.5" customHeight="1" spans="11:29" x14ac:dyDescent="0.25">
      <c r="K5072" s="128"/>
      <c r="X5072" s="234">
        <v>2022</v>
      </c>
      <c r="Y5072" s="234">
        <v>7</v>
      </c>
      <c r="Z5072" s="234">
        <v>31</v>
      </c>
      <c r="AA5072" s="235">
        <v>0.25</v>
      </c>
      <c r="AB5072" s="236">
        <v>14.5</v>
      </c>
      <c r="AC5072" s="127">
        <f t="shared" si="94"/>
        <v>15</v>
      </c>
    </row>
    <row r="5073" ht="14.5" customHeight="1" spans="11:29" x14ac:dyDescent="0.25">
      <c r="K5073" s="128"/>
      <c r="X5073" s="234">
        <v>2022</v>
      </c>
      <c r="Y5073" s="234">
        <v>7</v>
      </c>
      <c r="Z5073" s="234">
        <v>31</v>
      </c>
      <c r="AA5073" s="235">
        <v>0.2916666666678793</v>
      </c>
      <c r="AB5073" s="236">
        <v>15.3</v>
      </c>
      <c r="AC5073" s="127">
        <f t="shared" si="94"/>
        <v>15</v>
      </c>
    </row>
    <row r="5074" ht="14.5" customHeight="1" spans="11:29" x14ac:dyDescent="0.25">
      <c r="K5074" s="128"/>
      <c r="X5074" s="234">
        <v>2022</v>
      </c>
      <c r="Y5074" s="234">
        <v>7</v>
      </c>
      <c r="Z5074" s="234">
        <v>31</v>
      </c>
      <c r="AA5074" s="235">
        <v>0.3333333333321207</v>
      </c>
      <c r="AB5074" s="236">
        <v>17.1</v>
      </c>
      <c r="AC5074" s="127">
        <f t="shared" si="94"/>
        <v>17</v>
      </c>
    </row>
    <row r="5075" ht="14.5" customHeight="1" spans="11:29" x14ac:dyDescent="0.25">
      <c r="K5075" s="128"/>
      <c r="X5075" s="234">
        <v>2022</v>
      </c>
      <c r="Y5075" s="234">
        <v>7</v>
      </c>
      <c r="Z5075" s="234">
        <v>31</v>
      </c>
      <c r="AA5075" s="235">
        <v>0.375</v>
      </c>
      <c r="AB5075" s="236">
        <v>20.1</v>
      </c>
      <c r="AC5075" s="127">
        <f t="shared" si="94"/>
        <v>20</v>
      </c>
    </row>
    <row r="5076" ht="14.5" customHeight="1" spans="11:29" x14ac:dyDescent="0.25">
      <c r="K5076" s="128"/>
      <c r="X5076" s="234">
        <v>2022</v>
      </c>
      <c r="Y5076" s="234">
        <v>7</v>
      </c>
      <c r="Z5076" s="234">
        <v>31</v>
      </c>
      <c r="AA5076" s="235">
        <v>0.4166666666678793</v>
      </c>
      <c r="AB5076" s="236">
        <v>22.5</v>
      </c>
      <c r="AC5076" s="127">
        <f t="shared" si="94"/>
        <v>23</v>
      </c>
    </row>
    <row r="5077" ht="14.5" customHeight="1" spans="11:29" x14ac:dyDescent="0.25">
      <c r="K5077" s="128"/>
      <c r="X5077" s="234">
        <v>2022</v>
      </c>
      <c r="Y5077" s="234">
        <v>7</v>
      </c>
      <c r="Z5077" s="234">
        <v>31</v>
      </c>
      <c r="AA5077" s="235">
        <v>0.4583333333321207</v>
      </c>
      <c r="AB5077" s="236">
        <v>25.1</v>
      </c>
      <c r="AC5077" s="127">
        <f t="shared" si="94"/>
        <v>25</v>
      </c>
    </row>
    <row r="5078" ht="14.5" customHeight="1" spans="11:29" x14ac:dyDescent="0.25">
      <c r="K5078" s="128"/>
      <c r="X5078" s="234">
        <v>2022</v>
      </c>
      <c r="Y5078" s="234">
        <v>7</v>
      </c>
      <c r="Z5078" s="234">
        <v>31</v>
      </c>
      <c r="AA5078" s="235">
        <v>0.5</v>
      </c>
      <c r="AB5078" s="236">
        <v>27.4</v>
      </c>
      <c r="AC5078" s="127">
        <f t="shared" si="94"/>
        <v>27</v>
      </c>
    </row>
    <row r="5079" ht="14.5" customHeight="1" spans="11:29" x14ac:dyDescent="0.25">
      <c r="K5079" s="128"/>
      <c r="X5079" s="234">
        <v>2022</v>
      </c>
      <c r="Y5079" s="234">
        <v>7</v>
      </c>
      <c r="Z5079" s="234">
        <v>31</v>
      </c>
      <c r="AA5079" s="235">
        <v>0.5416666666678793</v>
      </c>
      <c r="AB5079" s="236">
        <v>28.1</v>
      </c>
      <c r="AC5079" s="127">
        <f t="shared" si="94"/>
        <v>28</v>
      </c>
    </row>
    <row r="5080" ht="14.5" customHeight="1" spans="11:29" x14ac:dyDescent="0.25">
      <c r="K5080" s="128"/>
      <c r="X5080" s="234">
        <v>2022</v>
      </c>
      <c r="Y5080" s="234">
        <v>7</v>
      </c>
      <c r="Z5080" s="234">
        <v>31</v>
      </c>
      <c r="AA5080" s="235">
        <v>0.5833333333321207</v>
      </c>
      <c r="AB5080" s="236">
        <v>28.7</v>
      </c>
      <c r="AC5080" s="127">
        <f t="shared" si="94"/>
        <v>29</v>
      </c>
    </row>
    <row r="5081" ht="14.5" customHeight="1" spans="11:29" x14ac:dyDescent="0.25">
      <c r="K5081" s="128"/>
      <c r="X5081" s="234">
        <v>2022</v>
      </c>
      <c r="Y5081" s="234">
        <v>7</v>
      </c>
      <c r="Z5081" s="234">
        <v>31</v>
      </c>
      <c r="AA5081" s="235">
        <v>0.625</v>
      </c>
      <c r="AB5081" s="236">
        <v>28.8</v>
      </c>
      <c r="AC5081" s="127">
        <f t="shared" si="94"/>
        <v>29</v>
      </c>
    </row>
    <row r="5082" ht="14.5" customHeight="1" spans="11:29" x14ac:dyDescent="0.25">
      <c r="K5082" s="128"/>
      <c r="X5082" s="234">
        <v>2022</v>
      </c>
      <c r="Y5082" s="234">
        <v>7</v>
      </c>
      <c r="Z5082" s="234">
        <v>31</v>
      </c>
      <c r="AA5082" s="235">
        <v>0.6666666666678793</v>
      </c>
      <c r="AB5082" s="236">
        <v>27.8</v>
      </c>
      <c r="AC5082" s="127">
        <f t="shared" si="94"/>
        <v>28</v>
      </c>
    </row>
    <row r="5083" ht="14.5" customHeight="1" spans="11:29" x14ac:dyDescent="0.25">
      <c r="K5083" s="128"/>
      <c r="X5083" s="234">
        <v>2022</v>
      </c>
      <c r="Y5083" s="234">
        <v>7</v>
      </c>
      <c r="Z5083" s="234">
        <v>31</v>
      </c>
      <c r="AA5083" s="235">
        <v>0.7083333333321207</v>
      </c>
      <c r="AB5083" s="236">
        <v>26.7</v>
      </c>
      <c r="AC5083" s="127">
        <f t="shared" si="94"/>
        <v>27</v>
      </c>
    </row>
    <row r="5084" ht="14.5" customHeight="1" spans="11:29" x14ac:dyDescent="0.25">
      <c r="K5084" s="128"/>
      <c r="X5084" s="234">
        <v>2022</v>
      </c>
      <c r="Y5084" s="234">
        <v>7</v>
      </c>
      <c r="Z5084" s="234">
        <v>31</v>
      </c>
      <c r="AA5084" s="235">
        <v>0.75</v>
      </c>
      <c r="AB5084" s="236">
        <v>25.9</v>
      </c>
      <c r="AC5084" s="127">
        <f t="shared" si="94"/>
        <v>26</v>
      </c>
    </row>
    <row r="5085" ht="14.5" customHeight="1" spans="11:29" x14ac:dyDescent="0.25">
      <c r="K5085" s="128"/>
      <c r="X5085" s="234">
        <v>2022</v>
      </c>
      <c r="Y5085" s="234">
        <v>7</v>
      </c>
      <c r="Z5085" s="234">
        <v>31</v>
      </c>
      <c r="AA5085" s="235">
        <v>0.7916666666678793</v>
      </c>
      <c r="AB5085" s="236">
        <v>24.5</v>
      </c>
      <c r="AC5085" s="127">
        <f t="shared" si="94"/>
        <v>25</v>
      </c>
    </row>
    <row r="5086" ht="14.5" customHeight="1" spans="11:29" x14ac:dyDescent="0.25">
      <c r="K5086" s="128"/>
      <c r="X5086" s="234">
        <v>2022</v>
      </c>
      <c r="Y5086" s="234">
        <v>7</v>
      </c>
      <c r="Z5086" s="234">
        <v>31</v>
      </c>
      <c r="AA5086" s="235">
        <v>0.8333333333321207</v>
      </c>
      <c r="AB5086" s="236">
        <v>21.9</v>
      </c>
      <c r="AC5086" s="127">
        <f t="shared" si="94"/>
        <v>22</v>
      </c>
    </row>
    <row r="5087" ht="14.5" customHeight="1" spans="11:29" x14ac:dyDescent="0.25">
      <c r="K5087" s="128"/>
      <c r="X5087" s="234">
        <v>2022</v>
      </c>
      <c r="Y5087" s="234">
        <v>7</v>
      </c>
      <c r="Z5087" s="234">
        <v>31</v>
      </c>
      <c r="AA5087" s="235">
        <v>0.875</v>
      </c>
      <c r="AB5087" s="236">
        <v>20.4</v>
      </c>
      <c r="AC5087" s="127">
        <f t="shared" si="94"/>
        <v>20</v>
      </c>
    </row>
    <row r="5088" ht="14.5" customHeight="1" spans="11:29" x14ac:dyDescent="0.25">
      <c r="K5088" s="128"/>
      <c r="X5088" s="234">
        <v>2022</v>
      </c>
      <c r="Y5088" s="234">
        <v>7</v>
      </c>
      <c r="Z5088" s="234">
        <v>31</v>
      </c>
      <c r="AA5088" s="235">
        <v>0.9166666666678793</v>
      </c>
      <c r="AB5088" s="236">
        <v>18.5</v>
      </c>
      <c r="AC5088" s="127">
        <f t="shared" si="94"/>
        <v>19</v>
      </c>
    </row>
    <row r="5089" ht="14.5" customHeight="1" spans="11:29" x14ac:dyDescent="0.25">
      <c r="K5089" s="128"/>
      <c r="X5089" s="234">
        <v>2022</v>
      </c>
      <c r="Y5089" s="234">
        <v>7</v>
      </c>
      <c r="Z5089" s="234">
        <v>31</v>
      </c>
      <c r="AA5089" s="235">
        <v>0.9583333333321207</v>
      </c>
      <c r="AB5089" s="236">
        <v>17.6</v>
      </c>
      <c r="AC5089" s="127">
        <f t="shared" si="94"/>
        <v>18</v>
      </c>
    </row>
    <row r="5090" ht="14.5" customHeight="1" spans="11:29" x14ac:dyDescent="0.25">
      <c r="K5090" s="128"/>
      <c r="X5090" s="234">
        <v>2022</v>
      </c>
      <c r="Y5090" s="234">
        <v>8</v>
      </c>
      <c r="Z5090" s="234">
        <v>1</v>
      </c>
      <c r="AA5090" s="235">
        <v>0</v>
      </c>
      <c r="AB5090" s="236">
        <v>17</v>
      </c>
      <c r="AC5090" s="127">
        <f t="shared" si="94"/>
        <v>17</v>
      </c>
    </row>
    <row r="5091" ht="14.5" customHeight="1" spans="11:29" x14ac:dyDescent="0.25">
      <c r="K5091" s="128"/>
      <c r="X5091" s="234">
        <v>2022</v>
      </c>
      <c r="Y5091" s="234">
        <v>8</v>
      </c>
      <c r="Z5091" s="234">
        <v>1</v>
      </c>
      <c r="AA5091" s="235">
        <v>0.041666666667879326</v>
      </c>
      <c r="AB5091" s="236">
        <v>16.3</v>
      </c>
      <c r="AC5091" s="127">
        <f t="shared" si="94"/>
        <v>16</v>
      </c>
    </row>
    <row r="5092" ht="14.5" customHeight="1" spans="11:29" x14ac:dyDescent="0.25">
      <c r="K5092" s="128"/>
      <c r="X5092" s="234">
        <v>2022</v>
      </c>
      <c r="Y5092" s="234">
        <v>8</v>
      </c>
      <c r="Z5092" s="234">
        <v>1</v>
      </c>
      <c r="AA5092" s="235">
        <v>0.08333333333212067</v>
      </c>
      <c r="AB5092" s="236">
        <v>15.5</v>
      </c>
      <c r="AC5092" s="127">
        <f t="shared" si="94"/>
        <v>16</v>
      </c>
    </row>
    <row r="5093" ht="14.5" customHeight="1" spans="11:29" x14ac:dyDescent="0.25">
      <c r="K5093" s="128"/>
      <c r="X5093" s="234">
        <v>2022</v>
      </c>
      <c r="Y5093" s="234">
        <v>8</v>
      </c>
      <c r="Z5093" s="234">
        <v>1</v>
      </c>
      <c r="AA5093" s="235">
        <v>0.125</v>
      </c>
      <c r="AB5093" s="236">
        <v>15.3</v>
      </c>
      <c r="AC5093" s="127">
        <f t="shared" si="94"/>
        <v>15</v>
      </c>
    </row>
    <row r="5094" ht="14.5" customHeight="1" spans="11:29" x14ac:dyDescent="0.25">
      <c r="K5094" s="128"/>
      <c r="X5094" s="234">
        <v>2022</v>
      </c>
      <c r="Y5094" s="234">
        <v>8</v>
      </c>
      <c r="Z5094" s="234">
        <v>1</v>
      </c>
      <c r="AA5094" s="235">
        <v>0.16666666666787933</v>
      </c>
      <c r="AB5094" s="236">
        <v>15.5</v>
      </c>
      <c r="AC5094" s="127">
        <f t="shared" si="94"/>
        <v>16</v>
      </c>
    </row>
    <row r="5095" ht="14.5" customHeight="1" spans="11:29" x14ac:dyDescent="0.25">
      <c r="K5095" s="128"/>
      <c r="X5095" s="234">
        <v>2022</v>
      </c>
      <c r="Y5095" s="234">
        <v>8</v>
      </c>
      <c r="Z5095" s="234">
        <v>1</v>
      </c>
      <c r="AA5095" s="235">
        <v>0.20833333333212067</v>
      </c>
      <c r="AB5095" s="236">
        <v>15.3</v>
      </c>
      <c r="AC5095" s="127">
        <f t="shared" si="94"/>
        <v>15</v>
      </c>
    </row>
    <row r="5096" ht="14.5" customHeight="1" spans="11:29" x14ac:dyDescent="0.25">
      <c r="K5096" s="128"/>
      <c r="X5096" s="234">
        <v>2022</v>
      </c>
      <c r="Y5096" s="234">
        <v>8</v>
      </c>
      <c r="Z5096" s="234">
        <v>1</v>
      </c>
      <c r="AA5096" s="235">
        <v>0.25</v>
      </c>
      <c r="AB5096" s="236">
        <v>14.6</v>
      </c>
      <c r="AC5096" s="127">
        <f t="shared" si="94"/>
        <v>15</v>
      </c>
    </row>
    <row r="5097" ht="14.5" customHeight="1" spans="11:29" x14ac:dyDescent="0.25">
      <c r="K5097" s="128"/>
      <c r="X5097" s="234">
        <v>2022</v>
      </c>
      <c r="Y5097" s="234">
        <v>8</v>
      </c>
      <c r="Z5097" s="234">
        <v>1</v>
      </c>
      <c r="AA5097" s="235">
        <v>0.2916666666678793</v>
      </c>
      <c r="AB5097" s="236">
        <v>16.3</v>
      </c>
      <c r="AC5097" s="127">
        <f t="shared" si="94"/>
        <v>16</v>
      </c>
    </row>
    <row r="5098" ht="14.5" customHeight="1" spans="11:29" x14ac:dyDescent="0.25">
      <c r="K5098" s="128"/>
      <c r="X5098" s="234">
        <v>2022</v>
      </c>
      <c r="Y5098" s="234">
        <v>8</v>
      </c>
      <c r="Z5098" s="234">
        <v>1</v>
      </c>
      <c r="AA5098" s="235">
        <v>0.3333333333321207</v>
      </c>
      <c r="AB5098" s="236">
        <v>18.8</v>
      </c>
      <c r="AC5098" s="127">
        <f t="shared" si="94"/>
        <v>19</v>
      </c>
    </row>
    <row r="5099" ht="14.5" customHeight="1" spans="11:29" x14ac:dyDescent="0.25">
      <c r="K5099" s="128"/>
      <c r="X5099" s="234">
        <v>2022</v>
      </c>
      <c r="Y5099" s="234">
        <v>8</v>
      </c>
      <c r="Z5099" s="234">
        <v>1</v>
      </c>
      <c r="AA5099" s="235">
        <v>0.375</v>
      </c>
      <c r="AB5099" s="236">
        <v>21.1</v>
      </c>
      <c r="AC5099" s="127">
        <f t="shared" si="94"/>
        <v>21</v>
      </c>
    </row>
    <row r="5100" ht="14.5" customHeight="1" spans="11:29" x14ac:dyDescent="0.25">
      <c r="K5100" s="128"/>
      <c r="X5100" s="234">
        <v>2022</v>
      </c>
      <c r="Y5100" s="234">
        <v>8</v>
      </c>
      <c r="Z5100" s="234">
        <v>1</v>
      </c>
      <c r="AA5100" s="235">
        <v>0.4166666666678793</v>
      </c>
      <c r="AB5100" s="236">
        <v>23.2</v>
      </c>
      <c r="AC5100" s="127">
        <f t="shared" si="94"/>
        <v>23</v>
      </c>
    </row>
    <row r="5101" ht="14.5" customHeight="1" spans="11:29" x14ac:dyDescent="0.25">
      <c r="K5101" s="128"/>
      <c r="X5101" s="234">
        <v>2022</v>
      </c>
      <c r="Y5101" s="234">
        <v>8</v>
      </c>
      <c r="Z5101" s="234">
        <v>1</v>
      </c>
      <c r="AA5101" s="235">
        <v>0.4583333333321207</v>
      </c>
      <c r="AB5101" s="236">
        <v>24.6</v>
      </c>
      <c r="AC5101" s="127">
        <f t="shared" si="94"/>
        <v>25</v>
      </c>
    </row>
    <row r="5102" ht="14.5" customHeight="1" spans="11:29" x14ac:dyDescent="0.25">
      <c r="K5102" s="128"/>
      <c r="X5102" s="234">
        <v>2022</v>
      </c>
      <c r="Y5102" s="234">
        <v>8</v>
      </c>
      <c r="Z5102" s="234">
        <v>1</v>
      </c>
      <c r="AA5102" s="235">
        <v>0.5</v>
      </c>
      <c r="AB5102" s="236">
        <v>26.8</v>
      </c>
      <c r="AC5102" s="127">
        <f t="shared" si="94"/>
        <v>27</v>
      </c>
    </row>
    <row r="5103" ht="14.5" customHeight="1" spans="11:29" x14ac:dyDescent="0.25">
      <c r="K5103" s="128"/>
      <c r="X5103" s="234">
        <v>2022</v>
      </c>
      <c r="Y5103" s="234">
        <v>8</v>
      </c>
      <c r="Z5103" s="234">
        <v>1</v>
      </c>
      <c r="AA5103" s="235">
        <v>0.5416666666678793</v>
      </c>
      <c r="AB5103" s="236">
        <v>28.1</v>
      </c>
      <c r="AC5103" s="127">
        <f t="shared" si="94"/>
        <v>28</v>
      </c>
    </row>
    <row r="5104" ht="14.5" customHeight="1" spans="11:29" x14ac:dyDescent="0.25">
      <c r="K5104" s="128"/>
      <c r="X5104" s="234">
        <v>2022</v>
      </c>
      <c r="Y5104" s="234">
        <v>8</v>
      </c>
      <c r="Z5104" s="234">
        <v>1</v>
      </c>
      <c r="AA5104" s="235">
        <v>0.5833333333321207</v>
      </c>
      <c r="AB5104" s="236">
        <v>29.3</v>
      </c>
      <c r="AC5104" s="127">
        <f t="shared" si="94"/>
        <v>29</v>
      </c>
    </row>
    <row r="5105" ht="14.5" customHeight="1" spans="11:29" x14ac:dyDescent="0.25">
      <c r="K5105" s="128"/>
      <c r="X5105" s="234">
        <v>2022</v>
      </c>
      <c r="Y5105" s="234">
        <v>8</v>
      </c>
      <c r="Z5105" s="234">
        <v>1</v>
      </c>
      <c r="AA5105" s="235">
        <v>0.625</v>
      </c>
      <c r="AB5105" s="236">
        <v>29.5</v>
      </c>
      <c r="AC5105" s="127">
        <f t="shared" si="94"/>
        <v>30</v>
      </c>
    </row>
    <row r="5106" ht="14.5" customHeight="1" spans="11:29" x14ac:dyDescent="0.25">
      <c r="K5106" s="128"/>
      <c r="X5106" s="234">
        <v>2022</v>
      </c>
      <c r="Y5106" s="234">
        <v>8</v>
      </c>
      <c r="Z5106" s="234">
        <v>1</v>
      </c>
      <c r="AA5106" s="235">
        <v>0.6666666666678793</v>
      </c>
      <c r="AB5106" s="236">
        <v>29.6</v>
      </c>
      <c r="AC5106" s="127">
        <f t="shared" si="94"/>
        <v>30</v>
      </c>
    </row>
    <row r="5107" ht="14.5" customHeight="1" spans="11:29" x14ac:dyDescent="0.25">
      <c r="K5107" s="128"/>
      <c r="X5107" s="234">
        <v>2022</v>
      </c>
      <c r="Y5107" s="234">
        <v>8</v>
      </c>
      <c r="Z5107" s="234">
        <v>1</v>
      </c>
      <c r="AA5107" s="235">
        <v>0.7083333333321207</v>
      </c>
      <c r="AB5107" s="236">
        <v>29.3</v>
      </c>
      <c r="AC5107" s="127">
        <f t="shared" si="94"/>
        <v>29</v>
      </c>
    </row>
    <row r="5108" ht="14.5" customHeight="1" spans="11:29" x14ac:dyDescent="0.25">
      <c r="K5108" s="128"/>
      <c r="X5108" s="234">
        <v>2022</v>
      </c>
      <c r="Y5108" s="234">
        <v>8</v>
      </c>
      <c r="Z5108" s="234">
        <v>1</v>
      </c>
      <c r="AA5108" s="235">
        <v>0.75</v>
      </c>
      <c r="AB5108" s="236">
        <v>27.9</v>
      </c>
      <c r="AC5108" s="127">
        <f t="shared" si="94"/>
        <v>28</v>
      </c>
    </row>
    <row r="5109" ht="14.5" customHeight="1" spans="11:29" x14ac:dyDescent="0.25">
      <c r="K5109" s="128"/>
      <c r="X5109" s="234">
        <v>2022</v>
      </c>
      <c r="Y5109" s="234">
        <v>8</v>
      </c>
      <c r="Z5109" s="234">
        <v>1</v>
      </c>
      <c r="AA5109" s="235">
        <v>0.7916666666678793</v>
      </c>
      <c r="AB5109" s="236">
        <v>26.7</v>
      </c>
      <c r="AC5109" s="127">
        <f t="shared" si="94"/>
        <v>27</v>
      </c>
    </row>
    <row r="5110" ht="14.5" customHeight="1" spans="11:29" x14ac:dyDescent="0.25">
      <c r="K5110" s="128"/>
      <c r="X5110" s="234">
        <v>2022</v>
      </c>
      <c r="Y5110" s="234">
        <v>8</v>
      </c>
      <c r="Z5110" s="234">
        <v>1</v>
      </c>
      <c r="AA5110" s="235">
        <v>0.8333333333321207</v>
      </c>
      <c r="AB5110" s="236">
        <v>23.6</v>
      </c>
      <c r="AC5110" s="127">
        <f t="shared" si="94"/>
        <v>24</v>
      </c>
    </row>
    <row r="5111" ht="14.5" customHeight="1" spans="11:29" x14ac:dyDescent="0.25">
      <c r="K5111" s="128"/>
      <c r="X5111" s="234">
        <v>2022</v>
      </c>
      <c r="Y5111" s="234">
        <v>8</v>
      </c>
      <c r="Z5111" s="234">
        <v>1</v>
      </c>
      <c r="AA5111" s="235">
        <v>0.875</v>
      </c>
      <c r="AB5111" s="236">
        <v>17.3</v>
      </c>
      <c r="AC5111" s="127">
        <f t="shared" si="94"/>
        <v>17</v>
      </c>
    </row>
    <row r="5112" ht="14.5" customHeight="1" spans="11:29" x14ac:dyDescent="0.25">
      <c r="K5112" s="128"/>
      <c r="X5112" s="234">
        <v>2022</v>
      </c>
      <c r="Y5112" s="234">
        <v>8</v>
      </c>
      <c r="Z5112" s="234">
        <v>1</v>
      </c>
      <c r="AA5112" s="235">
        <v>0.9166666666678793</v>
      </c>
      <c r="AB5112" s="236">
        <v>14.7</v>
      </c>
      <c r="AC5112" s="127">
        <f t="shared" si="94"/>
        <v>15</v>
      </c>
    </row>
    <row r="5113" ht="14.5" customHeight="1" spans="11:29" x14ac:dyDescent="0.25">
      <c r="K5113" s="128"/>
      <c r="X5113" s="234">
        <v>2022</v>
      </c>
      <c r="Y5113" s="234">
        <v>8</v>
      </c>
      <c r="Z5113" s="234">
        <v>1</v>
      </c>
      <c r="AA5113" s="235">
        <v>0.9583333333321207</v>
      </c>
      <c r="AB5113" s="236">
        <v>13.9</v>
      </c>
      <c r="AC5113" s="127">
        <f t="shared" si="94"/>
        <v>14</v>
      </c>
    </row>
    <row r="5114" ht="14.5" customHeight="1" spans="11:29" x14ac:dyDescent="0.25">
      <c r="K5114" s="128"/>
      <c r="X5114" s="234">
        <v>2022</v>
      </c>
      <c r="Y5114" s="234">
        <v>8</v>
      </c>
      <c r="Z5114" s="234">
        <v>2</v>
      </c>
      <c r="AA5114" s="235">
        <v>0</v>
      </c>
      <c r="AB5114" s="236">
        <v>14.9</v>
      </c>
      <c r="AC5114" s="127">
        <f t="shared" si="94"/>
        <v>15</v>
      </c>
    </row>
    <row r="5115" ht="14.5" customHeight="1" spans="11:29" x14ac:dyDescent="0.25">
      <c r="K5115" s="128"/>
      <c r="X5115" s="234">
        <v>2022</v>
      </c>
      <c r="Y5115" s="234">
        <v>8</v>
      </c>
      <c r="Z5115" s="234">
        <v>2</v>
      </c>
      <c r="AA5115" s="235">
        <v>0.041666666667879326</v>
      </c>
      <c r="AB5115" s="236">
        <v>14.5</v>
      </c>
      <c r="AC5115" s="127">
        <f t="shared" si="94"/>
        <v>15</v>
      </c>
    </row>
    <row r="5116" ht="14.5" customHeight="1" spans="11:29" x14ac:dyDescent="0.25">
      <c r="K5116" s="128"/>
      <c r="X5116" s="234">
        <v>2022</v>
      </c>
      <c r="Y5116" s="234">
        <v>8</v>
      </c>
      <c r="Z5116" s="234">
        <v>2</v>
      </c>
      <c r="AA5116" s="235">
        <v>0.08333333333212067</v>
      </c>
      <c r="AB5116" s="236">
        <v>14.5</v>
      </c>
      <c r="AC5116" s="127">
        <f t="shared" si="94"/>
        <v>15</v>
      </c>
    </row>
    <row r="5117" ht="14.5" customHeight="1" spans="11:29" x14ac:dyDescent="0.25">
      <c r="K5117" s="128"/>
      <c r="X5117" s="234">
        <v>2022</v>
      </c>
      <c r="Y5117" s="234">
        <v>8</v>
      </c>
      <c r="Z5117" s="234">
        <v>2</v>
      </c>
      <c r="AA5117" s="235">
        <v>0.125</v>
      </c>
      <c r="AB5117" s="236">
        <v>13.5</v>
      </c>
      <c r="AC5117" s="127">
        <f t="shared" si="94"/>
        <v>14</v>
      </c>
    </row>
    <row r="5118" ht="14.5" customHeight="1" spans="11:29" x14ac:dyDescent="0.25">
      <c r="K5118" s="128"/>
      <c r="X5118" s="234">
        <v>2022</v>
      </c>
      <c r="Y5118" s="234">
        <v>8</v>
      </c>
      <c r="Z5118" s="234">
        <v>2</v>
      </c>
      <c r="AA5118" s="235">
        <v>0.16666666666787933</v>
      </c>
      <c r="AB5118" s="236">
        <v>14.6</v>
      </c>
      <c r="AC5118" s="127">
        <f t="shared" si="94"/>
        <v>15</v>
      </c>
    </row>
    <row r="5119" ht="14.5" customHeight="1" spans="11:29" x14ac:dyDescent="0.25">
      <c r="K5119" s="128"/>
      <c r="X5119" s="234">
        <v>2022</v>
      </c>
      <c r="Y5119" s="234">
        <v>8</v>
      </c>
      <c r="Z5119" s="234">
        <v>2</v>
      </c>
      <c r="AA5119" s="235">
        <v>0.20833333333212067</v>
      </c>
      <c r="AB5119" s="236">
        <v>13.6</v>
      </c>
      <c r="AC5119" s="127">
        <f t="shared" si="94"/>
        <v>14</v>
      </c>
    </row>
    <row r="5120" ht="14.5" customHeight="1" spans="11:29" x14ac:dyDescent="0.25">
      <c r="K5120" s="128"/>
      <c r="X5120" s="234">
        <v>2022</v>
      </c>
      <c r="Y5120" s="234">
        <v>8</v>
      </c>
      <c r="Z5120" s="234">
        <v>2</v>
      </c>
      <c r="AA5120" s="235">
        <v>0.25</v>
      </c>
      <c r="AB5120" s="236">
        <v>14.4</v>
      </c>
      <c r="AC5120" s="127">
        <f t="shared" si="94"/>
        <v>14</v>
      </c>
    </row>
    <row r="5121" ht="14.5" customHeight="1" spans="11:29" x14ac:dyDescent="0.25">
      <c r="K5121" s="128"/>
      <c r="X5121" s="234">
        <v>2022</v>
      </c>
      <c r="Y5121" s="234">
        <v>8</v>
      </c>
      <c r="Z5121" s="234">
        <v>2</v>
      </c>
      <c r="AA5121" s="235">
        <v>0.2916666666678793</v>
      </c>
      <c r="AB5121" s="236">
        <v>15.3</v>
      </c>
      <c r="AC5121" s="127">
        <f t="shared" si="94"/>
        <v>15</v>
      </c>
    </row>
    <row r="5122" ht="14.5" customHeight="1" spans="11:29" x14ac:dyDescent="0.25">
      <c r="K5122" s="128"/>
      <c r="X5122" s="234">
        <v>2022</v>
      </c>
      <c r="Y5122" s="234">
        <v>8</v>
      </c>
      <c r="Z5122" s="234">
        <v>2</v>
      </c>
      <c r="AA5122" s="235">
        <v>0.3333333333321207</v>
      </c>
      <c r="AB5122" s="236">
        <v>15.9</v>
      </c>
      <c r="AC5122" s="127">
        <f t="shared" si="94"/>
        <v>16</v>
      </c>
    </row>
    <row r="5123" ht="14.5" customHeight="1" spans="11:29" x14ac:dyDescent="0.25">
      <c r="K5123" s="128"/>
      <c r="X5123" s="234">
        <v>2022</v>
      </c>
      <c r="Y5123" s="234">
        <v>8</v>
      </c>
      <c r="Z5123" s="234">
        <v>2</v>
      </c>
      <c r="AA5123" s="235">
        <v>0.375</v>
      </c>
      <c r="AB5123" s="236">
        <v>17.1</v>
      </c>
      <c r="AC5123" s="127">
        <f t="shared" si="94"/>
        <v>17</v>
      </c>
    </row>
    <row r="5124" ht="14.5" customHeight="1" spans="11:29" x14ac:dyDescent="0.25">
      <c r="K5124" s="128"/>
      <c r="X5124" s="234">
        <v>2022</v>
      </c>
      <c r="Y5124" s="234">
        <v>8</v>
      </c>
      <c r="Z5124" s="234">
        <v>2</v>
      </c>
      <c r="AA5124" s="235">
        <v>0.4166666666678793</v>
      </c>
      <c r="AB5124" s="236">
        <v>18.7</v>
      </c>
      <c r="AC5124" s="127">
        <f t="shared" si="94"/>
        <v>19</v>
      </c>
    </row>
    <row r="5125" ht="14.5" customHeight="1" spans="11:29" x14ac:dyDescent="0.25">
      <c r="K5125" s="128"/>
      <c r="X5125" s="234">
        <v>2022</v>
      </c>
      <c r="Y5125" s="234">
        <v>8</v>
      </c>
      <c r="Z5125" s="234">
        <v>2</v>
      </c>
      <c r="AA5125" s="235">
        <v>0.4583333333321207</v>
      </c>
      <c r="AB5125" s="236">
        <v>21.3</v>
      </c>
      <c r="AC5125" s="127">
        <f t="shared" si="94"/>
        <v>21</v>
      </c>
    </row>
    <row r="5126" ht="14.5" customHeight="1" spans="11:29" x14ac:dyDescent="0.25">
      <c r="K5126" s="128"/>
      <c r="X5126" s="234">
        <v>2022</v>
      </c>
      <c r="Y5126" s="234">
        <v>8</v>
      </c>
      <c r="Z5126" s="234">
        <v>2</v>
      </c>
      <c r="AA5126" s="235">
        <v>0.5</v>
      </c>
      <c r="AB5126" s="236">
        <v>21.8</v>
      </c>
      <c r="AC5126" s="127">
        <f t="shared" si="94"/>
        <v>22</v>
      </c>
    </row>
    <row r="5127" ht="14.5" customHeight="1" spans="11:29" x14ac:dyDescent="0.25">
      <c r="K5127" s="128"/>
      <c r="X5127" s="234">
        <v>2022</v>
      </c>
      <c r="Y5127" s="234">
        <v>8</v>
      </c>
      <c r="Z5127" s="234">
        <v>2</v>
      </c>
      <c r="AA5127" s="235">
        <v>0.5416666666678793</v>
      </c>
      <c r="AB5127" s="236">
        <v>21.3</v>
      </c>
      <c r="AC5127" s="127">
        <f t="shared" si="94"/>
        <v>21</v>
      </c>
    </row>
    <row r="5128" ht="14.5" customHeight="1" spans="11:29" x14ac:dyDescent="0.25">
      <c r="K5128" s="128"/>
      <c r="X5128" s="234">
        <v>2022</v>
      </c>
      <c r="Y5128" s="234">
        <v>8</v>
      </c>
      <c r="Z5128" s="234">
        <v>2</v>
      </c>
      <c r="AA5128" s="235">
        <v>0.5833333333321207</v>
      </c>
      <c r="AB5128" s="236">
        <v>22.3</v>
      </c>
      <c r="AC5128" s="127">
        <f t="shared" si="94"/>
        <v>22</v>
      </c>
    </row>
    <row r="5129" ht="14.5" customHeight="1" spans="11:29" x14ac:dyDescent="0.25">
      <c r="K5129" s="128"/>
      <c r="X5129" s="234">
        <v>2022</v>
      </c>
      <c r="Y5129" s="234">
        <v>8</v>
      </c>
      <c r="Z5129" s="234">
        <v>2</v>
      </c>
      <c r="AA5129" s="235">
        <v>0.625</v>
      </c>
      <c r="AB5129" s="236">
        <v>22.4</v>
      </c>
      <c r="AC5129" s="127">
        <f t="shared" si="94"/>
        <v>22</v>
      </c>
    </row>
    <row r="5130" ht="14.5" customHeight="1" spans="11:29" x14ac:dyDescent="0.25">
      <c r="K5130" s="128"/>
      <c r="X5130" s="234">
        <v>2022</v>
      </c>
      <c r="Y5130" s="234">
        <v>8</v>
      </c>
      <c r="Z5130" s="234">
        <v>2</v>
      </c>
      <c r="AA5130" s="235">
        <v>0.6666666666678793</v>
      </c>
      <c r="AB5130" s="236">
        <v>23.1</v>
      </c>
      <c r="AC5130" s="127">
        <f t="shared" si="94"/>
        <v>23</v>
      </c>
    </row>
    <row r="5131" ht="14.5" customHeight="1" spans="11:29" x14ac:dyDescent="0.25">
      <c r="K5131" s="128"/>
      <c r="X5131" s="234">
        <v>2022</v>
      </c>
      <c r="Y5131" s="234">
        <v>8</v>
      </c>
      <c r="Z5131" s="234">
        <v>2</v>
      </c>
      <c r="AA5131" s="235">
        <v>0.7083333333321207</v>
      </c>
      <c r="AB5131" s="236">
        <v>22</v>
      </c>
      <c r="AC5131" s="127">
        <f t="shared" ref="AC5131:AC5194" si="95">ROUND(AB5131,0)</f>
        <v>22</v>
      </c>
    </row>
    <row r="5132" ht="14.5" customHeight="1" spans="11:29" x14ac:dyDescent="0.25">
      <c r="K5132" s="128"/>
      <c r="X5132" s="234">
        <v>2022</v>
      </c>
      <c r="Y5132" s="234">
        <v>8</v>
      </c>
      <c r="Z5132" s="234">
        <v>2</v>
      </c>
      <c r="AA5132" s="235">
        <v>0.75</v>
      </c>
      <c r="AB5132" s="236">
        <v>21.2</v>
      </c>
      <c r="AC5132" s="127">
        <f t="shared" si="95"/>
        <v>21</v>
      </c>
    </row>
    <row r="5133" ht="14.5" customHeight="1" spans="11:29" x14ac:dyDescent="0.25">
      <c r="K5133" s="128"/>
      <c r="X5133" s="234">
        <v>2022</v>
      </c>
      <c r="Y5133" s="234">
        <v>8</v>
      </c>
      <c r="Z5133" s="234">
        <v>2</v>
      </c>
      <c r="AA5133" s="235">
        <v>0.7916666666678793</v>
      </c>
      <c r="AB5133" s="236">
        <v>20</v>
      </c>
      <c r="AC5133" s="127">
        <f t="shared" si="95"/>
        <v>20</v>
      </c>
    </row>
    <row r="5134" ht="14.5" customHeight="1" spans="11:29" x14ac:dyDescent="0.25">
      <c r="K5134" s="128"/>
      <c r="X5134" s="234">
        <v>2022</v>
      </c>
      <c r="Y5134" s="234">
        <v>8</v>
      </c>
      <c r="Z5134" s="234">
        <v>2</v>
      </c>
      <c r="AA5134" s="235">
        <v>0.8333333333321207</v>
      </c>
      <c r="AB5134" s="236">
        <v>18.1</v>
      </c>
      <c r="AC5134" s="127">
        <f t="shared" si="95"/>
        <v>18</v>
      </c>
    </row>
    <row r="5135" ht="14.5" customHeight="1" spans="11:29" x14ac:dyDescent="0.25">
      <c r="K5135" s="128"/>
      <c r="X5135" s="234">
        <v>2022</v>
      </c>
      <c r="Y5135" s="234">
        <v>8</v>
      </c>
      <c r="Z5135" s="234">
        <v>2</v>
      </c>
      <c r="AA5135" s="235">
        <v>0.875</v>
      </c>
      <c r="AB5135" s="236">
        <v>15.7</v>
      </c>
      <c r="AC5135" s="127">
        <f t="shared" si="95"/>
        <v>16</v>
      </c>
    </row>
    <row r="5136" ht="14.5" customHeight="1" spans="11:29" x14ac:dyDescent="0.25">
      <c r="K5136" s="128"/>
      <c r="X5136" s="234">
        <v>2022</v>
      </c>
      <c r="Y5136" s="234">
        <v>8</v>
      </c>
      <c r="Z5136" s="234">
        <v>2</v>
      </c>
      <c r="AA5136" s="235">
        <v>0.9166666666678793</v>
      </c>
      <c r="AB5136" s="236">
        <v>14.4</v>
      </c>
      <c r="AC5136" s="127">
        <f t="shared" si="95"/>
        <v>14</v>
      </c>
    </row>
    <row r="5137" ht="14.5" customHeight="1" spans="11:29" x14ac:dyDescent="0.25">
      <c r="K5137" s="128"/>
      <c r="X5137" s="234">
        <v>2022</v>
      </c>
      <c r="Y5137" s="234">
        <v>8</v>
      </c>
      <c r="Z5137" s="234">
        <v>2</v>
      </c>
      <c r="AA5137" s="235">
        <v>0.9583333333321207</v>
      </c>
      <c r="AB5137" s="236">
        <v>13.6</v>
      </c>
      <c r="AC5137" s="127">
        <f t="shared" si="95"/>
        <v>14</v>
      </c>
    </row>
    <row r="5138" ht="14.5" customHeight="1" spans="11:29" x14ac:dyDescent="0.25">
      <c r="K5138" s="128"/>
      <c r="X5138" s="234">
        <v>2022</v>
      </c>
      <c r="Y5138" s="234">
        <v>8</v>
      </c>
      <c r="Z5138" s="234">
        <v>3</v>
      </c>
      <c r="AA5138" s="235">
        <v>0</v>
      </c>
      <c r="AB5138" s="236">
        <v>13</v>
      </c>
      <c r="AC5138" s="127">
        <f t="shared" si="95"/>
        <v>13</v>
      </c>
    </row>
    <row r="5139" ht="14.5" customHeight="1" spans="11:29" x14ac:dyDescent="0.25">
      <c r="K5139" s="128"/>
      <c r="X5139" s="234">
        <v>2022</v>
      </c>
      <c r="Y5139" s="234">
        <v>8</v>
      </c>
      <c r="Z5139" s="234">
        <v>3</v>
      </c>
      <c r="AA5139" s="235">
        <v>0.041666666667879326</v>
      </c>
      <c r="AB5139" s="236">
        <v>14.3</v>
      </c>
      <c r="AC5139" s="127">
        <f t="shared" si="95"/>
        <v>14</v>
      </c>
    </row>
    <row r="5140" ht="14.5" customHeight="1" spans="11:29" x14ac:dyDescent="0.25">
      <c r="K5140" s="128"/>
      <c r="X5140" s="234">
        <v>2022</v>
      </c>
      <c r="Y5140" s="234">
        <v>8</v>
      </c>
      <c r="Z5140" s="234">
        <v>3</v>
      </c>
      <c r="AA5140" s="235">
        <v>0.08333333333212067</v>
      </c>
      <c r="AB5140" s="236">
        <v>15.1</v>
      </c>
      <c r="AC5140" s="127">
        <f t="shared" si="95"/>
        <v>15</v>
      </c>
    </row>
    <row r="5141" ht="14.5" customHeight="1" spans="11:29" x14ac:dyDescent="0.25">
      <c r="K5141" s="128"/>
      <c r="X5141" s="234">
        <v>2022</v>
      </c>
      <c r="Y5141" s="234">
        <v>8</v>
      </c>
      <c r="Z5141" s="234">
        <v>3</v>
      </c>
      <c r="AA5141" s="235">
        <v>0.125</v>
      </c>
      <c r="AB5141" s="236">
        <v>15.3</v>
      </c>
      <c r="AC5141" s="127">
        <f t="shared" si="95"/>
        <v>15</v>
      </c>
    </row>
    <row r="5142" ht="14.5" customHeight="1" spans="11:29" x14ac:dyDescent="0.25">
      <c r="K5142" s="128"/>
      <c r="X5142" s="234">
        <v>2022</v>
      </c>
      <c r="Y5142" s="234">
        <v>8</v>
      </c>
      <c r="Z5142" s="234">
        <v>3</v>
      </c>
      <c r="AA5142" s="235">
        <v>0.16666666666787933</v>
      </c>
      <c r="AB5142" s="236">
        <v>14.9</v>
      </c>
      <c r="AC5142" s="127">
        <f t="shared" si="95"/>
        <v>15</v>
      </c>
    </row>
    <row r="5143" ht="14.5" customHeight="1" spans="11:29" x14ac:dyDescent="0.25">
      <c r="K5143" s="128"/>
      <c r="X5143" s="234">
        <v>2022</v>
      </c>
      <c r="Y5143" s="234">
        <v>8</v>
      </c>
      <c r="Z5143" s="234">
        <v>3</v>
      </c>
      <c r="AA5143" s="235">
        <v>0.20833333333212067</v>
      </c>
      <c r="AB5143" s="236">
        <v>15</v>
      </c>
      <c r="AC5143" s="127">
        <f t="shared" si="95"/>
        <v>15</v>
      </c>
    </row>
    <row r="5144" ht="14.5" customHeight="1" spans="11:29" x14ac:dyDescent="0.25">
      <c r="K5144" s="128"/>
      <c r="X5144" s="234">
        <v>2022</v>
      </c>
      <c r="Y5144" s="234">
        <v>8</v>
      </c>
      <c r="Z5144" s="234">
        <v>3</v>
      </c>
      <c r="AA5144" s="235">
        <v>0.25</v>
      </c>
      <c r="AB5144" s="236">
        <v>14.8</v>
      </c>
      <c r="AC5144" s="127">
        <f t="shared" si="95"/>
        <v>15</v>
      </c>
    </row>
    <row r="5145" ht="14.5" customHeight="1" spans="11:29" x14ac:dyDescent="0.25">
      <c r="K5145" s="128"/>
      <c r="X5145" s="234">
        <v>2022</v>
      </c>
      <c r="Y5145" s="234">
        <v>8</v>
      </c>
      <c r="Z5145" s="234">
        <v>3</v>
      </c>
      <c r="AA5145" s="235">
        <v>0.2916666666678793</v>
      </c>
      <c r="AB5145" s="236">
        <v>15.7</v>
      </c>
      <c r="AC5145" s="127">
        <f t="shared" si="95"/>
        <v>16</v>
      </c>
    </row>
    <row r="5146" ht="14.5" customHeight="1" spans="11:29" x14ac:dyDescent="0.25">
      <c r="K5146" s="128"/>
      <c r="X5146" s="234">
        <v>2022</v>
      </c>
      <c r="Y5146" s="234">
        <v>8</v>
      </c>
      <c r="Z5146" s="234">
        <v>3</v>
      </c>
      <c r="AA5146" s="235">
        <v>0.3333333333321207</v>
      </c>
      <c r="AB5146" s="236">
        <v>17.3</v>
      </c>
      <c r="AC5146" s="127">
        <f t="shared" si="95"/>
        <v>17</v>
      </c>
    </row>
    <row r="5147" ht="14.5" customHeight="1" spans="11:29" x14ac:dyDescent="0.25">
      <c r="K5147" s="128"/>
      <c r="X5147" s="234">
        <v>2022</v>
      </c>
      <c r="Y5147" s="234">
        <v>8</v>
      </c>
      <c r="Z5147" s="234">
        <v>3</v>
      </c>
      <c r="AA5147" s="235">
        <v>0.375</v>
      </c>
      <c r="AB5147" s="236">
        <v>19.5</v>
      </c>
      <c r="AC5147" s="127">
        <f t="shared" si="95"/>
        <v>20</v>
      </c>
    </row>
    <row r="5148" ht="14.5" customHeight="1" spans="11:29" x14ac:dyDescent="0.25">
      <c r="K5148" s="128"/>
      <c r="X5148" s="234">
        <v>2022</v>
      </c>
      <c r="Y5148" s="234">
        <v>8</v>
      </c>
      <c r="Z5148" s="234">
        <v>3</v>
      </c>
      <c r="AA5148" s="235">
        <v>0.4166666666678793</v>
      </c>
      <c r="AB5148" s="236">
        <v>20.2</v>
      </c>
      <c r="AC5148" s="127">
        <f t="shared" si="95"/>
        <v>20</v>
      </c>
    </row>
    <row r="5149" ht="14.5" customHeight="1" spans="11:29" x14ac:dyDescent="0.25">
      <c r="K5149" s="128"/>
      <c r="X5149" s="234">
        <v>2022</v>
      </c>
      <c r="Y5149" s="234">
        <v>8</v>
      </c>
      <c r="Z5149" s="234">
        <v>3</v>
      </c>
      <c r="AA5149" s="235">
        <v>0.4583333333321207</v>
      </c>
      <c r="AB5149" s="236">
        <v>21.4</v>
      </c>
      <c r="AC5149" s="127">
        <f t="shared" si="95"/>
        <v>21</v>
      </c>
    </row>
    <row r="5150" ht="14.5" customHeight="1" spans="11:29" x14ac:dyDescent="0.25">
      <c r="K5150" s="128"/>
      <c r="X5150" s="234">
        <v>2022</v>
      </c>
      <c r="Y5150" s="234">
        <v>8</v>
      </c>
      <c r="Z5150" s="234">
        <v>3</v>
      </c>
      <c r="AA5150" s="235">
        <v>0.5</v>
      </c>
      <c r="AB5150" s="236">
        <v>23.3</v>
      </c>
      <c r="AC5150" s="127">
        <f t="shared" si="95"/>
        <v>23</v>
      </c>
    </row>
    <row r="5151" ht="14.5" customHeight="1" spans="11:29" x14ac:dyDescent="0.25">
      <c r="K5151" s="128"/>
      <c r="X5151" s="234">
        <v>2022</v>
      </c>
      <c r="Y5151" s="234">
        <v>8</v>
      </c>
      <c r="Z5151" s="234">
        <v>3</v>
      </c>
      <c r="AA5151" s="235">
        <v>0.5416666666678793</v>
      </c>
      <c r="AB5151" s="236">
        <v>24.8</v>
      </c>
      <c r="AC5151" s="127">
        <f t="shared" si="95"/>
        <v>25</v>
      </c>
    </row>
    <row r="5152" ht="14.5" customHeight="1" spans="11:29" x14ac:dyDescent="0.25">
      <c r="K5152" s="128"/>
      <c r="X5152" s="234">
        <v>2022</v>
      </c>
      <c r="Y5152" s="234">
        <v>8</v>
      </c>
      <c r="Z5152" s="234">
        <v>3</v>
      </c>
      <c r="AA5152" s="235">
        <v>0.5833333333321207</v>
      </c>
      <c r="AB5152" s="236">
        <v>25.9</v>
      </c>
      <c r="AC5152" s="127">
        <f t="shared" si="95"/>
        <v>26</v>
      </c>
    </row>
    <row r="5153" ht="14.5" customHeight="1" spans="11:29" x14ac:dyDescent="0.25">
      <c r="K5153" s="128"/>
      <c r="X5153" s="234">
        <v>2022</v>
      </c>
      <c r="Y5153" s="234">
        <v>8</v>
      </c>
      <c r="Z5153" s="234">
        <v>3</v>
      </c>
      <c r="AA5153" s="235">
        <v>0.625</v>
      </c>
      <c r="AB5153" s="236">
        <v>27.7</v>
      </c>
      <c r="AC5153" s="127">
        <f t="shared" si="95"/>
        <v>28</v>
      </c>
    </row>
    <row r="5154" ht="14.5" customHeight="1" spans="11:29" x14ac:dyDescent="0.25">
      <c r="K5154" s="128"/>
      <c r="X5154" s="234">
        <v>2022</v>
      </c>
      <c r="Y5154" s="234">
        <v>8</v>
      </c>
      <c r="Z5154" s="234">
        <v>3</v>
      </c>
      <c r="AA5154" s="235">
        <v>0.6666666666678793</v>
      </c>
      <c r="AB5154" s="236">
        <v>25.9</v>
      </c>
      <c r="AC5154" s="127">
        <f t="shared" si="95"/>
        <v>26</v>
      </c>
    </row>
    <row r="5155" ht="14.5" customHeight="1" spans="11:29" x14ac:dyDescent="0.25">
      <c r="K5155" s="128"/>
      <c r="X5155" s="234">
        <v>2022</v>
      </c>
      <c r="Y5155" s="234">
        <v>8</v>
      </c>
      <c r="Z5155" s="234">
        <v>3</v>
      </c>
      <c r="AA5155" s="235">
        <v>0.7083333333321207</v>
      </c>
      <c r="AB5155" s="236">
        <v>25.7</v>
      </c>
      <c r="AC5155" s="127">
        <f t="shared" si="95"/>
        <v>26</v>
      </c>
    </row>
    <row r="5156" ht="14.5" customHeight="1" spans="11:29" x14ac:dyDescent="0.25">
      <c r="K5156" s="128"/>
      <c r="X5156" s="234">
        <v>2022</v>
      </c>
      <c r="Y5156" s="234">
        <v>8</v>
      </c>
      <c r="Z5156" s="234">
        <v>3</v>
      </c>
      <c r="AA5156" s="235">
        <v>0.75</v>
      </c>
      <c r="AB5156" s="236">
        <v>22.2</v>
      </c>
      <c r="AC5156" s="127">
        <f t="shared" si="95"/>
        <v>22</v>
      </c>
    </row>
    <row r="5157" ht="14.5" customHeight="1" spans="11:29" x14ac:dyDescent="0.25">
      <c r="K5157" s="128"/>
      <c r="X5157" s="234">
        <v>2022</v>
      </c>
      <c r="Y5157" s="234">
        <v>8</v>
      </c>
      <c r="Z5157" s="234">
        <v>3</v>
      </c>
      <c r="AA5157" s="235">
        <v>0.7916666666678793</v>
      </c>
      <c r="AB5157" s="236">
        <v>20.4</v>
      </c>
      <c r="AC5157" s="127">
        <f t="shared" si="95"/>
        <v>20</v>
      </c>
    </row>
    <row r="5158" ht="14.5" customHeight="1" spans="11:29" x14ac:dyDescent="0.25">
      <c r="K5158" s="128"/>
      <c r="X5158" s="234">
        <v>2022</v>
      </c>
      <c r="Y5158" s="234">
        <v>8</v>
      </c>
      <c r="Z5158" s="234">
        <v>3</v>
      </c>
      <c r="AA5158" s="235">
        <v>0.8333333333321207</v>
      </c>
      <c r="AB5158" s="236">
        <v>19</v>
      </c>
      <c r="AC5158" s="127">
        <f t="shared" si="95"/>
        <v>19</v>
      </c>
    </row>
    <row r="5159" ht="14.5" customHeight="1" spans="11:29" x14ac:dyDescent="0.25">
      <c r="K5159" s="128"/>
      <c r="X5159" s="234">
        <v>2022</v>
      </c>
      <c r="Y5159" s="234">
        <v>8</v>
      </c>
      <c r="Z5159" s="234">
        <v>3</v>
      </c>
      <c r="AA5159" s="235">
        <v>0.875</v>
      </c>
      <c r="AB5159" s="236">
        <v>17.1</v>
      </c>
      <c r="AC5159" s="127">
        <f t="shared" si="95"/>
        <v>17</v>
      </c>
    </row>
    <row r="5160" ht="14.5" customHeight="1" spans="11:29" x14ac:dyDescent="0.25">
      <c r="K5160" s="128"/>
      <c r="X5160" s="234">
        <v>2022</v>
      </c>
      <c r="Y5160" s="234">
        <v>8</v>
      </c>
      <c r="Z5160" s="234">
        <v>3</v>
      </c>
      <c r="AA5160" s="235">
        <v>0.9166666666678793</v>
      </c>
      <c r="AB5160" s="236">
        <v>16.3</v>
      </c>
      <c r="AC5160" s="127">
        <f t="shared" si="95"/>
        <v>16</v>
      </c>
    </row>
    <row r="5161" ht="14.5" customHeight="1" spans="11:29" x14ac:dyDescent="0.25">
      <c r="K5161" s="128"/>
      <c r="X5161" s="234">
        <v>2022</v>
      </c>
      <c r="Y5161" s="234">
        <v>8</v>
      </c>
      <c r="Z5161" s="234">
        <v>3</v>
      </c>
      <c r="AA5161" s="235">
        <v>0.9583333333321207</v>
      </c>
      <c r="AB5161" s="236">
        <v>15</v>
      </c>
      <c r="AC5161" s="127">
        <f t="shared" si="95"/>
        <v>15</v>
      </c>
    </row>
    <row r="5162" ht="14.5" customHeight="1" spans="11:29" x14ac:dyDescent="0.25">
      <c r="K5162" s="128"/>
      <c r="X5162" s="234">
        <v>2022</v>
      </c>
      <c r="Y5162" s="234">
        <v>8</v>
      </c>
      <c r="Z5162" s="234">
        <v>4</v>
      </c>
      <c r="AA5162" s="235">
        <v>0</v>
      </c>
      <c r="AB5162" s="236">
        <v>14.8</v>
      </c>
      <c r="AC5162" s="127">
        <f t="shared" si="95"/>
        <v>15</v>
      </c>
    </row>
    <row r="5163" ht="14.5" customHeight="1" spans="11:29" x14ac:dyDescent="0.25">
      <c r="K5163" s="128"/>
      <c r="X5163" s="234">
        <v>2022</v>
      </c>
      <c r="Y5163" s="234">
        <v>8</v>
      </c>
      <c r="Z5163" s="234">
        <v>4</v>
      </c>
      <c r="AA5163" s="235">
        <v>0.041666666667879326</v>
      </c>
      <c r="AB5163" s="236">
        <v>13.2</v>
      </c>
      <c r="AC5163" s="127">
        <f t="shared" si="95"/>
        <v>13</v>
      </c>
    </row>
    <row r="5164" ht="14.5" customHeight="1" spans="11:29" x14ac:dyDescent="0.25">
      <c r="K5164" s="128"/>
      <c r="X5164" s="234">
        <v>2022</v>
      </c>
      <c r="Y5164" s="234">
        <v>8</v>
      </c>
      <c r="Z5164" s="234">
        <v>4</v>
      </c>
      <c r="AA5164" s="235">
        <v>0.08333333333212067</v>
      </c>
      <c r="AB5164" s="236">
        <v>12.9</v>
      </c>
      <c r="AC5164" s="127">
        <f t="shared" si="95"/>
        <v>13</v>
      </c>
    </row>
    <row r="5165" ht="14.5" customHeight="1" spans="11:29" x14ac:dyDescent="0.25">
      <c r="K5165" s="128"/>
      <c r="X5165" s="234">
        <v>2022</v>
      </c>
      <c r="Y5165" s="234">
        <v>8</v>
      </c>
      <c r="Z5165" s="234">
        <v>4</v>
      </c>
      <c r="AA5165" s="235">
        <v>0.125</v>
      </c>
      <c r="AB5165" s="236">
        <v>11.2</v>
      </c>
      <c r="AC5165" s="127">
        <f t="shared" si="95"/>
        <v>11</v>
      </c>
    </row>
    <row r="5166" ht="14.5" customHeight="1" spans="11:29" x14ac:dyDescent="0.25">
      <c r="K5166" s="128"/>
      <c r="X5166" s="234">
        <v>2022</v>
      </c>
      <c r="Y5166" s="234">
        <v>8</v>
      </c>
      <c r="Z5166" s="234">
        <v>4</v>
      </c>
      <c r="AA5166" s="235">
        <v>0.16666666666787933</v>
      </c>
      <c r="AB5166" s="236">
        <v>11.4</v>
      </c>
      <c r="AC5166" s="127">
        <f t="shared" si="95"/>
        <v>11</v>
      </c>
    </row>
    <row r="5167" ht="14.5" customHeight="1" spans="11:29" x14ac:dyDescent="0.25">
      <c r="K5167" s="128"/>
      <c r="X5167" s="234">
        <v>2022</v>
      </c>
      <c r="Y5167" s="234">
        <v>8</v>
      </c>
      <c r="Z5167" s="234">
        <v>4</v>
      </c>
      <c r="AA5167" s="235">
        <v>0.20833333333212067</v>
      </c>
      <c r="AB5167" s="236">
        <v>9.4</v>
      </c>
      <c r="AC5167" s="127">
        <f t="shared" si="95"/>
        <v>9</v>
      </c>
    </row>
    <row r="5168" ht="14.5" customHeight="1" spans="11:29" x14ac:dyDescent="0.25">
      <c r="K5168" s="128"/>
      <c r="X5168" s="234">
        <v>2022</v>
      </c>
      <c r="Y5168" s="234">
        <v>8</v>
      </c>
      <c r="Z5168" s="234">
        <v>4</v>
      </c>
      <c r="AA5168" s="235">
        <v>0.25</v>
      </c>
      <c r="AB5168" s="236">
        <v>10.4</v>
      </c>
      <c r="AC5168" s="127">
        <f t="shared" si="95"/>
        <v>10</v>
      </c>
    </row>
    <row r="5169" ht="14.5" customHeight="1" spans="11:29" x14ac:dyDescent="0.25">
      <c r="K5169" s="128"/>
      <c r="X5169" s="234">
        <v>2022</v>
      </c>
      <c r="Y5169" s="234">
        <v>8</v>
      </c>
      <c r="Z5169" s="234">
        <v>4</v>
      </c>
      <c r="AA5169" s="235">
        <v>0.2916666666678793</v>
      </c>
      <c r="AB5169" s="236">
        <v>12.2</v>
      </c>
      <c r="AC5169" s="127">
        <f t="shared" si="95"/>
        <v>12</v>
      </c>
    </row>
    <row r="5170" ht="14.5" customHeight="1" spans="11:29" x14ac:dyDescent="0.25">
      <c r="K5170" s="128"/>
      <c r="X5170" s="234">
        <v>2022</v>
      </c>
      <c r="Y5170" s="234">
        <v>8</v>
      </c>
      <c r="Z5170" s="234">
        <v>4</v>
      </c>
      <c r="AA5170" s="235">
        <v>0.3333333333321207</v>
      </c>
      <c r="AB5170" s="236">
        <v>14.7</v>
      </c>
      <c r="AC5170" s="127">
        <f t="shared" si="95"/>
        <v>15</v>
      </c>
    </row>
    <row r="5171" ht="14.5" customHeight="1" spans="11:29" x14ac:dyDescent="0.25">
      <c r="K5171" s="128"/>
      <c r="X5171" s="234">
        <v>2022</v>
      </c>
      <c r="Y5171" s="234">
        <v>8</v>
      </c>
      <c r="Z5171" s="234">
        <v>4</v>
      </c>
      <c r="AA5171" s="235">
        <v>0.375</v>
      </c>
      <c r="AB5171" s="236">
        <v>14.8</v>
      </c>
      <c r="AC5171" s="127">
        <f t="shared" si="95"/>
        <v>15</v>
      </c>
    </row>
    <row r="5172" ht="14.5" customHeight="1" spans="11:29" x14ac:dyDescent="0.25">
      <c r="K5172" s="128"/>
      <c r="X5172" s="234">
        <v>2022</v>
      </c>
      <c r="Y5172" s="234">
        <v>8</v>
      </c>
      <c r="Z5172" s="234">
        <v>4</v>
      </c>
      <c r="AA5172" s="235">
        <v>0.4166666666678793</v>
      </c>
      <c r="AB5172" s="236">
        <v>16.4</v>
      </c>
      <c r="AC5172" s="127">
        <f t="shared" si="95"/>
        <v>16</v>
      </c>
    </row>
    <row r="5173" ht="14.5" customHeight="1" spans="11:29" x14ac:dyDescent="0.25">
      <c r="K5173" s="128"/>
      <c r="X5173" s="234">
        <v>2022</v>
      </c>
      <c r="Y5173" s="234">
        <v>8</v>
      </c>
      <c r="Z5173" s="234">
        <v>4</v>
      </c>
      <c r="AA5173" s="235">
        <v>0.4583333333321207</v>
      </c>
      <c r="AB5173" s="236">
        <v>17.6</v>
      </c>
      <c r="AC5173" s="127">
        <f t="shared" si="95"/>
        <v>18</v>
      </c>
    </row>
    <row r="5174" ht="14.5" customHeight="1" spans="11:29" x14ac:dyDescent="0.25">
      <c r="K5174" s="128"/>
      <c r="X5174" s="234">
        <v>2022</v>
      </c>
      <c r="Y5174" s="234">
        <v>8</v>
      </c>
      <c r="Z5174" s="234">
        <v>4</v>
      </c>
      <c r="AA5174" s="235">
        <v>0.5</v>
      </c>
      <c r="AB5174" s="236">
        <v>18</v>
      </c>
      <c r="AC5174" s="127">
        <f t="shared" si="95"/>
        <v>18</v>
      </c>
    </row>
    <row r="5175" ht="14.5" customHeight="1" spans="11:29" x14ac:dyDescent="0.25">
      <c r="K5175" s="128"/>
      <c r="X5175" s="234">
        <v>2022</v>
      </c>
      <c r="Y5175" s="234">
        <v>8</v>
      </c>
      <c r="Z5175" s="234">
        <v>4</v>
      </c>
      <c r="AA5175" s="235">
        <v>0.5416666666678793</v>
      </c>
      <c r="AB5175" s="236">
        <v>18.7</v>
      </c>
      <c r="AC5175" s="127">
        <f t="shared" si="95"/>
        <v>19</v>
      </c>
    </row>
    <row r="5176" ht="14.5" customHeight="1" spans="11:29" x14ac:dyDescent="0.25">
      <c r="K5176" s="128"/>
      <c r="X5176" s="234">
        <v>2022</v>
      </c>
      <c r="Y5176" s="234">
        <v>8</v>
      </c>
      <c r="Z5176" s="234">
        <v>4</v>
      </c>
      <c r="AA5176" s="235">
        <v>0.5833333333321207</v>
      </c>
      <c r="AB5176" s="236">
        <v>19.4</v>
      </c>
      <c r="AC5176" s="127">
        <f t="shared" si="95"/>
        <v>19</v>
      </c>
    </row>
    <row r="5177" ht="14.5" customHeight="1" spans="11:29" x14ac:dyDescent="0.25">
      <c r="K5177" s="128"/>
      <c r="X5177" s="234">
        <v>2022</v>
      </c>
      <c r="Y5177" s="234">
        <v>8</v>
      </c>
      <c r="Z5177" s="234">
        <v>4</v>
      </c>
      <c r="AA5177" s="235">
        <v>0.625</v>
      </c>
      <c r="AB5177" s="236">
        <v>15.7</v>
      </c>
      <c r="AC5177" s="127">
        <f t="shared" si="95"/>
        <v>16</v>
      </c>
    </row>
    <row r="5178" ht="14.5" customHeight="1" spans="11:29" x14ac:dyDescent="0.25">
      <c r="K5178" s="128"/>
      <c r="X5178" s="234">
        <v>2022</v>
      </c>
      <c r="Y5178" s="234">
        <v>8</v>
      </c>
      <c r="Z5178" s="234">
        <v>4</v>
      </c>
      <c r="AA5178" s="235">
        <v>0.6666666666678793</v>
      </c>
      <c r="AB5178" s="236">
        <v>17.6</v>
      </c>
      <c r="AC5178" s="127">
        <f t="shared" si="95"/>
        <v>18</v>
      </c>
    </row>
    <row r="5179" ht="14.5" customHeight="1" spans="11:29" x14ac:dyDescent="0.25">
      <c r="K5179" s="128"/>
      <c r="X5179" s="234">
        <v>2022</v>
      </c>
      <c r="Y5179" s="234">
        <v>8</v>
      </c>
      <c r="Z5179" s="234">
        <v>4</v>
      </c>
      <c r="AA5179" s="235">
        <v>0.7083333333321207</v>
      </c>
      <c r="AB5179" s="236">
        <v>16.7</v>
      </c>
      <c r="AC5179" s="127">
        <f t="shared" si="95"/>
        <v>17</v>
      </c>
    </row>
    <row r="5180" ht="14.5" customHeight="1" spans="11:29" x14ac:dyDescent="0.25">
      <c r="K5180" s="128"/>
      <c r="X5180" s="234">
        <v>2022</v>
      </c>
      <c r="Y5180" s="234">
        <v>8</v>
      </c>
      <c r="Z5180" s="234">
        <v>4</v>
      </c>
      <c r="AA5180" s="235">
        <v>0.75</v>
      </c>
      <c r="AB5180" s="236">
        <v>14.6</v>
      </c>
      <c r="AC5180" s="127">
        <f t="shared" si="95"/>
        <v>15</v>
      </c>
    </row>
    <row r="5181" ht="14.5" customHeight="1" spans="11:29" x14ac:dyDescent="0.25">
      <c r="K5181" s="128"/>
      <c r="X5181" s="234">
        <v>2022</v>
      </c>
      <c r="Y5181" s="234">
        <v>8</v>
      </c>
      <c r="Z5181" s="234">
        <v>4</v>
      </c>
      <c r="AA5181" s="235">
        <v>0.7916666666678793</v>
      </c>
      <c r="AB5181" s="236">
        <v>12.7</v>
      </c>
      <c r="AC5181" s="127">
        <f t="shared" si="95"/>
        <v>13</v>
      </c>
    </row>
    <row r="5182" ht="14.5" customHeight="1" spans="11:29" x14ac:dyDescent="0.25">
      <c r="K5182" s="128"/>
      <c r="X5182" s="234">
        <v>2022</v>
      </c>
      <c r="Y5182" s="234">
        <v>8</v>
      </c>
      <c r="Z5182" s="234">
        <v>4</v>
      </c>
      <c r="AA5182" s="235">
        <v>0.8333333333321207</v>
      </c>
      <c r="AB5182" s="236">
        <v>12.3</v>
      </c>
      <c r="AC5182" s="127">
        <f t="shared" si="95"/>
        <v>12</v>
      </c>
    </row>
    <row r="5183" ht="14.5" customHeight="1" spans="11:29" x14ac:dyDescent="0.25">
      <c r="K5183" s="128"/>
      <c r="X5183" s="234">
        <v>2022</v>
      </c>
      <c r="Y5183" s="234">
        <v>8</v>
      </c>
      <c r="Z5183" s="234">
        <v>4</v>
      </c>
      <c r="AA5183" s="235">
        <v>0.875</v>
      </c>
      <c r="AB5183" s="236">
        <v>11.7</v>
      </c>
      <c r="AC5183" s="127">
        <f t="shared" si="95"/>
        <v>12</v>
      </c>
    </row>
    <row r="5184" ht="14.5" customHeight="1" spans="11:29" x14ac:dyDescent="0.25">
      <c r="K5184" s="128"/>
      <c r="X5184" s="234">
        <v>2022</v>
      </c>
      <c r="Y5184" s="234">
        <v>8</v>
      </c>
      <c r="Z5184" s="234">
        <v>4</v>
      </c>
      <c r="AA5184" s="235">
        <v>0.9166666666678793</v>
      </c>
      <c r="AB5184" s="236">
        <v>11.5</v>
      </c>
      <c r="AC5184" s="127">
        <f t="shared" si="95"/>
        <v>12</v>
      </c>
    </row>
    <row r="5185" ht="14.5" customHeight="1" spans="11:29" x14ac:dyDescent="0.25">
      <c r="K5185" s="128"/>
      <c r="X5185" s="234">
        <v>2022</v>
      </c>
      <c r="Y5185" s="234">
        <v>8</v>
      </c>
      <c r="Z5185" s="234">
        <v>4</v>
      </c>
      <c r="AA5185" s="235">
        <v>0.9583333333321207</v>
      </c>
      <c r="AB5185" s="236">
        <v>10.1</v>
      </c>
      <c r="AC5185" s="127">
        <f t="shared" si="95"/>
        <v>10</v>
      </c>
    </row>
    <row r="5186" ht="14.5" customHeight="1" spans="11:29" x14ac:dyDescent="0.25">
      <c r="K5186" s="128"/>
      <c r="X5186" s="234">
        <v>2022</v>
      </c>
      <c r="Y5186" s="234">
        <v>8</v>
      </c>
      <c r="Z5186" s="234">
        <v>5</v>
      </c>
      <c r="AA5186" s="235">
        <v>0</v>
      </c>
      <c r="AB5186" s="236">
        <v>9.3</v>
      </c>
      <c r="AC5186" s="127">
        <f t="shared" si="95"/>
        <v>9</v>
      </c>
    </row>
    <row r="5187" ht="14.5" customHeight="1" spans="11:29" x14ac:dyDescent="0.25">
      <c r="K5187" s="128"/>
      <c r="X5187" s="234">
        <v>2022</v>
      </c>
      <c r="Y5187" s="234">
        <v>8</v>
      </c>
      <c r="Z5187" s="234">
        <v>5</v>
      </c>
      <c r="AA5187" s="235">
        <v>0.041666666667879326</v>
      </c>
      <c r="AB5187" s="236">
        <v>9.9</v>
      </c>
      <c r="AC5187" s="127">
        <f t="shared" si="95"/>
        <v>10</v>
      </c>
    </row>
    <row r="5188" ht="14.5" customHeight="1" spans="11:29" x14ac:dyDescent="0.25">
      <c r="K5188" s="128"/>
      <c r="X5188" s="234">
        <v>2022</v>
      </c>
      <c r="Y5188" s="234">
        <v>8</v>
      </c>
      <c r="Z5188" s="234">
        <v>5</v>
      </c>
      <c r="AA5188" s="235">
        <v>0.08333333333212067</v>
      </c>
      <c r="AB5188" s="236">
        <v>9.3</v>
      </c>
      <c r="AC5188" s="127">
        <f t="shared" si="95"/>
        <v>9</v>
      </c>
    </row>
    <row r="5189" ht="14.5" customHeight="1" spans="11:29" x14ac:dyDescent="0.25">
      <c r="K5189" s="128"/>
      <c r="X5189" s="234">
        <v>2022</v>
      </c>
      <c r="Y5189" s="234">
        <v>8</v>
      </c>
      <c r="Z5189" s="234">
        <v>5</v>
      </c>
      <c r="AA5189" s="235">
        <v>0.125</v>
      </c>
      <c r="AB5189" s="236">
        <v>8.1</v>
      </c>
      <c r="AC5189" s="127">
        <f t="shared" si="95"/>
        <v>8</v>
      </c>
    </row>
    <row r="5190" ht="14.5" customHeight="1" spans="11:29" x14ac:dyDescent="0.25">
      <c r="K5190" s="128"/>
      <c r="X5190" s="234">
        <v>2022</v>
      </c>
      <c r="Y5190" s="234">
        <v>8</v>
      </c>
      <c r="Z5190" s="234">
        <v>5</v>
      </c>
      <c r="AA5190" s="235">
        <v>0.16666666666787933</v>
      </c>
      <c r="AB5190" s="236">
        <v>8.6</v>
      </c>
      <c r="AC5190" s="127">
        <f t="shared" si="95"/>
        <v>9</v>
      </c>
    </row>
    <row r="5191" ht="14.5" customHeight="1" spans="11:29" x14ac:dyDescent="0.25">
      <c r="K5191" s="128"/>
      <c r="X5191" s="234">
        <v>2022</v>
      </c>
      <c r="Y5191" s="234">
        <v>8</v>
      </c>
      <c r="Z5191" s="234">
        <v>5</v>
      </c>
      <c r="AA5191" s="235">
        <v>0.20833333333212067</v>
      </c>
      <c r="AB5191" s="236">
        <v>10.4</v>
      </c>
      <c r="AC5191" s="127">
        <f t="shared" si="95"/>
        <v>10</v>
      </c>
    </row>
    <row r="5192" ht="14.5" customHeight="1" spans="11:29" x14ac:dyDescent="0.25">
      <c r="K5192" s="128"/>
      <c r="X5192" s="234">
        <v>2022</v>
      </c>
      <c r="Y5192" s="234">
        <v>8</v>
      </c>
      <c r="Z5192" s="234">
        <v>5</v>
      </c>
      <c r="AA5192" s="235">
        <v>0.25</v>
      </c>
      <c r="AB5192" s="236">
        <v>9.1</v>
      </c>
      <c r="AC5192" s="127">
        <f t="shared" si="95"/>
        <v>9</v>
      </c>
    </row>
    <row r="5193" ht="14.5" customHeight="1" spans="11:29" x14ac:dyDescent="0.25">
      <c r="K5193" s="128"/>
      <c r="X5193" s="234">
        <v>2022</v>
      </c>
      <c r="Y5193" s="234">
        <v>8</v>
      </c>
      <c r="Z5193" s="234">
        <v>5</v>
      </c>
      <c r="AA5193" s="235">
        <v>0.2916666666678793</v>
      </c>
      <c r="AB5193" s="236">
        <v>10.2</v>
      </c>
      <c r="AC5193" s="127">
        <f t="shared" si="95"/>
        <v>10</v>
      </c>
    </row>
    <row r="5194" ht="14.5" customHeight="1" spans="11:29" x14ac:dyDescent="0.25">
      <c r="K5194" s="128"/>
      <c r="X5194" s="234">
        <v>2022</v>
      </c>
      <c r="Y5194" s="234">
        <v>8</v>
      </c>
      <c r="Z5194" s="234">
        <v>5</v>
      </c>
      <c r="AA5194" s="235">
        <v>0.3333333333321207</v>
      </c>
      <c r="AB5194" s="236">
        <v>11.4</v>
      </c>
      <c r="AC5194" s="127">
        <f t="shared" si="95"/>
        <v>11</v>
      </c>
    </row>
    <row r="5195" ht="14.5" customHeight="1" spans="11:29" x14ac:dyDescent="0.25">
      <c r="K5195" s="128"/>
      <c r="X5195" s="234">
        <v>2022</v>
      </c>
      <c r="Y5195" s="234">
        <v>8</v>
      </c>
      <c r="Z5195" s="234">
        <v>5</v>
      </c>
      <c r="AA5195" s="235">
        <v>0.375</v>
      </c>
      <c r="AB5195" s="236">
        <v>12.8</v>
      </c>
      <c r="AC5195" s="127">
        <f t="shared" ref="AC5195:AC5258" si="96">ROUND(AB5195,0)</f>
        <v>13</v>
      </c>
    </row>
    <row r="5196" ht="14.5" customHeight="1" spans="11:29" x14ac:dyDescent="0.25">
      <c r="K5196" s="128"/>
      <c r="X5196" s="234">
        <v>2022</v>
      </c>
      <c r="Y5196" s="234">
        <v>8</v>
      </c>
      <c r="Z5196" s="234">
        <v>5</v>
      </c>
      <c r="AA5196" s="235">
        <v>0.4166666666678793</v>
      </c>
      <c r="AB5196" s="236">
        <v>12.8</v>
      </c>
      <c r="AC5196" s="127">
        <f t="shared" si="96"/>
        <v>13</v>
      </c>
    </row>
    <row r="5197" ht="14.5" customHeight="1" spans="11:29" x14ac:dyDescent="0.25">
      <c r="K5197" s="128"/>
      <c r="X5197" s="234">
        <v>2022</v>
      </c>
      <c r="Y5197" s="234">
        <v>8</v>
      </c>
      <c r="Z5197" s="234">
        <v>5</v>
      </c>
      <c r="AA5197" s="235">
        <v>0.4583333333321207</v>
      </c>
      <c r="AB5197" s="236">
        <v>13.9</v>
      </c>
      <c r="AC5197" s="127">
        <f t="shared" si="96"/>
        <v>14</v>
      </c>
    </row>
    <row r="5198" ht="14.5" customHeight="1" spans="11:29" x14ac:dyDescent="0.25">
      <c r="K5198" s="128"/>
      <c r="X5198" s="234">
        <v>2022</v>
      </c>
      <c r="Y5198" s="234">
        <v>8</v>
      </c>
      <c r="Z5198" s="234">
        <v>5</v>
      </c>
      <c r="AA5198" s="235">
        <v>0.5</v>
      </c>
      <c r="AB5198" s="236">
        <v>15</v>
      </c>
      <c r="AC5198" s="127">
        <f t="shared" si="96"/>
        <v>15</v>
      </c>
    </row>
    <row r="5199" ht="14.5" customHeight="1" spans="11:29" x14ac:dyDescent="0.25">
      <c r="K5199" s="128"/>
      <c r="X5199" s="234">
        <v>2022</v>
      </c>
      <c r="Y5199" s="234">
        <v>8</v>
      </c>
      <c r="Z5199" s="234">
        <v>5</v>
      </c>
      <c r="AA5199" s="235">
        <v>0.5416666666678793</v>
      </c>
      <c r="AB5199" s="236">
        <v>16</v>
      </c>
      <c r="AC5199" s="127">
        <f t="shared" si="96"/>
        <v>16</v>
      </c>
    </row>
    <row r="5200" ht="14.5" customHeight="1" spans="11:29" x14ac:dyDescent="0.25">
      <c r="K5200" s="128"/>
      <c r="X5200" s="234">
        <v>2022</v>
      </c>
      <c r="Y5200" s="234">
        <v>8</v>
      </c>
      <c r="Z5200" s="234">
        <v>5</v>
      </c>
      <c r="AA5200" s="235">
        <v>0.5833333333321207</v>
      </c>
      <c r="AB5200" s="236">
        <v>17.2</v>
      </c>
      <c r="AC5200" s="127">
        <f t="shared" si="96"/>
        <v>17</v>
      </c>
    </row>
    <row r="5201" ht="14.5" customHeight="1" spans="11:29" x14ac:dyDescent="0.25">
      <c r="K5201" s="128"/>
      <c r="X5201" s="234">
        <v>2022</v>
      </c>
      <c r="Y5201" s="234">
        <v>8</v>
      </c>
      <c r="Z5201" s="234">
        <v>5</v>
      </c>
      <c r="AA5201" s="235">
        <v>0.625</v>
      </c>
      <c r="AB5201" s="236">
        <v>17.4</v>
      </c>
      <c r="AC5201" s="127">
        <f t="shared" si="96"/>
        <v>17</v>
      </c>
    </row>
    <row r="5202" ht="14.5" customHeight="1" spans="11:29" x14ac:dyDescent="0.25">
      <c r="K5202" s="128"/>
      <c r="X5202" s="234">
        <v>2022</v>
      </c>
      <c r="Y5202" s="234">
        <v>8</v>
      </c>
      <c r="Z5202" s="234">
        <v>5</v>
      </c>
      <c r="AA5202" s="235">
        <v>0.6666666666678793</v>
      </c>
      <c r="AB5202" s="236">
        <v>17.5</v>
      </c>
      <c r="AC5202" s="127">
        <f t="shared" si="96"/>
        <v>18</v>
      </c>
    </row>
    <row r="5203" ht="14.5" customHeight="1" spans="11:29" x14ac:dyDescent="0.25">
      <c r="K5203" s="128"/>
      <c r="X5203" s="234">
        <v>2022</v>
      </c>
      <c r="Y5203" s="234">
        <v>8</v>
      </c>
      <c r="Z5203" s="234">
        <v>5</v>
      </c>
      <c r="AA5203" s="235">
        <v>0.7083333333321207</v>
      </c>
      <c r="AB5203" s="236">
        <v>17.6</v>
      </c>
      <c r="AC5203" s="127">
        <f t="shared" si="96"/>
        <v>18</v>
      </c>
    </row>
    <row r="5204" ht="14.5" customHeight="1" spans="11:29" x14ac:dyDescent="0.25">
      <c r="K5204" s="128"/>
      <c r="X5204" s="234">
        <v>2022</v>
      </c>
      <c r="Y5204" s="234">
        <v>8</v>
      </c>
      <c r="Z5204" s="234">
        <v>5</v>
      </c>
      <c r="AA5204" s="235">
        <v>0.75</v>
      </c>
      <c r="AB5204" s="236">
        <v>17</v>
      </c>
      <c r="AC5204" s="127">
        <f t="shared" si="96"/>
        <v>17</v>
      </c>
    </row>
    <row r="5205" ht="14.5" customHeight="1" spans="11:29" x14ac:dyDescent="0.25">
      <c r="K5205" s="128"/>
      <c r="X5205" s="234">
        <v>2022</v>
      </c>
      <c r="Y5205" s="234">
        <v>8</v>
      </c>
      <c r="Z5205" s="234">
        <v>5</v>
      </c>
      <c r="AA5205" s="235">
        <v>0.7916666666678793</v>
      </c>
      <c r="AB5205" s="236">
        <v>16.1</v>
      </c>
      <c r="AC5205" s="127">
        <f t="shared" si="96"/>
        <v>16</v>
      </c>
    </row>
    <row r="5206" ht="14.5" customHeight="1" spans="11:29" x14ac:dyDescent="0.25">
      <c r="K5206" s="128"/>
      <c r="X5206" s="234">
        <v>2022</v>
      </c>
      <c r="Y5206" s="234">
        <v>8</v>
      </c>
      <c r="Z5206" s="234">
        <v>5</v>
      </c>
      <c r="AA5206" s="235">
        <v>0.8333333333321207</v>
      </c>
      <c r="AB5206" s="236">
        <v>14.1</v>
      </c>
      <c r="AC5206" s="127">
        <f t="shared" si="96"/>
        <v>14</v>
      </c>
    </row>
    <row r="5207" ht="14.5" customHeight="1" spans="11:29" x14ac:dyDescent="0.25">
      <c r="K5207" s="128"/>
      <c r="X5207" s="234">
        <v>2022</v>
      </c>
      <c r="Y5207" s="234">
        <v>8</v>
      </c>
      <c r="Z5207" s="234">
        <v>5</v>
      </c>
      <c r="AA5207" s="235">
        <v>0.875</v>
      </c>
      <c r="AB5207" s="236">
        <v>12.4</v>
      </c>
      <c r="AC5207" s="127">
        <f t="shared" si="96"/>
        <v>12</v>
      </c>
    </row>
    <row r="5208" ht="14.5" customHeight="1" spans="11:29" x14ac:dyDescent="0.25">
      <c r="K5208" s="128"/>
      <c r="X5208" s="234">
        <v>2022</v>
      </c>
      <c r="Y5208" s="234">
        <v>8</v>
      </c>
      <c r="Z5208" s="234">
        <v>5</v>
      </c>
      <c r="AA5208" s="235">
        <v>0.9166666666678793</v>
      </c>
      <c r="AB5208" s="236">
        <v>10.6</v>
      </c>
      <c r="AC5208" s="127">
        <f t="shared" si="96"/>
        <v>11</v>
      </c>
    </row>
    <row r="5209" ht="14.5" customHeight="1" spans="11:29" x14ac:dyDescent="0.25">
      <c r="K5209" s="128"/>
      <c r="X5209" s="234">
        <v>2022</v>
      </c>
      <c r="Y5209" s="234">
        <v>8</v>
      </c>
      <c r="Z5209" s="234">
        <v>5</v>
      </c>
      <c r="AA5209" s="235">
        <v>0.9583333333321207</v>
      </c>
      <c r="AB5209" s="236">
        <v>10.9</v>
      </c>
      <c r="AC5209" s="127">
        <f t="shared" si="96"/>
        <v>11</v>
      </c>
    </row>
    <row r="5210" ht="14.5" customHeight="1" spans="11:29" x14ac:dyDescent="0.25">
      <c r="K5210" s="128"/>
      <c r="X5210" s="234">
        <v>2022</v>
      </c>
      <c r="Y5210" s="234">
        <v>8</v>
      </c>
      <c r="Z5210" s="234">
        <v>6</v>
      </c>
      <c r="AA5210" s="235">
        <v>0</v>
      </c>
      <c r="AB5210" s="236">
        <v>10</v>
      </c>
      <c r="AC5210" s="127">
        <f t="shared" si="96"/>
        <v>10</v>
      </c>
    </row>
    <row r="5211" ht="14.5" customHeight="1" spans="11:29" x14ac:dyDescent="0.25">
      <c r="K5211" s="128"/>
      <c r="X5211" s="234">
        <v>2022</v>
      </c>
      <c r="Y5211" s="234">
        <v>8</v>
      </c>
      <c r="Z5211" s="234">
        <v>6</v>
      </c>
      <c r="AA5211" s="235">
        <v>0.041666666667879326</v>
      </c>
      <c r="AB5211" s="236">
        <v>9.5</v>
      </c>
      <c r="AC5211" s="127">
        <f t="shared" si="96"/>
        <v>10</v>
      </c>
    </row>
    <row r="5212" ht="14.5" customHeight="1" spans="11:29" x14ac:dyDescent="0.25">
      <c r="K5212" s="128"/>
      <c r="X5212" s="234">
        <v>2022</v>
      </c>
      <c r="Y5212" s="234">
        <v>8</v>
      </c>
      <c r="Z5212" s="234">
        <v>6</v>
      </c>
      <c r="AA5212" s="235">
        <v>0.08333333333212067</v>
      </c>
      <c r="AB5212" s="236">
        <v>9.8</v>
      </c>
      <c r="AC5212" s="127">
        <f t="shared" si="96"/>
        <v>10</v>
      </c>
    </row>
    <row r="5213" ht="14.5" customHeight="1" spans="11:29" x14ac:dyDescent="0.25">
      <c r="K5213" s="128"/>
      <c r="X5213" s="234">
        <v>2022</v>
      </c>
      <c r="Y5213" s="234">
        <v>8</v>
      </c>
      <c r="Z5213" s="234">
        <v>6</v>
      </c>
      <c r="AA5213" s="235">
        <v>0.125</v>
      </c>
      <c r="AB5213" s="236">
        <v>7.8</v>
      </c>
      <c r="AC5213" s="127">
        <f t="shared" si="96"/>
        <v>8</v>
      </c>
    </row>
    <row r="5214" ht="14.5" customHeight="1" spans="11:29" x14ac:dyDescent="0.25">
      <c r="K5214" s="128"/>
      <c r="X5214" s="234">
        <v>2022</v>
      </c>
      <c r="Y5214" s="234">
        <v>8</v>
      </c>
      <c r="Z5214" s="234">
        <v>6</v>
      </c>
      <c r="AA5214" s="235">
        <v>0.16666666666787933</v>
      </c>
      <c r="AB5214" s="236">
        <v>7</v>
      </c>
      <c r="AC5214" s="127">
        <f t="shared" si="96"/>
        <v>7</v>
      </c>
    </row>
    <row r="5215" ht="14.5" customHeight="1" spans="11:29" x14ac:dyDescent="0.25">
      <c r="K5215" s="128"/>
      <c r="X5215" s="234">
        <v>2022</v>
      </c>
      <c r="Y5215" s="234">
        <v>8</v>
      </c>
      <c r="Z5215" s="234">
        <v>6</v>
      </c>
      <c r="AA5215" s="235">
        <v>0.20833333333212067</v>
      </c>
      <c r="AB5215" s="236">
        <v>8.2</v>
      </c>
      <c r="AC5215" s="127">
        <f t="shared" si="96"/>
        <v>8</v>
      </c>
    </row>
    <row r="5216" ht="14.5" customHeight="1" spans="11:29" x14ac:dyDescent="0.25">
      <c r="K5216" s="128"/>
      <c r="X5216" s="234">
        <v>2022</v>
      </c>
      <c r="Y5216" s="234">
        <v>8</v>
      </c>
      <c r="Z5216" s="234">
        <v>6</v>
      </c>
      <c r="AA5216" s="235">
        <v>0.25</v>
      </c>
      <c r="AB5216" s="236">
        <v>8.9</v>
      </c>
      <c r="AC5216" s="127">
        <f t="shared" si="96"/>
        <v>9</v>
      </c>
    </row>
    <row r="5217" ht="14.5" customHeight="1" spans="11:29" x14ac:dyDescent="0.25">
      <c r="K5217" s="128"/>
      <c r="X5217" s="234">
        <v>2022</v>
      </c>
      <c r="Y5217" s="234">
        <v>8</v>
      </c>
      <c r="Z5217" s="234">
        <v>6</v>
      </c>
      <c r="AA5217" s="235">
        <v>0.2916666666678793</v>
      </c>
      <c r="AB5217" s="236">
        <v>10.6</v>
      </c>
      <c r="AC5217" s="127">
        <f t="shared" si="96"/>
        <v>11</v>
      </c>
    </row>
    <row r="5218" ht="14.5" customHeight="1" spans="11:29" x14ac:dyDescent="0.25">
      <c r="K5218" s="128"/>
      <c r="X5218" s="234">
        <v>2022</v>
      </c>
      <c r="Y5218" s="234">
        <v>8</v>
      </c>
      <c r="Z5218" s="234">
        <v>6</v>
      </c>
      <c r="AA5218" s="235">
        <v>0.3333333333321207</v>
      </c>
      <c r="AB5218" s="236">
        <v>13.2</v>
      </c>
      <c r="AC5218" s="127">
        <f t="shared" si="96"/>
        <v>13</v>
      </c>
    </row>
    <row r="5219" ht="14.5" customHeight="1" spans="11:29" x14ac:dyDescent="0.25">
      <c r="K5219" s="128"/>
      <c r="X5219" s="234">
        <v>2022</v>
      </c>
      <c r="Y5219" s="234">
        <v>8</v>
      </c>
      <c r="Z5219" s="234">
        <v>6</v>
      </c>
      <c r="AA5219" s="235">
        <v>0.375</v>
      </c>
      <c r="AB5219" s="236">
        <v>16.2</v>
      </c>
      <c r="AC5219" s="127">
        <f t="shared" si="96"/>
        <v>16</v>
      </c>
    </row>
    <row r="5220" ht="14.5" customHeight="1" spans="11:29" x14ac:dyDescent="0.25">
      <c r="K5220" s="128"/>
      <c r="X5220" s="234">
        <v>2022</v>
      </c>
      <c r="Y5220" s="234">
        <v>8</v>
      </c>
      <c r="Z5220" s="234">
        <v>6</v>
      </c>
      <c r="AA5220" s="235">
        <v>0.4166666666678793</v>
      </c>
      <c r="AB5220" s="236">
        <v>18.7</v>
      </c>
      <c r="AC5220" s="127">
        <f t="shared" si="96"/>
        <v>19</v>
      </c>
    </row>
    <row r="5221" ht="14.5" customHeight="1" spans="11:29" x14ac:dyDescent="0.25">
      <c r="K5221" s="128"/>
      <c r="X5221" s="234">
        <v>2022</v>
      </c>
      <c r="Y5221" s="234">
        <v>8</v>
      </c>
      <c r="Z5221" s="234">
        <v>6</v>
      </c>
      <c r="AA5221" s="235">
        <v>0.4583333333321207</v>
      </c>
      <c r="AB5221" s="236">
        <v>21.2</v>
      </c>
      <c r="AC5221" s="127">
        <f t="shared" si="96"/>
        <v>21</v>
      </c>
    </row>
    <row r="5222" ht="14.5" customHeight="1" spans="11:29" x14ac:dyDescent="0.25">
      <c r="K5222" s="128"/>
      <c r="X5222" s="234">
        <v>2022</v>
      </c>
      <c r="Y5222" s="234">
        <v>8</v>
      </c>
      <c r="Z5222" s="234">
        <v>6</v>
      </c>
      <c r="AA5222" s="235">
        <v>0.5</v>
      </c>
      <c r="AB5222" s="236">
        <v>22.4</v>
      </c>
      <c r="AC5222" s="127">
        <f t="shared" si="96"/>
        <v>22</v>
      </c>
    </row>
    <row r="5223" ht="14.5" customHeight="1" spans="11:29" x14ac:dyDescent="0.25">
      <c r="K5223" s="128"/>
      <c r="X5223" s="234">
        <v>2022</v>
      </c>
      <c r="Y5223" s="234">
        <v>8</v>
      </c>
      <c r="Z5223" s="234">
        <v>6</v>
      </c>
      <c r="AA5223" s="235">
        <v>0.5416666666678793</v>
      </c>
      <c r="AB5223" s="236">
        <v>23.4</v>
      </c>
      <c r="AC5223" s="127">
        <f t="shared" si="96"/>
        <v>23</v>
      </c>
    </row>
    <row r="5224" ht="14.5" customHeight="1" spans="11:29" x14ac:dyDescent="0.25">
      <c r="K5224" s="128"/>
      <c r="X5224" s="234">
        <v>2022</v>
      </c>
      <c r="Y5224" s="234">
        <v>8</v>
      </c>
      <c r="Z5224" s="234">
        <v>6</v>
      </c>
      <c r="AA5224" s="235">
        <v>0.5833333333321207</v>
      </c>
      <c r="AB5224" s="236">
        <v>24.4</v>
      </c>
      <c r="AC5224" s="127">
        <f t="shared" si="96"/>
        <v>24</v>
      </c>
    </row>
    <row r="5225" ht="14.5" customHeight="1" spans="11:29" x14ac:dyDescent="0.25">
      <c r="K5225" s="128"/>
      <c r="X5225" s="234">
        <v>2022</v>
      </c>
      <c r="Y5225" s="234">
        <v>8</v>
      </c>
      <c r="Z5225" s="234">
        <v>6</v>
      </c>
      <c r="AA5225" s="235">
        <v>0.625</v>
      </c>
      <c r="AB5225" s="236">
        <v>24.5</v>
      </c>
      <c r="AC5225" s="127">
        <f t="shared" si="96"/>
        <v>25</v>
      </c>
    </row>
    <row r="5226" ht="14.5" customHeight="1" spans="11:29" x14ac:dyDescent="0.25">
      <c r="K5226" s="128"/>
      <c r="X5226" s="234">
        <v>2022</v>
      </c>
      <c r="Y5226" s="234">
        <v>8</v>
      </c>
      <c r="Z5226" s="234">
        <v>6</v>
      </c>
      <c r="AA5226" s="235">
        <v>0.6666666666678793</v>
      </c>
      <c r="AB5226" s="236">
        <v>25.1</v>
      </c>
      <c r="AC5226" s="127">
        <f t="shared" si="96"/>
        <v>25</v>
      </c>
    </row>
    <row r="5227" ht="14.5" customHeight="1" spans="11:29" x14ac:dyDescent="0.25">
      <c r="K5227" s="128"/>
      <c r="X5227" s="234">
        <v>2022</v>
      </c>
      <c r="Y5227" s="234">
        <v>8</v>
      </c>
      <c r="Z5227" s="234">
        <v>6</v>
      </c>
      <c r="AA5227" s="235">
        <v>0.7083333333321207</v>
      </c>
      <c r="AB5227" s="236">
        <v>25.1</v>
      </c>
      <c r="AC5227" s="127">
        <f t="shared" si="96"/>
        <v>25</v>
      </c>
    </row>
    <row r="5228" ht="14.5" customHeight="1" spans="11:29" x14ac:dyDescent="0.25">
      <c r="K5228" s="128"/>
      <c r="X5228" s="234">
        <v>2022</v>
      </c>
      <c r="Y5228" s="234">
        <v>8</v>
      </c>
      <c r="Z5228" s="234">
        <v>6</v>
      </c>
      <c r="AA5228" s="235">
        <v>0.75</v>
      </c>
      <c r="AB5228" s="236">
        <v>24.5</v>
      </c>
      <c r="AC5228" s="127">
        <f t="shared" si="96"/>
        <v>25</v>
      </c>
    </row>
    <row r="5229" ht="14.5" customHeight="1" spans="11:29" x14ac:dyDescent="0.25">
      <c r="K5229" s="128"/>
      <c r="X5229" s="234">
        <v>2022</v>
      </c>
      <c r="Y5229" s="234">
        <v>8</v>
      </c>
      <c r="Z5229" s="234">
        <v>6</v>
      </c>
      <c r="AA5229" s="235">
        <v>0.7916666666678793</v>
      </c>
      <c r="AB5229" s="236">
        <v>23.3</v>
      </c>
      <c r="AC5229" s="127">
        <f t="shared" si="96"/>
        <v>23</v>
      </c>
    </row>
    <row r="5230" ht="14.5" customHeight="1" spans="11:29" x14ac:dyDescent="0.25">
      <c r="K5230" s="128"/>
      <c r="X5230" s="234">
        <v>2022</v>
      </c>
      <c r="Y5230" s="234">
        <v>8</v>
      </c>
      <c r="Z5230" s="234">
        <v>6</v>
      </c>
      <c r="AA5230" s="235">
        <v>0.8333333333321207</v>
      </c>
      <c r="AB5230" s="236">
        <v>21.2</v>
      </c>
      <c r="AC5230" s="127">
        <f t="shared" si="96"/>
        <v>21</v>
      </c>
    </row>
    <row r="5231" ht="14.5" customHeight="1" spans="11:29" x14ac:dyDescent="0.25">
      <c r="K5231" s="128"/>
      <c r="X5231" s="234">
        <v>2022</v>
      </c>
      <c r="Y5231" s="234">
        <v>8</v>
      </c>
      <c r="Z5231" s="234">
        <v>6</v>
      </c>
      <c r="AA5231" s="235">
        <v>0.875</v>
      </c>
      <c r="AB5231" s="236">
        <v>18.5</v>
      </c>
      <c r="AC5231" s="127">
        <f t="shared" si="96"/>
        <v>19</v>
      </c>
    </row>
    <row r="5232" ht="14.5" customHeight="1" spans="11:29" x14ac:dyDescent="0.25">
      <c r="K5232" s="128"/>
      <c r="X5232" s="234">
        <v>2022</v>
      </c>
      <c r="Y5232" s="234">
        <v>8</v>
      </c>
      <c r="Z5232" s="234">
        <v>6</v>
      </c>
      <c r="AA5232" s="235">
        <v>0.9166666666678793</v>
      </c>
      <c r="AB5232" s="236">
        <v>17.3</v>
      </c>
      <c r="AC5232" s="127">
        <f t="shared" si="96"/>
        <v>17</v>
      </c>
    </row>
    <row r="5233" ht="14.5" customHeight="1" spans="11:29" x14ac:dyDescent="0.25">
      <c r="K5233" s="128"/>
      <c r="X5233" s="234">
        <v>2022</v>
      </c>
      <c r="Y5233" s="234">
        <v>8</v>
      </c>
      <c r="Z5233" s="234">
        <v>6</v>
      </c>
      <c r="AA5233" s="235">
        <v>0.9583333333321207</v>
      </c>
      <c r="AB5233" s="236">
        <v>15.9</v>
      </c>
      <c r="AC5233" s="127">
        <f t="shared" si="96"/>
        <v>16</v>
      </c>
    </row>
    <row r="5234" ht="14.5" customHeight="1" spans="11:29" x14ac:dyDescent="0.25">
      <c r="K5234" s="128"/>
      <c r="X5234" s="234">
        <v>2022</v>
      </c>
      <c r="Y5234" s="234">
        <v>8</v>
      </c>
      <c r="Z5234" s="234">
        <v>7</v>
      </c>
      <c r="AA5234" s="235">
        <v>0</v>
      </c>
      <c r="AB5234" s="236">
        <v>17.2</v>
      </c>
      <c r="AC5234" s="127">
        <f t="shared" si="96"/>
        <v>17</v>
      </c>
    </row>
    <row r="5235" ht="14.5" customHeight="1" spans="11:29" x14ac:dyDescent="0.25">
      <c r="K5235" s="128"/>
      <c r="X5235" s="234">
        <v>2022</v>
      </c>
      <c r="Y5235" s="234">
        <v>8</v>
      </c>
      <c r="Z5235" s="234">
        <v>7</v>
      </c>
      <c r="AA5235" s="235">
        <v>0.041666666667879326</v>
      </c>
      <c r="AB5235" s="236">
        <v>14.3</v>
      </c>
      <c r="AC5235" s="127">
        <f t="shared" si="96"/>
        <v>14</v>
      </c>
    </row>
    <row r="5236" ht="14.5" customHeight="1" spans="11:29" x14ac:dyDescent="0.25">
      <c r="K5236" s="128"/>
      <c r="X5236" s="234">
        <v>2022</v>
      </c>
      <c r="Y5236" s="234">
        <v>8</v>
      </c>
      <c r="Z5236" s="234">
        <v>7</v>
      </c>
      <c r="AA5236" s="235">
        <v>0.08333333333212067</v>
      </c>
      <c r="AB5236" s="236">
        <v>15.1</v>
      </c>
      <c r="AC5236" s="127">
        <f t="shared" si="96"/>
        <v>15</v>
      </c>
    </row>
    <row r="5237" ht="14.5" customHeight="1" spans="11:29" x14ac:dyDescent="0.25">
      <c r="K5237" s="128"/>
      <c r="X5237" s="234">
        <v>2022</v>
      </c>
      <c r="Y5237" s="234">
        <v>8</v>
      </c>
      <c r="Z5237" s="234">
        <v>7</v>
      </c>
      <c r="AA5237" s="235">
        <v>0.125</v>
      </c>
      <c r="AB5237" s="236">
        <v>11.7</v>
      </c>
      <c r="AC5237" s="127">
        <f t="shared" si="96"/>
        <v>12</v>
      </c>
    </row>
    <row r="5238" ht="14.5" customHeight="1" spans="11:29" x14ac:dyDescent="0.25">
      <c r="K5238" s="128"/>
      <c r="X5238" s="234">
        <v>2022</v>
      </c>
      <c r="Y5238" s="234">
        <v>8</v>
      </c>
      <c r="Z5238" s="234">
        <v>7</v>
      </c>
      <c r="AA5238" s="235">
        <v>0.16666666666787933</v>
      </c>
      <c r="AB5238" s="236">
        <v>13.6</v>
      </c>
      <c r="AC5238" s="127">
        <f t="shared" si="96"/>
        <v>14</v>
      </c>
    </row>
    <row r="5239" ht="14.5" customHeight="1" spans="11:29" x14ac:dyDescent="0.25">
      <c r="K5239" s="128"/>
      <c r="X5239" s="234">
        <v>2022</v>
      </c>
      <c r="Y5239" s="234">
        <v>8</v>
      </c>
      <c r="Z5239" s="234">
        <v>7</v>
      </c>
      <c r="AA5239" s="235">
        <v>0.20833333333212067</v>
      </c>
      <c r="AB5239" s="236">
        <v>13.3</v>
      </c>
      <c r="AC5239" s="127">
        <f t="shared" si="96"/>
        <v>13</v>
      </c>
    </row>
    <row r="5240" ht="14.5" customHeight="1" spans="11:29" x14ac:dyDescent="0.25">
      <c r="K5240" s="128"/>
      <c r="X5240" s="234">
        <v>2022</v>
      </c>
      <c r="Y5240" s="234">
        <v>8</v>
      </c>
      <c r="Z5240" s="234">
        <v>7</v>
      </c>
      <c r="AA5240" s="235">
        <v>0.25</v>
      </c>
      <c r="AB5240" s="236">
        <v>13.4</v>
      </c>
      <c r="AC5240" s="127">
        <f t="shared" si="96"/>
        <v>13</v>
      </c>
    </row>
    <row r="5241" ht="14.5" customHeight="1" spans="11:29" x14ac:dyDescent="0.25">
      <c r="K5241" s="128"/>
      <c r="X5241" s="234">
        <v>2022</v>
      </c>
      <c r="Y5241" s="234">
        <v>8</v>
      </c>
      <c r="Z5241" s="234">
        <v>7</v>
      </c>
      <c r="AA5241" s="235">
        <v>0.2916666666678793</v>
      </c>
      <c r="AB5241" s="236">
        <v>17</v>
      </c>
      <c r="AC5241" s="127">
        <f t="shared" si="96"/>
        <v>17</v>
      </c>
    </row>
    <row r="5242" ht="14.5" customHeight="1" spans="11:29" x14ac:dyDescent="0.25">
      <c r="K5242" s="128"/>
      <c r="X5242" s="234">
        <v>2022</v>
      </c>
      <c r="Y5242" s="234">
        <v>8</v>
      </c>
      <c r="Z5242" s="234">
        <v>7</v>
      </c>
      <c r="AA5242" s="235">
        <v>0.3333333333321207</v>
      </c>
      <c r="AB5242" s="236">
        <v>20.4</v>
      </c>
      <c r="AC5242" s="127">
        <f t="shared" si="96"/>
        <v>20</v>
      </c>
    </row>
    <row r="5243" ht="14.5" customHeight="1" spans="11:29" x14ac:dyDescent="0.25">
      <c r="K5243" s="128"/>
      <c r="X5243" s="234">
        <v>2022</v>
      </c>
      <c r="Y5243" s="234">
        <v>8</v>
      </c>
      <c r="Z5243" s="234">
        <v>7</v>
      </c>
      <c r="AA5243" s="235">
        <v>0.375</v>
      </c>
      <c r="AB5243" s="236">
        <v>22.4</v>
      </c>
      <c r="AC5243" s="127">
        <f t="shared" si="96"/>
        <v>22</v>
      </c>
    </row>
    <row r="5244" ht="14.5" customHeight="1" spans="11:29" x14ac:dyDescent="0.25">
      <c r="K5244" s="128"/>
      <c r="X5244" s="234">
        <v>2022</v>
      </c>
      <c r="Y5244" s="234">
        <v>8</v>
      </c>
      <c r="Z5244" s="234">
        <v>7</v>
      </c>
      <c r="AA5244" s="235">
        <v>0.4166666666678793</v>
      </c>
      <c r="AB5244" s="236">
        <v>24</v>
      </c>
      <c r="AC5244" s="127">
        <f t="shared" si="96"/>
        <v>24</v>
      </c>
    </row>
    <row r="5245" ht="14.5" customHeight="1" spans="11:29" x14ac:dyDescent="0.25">
      <c r="K5245" s="128"/>
      <c r="X5245" s="234">
        <v>2022</v>
      </c>
      <c r="Y5245" s="234">
        <v>8</v>
      </c>
      <c r="Z5245" s="234">
        <v>7</v>
      </c>
      <c r="AA5245" s="235">
        <v>0.4583333333321207</v>
      </c>
      <c r="AB5245" s="236">
        <v>24.7</v>
      </c>
      <c r="AC5245" s="127">
        <f t="shared" si="96"/>
        <v>25</v>
      </c>
    </row>
    <row r="5246" ht="14.5" customHeight="1" spans="11:29" x14ac:dyDescent="0.25">
      <c r="K5246" s="128"/>
      <c r="X5246" s="234">
        <v>2022</v>
      </c>
      <c r="Y5246" s="234">
        <v>8</v>
      </c>
      <c r="Z5246" s="234">
        <v>7</v>
      </c>
      <c r="AA5246" s="235">
        <v>0.5</v>
      </c>
      <c r="AB5246" s="236">
        <v>26.1</v>
      </c>
      <c r="AC5246" s="127">
        <f t="shared" si="96"/>
        <v>26</v>
      </c>
    </row>
    <row r="5247" ht="14.5" customHeight="1" spans="11:29" x14ac:dyDescent="0.25">
      <c r="K5247" s="128"/>
      <c r="X5247" s="234">
        <v>2022</v>
      </c>
      <c r="Y5247" s="234">
        <v>8</v>
      </c>
      <c r="Z5247" s="234">
        <v>7</v>
      </c>
      <c r="AA5247" s="235">
        <v>0.5416666666678793</v>
      </c>
      <c r="AB5247" s="236">
        <v>26.7</v>
      </c>
      <c r="AC5247" s="127">
        <f t="shared" si="96"/>
        <v>27</v>
      </c>
    </row>
    <row r="5248" ht="14.5" customHeight="1" spans="11:29" x14ac:dyDescent="0.25">
      <c r="K5248" s="128"/>
      <c r="X5248" s="234">
        <v>2022</v>
      </c>
      <c r="Y5248" s="234">
        <v>8</v>
      </c>
      <c r="Z5248" s="234">
        <v>7</v>
      </c>
      <c r="AA5248" s="235">
        <v>0.5833333333321207</v>
      </c>
      <c r="AB5248" s="236">
        <v>28.1</v>
      </c>
      <c r="AC5248" s="127">
        <f t="shared" si="96"/>
        <v>28</v>
      </c>
    </row>
    <row r="5249" ht="14.5" customHeight="1" spans="11:29" x14ac:dyDescent="0.25">
      <c r="K5249" s="128"/>
      <c r="X5249" s="234">
        <v>2022</v>
      </c>
      <c r="Y5249" s="234">
        <v>8</v>
      </c>
      <c r="Z5249" s="234">
        <v>7</v>
      </c>
      <c r="AA5249" s="235">
        <v>0.625</v>
      </c>
      <c r="AB5249" s="236">
        <v>29.1</v>
      </c>
      <c r="AC5249" s="127">
        <f t="shared" si="96"/>
        <v>29</v>
      </c>
    </row>
    <row r="5250" ht="14.5" customHeight="1" spans="11:29" x14ac:dyDescent="0.25">
      <c r="K5250" s="128"/>
      <c r="X5250" s="234">
        <v>2022</v>
      </c>
      <c r="Y5250" s="234">
        <v>8</v>
      </c>
      <c r="Z5250" s="234">
        <v>7</v>
      </c>
      <c r="AA5250" s="235">
        <v>0.6666666666678793</v>
      </c>
      <c r="AB5250" s="236">
        <v>29.2</v>
      </c>
      <c r="AC5250" s="127">
        <f t="shared" si="96"/>
        <v>29</v>
      </c>
    </row>
    <row r="5251" ht="14.5" customHeight="1" spans="11:29" x14ac:dyDescent="0.25">
      <c r="K5251" s="128"/>
      <c r="X5251" s="234">
        <v>2022</v>
      </c>
      <c r="Y5251" s="234">
        <v>8</v>
      </c>
      <c r="Z5251" s="234">
        <v>7</v>
      </c>
      <c r="AA5251" s="235">
        <v>0.7083333333321207</v>
      </c>
      <c r="AB5251" s="236">
        <v>29.7</v>
      </c>
      <c r="AC5251" s="127">
        <f t="shared" si="96"/>
        <v>30</v>
      </c>
    </row>
    <row r="5252" ht="14.5" customHeight="1" spans="11:29" x14ac:dyDescent="0.25">
      <c r="K5252" s="128"/>
      <c r="X5252" s="234">
        <v>2022</v>
      </c>
      <c r="Y5252" s="234">
        <v>8</v>
      </c>
      <c r="Z5252" s="234">
        <v>7</v>
      </c>
      <c r="AA5252" s="235">
        <v>0.75</v>
      </c>
      <c r="AB5252" s="236">
        <v>29.1</v>
      </c>
      <c r="AC5252" s="127">
        <f t="shared" si="96"/>
        <v>29</v>
      </c>
    </row>
    <row r="5253" ht="14.5" customHeight="1" spans="11:29" x14ac:dyDescent="0.25">
      <c r="K5253" s="128"/>
      <c r="X5253" s="234">
        <v>2022</v>
      </c>
      <c r="Y5253" s="234">
        <v>8</v>
      </c>
      <c r="Z5253" s="234">
        <v>7</v>
      </c>
      <c r="AA5253" s="235">
        <v>0.7916666666678793</v>
      </c>
      <c r="AB5253" s="236">
        <v>27.4</v>
      </c>
      <c r="AC5253" s="127">
        <f t="shared" si="96"/>
        <v>27</v>
      </c>
    </row>
    <row r="5254" ht="14.5" customHeight="1" spans="11:29" x14ac:dyDescent="0.25">
      <c r="K5254" s="128"/>
      <c r="X5254" s="234">
        <v>2022</v>
      </c>
      <c r="Y5254" s="234">
        <v>8</v>
      </c>
      <c r="Z5254" s="234">
        <v>7</v>
      </c>
      <c r="AA5254" s="235">
        <v>0.8333333333321207</v>
      </c>
      <c r="AB5254" s="236">
        <v>25.3</v>
      </c>
      <c r="AC5254" s="127">
        <f t="shared" si="96"/>
        <v>25</v>
      </c>
    </row>
    <row r="5255" ht="14.5" customHeight="1" spans="11:29" x14ac:dyDescent="0.25">
      <c r="K5255" s="128"/>
      <c r="X5255" s="234">
        <v>2022</v>
      </c>
      <c r="Y5255" s="234">
        <v>8</v>
      </c>
      <c r="Z5255" s="234">
        <v>7</v>
      </c>
      <c r="AA5255" s="235">
        <v>0.875</v>
      </c>
      <c r="AB5255" s="236">
        <v>21.8</v>
      </c>
      <c r="AC5255" s="127">
        <f t="shared" si="96"/>
        <v>22</v>
      </c>
    </row>
    <row r="5256" ht="14.5" customHeight="1" spans="11:29" x14ac:dyDescent="0.25">
      <c r="K5256" s="128"/>
      <c r="X5256" s="234">
        <v>2022</v>
      </c>
      <c r="Y5256" s="234">
        <v>8</v>
      </c>
      <c r="Z5256" s="234">
        <v>7</v>
      </c>
      <c r="AA5256" s="235">
        <v>0.9166666666678793</v>
      </c>
      <c r="AB5256" s="236">
        <v>19.4</v>
      </c>
      <c r="AC5256" s="127">
        <f t="shared" si="96"/>
        <v>19</v>
      </c>
    </row>
    <row r="5257" ht="14.5" customHeight="1" spans="11:29" x14ac:dyDescent="0.25">
      <c r="K5257" s="128"/>
      <c r="X5257" s="234">
        <v>2022</v>
      </c>
      <c r="Y5257" s="234">
        <v>8</v>
      </c>
      <c r="Z5257" s="234">
        <v>7</v>
      </c>
      <c r="AA5257" s="235">
        <v>0.9583333333321207</v>
      </c>
      <c r="AB5257" s="236">
        <v>20.8</v>
      </c>
      <c r="AC5257" s="127">
        <f t="shared" si="96"/>
        <v>21</v>
      </c>
    </row>
    <row r="5258" ht="14.5" customHeight="1" spans="11:29" x14ac:dyDescent="0.25">
      <c r="K5258" s="128"/>
      <c r="X5258" s="234">
        <v>2022</v>
      </c>
      <c r="Y5258" s="234">
        <v>8</v>
      </c>
      <c r="Z5258" s="234">
        <v>8</v>
      </c>
      <c r="AA5258" s="235">
        <v>0</v>
      </c>
      <c r="AB5258" s="236">
        <v>22.2</v>
      </c>
      <c r="AC5258" s="127">
        <f t="shared" si="96"/>
        <v>22</v>
      </c>
    </row>
    <row r="5259" ht="14.5" customHeight="1" spans="11:29" x14ac:dyDescent="0.25">
      <c r="K5259" s="128"/>
      <c r="X5259" s="234">
        <v>2022</v>
      </c>
      <c r="Y5259" s="234">
        <v>8</v>
      </c>
      <c r="Z5259" s="234">
        <v>8</v>
      </c>
      <c r="AA5259" s="235">
        <v>0.041666666667879326</v>
      </c>
      <c r="AB5259" s="236">
        <v>19.2</v>
      </c>
      <c r="AC5259" s="127">
        <f t="shared" ref="AC5259:AC5322" si="97">ROUND(AB5259,0)</f>
        <v>19</v>
      </c>
    </row>
    <row r="5260" ht="14.5" customHeight="1" spans="11:29" x14ac:dyDescent="0.25">
      <c r="K5260" s="128"/>
      <c r="X5260" s="234">
        <v>2022</v>
      </c>
      <c r="Y5260" s="234">
        <v>8</v>
      </c>
      <c r="Z5260" s="234">
        <v>8</v>
      </c>
      <c r="AA5260" s="235">
        <v>0.08333333333212067</v>
      </c>
      <c r="AB5260" s="236">
        <v>19.8</v>
      </c>
      <c r="AC5260" s="127">
        <f t="shared" si="97"/>
        <v>20</v>
      </c>
    </row>
    <row r="5261" ht="14.5" customHeight="1" spans="11:29" x14ac:dyDescent="0.25">
      <c r="K5261" s="128"/>
      <c r="X5261" s="234">
        <v>2022</v>
      </c>
      <c r="Y5261" s="234">
        <v>8</v>
      </c>
      <c r="Z5261" s="234">
        <v>8</v>
      </c>
      <c r="AA5261" s="235">
        <v>0.125</v>
      </c>
      <c r="AB5261" s="236">
        <v>14.6</v>
      </c>
      <c r="AC5261" s="127">
        <f t="shared" si="97"/>
        <v>15</v>
      </c>
    </row>
    <row r="5262" ht="14.5" customHeight="1" spans="11:29" x14ac:dyDescent="0.25">
      <c r="K5262" s="128"/>
      <c r="X5262" s="234">
        <v>2022</v>
      </c>
      <c r="Y5262" s="234">
        <v>8</v>
      </c>
      <c r="Z5262" s="234">
        <v>8</v>
      </c>
      <c r="AA5262" s="235">
        <v>0.16666666666787933</v>
      </c>
      <c r="AB5262" s="236">
        <v>13</v>
      </c>
      <c r="AC5262" s="127">
        <f t="shared" si="97"/>
        <v>13</v>
      </c>
    </row>
    <row r="5263" ht="14.5" customHeight="1" spans="11:29" x14ac:dyDescent="0.25">
      <c r="K5263" s="128"/>
      <c r="X5263" s="234">
        <v>2022</v>
      </c>
      <c r="Y5263" s="234">
        <v>8</v>
      </c>
      <c r="Z5263" s="234">
        <v>8</v>
      </c>
      <c r="AA5263" s="235">
        <v>0.20833333333212067</v>
      </c>
      <c r="AB5263" s="236">
        <v>12.9</v>
      </c>
      <c r="AC5263" s="127">
        <f t="shared" si="97"/>
        <v>13</v>
      </c>
    </row>
    <row r="5264" ht="14.5" customHeight="1" spans="11:29" x14ac:dyDescent="0.25">
      <c r="K5264" s="128"/>
      <c r="X5264" s="234">
        <v>2022</v>
      </c>
      <c r="Y5264" s="234">
        <v>8</v>
      </c>
      <c r="Z5264" s="234">
        <v>8</v>
      </c>
      <c r="AA5264" s="235">
        <v>0.25</v>
      </c>
      <c r="AB5264" s="236">
        <v>13.7</v>
      </c>
      <c r="AC5264" s="127">
        <f t="shared" si="97"/>
        <v>14</v>
      </c>
    </row>
    <row r="5265" ht="14.5" customHeight="1" spans="11:29" x14ac:dyDescent="0.25">
      <c r="K5265" s="128"/>
      <c r="X5265" s="234">
        <v>2022</v>
      </c>
      <c r="Y5265" s="234">
        <v>8</v>
      </c>
      <c r="Z5265" s="234">
        <v>8</v>
      </c>
      <c r="AA5265" s="235">
        <v>0.2916666666678793</v>
      </c>
      <c r="AB5265" s="236">
        <v>18.6</v>
      </c>
      <c r="AC5265" s="127">
        <f t="shared" si="97"/>
        <v>19</v>
      </c>
    </row>
    <row r="5266" ht="14.5" customHeight="1" spans="11:29" x14ac:dyDescent="0.25">
      <c r="K5266" s="128"/>
      <c r="X5266" s="234">
        <v>2022</v>
      </c>
      <c r="Y5266" s="234">
        <v>8</v>
      </c>
      <c r="Z5266" s="234">
        <v>8</v>
      </c>
      <c r="AA5266" s="235">
        <v>0.3333333333321207</v>
      </c>
      <c r="AB5266" s="236">
        <v>22.1</v>
      </c>
      <c r="AC5266" s="127">
        <f t="shared" si="97"/>
        <v>22</v>
      </c>
    </row>
    <row r="5267" ht="14.5" customHeight="1" spans="11:29" x14ac:dyDescent="0.25">
      <c r="K5267" s="128"/>
      <c r="X5267" s="234">
        <v>2022</v>
      </c>
      <c r="Y5267" s="234">
        <v>8</v>
      </c>
      <c r="Z5267" s="234">
        <v>8</v>
      </c>
      <c r="AA5267" s="235">
        <v>0.375</v>
      </c>
      <c r="AB5267" s="236">
        <v>25.9</v>
      </c>
      <c r="AC5267" s="127">
        <f t="shared" si="97"/>
        <v>26</v>
      </c>
    </row>
    <row r="5268" ht="14.5" customHeight="1" spans="11:29" x14ac:dyDescent="0.25">
      <c r="K5268" s="128"/>
      <c r="X5268" s="234">
        <v>2022</v>
      </c>
      <c r="Y5268" s="234">
        <v>8</v>
      </c>
      <c r="Z5268" s="234">
        <v>8</v>
      </c>
      <c r="AA5268" s="235">
        <v>0.4166666666678793</v>
      </c>
      <c r="AB5268" s="236">
        <v>27.4</v>
      </c>
      <c r="AC5268" s="127">
        <f t="shared" si="97"/>
        <v>27</v>
      </c>
    </row>
    <row r="5269" ht="14.5" customHeight="1" spans="11:29" x14ac:dyDescent="0.25">
      <c r="K5269" s="128"/>
      <c r="X5269" s="234">
        <v>2022</v>
      </c>
      <c r="Y5269" s="234">
        <v>8</v>
      </c>
      <c r="Z5269" s="234">
        <v>8</v>
      </c>
      <c r="AA5269" s="235">
        <v>0.4583333333321207</v>
      </c>
      <c r="AB5269" s="236">
        <v>28.7</v>
      </c>
      <c r="AC5269" s="127">
        <f t="shared" si="97"/>
        <v>29</v>
      </c>
    </row>
    <row r="5270" ht="14.5" customHeight="1" spans="11:29" x14ac:dyDescent="0.25">
      <c r="K5270" s="128"/>
      <c r="X5270" s="234">
        <v>2022</v>
      </c>
      <c r="Y5270" s="234">
        <v>8</v>
      </c>
      <c r="Z5270" s="234">
        <v>8</v>
      </c>
      <c r="AA5270" s="235">
        <v>0.5</v>
      </c>
      <c r="AB5270" s="236">
        <v>25.1</v>
      </c>
      <c r="AC5270" s="127">
        <f t="shared" si="97"/>
        <v>25</v>
      </c>
    </row>
    <row r="5271" ht="14.5" customHeight="1" spans="11:29" x14ac:dyDescent="0.25">
      <c r="K5271" s="128"/>
      <c r="X5271" s="234">
        <v>2022</v>
      </c>
      <c r="Y5271" s="234">
        <v>8</v>
      </c>
      <c r="Z5271" s="234">
        <v>8</v>
      </c>
      <c r="AA5271" s="235">
        <v>0.5416666666678793</v>
      </c>
      <c r="AB5271" s="236">
        <v>24.8</v>
      </c>
      <c r="AC5271" s="127">
        <f t="shared" si="97"/>
        <v>25</v>
      </c>
    </row>
    <row r="5272" ht="14.5" customHeight="1" spans="11:29" x14ac:dyDescent="0.25">
      <c r="K5272" s="128"/>
      <c r="X5272" s="234">
        <v>2022</v>
      </c>
      <c r="Y5272" s="234">
        <v>8</v>
      </c>
      <c r="Z5272" s="234">
        <v>8</v>
      </c>
      <c r="AA5272" s="235">
        <v>0.5833333333321207</v>
      </c>
      <c r="AB5272" s="236">
        <v>24.6</v>
      </c>
      <c r="AC5272" s="127">
        <f t="shared" si="97"/>
        <v>25</v>
      </c>
    </row>
    <row r="5273" ht="14.5" customHeight="1" spans="11:29" x14ac:dyDescent="0.25">
      <c r="K5273" s="128"/>
      <c r="X5273" s="234">
        <v>2022</v>
      </c>
      <c r="Y5273" s="234">
        <v>8</v>
      </c>
      <c r="Z5273" s="234">
        <v>8</v>
      </c>
      <c r="AA5273" s="235">
        <v>0.625</v>
      </c>
      <c r="AB5273" s="236">
        <v>24.7</v>
      </c>
      <c r="AC5273" s="127">
        <f t="shared" si="97"/>
        <v>25</v>
      </c>
    </row>
    <row r="5274" ht="14.5" customHeight="1" spans="11:29" x14ac:dyDescent="0.25">
      <c r="K5274" s="128"/>
      <c r="X5274" s="234">
        <v>2022</v>
      </c>
      <c r="Y5274" s="234">
        <v>8</v>
      </c>
      <c r="Z5274" s="234">
        <v>8</v>
      </c>
      <c r="AA5274" s="235">
        <v>0.6666666666678793</v>
      </c>
      <c r="AB5274" s="236">
        <v>24</v>
      </c>
      <c r="AC5274" s="127">
        <f t="shared" si="97"/>
        <v>24</v>
      </c>
    </row>
    <row r="5275" ht="14.5" customHeight="1" spans="11:29" x14ac:dyDescent="0.25">
      <c r="K5275" s="128"/>
      <c r="X5275" s="234">
        <v>2022</v>
      </c>
      <c r="Y5275" s="234">
        <v>8</v>
      </c>
      <c r="Z5275" s="234">
        <v>8</v>
      </c>
      <c r="AA5275" s="235">
        <v>0.7083333333321207</v>
      </c>
      <c r="AB5275" s="236">
        <v>23.1</v>
      </c>
      <c r="AC5275" s="127">
        <f t="shared" si="97"/>
        <v>23</v>
      </c>
    </row>
    <row r="5276" ht="14.5" customHeight="1" spans="11:29" x14ac:dyDescent="0.25">
      <c r="K5276" s="128"/>
      <c r="X5276" s="234">
        <v>2022</v>
      </c>
      <c r="Y5276" s="234">
        <v>8</v>
      </c>
      <c r="Z5276" s="234">
        <v>8</v>
      </c>
      <c r="AA5276" s="235">
        <v>0.75</v>
      </c>
      <c r="AB5276" s="236">
        <v>22</v>
      </c>
      <c r="AC5276" s="127">
        <f t="shared" si="97"/>
        <v>22</v>
      </c>
    </row>
    <row r="5277" ht="14.5" customHeight="1" spans="11:29" x14ac:dyDescent="0.25">
      <c r="K5277" s="128"/>
      <c r="X5277" s="234">
        <v>2022</v>
      </c>
      <c r="Y5277" s="234">
        <v>8</v>
      </c>
      <c r="Z5277" s="234">
        <v>8</v>
      </c>
      <c r="AA5277" s="235">
        <v>0.7916666666678793</v>
      </c>
      <c r="AB5277" s="236">
        <v>20.4</v>
      </c>
      <c r="AC5277" s="127">
        <f t="shared" si="97"/>
        <v>20</v>
      </c>
    </row>
    <row r="5278" ht="14.5" customHeight="1" spans="11:29" x14ac:dyDescent="0.25">
      <c r="K5278" s="128"/>
      <c r="X5278" s="234">
        <v>2022</v>
      </c>
      <c r="Y5278" s="234">
        <v>8</v>
      </c>
      <c r="Z5278" s="234">
        <v>8</v>
      </c>
      <c r="AA5278" s="235">
        <v>0.8333333333321207</v>
      </c>
      <c r="AB5278" s="236">
        <v>18.5</v>
      </c>
      <c r="AC5278" s="127">
        <f t="shared" si="97"/>
        <v>19</v>
      </c>
    </row>
    <row r="5279" ht="14.5" customHeight="1" spans="11:29" x14ac:dyDescent="0.25">
      <c r="K5279" s="128"/>
      <c r="X5279" s="234">
        <v>2022</v>
      </c>
      <c r="Y5279" s="234">
        <v>8</v>
      </c>
      <c r="Z5279" s="234">
        <v>8</v>
      </c>
      <c r="AA5279" s="235">
        <v>0.875</v>
      </c>
      <c r="AB5279" s="236">
        <v>16.8</v>
      </c>
      <c r="AC5279" s="127">
        <f t="shared" si="97"/>
        <v>17</v>
      </c>
    </row>
    <row r="5280" ht="14.5" customHeight="1" spans="11:29" x14ac:dyDescent="0.25">
      <c r="K5280" s="128"/>
      <c r="X5280" s="234">
        <v>2022</v>
      </c>
      <c r="Y5280" s="234">
        <v>8</v>
      </c>
      <c r="Z5280" s="234">
        <v>8</v>
      </c>
      <c r="AA5280" s="235">
        <v>0.9166666666678793</v>
      </c>
      <c r="AB5280" s="236">
        <v>16.5</v>
      </c>
      <c r="AC5280" s="127">
        <f t="shared" si="97"/>
        <v>17</v>
      </c>
    </row>
    <row r="5281" ht="14.5" customHeight="1" spans="11:29" x14ac:dyDescent="0.25">
      <c r="K5281" s="128"/>
      <c r="X5281" s="234">
        <v>2022</v>
      </c>
      <c r="Y5281" s="234">
        <v>8</v>
      </c>
      <c r="Z5281" s="234">
        <v>8</v>
      </c>
      <c r="AA5281" s="235">
        <v>0.9583333333321207</v>
      </c>
      <c r="AB5281" s="236">
        <v>16.9</v>
      </c>
      <c r="AC5281" s="127">
        <f t="shared" si="97"/>
        <v>17</v>
      </c>
    </row>
    <row r="5282" ht="14.5" customHeight="1" spans="11:29" x14ac:dyDescent="0.25">
      <c r="K5282" s="128"/>
      <c r="X5282" s="234">
        <v>2022</v>
      </c>
      <c r="Y5282" s="234">
        <v>8</v>
      </c>
      <c r="Z5282" s="234">
        <v>9</v>
      </c>
      <c r="AA5282" s="235">
        <v>0</v>
      </c>
      <c r="AB5282" s="236">
        <v>17</v>
      </c>
      <c r="AC5282" s="127">
        <f t="shared" si="97"/>
        <v>17</v>
      </c>
    </row>
    <row r="5283" ht="14.5" customHeight="1" spans="11:29" x14ac:dyDescent="0.25">
      <c r="K5283" s="128"/>
      <c r="X5283" s="234">
        <v>2022</v>
      </c>
      <c r="Y5283" s="234">
        <v>8</v>
      </c>
      <c r="Z5283" s="234">
        <v>9</v>
      </c>
      <c r="AA5283" s="235">
        <v>0.041666666667879326</v>
      </c>
      <c r="AB5283" s="236">
        <v>15.9</v>
      </c>
      <c r="AC5283" s="127">
        <f t="shared" si="97"/>
        <v>16</v>
      </c>
    </row>
    <row r="5284" ht="14.5" customHeight="1" spans="11:29" x14ac:dyDescent="0.25">
      <c r="K5284" s="128"/>
      <c r="X5284" s="234">
        <v>2022</v>
      </c>
      <c r="Y5284" s="234">
        <v>8</v>
      </c>
      <c r="Z5284" s="234">
        <v>9</v>
      </c>
      <c r="AA5284" s="235">
        <v>0.08333333333212067</v>
      </c>
      <c r="AB5284" s="236">
        <v>15.5</v>
      </c>
      <c r="AC5284" s="127">
        <f t="shared" si="97"/>
        <v>16</v>
      </c>
    </row>
    <row r="5285" ht="14.5" customHeight="1" spans="11:29" x14ac:dyDescent="0.25">
      <c r="K5285" s="128"/>
      <c r="X5285" s="234">
        <v>2022</v>
      </c>
      <c r="Y5285" s="234">
        <v>8</v>
      </c>
      <c r="Z5285" s="234">
        <v>9</v>
      </c>
      <c r="AA5285" s="235">
        <v>0.125</v>
      </c>
      <c r="AB5285" s="236">
        <v>15.4</v>
      </c>
      <c r="AC5285" s="127">
        <f t="shared" si="97"/>
        <v>15</v>
      </c>
    </row>
    <row r="5286" ht="14.5" customHeight="1" spans="11:29" x14ac:dyDescent="0.25">
      <c r="K5286" s="128"/>
      <c r="X5286" s="234">
        <v>2022</v>
      </c>
      <c r="Y5286" s="234">
        <v>8</v>
      </c>
      <c r="Z5286" s="234">
        <v>9</v>
      </c>
      <c r="AA5286" s="235">
        <v>0.16666666666787933</v>
      </c>
      <c r="AB5286" s="236">
        <v>15.1</v>
      </c>
      <c r="AC5286" s="127">
        <f t="shared" si="97"/>
        <v>15</v>
      </c>
    </row>
    <row r="5287" ht="14.5" customHeight="1" spans="11:29" x14ac:dyDescent="0.25">
      <c r="K5287" s="128"/>
      <c r="X5287" s="234">
        <v>2022</v>
      </c>
      <c r="Y5287" s="234">
        <v>8</v>
      </c>
      <c r="Z5287" s="234">
        <v>9</v>
      </c>
      <c r="AA5287" s="235">
        <v>0.20833333333212067</v>
      </c>
      <c r="AB5287" s="236">
        <v>12.2</v>
      </c>
      <c r="AC5287" s="127">
        <f t="shared" si="97"/>
        <v>12</v>
      </c>
    </row>
    <row r="5288" ht="14.5" customHeight="1" spans="11:29" x14ac:dyDescent="0.25">
      <c r="K5288" s="128"/>
      <c r="X5288" s="234">
        <v>2022</v>
      </c>
      <c r="Y5288" s="234">
        <v>8</v>
      </c>
      <c r="Z5288" s="234">
        <v>9</v>
      </c>
      <c r="AA5288" s="235">
        <v>0.25</v>
      </c>
      <c r="AB5288" s="236">
        <v>13.2</v>
      </c>
      <c r="AC5288" s="127">
        <f t="shared" si="97"/>
        <v>13</v>
      </c>
    </row>
    <row r="5289" ht="14.5" customHeight="1" spans="11:29" x14ac:dyDescent="0.25">
      <c r="K5289" s="128"/>
      <c r="X5289" s="234">
        <v>2022</v>
      </c>
      <c r="Y5289" s="234">
        <v>8</v>
      </c>
      <c r="Z5289" s="234">
        <v>9</v>
      </c>
      <c r="AA5289" s="235">
        <v>0.2916666666678793</v>
      </c>
      <c r="AB5289" s="236">
        <v>15.5</v>
      </c>
      <c r="AC5289" s="127">
        <f t="shared" si="97"/>
        <v>16</v>
      </c>
    </row>
    <row r="5290" ht="14.5" customHeight="1" spans="11:29" x14ac:dyDescent="0.25">
      <c r="K5290" s="128"/>
      <c r="X5290" s="234">
        <v>2022</v>
      </c>
      <c r="Y5290" s="234">
        <v>8</v>
      </c>
      <c r="Z5290" s="234">
        <v>9</v>
      </c>
      <c r="AA5290" s="235">
        <v>0.3333333333321207</v>
      </c>
      <c r="AB5290" s="236">
        <v>17</v>
      </c>
      <c r="AC5290" s="127">
        <f t="shared" si="97"/>
        <v>17</v>
      </c>
    </row>
    <row r="5291" ht="14.5" customHeight="1" spans="11:29" x14ac:dyDescent="0.25">
      <c r="K5291" s="128"/>
      <c r="X5291" s="234">
        <v>2022</v>
      </c>
      <c r="Y5291" s="234">
        <v>8</v>
      </c>
      <c r="Z5291" s="234">
        <v>9</v>
      </c>
      <c r="AA5291" s="235">
        <v>0.375</v>
      </c>
      <c r="AB5291" s="236">
        <v>18.6</v>
      </c>
      <c r="AC5291" s="127">
        <f t="shared" si="97"/>
        <v>19</v>
      </c>
    </row>
    <row r="5292" ht="14.5" customHeight="1" spans="11:29" x14ac:dyDescent="0.25">
      <c r="K5292" s="128"/>
      <c r="X5292" s="234">
        <v>2022</v>
      </c>
      <c r="Y5292" s="234">
        <v>8</v>
      </c>
      <c r="Z5292" s="234">
        <v>9</v>
      </c>
      <c r="AA5292" s="235">
        <v>0.4166666666678793</v>
      </c>
      <c r="AB5292" s="236">
        <v>20.5</v>
      </c>
      <c r="AC5292" s="127">
        <f t="shared" si="97"/>
        <v>21</v>
      </c>
    </row>
    <row r="5293" ht="14.5" customHeight="1" spans="11:29" x14ac:dyDescent="0.25">
      <c r="K5293" s="128"/>
      <c r="X5293" s="234">
        <v>2022</v>
      </c>
      <c r="Y5293" s="234">
        <v>8</v>
      </c>
      <c r="Z5293" s="234">
        <v>9</v>
      </c>
      <c r="AA5293" s="235">
        <v>0.4583333333321207</v>
      </c>
      <c r="AB5293" s="236">
        <v>22.6</v>
      </c>
      <c r="AC5293" s="127">
        <f t="shared" si="97"/>
        <v>23</v>
      </c>
    </row>
    <row r="5294" ht="14.5" customHeight="1" spans="11:29" x14ac:dyDescent="0.25">
      <c r="K5294" s="128"/>
      <c r="X5294" s="234">
        <v>2022</v>
      </c>
      <c r="Y5294" s="234">
        <v>8</v>
      </c>
      <c r="Z5294" s="234">
        <v>9</v>
      </c>
      <c r="AA5294" s="235">
        <v>0.5</v>
      </c>
      <c r="AB5294" s="236">
        <v>23.7</v>
      </c>
      <c r="AC5294" s="127">
        <f t="shared" si="97"/>
        <v>24</v>
      </c>
    </row>
    <row r="5295" ht="14.5" customHeight="1" spans="11:29" x14ac:dyDescent="0.25">
      <c r="K5295" s="128"/>
      <c r="X5295" s="234">
        <v>2022</v>
      </c>
      <c r="Y5295" s="234">
        <v>8</v>
      </c>
      <c r="Z5295" s="234">
        <v>9</v>
      </c>
      <c r="AA5295" s="235">
        <v>0.5416666666678793</v>
      </c>
      <c r="AB5295" s="236">
        <v>24.9</v>
      </c>
      <c r="AC5295" s="127">
        <f t="shared" si="97"/>
        <v>25</v>
      </c>
    </row>
    <row r="5296" ht="14.5" customHeight="1" spans="11:29" x14ac:dyDescent="0.25">
      <c r="K5296" s="128"/>
      <c r="X5296" s="234">
        <v>2022</v>
      </c>
      <c r="Y5296" s="234">
        <v>8</v>
      </c>
      <c r="Z5296" s="234">
        <v>9</v>
      </c>
      <c r="AA5296" s="235">
        <v>0.5833333333321207</v>
      </c>
      <c r="AB5296" s="236">
        <v>26</v>
      </c>
      <c r="AC5296" s="127">
        <f t="shared" si="97"/>
        <v>26</v>
      </c>
    </row>
    <row r="5297" ht="14.5" customHeight="1" spans="11:29" x14ac:dyDescent="0.25">
      <c r="K5297" s="128"/>
      <c r="X5297" s="234">
        <v>2022</v>
      </c>
      <c r="Y5297" s="234">
        <v>8</v>
      </c>
      <c r="Z5297" s="234">
        <v>9</v>
      </c>
      <c r="AA5297" s="235">
        <v>0.625</v>
      </c>
      <c r="AB5297" s="236">
        <v>26.5</v>
      </c>
      <c r="AC5297" s="127">
        <f t="shared" si="97"/>
        <v>27</v>
      </c>
    </row>
    <row r="5298" ht="14.5" customHeight="1" spans="11:29" x14ac:dyDescent="0.25">
      <c r="K5298" s="128"/>
      <c r="X5298" s="234">
        <v>2022</v>
      </c>
      <c r="Y5298" s="234">
        <v>8</v>
      </c>
      <c r="Z5298" s="234">
        <v>9</v>
      </c>
      <c r="AA5298" s="235">
        <v>0.6666666666678793</v>
      </c>
      <c r="AB5298" s="236">
        <v>26.2</v>
      </c>
      <c r="AC5298" s="127">
        <f t="shared" si="97"/>
        <v>26</v>
      </c>
    </row>
    <row r="5299" ht="14.5" customHeight="1" spans="11:29" x14ac:dyDescent="0.25">
      <c r="K5299" s="128"/>
      <c r="X5299" s="234">
        <v>2022</v>
      </c>
      <c r="Y5299" s="234">
        <v>8</v>
      </c>
      <c r="Z5299" s="234">
        <v>9</v>
      </c>
      <c r="AA5299" s="235">
        <v>0.7083333333321207</v>
      </c>
      <c r="AB5299" s="236">
        <v>25</v>
      </c>
      <c r="AC5299" s="127">
        <f t="shared" si="97"/>
        <v>25</v>
      </c>
    </row>
    <row r="5300" ht="14.5" customHeight="1" spans="11:29" x14ac:dyDescent="0.25">
      <c r="K5300" s="128"/>
      <c r="X5300" s="234">
        <v>2022</v>
      </c>
      <c r="Y5300" s="234">
        <v>8</v>
      </c>
      <c r="Z5300" s="234">
        <v>9</v>
      </c>
      <c r="AA5300" s="235">
        <v>0.75</v>
      </c>
      <c r="AB5300" s="236">
        <v>24</v>
      </c>
      <c r="AC5300" s="127">
        <f t="shared" si="97"/>
        <v>24</v>
      </c>
    </row>
    <row r="5301" ht="14.5" customHeight="1" spans="11:29" x14ac:dyDescent="0.25">
      <c r="K5301" s="128"/>
      <c r="X5301" s="234">
        <v>2022</v>
      </c>
      <c r="Y5301" s="234">
        <v>8</v>
      </c>
      <c r="Z5301" s="234">
        <v>9</v>
      </c>
      <c r="AA5301" s="235">
        <v>0.7916666666678793</v>
      </c>
      <c r="AB5301" s="236">
        <v>22.8</v>
      </c>
      <c r="AC5301" s="127">
        <f t="shared" si="97"/>
        <v>23</v>
      </c>
    </row>
    <row r="5302" ht="14.5" customHeight="1" spans="11:29" x14ac:dyDescent="0.25">
      <c r="K5302" s="128"/>
      <c r="X5302" s="234">
        <v>2022</v>
      </c>
      <c r="Y5302" s="234">
        <v>8</v>
      </c>
      <c r="Z5302" s="234">
        <v>9</v>
      </c>
      <c r="AA5302" s="235">
        <v>0.8333333333321207</v>
      </c>
      <c r="AB5302" s="236">
        <v>21.8</v>
      </c>
      <c r="AC5302" s="127">
        <f t="shared" si="97"/>
        <v>22</v>
      </c>
    </row>
    <row r="5303" ht="14.5" customHeight="1" spans="11:29" x14ac:dyDescent="0.25">
      <c r="K5303" s="128"/>
      <c r="X5303" s="234">
        <v>2022</v>
      </c>
      <c r="Y5303" s="234">
        <v>8</v>
      </c>
      <c r="Z5303" s="234">
        <v>9</v>
      </c>
      <c r="AA5303" s="235">
        <v>0.875</v>
      </c>
      <c r="AB5303" s="236">
        <v>21.4</v>
      </c>
      <c r="AC5303" s="127">
        <f t="shared" si="97"/>
        <v>21</v>
      </c>
    </row>
    <row r="5304" ht="14.5" customHeight="1" spans="11:29" x14ac:dyDescent="0.25">
      <c r="K5304" s="128"/>
      <c r="X5304" s="234">
        <v>2022</v>
      </c>
      <c r="Y5304" s="234">
        <v>8</v>
      </c>
      <c r="Z5304" s="234">
        <v>9</v>
      </c>
      <c r="AA5304" s="235">
        <v>0.9166666666678793</v>
      </c>
      <c r="AB5304" s="236">
        <v>20.3</v>
      </c>
      <c r="AC5304" s="127">
        <f t="shared" si="97"/>
        <v>20</v>
      </c>
    </row>
    <row r="5305" ht="14.5" customHeight="1" spans="11:29" x14ac:dyDescent="0.25">
      <c r="K5305" s="128"/>
      <c r="X5305" s="234">
        <v>2022</v>
      </c>
      <c r="Y5305" s="234">
        <v>8</v>
      </c>
      <c r="Z5305" s="234">
        <v>9</v>
      </c>
      <c r="AA5305" s="235">
        <v>0.9583333333321207</v>
      </c>
      <c r="AB5305" s="236">
        <v>20.4</v>
      </c>
      <c r="AC5305" s="127">
        <f t="shared" si="97"/>
        <v>20</v>
      </c>
    </row>
    <row r="5306" ht="14.5" customHeight="1" spans="11:29" x14ac:dyDescent="0.25">
      <c r="K5306" s="128"/>
      <c r="X5306" s="234">
        <v>2022</v>
      </c>
      <c r="Y5306" s="234">
        <v>8</v>
      </c>
      <c r="Z5306" s="234">
        <v>10</v>
      </c>
      <c r="AA5306" s="235">
        <v>0</v>
      </c>
      <c r="AB5306" s="236">
        <v>20.2</v>
      </c>
      <c r="AC5306" s="127">
        <f t="shared" si="97"/>
        <v>20</v>
      </c>
    </row>
    <row r="5307" ht="14.5" customHeight="1" spans="11:29" x14ac:dyDescent="0.25">
      <c r="K5307" s="128"/>
      <c r="X5307" s="234">
        <v>2022</v>
      </c>
      <c r="Y5307" s="234">
        <v>8</v>
      </c>
      <c r="Z5307" s="234">
        <v>10</v>
      </c>
      <c r="AA5307" s="235">
        <v>0.041666666667879326</v>
      </c>
      <c r="AB5307" s="236">
        <v>18.6</v>
      </c>
      <c r="AC5307" s="127">
        <f t="shared" si="97"/>
        <v>19</v>
      </c>
    </row>
    <row r="5308" ht="14.5" customHeight="1" spans="11:29" x14ac:dyDescent="0.25">
      <c r="K5308" s="128"/>
      <c r="X5308" s="234">
        <v>2022</v>
      </c>
      <c r="Y5308" s="234">
        <v>8</v>
      </c>
      <c r="Z5308" s="234">
        <v>10</v>
      </c>
      <c r="AA5308" s="235">
        <v>0.08333333333212067</v>
      </c>
      <c r="AB5308" s="236">
        <v>17.3</v>
      </c>
      <c r="AC5308" s="127">
        <f t="shared" si="97"/>
        <v>17</v>
      </c>
    </row>
    <row r="5309" ht="14.5" customHeight="1" spans="11:29" x14ac:dyDescent="0.25">
      <c r="K5309" s="128"/>
      <c r="X5309" s="234">
        <v>2022</v>
      </c>
      <c r="Y5309" s="234">
        <v>8</v>
      </c>
      <c r="Z5309" s="234">
        <v>10</v>
      </c>
      <c r="AA5309" s="235">
        <v>0.125</v>
      </c>
      <c r="AB5309" s="236">
        <v>17.3</v>
      </c>
      <c r="AC5309" s="127">
        <f t="shared" si="97"/>
        <v>17</v>
      </c>
    </row>
    <row r="5310" ht="14.5" customHeight="1" spans="11:29" x14ac:dyDescent="0.25">
      <c r="K5310" s="128"/>
      <c r="X5310" s="234">
        <v>2022</v>
      </c>
      <c r="Y5310" s="234">
        <v>8</v>
      </c>
      <c r="Z5310" s="234">
        <v>10</v>
      </c>
      <c r="AA5310" s="235">
        <v>0.16666666666787933</v>
      </c>
      <c r="AB5310" s="236">
        <v>16.8</v>
      </c>
      <c r="AC5310" s="127">
        <f t="shared" si="97"/>
        <v>17</v>
      </c>
    </row>
    <row r="5311" ht="14.5" customHeight="1" spans="11:29" x14ac:dyDescent="0.25">
      <c r="K5311" s="128"/>
      <c r="X5311" s="234">
        <v>2022</v>
      </c>
      <c r="Y5311" s="234">
        <v>8</v>
      </c>
      <c r="Z5311" s="234">
        <v>10</v>
      </c>
      <c r="AA5311" s="235">
        <v>0.20833333333212067</v>
      </c>
      <c r="AB5311" s="236">
        <v>16.1</v>
      </c>
      <c r="AC5311" s="127">
        <f t="shared" si="97"/>
        <v>16</v>
      </c>
    </row>
    <row r="5312" ht="14.5" customHeight="1" spans="11:29" x14ac:dyDescent="0.25">
      <c r="K5312" s="128"/>
      <c r="X5312" s="234">
        <v>2022</v>
      </c>
      <c r="Y5312" s="234">
        <v>8</v>
      </c>
      <c r="Z5312" s="234">
        <v>10</v>
      </c>
      <c r="AA5312" s="235">
        <v>0.25</v>
      </c>
      <c r="AB5312" s="236">
        <v>15.9</v>
      </c>
      <c r="AC5312" s="127">
        <f t="shared" si="97"/>
        <v>16</v>
      </c>
    </row>
    <row r="5313" ht="14.5" customHeight="1" spans="11:29" x14ac:dyDescent="0.25">
      <c r="K5313" s="128"/>
      <c r="X5313" s="234">
        <v>2022</v>
      </c>
      <c r="Y5313" s="234">
        <v>8</v>
      </c>
      <c r="Z5313" s="234">
        <v>10</v>
      </c>
      <c r="AA5313" s="235">
        <v>0.2916666666678793</v>
      </c>
      <c r="AB5313" s="236">
        <v>17.4</v>
      </c>
      <c r="AC5313" s="127">
        <f t="shared" si="97"/>
        <v>17</v>
      </c>
    </row>
    <row r="5314" ht="14.5" customHeight="1" spans="11:29" x14ac:dyDescent="0.25">
      <c r="K5314" s="128"/>
      <c r="X5314" s="234">
        <v>2022</v>
      </c>
      <c r="Y5314" s="234">
        <v>8</v>
      </c>
      <c r="Z5314" s="234">
        <v>10</v>
      </c>
      <c r="AA5314" s="235">
        <v>0.3333333333321207</v>
      </c>
      <c r="AB5314" s="236">
        <v>19.3</v>
      </c>
      <c r="AC5314" s="127">
        <f t="shared" si="97"/>
        <v>19</v>
      </c>
    </row>
    <row r="5315" ht="14.5" customHeight="1" spans="11:29" x14ac:dyDescent="0.25">
      <c r="K5315" s="128"/>
      <c r="X5315" s="234">
        <v>2022</v>
      </c>
      <c r="Y5315" s="234">
        <v>8</v>
      </c>
      <c r="Z5315" s="234">
        <v>10</v>
      </c>
      <c r="AA5315" s="235">
        <v>0.375</v>
      </c>
      <c r="AB5315" s="236">
        <v>20.7</v>
      </c>
      <c r="AC5315" s="127">
        <f t="shared" si="97"/>
        <v>21</v>
      </c>
    </row>
    <row r="5316" ht="14.5" customHeight="1" spans="11:29" x14ac:dyDescent="0.25">
      <c r="K5316" s="128"/>
      <c r="X5316" s="234">
        <v>2022</v>
      </c>
      <c r="Y5316" s="234">
        <v>8</v>
      </c>
      <c r="Z5316" s="234">
        <v>10</v>
      </c>
      <c r="AA5316" s="235">
        <v>0.4166666666678793</v>
      </c>
      <c r="AB5316" s="236">
        <v>21</v>
      </c>
      <c r="AC5316" s="127">
        <f t="shared" si="97"/>
        <v>21</v>
      </c>
    </row>
    <row r="5317" ht="14.5" customHeight="1" spans="11:29" x14ac:dyDescent="0.25">
      <c r="K5317" s="128"/>
      <c r="X5317" s="234">
        <v>2022</v>
      </c>
      <c r="Y5317" s="234">
        <v>8</v>
      </c>
      <c r="Z5317" s="234">
        <v>10</v>
      </c>
      <c r="AA5317" s="235">
        <v>0.4583333333321207</v>
      </c>
      <c r="AB5317" s="236">
        <v>22.4</v>
      </c>
      <c r="AC5317" s="127">
        <f t="shared" si="97"/>
        <v>22</v>
      </c>
    </row>
    <row r="5318" ht="14.5" customHeight="1" spans="11:29" x14ac:dyDescent="0.25">
      <c r="K5318" s="128"/>
      <c r="X5318" s="234">
        <v>2022</v>
      </c>
      <c r="Y5318" s="234">
        <v>8</v>
      </c>
      <c r="Z5318" s="234">
        <v>10</v>
      </c>
      <c r="AA5318" s="235">
        <v>0.5</v>
      </c>
      <c r="AB5318" s="236">
        <v>23.5</v>
      </c>
      <c r="AC5318" s="127">
        <f t="shared" si="97"/>
        <v>24</v>
      </c>
    </row>
    <row r="5319" ht="14.5" customHeight="1" spans="11:29" x14ac:dyDescent="0.25">
      <c r="K5319" s="128"/>
      <c r="X5319" s="234">
        <v>2022</v>
      </c>
      <c r="Y5319" s="234">
        <v>8</v>
      </c>
      <c r="Z5319" s="234">
        <v>10</v>
      </c>
      <c r="AA5319" s="235">
        <v>0.5416666666678793</v>
      </c>
      <c r="AB5319" s="236">
        <v>24.2</v>
      </c>
      <c r="AC5319" s="127">
        <f t="shared" si="97"/>
        <v>24</v>
      </c>
    </row>
    <row r="5320" ht="14.5" customHeight="1" spans="11:29" x14ac:dyDescent="0.25">
      <c r="K5320" s="128"/>
      <c r="X5320" s="234">
        <v>2022</v>
      </c>
      <c r="Y5320" s="234">
        <v>8</v>
      </c>
      <c r="Z5320" s="234">
        <v>10</v>
      </c>
      <c r="AA5320" s="235">
        <v>0.5833333333321207</v>
      </c>
      <c r="AB5320" s="236">
        <v>23.8</v>
      </c>
      <c r="AC5320" s="127">
        <f t="shared" si="97"/>
        <v>24</v>
      </c>
    </row>
    <row r="5321" ht="14.5" customHeight="1" spans="11:29" x14ac:dyDescent="0.25">
      <c r="K5321" s="128"/>
      <c r="X5321" s="234">
        <v>2022</v>
      </c>
      <c r="Y5321" s="234">
        <v>8</v>
      </c>
      <c r="Z5321" s="234">
        <v>10</v>
      </c>
      <c r="AA5321" s="235">
        <v>0.625</v>
      </c>
      <c r="AB5321" s="236">
        <v>26.1</v>
      </c>
      <c r="AC5321" s="127">
        <f t="shared" si="97"/>
        <v>26</v>
      </c>
    </row>
    <row r="5322" ht="14.5" customHeight="1" spans="11:29" x14ac:dyDescent="0.25">
      <c r="K5322" s="128"/>
      <c r="X5322" s="234">
        <v>2022</v>
      </c>
      <c r="Y5322" s="234">
        <v>8</v>
      </c>
      <c r="Z5322" s="234">
        <v>10</v>
      </c>
      <c r="AA5322" s="235">
        <v>0.6666666666678793</v>
      </c>
      <c r="AB5322" s="236">
        <v>27.1</v>
      </c>
      <c r="AC5322" s="127">
        <f t="shared" si="97"/>
        <v>27</v>
      </c>
    </row>
    <row r="5323" ht="14.5" customHeight="1" spans="11:29" x14ac:dyDescent="0.25">
      <c r="K5323" s="128"/>
      <c r="X5323" s="234">
        <v>2022</v>
      </c>
      <c r="Y5323" s="234">
        <v>8</v>
      </c>
      <c r="Z5323" s="234">
        <v>10</v>
      </c>
      <c r="AA5323" s="235">
        <v>0.7083333333321207</v>
      </c>
      <c r="AB5323" s="236">
        <v>26.5</v>
      </c>
      <c r="AC5323" s="127">
        <f t="shared" ref="AC5323:AC5386" si="98">ROUND(AB5323,0)</f>
        <v>27</v>
      </c>
    </row>
    <row r="5324" ht="14.5" customHeight="1" spans="11:29" x14ac:dyDescent="0.25">
      <c r="K5324" s="128"/>
      <c r="X5324" s="234">
        <v>2022</v>
      </c>
      <c r="Y5324" s="234">
        <v>8</v>
      </c>
      <c r="Z5324" s="234">
        <v>10</v>
      </c>
      <c r="AA5324" s="235">
        <v>0.75</v>
      </c>
      <c r="AB5324" s="236">
        <v>25.8</v>
      </c>
      <c r="AC5324" s="127">
        <f t="shared" si="98"/>
        <v>26</v>
      </c>
    </row>
    <row r="5325" ht="14.5" customHeight="1" spans="11:29" x14ac:dyDescent="0.25">
      <c r="K5325" s="128"/>
      <c r="X5325" s="234">
        <v>2022</v>
      </c>
      <c r="Y5325" s="234">
        <v>8</v>
      </c>
      <c r="Z5325" s="234">
        <v>10</v>
      </c>
      <c r="AA5325" s="235">
        <v>0.7916666666678793</v>
      </c>
      <c r="AB5325" s="236">
        <v>24.8</v>
      </c>
      <c r="AC5325" s="127">
        <f t="shared" si="98"/>
        <v>25</v>
      </c>
    </row>
    <row r="5326" ht="14.5" customHeight="1" spans="11:29" x14ac:dyDescent="0.25">
      <c r="K5326" s="128"/>
      <c r="X5326" s="234">
        <v>2022</v>
      </c>
      <c r="Y5326" s="234">
        <v>8</v>
      </c>
      <c r="Z5326" s="234">
        <v>10</v>
      </c>
      <c r="AA5326" s="235">
        <v>0.8333333333321207</v>
      </c>
      <c r="AB5326" s="236">
        <v>24.9</v>
      </c>
      <c r="AC5326" s="127">
        <f t="shared" si="98"/>
        <v>25</v>
      </c>
    </row>
    <row r="5327" ht="14.5" customHeight="1" spans="11:29" x14ac:dyDescent="0.25">
      <c r="K5327" s="128"/>
      <c r="X5327" s="234">
        <v>2022</v>
      </c>
      <c r="Y5327" s="234">
        <v>8</v>
      </c>
      <c r="Z5327" s="234">
        <v>10</v>
      </c>
      <c r="AA5327" s="235">
        <v>0.875</v>
      </c>
      <c r="AB5327" s="236">
        <v>23.3</v>
      </c>
      <c r="AC5327" s="127">
        <f t="shared" si="98"/>
        <v>23</v>
      </c>
    </row>
    <row r="5328" ht="14.5" customHeight="1" spans="11:29" x14ac:dyDescent="0.25">
      <c r="K5328" s="128"/>
      <c r="X5328" s="234">
        <v>2022</v>
      </c>
      <c r="Y5328" s="234">
        <v>8</v>
      </c>
      <c r="Z5328" s="234">
        <v>10</v>
      </c>
      <c r="AA5328" s="235">
        <v>0.9166666666678793</v>
      </c>
      <c r="AB5328" s="236">
        <v>21.1</v>
      </c>
      <c r="AC5328" s="127">
        <f t="shared" si="98"/>
        <v>21</v>
      </c>
    </row>
    <row r="5329" ht="14.5" customHeight="1" spans="11:29" x14ac:dyDescent="0.25">
      <c r="K5329" s="128"/>
      <c r="X5329" s="234">
        <v>2022</v>
      </c>
      <c r="Y5329" s="234">
        <v>8</v>
      </c>
      <c r="Z5329" s="234">
        <v>10</v>
      </c>
      <c r="AA5329" s="235">
        <v>0.9583333333321207</v>
      </c>
      <c r="AB5329" s="236">
        <v>19.6</v>
      </c>
      <c r="AC5329" s="127">
        <f t="shared" si="98"/>
        <v>20</v>
      </c>
    </row>
    <row r="5330" ht="14.5" customHeight="1" spans="11:29" x14ac:dyDescent="0.25">
      <c r="K5330" s="128"/>
      <c r="X5330" s="234">
        <v>2022</v>
      </c>
      <c r="Y5330" s="234">
        <v>8</v>
      </c>
      <c r="Z5330" s="234">
        <v>11</v>
      </c>
      <c r="AA5330" s="235">
        <v>0</v>
      </c>
      <c r="AB5330" s="236">
        <v>19.3</v>
      </c>
      <c r="AC5330" s="127">
        <f t="shared" si="98"/>
        <v>19</v>
      </c>
    </row>
    <row r="5331" ht="14.5" customHeight="1" spans="11:29" x14ac:dyDescent="0.25">
      <c r="K5331" s="128"/>
      <c r="X5331" s="234">
        <v>2022</v>
      </c>
      <c r="Y5331" s="234">
        <v>8</v>
      </c>
      <c r="Z5331" s="234">
        <v>11</v>
      </c>
      <c r="AA5331" s="235">
        <v>0.041666666667879326</v>
      </c>
      <c r="AB5331" s="236">
        <v>17.1</v>
      </c>
      <c r="AC5331" s="127">
        <f t="shared" si="98"/>
        <v>17</v>
      </c>
    </row>
    <row r="5332" ht="14.5" customHeight="1" spans="11:29" x14ac:dyDescent="0.25">
      <c r="K5332" s="128"/>
      <c r="X5332" s="234">
        <v>2022</v>
      </c>
      <c r="Y5332" s="234">
        <v>8</v>
      </c>
      <c r="Z5332" s="234">
        <v>11</v>
      </c>
      <c r="AA5332" s="235">
        <v>0.08333333333212067</v>
      </c>
      <c r="AB5332" s="236">
        <v>16.6</v>
      </c>
      <c r="AC5332" s="127">
        <f t="shared" si="98"/>
        <v>17</v>
      </c>
    </row>
    <row r="5333" ht="14.5" customHeight="1" spans="11:29" x14ac:dyDescent="0.25">
      <c r="K5333" s="128"/>
      <c r="X5333" s="234">
        <v>2022</v>
      </c>
      <c r="Y5333" s="234">
        <v>8</v>
      </c>
      <c r="Z5333" s="234">
        <v>11</v>
      </c>
      <c r="AA5333" s="235">
        <v>0.125</v>
      </c>
      <c r="AB5333" s="236">
        <v>15.9</v>
      </c>
      <c r="AC5333" s="127">
        <f t="shared" si="98"/>
        <v>16</v>
      </c>
    </row>
    <row r="5334" ht="14.5" customHeight="1" spans="11:29" x14ac:dyDescent="0.25">
      <c r="K5334" s="128"/>
      <c r="X5334" s="234">
        <v>2022</v>
      </c>
      <c r="Y5334" s="234">
        <v>8</v>
      </c>
      <c r="Z5334" s="234">
        <v>11</v>
      </c>
      <c r="AA5334" s="235">
        <v>0.16666666666787933</v>
      </c>
      <c r="AB5334" s="236">
        <v>15.8</v>
      </c>
      <c r="AC5334" s="127">
        <f t="shared" si="98"/>
        <v>16</v>
      </c>
    </row>
    <row r="5335" ht="14.5" customHeight="1" spans="11:29" x14ac:dyDescent="0.25">
      <c r="K5335" s="128"/>
      <c r="X5335" s="234">
        <v>2022</v>
      </c>
      <c r="Y5335" s="234">
        <v>8</v>
      </c>
      <c r="Z5335" s="234">
        <v>11</v>
      </c>
      <c r="AA5335" s="235">
        <v>0.20833333333212067</v>
      </c>
      <c r="AB5335" s="236">
        <v>16.7</v>
      </c>
      <c r="AC5335" s="127">
        <f t="shared" si="98"/>
        <v>17</v>
      </c>
    </row>
    <row r="5336" ht="14.5" customHeight="1" spans="11:29" x14ac:dyDescent="0.25">
      <c r="K5336" s="128"/>
      <c r="X5336" s="234">
        <v>2022</v>
      </c>
      <c r="Y5336" s="234">
        <v>8</v>
      </c>
      <c r="Z5336" s="234">
        <v>11</v>
      </c>
      <c r="AA5336" s="235">
        <v>0.25</v>
      </c>
      <c r="AB5336" s="236">
        <v>18.8</v>
      </c>
      <c r="AC5336" s="127">
        <f t="shared" si="98"/>
        <v>19</v>
      </c>
    </row>
    <row r="5337" ht="14.5" customHeight="1" spans="11:29" x14ac:dyDescent="0.25">
      <c r="K5337" s="128"/>
      <c r="X5337" s="234">
        <v>2022</v>
      </c>
      <c r="Y5337" s="234">
        <v>8</v>
      </c>
      <c r="Z5337" s="234">
        <v>11</v>
      </c>
      <c r="AA5337" s="235">
        <v>0.2916666666678793</v>
      </c>
      <c r="AB5337" s="236">
        <v>21.8</v>
      </c>
      <c r="AC5337" s="127">
        <f t="shared" si="98"/>
        <v>22</v>
      </c>
    </row>
    <row r="5338" ht="14.5" customHeight="1" spans="11:29" x14ac:dyDescent="0.25">
      <c r="K5338" s="128"/>
      <c r="X5338" s="234">
        <v>2022</v>
      </c>
      <c r="Y5338" s="234">
        <v>8</v>
      </c>
      <c r="Z5338" s="234">
        <v>11</v>
      </c>
      <c r="AA5338" s="235">
        <v>0.3333333333321207</v>
      </c>
      <c r="AB5338" s="236">
        <v>25.7</v>
      </c>
      <c r="AC5338" s="127">
        <f t="shared" si="98"/>
        <v>26</v>
      </c>
    </row>
    <row r="5339" ht="14.5" customHeight="1" spans="11:29" x14ac:dyDescent="0.25">
      <c r="K5339" s="128"/>
      <c r="X5339" s="234">
        <v>2022</v>
      </c>
      <c r="Y5339" s="234">
        <v>8</v>
      </c>
      <c r="Z5339" s="234">
        <v>11</v>
      </c>
      <c r="AA5339" s="235">
        <v>0.375</v>
      </c>
      <c r="AB5339" s="236">
        <v>27.2</v>
      </c>
      <c r="AC5339" s="127">
        <f t="shared" si="98"/>
        <v>27</v>
      </c>
    </row>
    <row r="5340" ht="14.5" customHeight="1" spans="11:29" x14ac:dyDescent="0.25">
      <c r="K5340" s="128"/>
      <c r="X5340" s="234">
        <v>2022</v>
      </c>
      <c r="Y5340" s="234">
        <v>8</v>
      </c>
      <c r="Z5340" s="234">
        <v>11</v>
      </c>
      <c r="AA5340" s="235">
        <v>0.4166666666678793</v>
      </c>
      <c r="AB5340" s="236">
        <v>29</v>
      </c>
      <c r="AC5340" s="127">
        <f t="shared" si="98"/>
        <v>29</v>
      </c>
    </row>
    <row r="5341" ht="14.5" customHeight="1" spans="11:29" x14ac:dyDescent="0.25">
      <c r="K5341" s="128"/>
      <c r="X5341" s="234">
        <v>2022</v>
      </c>
      <c r="Y5341" s="234">
        <v>8</v>
      </c>
      <c r="Z5341" s="234">
        <v>11</v>
      </c>
      <c r="AA5341" s="235">
        <v>0.4583333333321207</v>
      </c>
      <c r="AB5341" s="236">
        <v>30.1</v>
      </c>
      <c r="AC5341" s="127">
        <f t="shared" si="98"/>
        <v>30</v>
      </c>
    </row>
    <row r="5342" ht="14.5" customHeight="1" spans="11:29" x14ac:dyDescent="0.25">
      <c r="K5342" s="128"/>
      <c r="X5342" s="234">
        <v>2022</v>
      </c>
      <c r="Y5342" s="234">
        <v>8</v>
      </c>
      <c r="Z5342" s="234">
        <v>11</v>
      </c>
      <c r="AA5342" s="235">
        <v>0.5</v>
      </c>
      <c r="AB5342" s="236">
        <v>30.5</v>
      </c>
      <c r="AC5342" s="127">
        <f t="shared" si="98"/>
        <v>31</v>
      </c>
    </row>
    <row r="5343" ht="14.5" customHeight="1" spans="11:29" x14ac:dyDescent="0.25">
      <c r="K5343" s="128"/>
      <c r="X5343" s="234">
        <v>2022</v>
      </c>
      <c r="Y5343" s="234">
        <v>8</v>
      </c>
      <c r="Z5343" s="234">
        <v>11</v>
      </c>
      <c r="AA5343" s="235">
        <v>0.5416666666678793</v>
      </c>
      <c r="AB5343" s="236">
        <v>29.5</v>
      </c>
      <c r="AC5343" s="127">
        <f t="shared" si="98"/>
        <v>30</v>
      </c>
    </row>
    <row r="5344" ht="14.5" customHeight="1" spans="11:29" x14ac:dyDescent="0.25">
      <c r="K5344" s="128"/>
      <c r="X5344" s="234">
        <v>2022</v>
      </c>
      <c r="Y5344" s="234">
        <v>8</v>
      </c>
      <c r="Z5344" s="234">
        <v>11</v>
      </c>
      <c r="AA5344" s="235">
        <v>0.5833333333321207</v>
      </c>
      <c r="AB5344" s="236">
        <v>29.6</v>
      </c>
      <c r="AC5344" s="127">
        <f t="shared" si="98"/>
        <v>30</v>
      </c>
    </row>
    <row r="5345" ht="14.5" customHeight="1" spans="11:29" x14ac:dyDescent="0.25">
      <c r="K5345" s="128"/>
      <c r="X5345" s="234">
        <v>2022</v>
      </c>
      <c r="Y5345" s="234">
        <v>8</v>
      </c>
      <c r="Z5345" s="234">
        <v>11</v>
      </c>
      <c r="AA5345" s="235">
        <v>0.625</v>
      </c>
      <c r="AB5345" s="236">
        <v>28.6</v>
      </c>
      <c r="AC5345" s="127">
        <f t="shared" si="98"/>
        <v>29</v>
      </c>
    </row>
    <row r="5346" ht="14.5" customHeight="1" spans="11:29" x14ac:dyDescent="0.25">
      <c r="K5346" s="128"/>
      <c r="X5346" s="234">
        <v>2022</v>
      </c>
      <c r="Y5346" s="234">
        <v>8</v>
      </c>
      <c r="Z5346" s="234">
        <v>11</v>
      </c>
      <c r="AA5346" s="235">
        <v>0.6666666666678793</v>
      </c>
      <c r="AB5346" s="236">
        <v>28.2</v>
      </c>
      <c r="AC5346" s="127">
        <f t="shared" si="98"/>
        <v>28</v>
      </c>
    </row>
    <row r="5347" ht="14.5" customHeight="1" spans="11:29" x14ac:dyDescent="0.25">
      <c r="K5347" s="128"/>
      <c r="X5347" s="234">
        <v>2022</v>
      </c>
      <c r="Y5347" s="234">
        <v>8</v>
      </c>
      <c r="Z5347" s="234">
        <v>11</v>
      </c>
      <c r="AA5347" s="235">
        <v>0.7083333333321207</v>
      </c>
      <c r="AB5347" s="236">
        <v>27</v>
      </c>
      <c r="AC5347" s="127">
        <f t="shared" si="98"/>
        <v>27</v>
      </c>
    </row>
    <row r="5348" ht="14.5" customHeight="1" spans="11:29" x14ac:dyDescent="0.25">
      <c r="K5348" s="128"/>
      <c r="X5348" s="234">
        <v>2022</v>
      </c>
      <c r="Y5348" s="234">
        <v>8</v>
      </c>
      <c r="Z5348" s="234">
        <v>11</v>
      </c>
      <c r="AA5348" s="235">
        <v>0.75</v>
      </c>
      <c r="AB5348" s="236">
        <v>26.2</v>
      </c>
      <c r="AC5348" s="127">
        <f t="shared" si="98"/>
        <v>26</v>
      </c>
    </row>
    <row r="5349" ht="14.5" customHeight="1" spans="11:29" x14ac:dyDescent="0.25">
      <c r="K5349" s="128"/>
      <c r="X5349" s="234">
        <v>2022</v>
      </c>
      <c r="Y5349" s="234">
        <v>8</v>
      </c>
      <c r="Z5349" s="234">
        <v>11</v>
      </c>
      <c r="AA5349" s="235">
        <v>0.7916666666678793</v>
      </c>
      <c r="AB5349" s="236">
        <v>24.7</v>
      </c>
      <c r="AC5349" s="127">
        <f t="shared" si="98"/>
        <v>25</v>
      </c>
    </row>
    <row r="5350" ht="14.5" customHeight="1" spans="11:29" x14ac:dyDescent="0.25">
      <c r="K5350" s="128"/>
      <c r="X5350" s="234">
        <v>2022</v>
      </c>
      <c r="Y5350" s="234">
        <v>8</v>
      </c>
      <c r="Z5350" s="234">
        <v>11</v>
      </c>
      <c r="AA5350" s="235">
        <v>0.8333333333321207</v>
      </c>
      <c r="AB5350" s="236">
        <v>21.3</v>
      </c>
      <c r="AC5350" s="127">
        <f t="shared" si="98"/>
        <v>21</v>
      </c>
    </row>
    <row r="5351" ht="14.5" customHeight="1" spans="11:29" x14ac:dyDescent="0.25">
      <c r="K5351" s="128"/>
      <c r="X5351" s="234">
        <v>2022</v>
      </c>
      <c r="Y5351" s="234">
        <v>8</v>
      </c>
      <c r="Z5351" s="234">
        <v>11</v>
      </c>
      <c r="AA5351" s="235">
        <v>0.875</v>
      </c>
      <c r="AB5351" s="236">
        <v>20.5</v>
      </c>
      <c r="AC5351" s="127">
        <f t="shared" si="98"/>
        <v>21</v>
      </c>
    </row>
    <row r="5352" ht="14.5" customHeight="1" spans="11:29" x14ac:dyDescent="0.25">
      <c r="K5352" s="128"/>
      <c r="X5352" s="234">
        <v>2022</v>
      </c>
      <c r="Y5352" s="234">
        <v>8</v>
      </c>
      <c r="Z5352" s="234">
        <v>11</v>
      </c>
      <c r="AA5352" s="235">
        <v>0.9166666666678793</v>
      </c>
      <c r="AB5352" s="236">
        <v>18.8</v>
      </c>
      <c r="AC5352" s="127">
        <f t="shared" si="98"/>
        <v>19</v>
      </c>
    </row>
    <row r="5353" ht="14.5" customHeight="1" spans="11:29" x14ac:dyDescent="0.25">
      <c r="K5353" s="128"/>
      <c r="X5353" s="234">
        <v>2022</v>
      </c>
      <c r="Y5353" s="234">
        <v>8</v>
      </c>
      <c r="Z5353" s="234">
        <v>11</v>
      </c>
      <c r="AA5353" s="235">
        <v>0.9583333333321207</v>
      </c>
      <c r="AB5353" s="236">
        <v>18.4</v>
      </c>
      <c r="AC5353" s="127">
        <f t="shared" si="98"/>
        <v>18</v>
      </c>
    </row>
    <row r="5354" ht="14.5" customHeight="1" spans="11:29" x14ac:dyDescent="0.25">
      <c r="K5354" s="128"/>
      <c r="X5354" s="234">
        <v>2022</v>
      </c>
      <c r="Y5354" s="234">
        <v>8</v>
      </c>
      <c r="Z5354" s="234">
        <v>12</v>
      </c>
      <c r="AA5354" s="235">
        <v>0</v>
      </c>
      <c r="AB5354" s="236">
        <v>15.5</v>
      </c>
      <c r="AC5354" s="127">
        <f t="shared" si="98"/>
        <v>16</v>
      </c>
    </row>
    <row r="5355" ht="14.5" customHeight="1" spans="11:29" x14ac:dyDescent="0.25">
      <c r="K5355" s="128"/>
      <c r="X5355" s="234">
        <v>2022</v>
      </c>
      <c r="Y5355" s="234">
        <v>8</v>
      </c>
      <c r="Z5355" s="234">
        <v>12</v>
      </c>
      <c r="AA5355" s="235">
        <v>0.041666666667879326</v>
      </c>
      <c r="AB5355" s="236">
        <v>14.7</v>
      </c>
      <c r="AC5355" s="127">
        <f t="shared" si="98"/>
        <v>15</v>
      </c>
    </row>
    <row r="5356" ht="14.5" customHeight="1" spans="11:29" x14ac:dyDescent="0.25">
      <c r="K5356" s="128"/>
      <c r="X5356" s="234">
        <v>2022</v>
      </c>
      <c r="Y5356" s="234">
        <v>8</v>
      </c>
      <c r="Z5356" s="234">
        <v>12</v>
      </c>
      <c r="AA5356" s="235">
        <v>0.08333333333212067</v>
      </c>
      <c r="AB5356" s="236">
        <v>14.2</v>
      </c>
      <c r="AC5356" s="127">
        <f t="shared" si="98"/>
        <v>14</v>
      </c>
    </row>
    <row r="5357" ht="14.5" customHeight="1" spans="11:29" x14ac:dyDescent="0.25">
      <c r="K5357" s="128"/>
      <c r="X5357" s="234">
        <v>2022</v>
      </c>
      <c r="Y5357" s="234">
        <v>8</v>
      </c>
      <c r="Z5357" s="234">
        <v>12</v>
      </c>
      <c r="AA5357" s="235">
        <v>0.125</v>
      </c>
      <c r="AB5357" s="236">
        <v>15.4</v>
      </c>
      <c r="AC5357" s="127">
        <f t="shared" si="98"/>
        <v>15</v>
      </c>
    </row>
    <row r="5358" ht="14.5" customHeight="1" spans="11:29" x14ac:dyDescent="0.25">
      <c r="K5358" s="128"/>
      <c r="X5358" s="234">
        <v>2022</v>
      </c>
      <c r="Y5358" s="234">
        <v>8</v>
      </c>
      <c r="Z5358" s="234">
        <v>12</v>
      </c>
      <c r="AA5358" s="235">
        <v>0.16666666666787933</v>
      </c>
      <c r="AB5358" s="236">
        <v>14.6</v>
      </c>
      <c r="AC5358" s="127">
        <f t="shared" si="98"/>
        <v>15</v>
      </c>
    </row>
    <row r="5359" ht="14.5" customHeight="1" spans="11:29" x14ac:dyDescent="0.25">
      <c r="K5359" s="128"/>
      <c r="X5359" s="234">
        <v>2022</v>
      </c>
      <c r="Y5359" s="234">
        <v>8</v>
      </c>
      <c r="Z5359" s="234">
        <v>12</v>
      </c>
      <c r="AA5359" s="235">
        <v>0.20833333333212067</v>
      </c>
      <c r="AB5359" s="236">
        <v>14.6</v>
      </c>
      <c r="AC5359" s="127">
        <f t="shared" si="98"/>
        <v>15</v>
      </c>
    </row>
    <row r="5360" ht="14.5" customHeight="1" spans="11:29" x14ac:dyDescent="0.25">
      <c r="K5360" s="128"/>
      <c r="X5360" s="234">
        <v>2022</v>
      </c>
      <c r="Y5360" s="234">
        <v>8</v>
      </c>
      <c r="Z5360" s="234">
        <v>12</v>
      </c>
      <c r="AA5360" s="235">
        <v>0.25</v>
      </c>
      <c r="AB5360" s="236">
        <v>14.8</v>
      </c>
      <c r="AC5360" s="127">
        <f t="shared" si="98"/>
        <v>15</v>
      </c>
    </row>
    <row r="5361" ht="14.5" customHeight="1" spans="11:29" x14ac:dyDescent="0.25">
      <c r="K5361" s="128"/>
      <c r="X5361" s="234">
        <v>2022</v>
      </c>
      <c r="Y5361" s="234">
        <v>8</v>
      </c>
      <c r="Z5361" s="234">
        <v>12</v>
      </c>
      <c r="AA5361" s="235">
        <v>0.2916666666678793</v>
      </c>
      <c r="AB5361" s="236">
        <v>18.1</v>
      </c>
      <c r="AC5361" s="127">
        <f t="shared" si="98"/>
        <v>18</v>
      </c>
    </row>
    <row r="5362" ht="14.5" customHeight="1" spans="11:29" x14ac:dyDescent="0.25">
      <c r="K5362" s="128"/>
      <c r="X5362" s="234">
        <v>2022</v>
      </c>
      <c r="Y5362" s="234">
        <v>8</v>
      </c>
      <c r="Z5362" s="234">
        <v>12</v>
      </c>
      <c r="AA5362" s="235">
        <v>0.3333333333321207</v>
      </c>
      <c r="AB5362" s="236">
        <v>21</v>
      </c>
      <c r="AC5362" s="127">
        <f t="shared" si="98"/>
        <v>21</v>
      </c>
    </row>
    <row r="5363" ht="14.5" customHeight="1" spans="11:29" x14ac:dyDescent="0.25">
      <c r="K5363" s="128"/>
      <c r="X5363" s="234">
        <v>2022</v>
      </c>
      <c r="Y5363" s="234">
        <v>8</v>
      </c>
      <c r="Z5363" s="234">
        <v>12</v>
      </c>
      <c r="AA5363" s="235">
        <v>0.375</v>
      </c>
      <c r="AB5363" s="236">
        <v>23.7</v>
      </c>
      <c r="AC5363" s="127">
        <f t="shared" si="98"/>
        <v>24</v>
      </c>
    </row>
    <row r="5364" ht="14.5" customHeight="1" spans="11:29" x14ac:dyDescent="0.25">
      <c r="K5364" s="128"/>
      <c r="X5364" s="234">
        <v>2022</v>
      </c>
      <c r="Y5364" s="234">
        <v>8</v>
      </c>
      <c r="Z5364" s="234">
        <v>12</v>
      </c>
      <c r="AA5364" s="235">
        <v>0.4166666666678793</v>
      </c>
      <c r="AB5364" s="236">
        <v>25.5</v>
      </c>
      <c r="AC5364" s="127">
        <f t="shared" si="98"/>
        <v>26</v>
      </c>
    </row>
    <row r="5365" ht="14.5" customHeight="1" spans="11:29" x14ac:dyDescent="0.25">
      <c r="K5365" s="128"/>
      <c r="X5365" s="234">
        <v>2022</v>
      </c>
      <c r="Y5365" s="234">
        <v>8</v>
      </c>
      <c r="Z5365" s="234">
        <v>12</v>
      </c>
      <c r="AA5365" s="235">
        <v>0.4583333333321207</v>
      </c>
      <c r="AB5365" s="236">
        <v>26.4</v>
      </c>
      <c r="AC5365" s="127">
        <f t="shared" si="98"/>
        <v>26</v>
      </c>
    </row>
    <row r="5366" ht="14.5" customHeight="1" spans="11:29" x14ac:dyDescent="0.25">
      <c r="K5366" s="128"/>
      <c r="X5366" s="234">
        <v>2022</v>
      </c>
      <c r="Y5366" s="234">
        <v>8</v>
      </c>
      <c r="Z5366" s="234">
        <v>12</v>
      </c>
      <c r="AA5366" s="235">
        <v>0.5</v>
      </c>
      <c r="AB5366" s="236">
        <v>27.3</v>
      </c>
      <c r="AC5366" s="127">
        <f t="shared" si="98"/>
        <v>27</v>
      </c>
    </row>
    <row r="5367" ht="14.5" customHeight="1" spans="11:29" x14ac:dyDescent="0.25">
      <c r="K5367" s="128"/>
      <c r="X5367" s="234">
        <v>2022</v>
      </c>
      <c r="Y5367" s="234">
        <v>8</v>
      </c>
      <c r="Z5367" s="234">
        <v>12</v>
      </c>
      <c r="AA5367" s="235">
        <v>0.5416666666678793</v>
      </c>
      <c r="AB5367" s="236">
        <v>28.8</v>
      </c>
      <c r="AC5367" s="127">
        <f t="shared" si="98"/>
        <v>29</v>
      </c>
    </row>
    <row r="5368" ht="14.5" customHeight="1" spans="11:29" x14ac:dyDescent="0.25">
      <c r="K5368" s="128"/>
      <c r="X5368" s="234">
        <v>2022</v>
      </c>
      <c r="Y5368" s="234">
        <v>8</v>
      </c>
      <c r="Z5368" s="234">
        <v>12</v>
      </c>
      <c r="AA5368" s="235">
        <v>0.5833333333321207</v>
      </c>
      <c r="AB5368" s="236">
        <v>29.7</v>
      </c>
      <c r="AC5368" s="127">
        <f t="shared" si="98"/>
        <v>30</v>
      </c>
    </row>
    <row r="5369" ht="14.5" customHeight="1" spans="11:29" x14ac:dyDescent="0.25">
      <c r="K5369" s="128"/>
      <c r="X5369" s="234">
        <v>2022</v>
      </c>
      <c r="Y5369" s="234">
        <v>8</v>
      </c>
      <c r="Z5369" s="234">
        <v>12</v>
      </c>
      <c r="AA5369" s="235">
        <v>0.625</v>
      </c>
      <c r="AB5369" s="236">
        <v>30.4</v>
      </c>
      <c r="AC5369" s="127">
        <f t="shared" si="98"/>
        <v>30</v>
      </c>
    </row>
    <row r="5370" ht="14.5" customHeight="1" spans="11:29" x14ac:dyDescent="0.25">
      <c r="K5370" s="128"/>
      <c r="X5370" s="234">
        <v>2022</v>
      </c>
      <c r="Y5370" s="234">
        <v>8</v>
      </c>
      <c r="Z5370" s="234">
        <v>12</v>
      </c>
      <c r="AA5370" s="235">
        <v>0.6666666666678793</v>
      </c>
      <c r="AB5370" s="236">
        <v>31</v>
      </c>
      <c r="AC5370" s="127">
        <f t="shared" si="98"/>
        <v>31</v>
      </c>
    </row>
    <row r="5371" ht="14.5" customHeight="1" spans="11:29" x14ac:dyDescent="0.25">
      <c r="K5371" s="128"/>
      <c r="X5371" s="234">
        <v>2022</v>
      </c>
      <c r="Y5371" s="234">
        <v>8</v>
      </c>
      <c r="Z5371" s="234">
        <v>12</v>
      </c>
      <c r="AA5371" s="235">
        <v>0.7083333333321207</v>
      </c>
      <c r="AB5371" s="236">
        <v>30.5</v>
      </c>
      <c r="AC5371" s="127">
        <f t="shared" si="98"/>
        <v>31</v>
      </c>
    </row>
    <row r="5372" ht="14.5" customHeight="1" spans="11:29" x14ac:dyDescent="0.25">
      <c r="K5372" s="128"/>
      <c r="X5372" s="234">
        <v>2022</v>
      </c>
      <c r="Y5372" s="234">
        <v>8</v>
      </c>
      <c r="Z5372" s="234">
        <v>12</v>
      </c>
      <c r="AA5372" s="235">
        <v>0.75</v>
      </c>
      <c r="AB5372" s="236">
        <v>29.1</v>
      </c>
      <c r="AC5372" s="127">
        <f t="shared" si="98"/>
        <v>29</v>
      </c>
    </row>
    <row r="5373" ht="14.5" customHeight="1" spans="11:29" x14ac:dyDescent="0.25">
      <c r="K5373" s="128"/>
      <c r="X5373" s="234">
        <v>2022</v>
      </c>
      <c r="Y5373" s="234">
        <v>8</v>
      </c>
      <c r="Z5373" s="234">
        <v>12</v>
      </c>
      <c r="AA5373" s="235">
        <v>0.7916666666678793</v>
      </c>
      <c r="AB5373" s="236">
        <v>26.6</v>
      </c>
      <c r="AC5373" s="127">
        <f t="shared" si="98"/>
        <v>27</v>
      </c>
    </row>
    <row r="5374" ht="14.5" customHeight="1" spans="11:29" x14ac:dyDescent="0.25">
      <c r="K5374" s="128"/>
      <c r="X5374" s="234">
        <v>2022</v>
      </c>
      <c r="Y5374" s="234">
        <v>8</v>
      </c>
      <c r="Z5374" s="234">
        <v>12</v>
      </c>
      <c r="AA5374" s="235">
        <v>0.8333333333321207</v>
      </c>
      <c r="AB5374" s="236">
        <v>25.6</v>
      </c>
      <c r="AC5374" s="127">
        <f t="shared" si="98"/>
        <v>26</v>
      </c>
    </row>
    <row r="5375" ht="14.5" customHeight="1" spans="11:29" x14ac:dyDescent="0.25">
      <c r="K5375" s="128"/>
      <c r="X5375" s="234">
        <v>2022</v>
      </c>
      <c r="Y5375" s="234">
        <v>8</v>
      </c>
      <c r="Z5375" s="234">
        <v>12</v>
      </c>
      <c r="AA5375" s="235">
        <v>0.875</v>
      </c>
      <c r="AB5375" s="236">
        <v>19</v>
      </c>
      <c r="AC5375" s="127">
        <f t="shared" si="98"/>
        <v>19</v>
      </c>
    </row>
    <row r="5376" ht="14.5" customHeight="1" spans="11:29" x14ac:dyDescent="0.25">
      <c r="K5376" s="128"/>
      <c r="X5376" s="234">
        <v>2022</v>
      </c>
      <c r="Y5376" s="234">
        <v>8</v>
      </c>
      <c r="Z5376" s="234">
        <v>12</v>
      </c>
      <c r="AA5376" s="235">
        <v>0.9166666666678793</v>
      </c>
      <c r="AB5376" s="236">
        <v>20.2</v>
      </c>
      <c r="AC5376" s="127">
        <f t="shared" si="98"/>
        <v>20</v>
      </c>
    </row>
    <row r="5377" ht="14.5" customHeight="1" spans="11:29" x14ac:dyDescent="0.25">
      <c r="K5377" s="128"/>
      <c r="X5377" s="234">
        <v>2022</v>
      </c>
      <c r="Y5377" s="234">
        <v>8</v>
      </c>
      <c r="Z5377" s="234">
        <v>12</v>
      </c>
      <c r="AA5377" s="235">
        <v>0.9583333333321207</v>
      </c>
      <c r="AB5377" s="236">
        <v>19</v>
      </c>
      <c r="AC5377" s="127">
        <f t="shared" si="98"/>
        <v>19</v>
      </c>
    </row>
    <row r="5378" ht="14.5" customHeight="1" spans="11:29" x14ac:dyDescent="0.25">
      <c r="K5378" s="128"/>
      <c r="X5378" s="234">
        <v>2022</v>
      </c>
      <c r="Y5378" s="234">
        <v>8</v>
      </c>
      <c r="Z5378" s="234">
        <v>13</v>
      </c>
      <c r="AA5378" s="235">
        <v>0</v>
      </c>
      <c r="AB5378" s="236">
        <v>19.2</v>
      </c>
      <c r="AC5378" s="127">
        <f t="shared" si="98"/>
        <v>19</v>
      </c>
    </row>
    <row r="5379" ht="14.5" customHeight="1" spans="11:29" x14ac:dyDescent="0.25">
      <c r="K5379" s="128"/>
      <c r="X5379" s="234">
        <v>2022</v>
      </c>
      <c r="Y5379" s="234">
        <v>8</v>
      </c>
      <c r="Z5379" s="234">
        <v>13</v>
      </c>
      <c r="AA5379" s="235">
        <v>0.041666666667879326</v>
      </c>
      <c r="AB5379" s="236">
        <v>15.6</v>
      </c>
      <c r="AC5379" s="127">
        <f t="shared" si="98"/>
        <v>16</v>
      </c>
    </row>
    <row r="5380" ht="14.5" customHeight="1" spans="11:29" x14ac:dyDescent="0.25">
      <c r="K5380" s="128"/>
      <c r="X5380" s="234">
        <v>2022</v>
      </c>
      <c r="Y5380" s="234">
        <v>8</v>
      </c>
      <c r="Z5380" s="234">
        <v>13</v>
      </c>
      <c r="AA5380" s="235">
        <v>0.08333333333212067</v>
      </c>
      <c r="AB5380" s="236">
        <v>13.6</v>
      </c>
      <c r="AC5380" s="127">
        <f t="shared" si="98"/>
        <v>14</v>
      </c>
    </row>
    <row r="5381" ht="14.5" customHeight="1" spans="11:29" x14ac:dyDescent="0.25">
      <c r="K5381" s="128"/>
      <c r="X5381" s="234">
        <v>2022</v>
      </c>
      <c r="Y5381" s="234">
        <v>8</v>
      </c>
      <c r="Z5381" s="234">
        <v>13</v>
      </c>
      <c r="AA5381" s="235">
        <v>0.125</v>
      </c>
      <c r="AB5381" s="236">
        <v>14.6</v>
      </c>
      <c r="AC5381" s="127">
        <f t="shared" si="98"/>
        <v>15</v>
      </c>
    </row>
    <row r="5382" ht="14.5" customHeight="1" spans="11:29" x14ac:dyDescent="0.25">
      <c r="K5382" s="128"/>
      <c r="X5382" s="234">
        <v>2022</v>
      </c>
      <c r="Y5382" s="234">
        <v>8</v>
      </c>
      <c r="Z5382" s="234">
        <v>13</v>
      </c>
      <c r="AA5382" s="235">
        <v>0.16666666666787933</v>
      </c>
      <c r="AB5382" s="236">
        <v>14.8</v>
      </c>
      <c r="AC5382" s="127">
        <f t="shared" si="98"/>
        <v>15</v>
      </c>
    </row>
    <row r="5383" ht="14.5" customHeight="1" spans="11:29" x14ac:dyDescent="0.25">
      <c r="K5383" s="128"/>
      <c r="X5383" s="234">
        <v>2022</v>
      </c>
      <c r="Y5383" s="234">
        <v>8</v>
      </c>
      <c r="Z5383" s="234">
        <v>13</v>
      </c>
      <c r="AA5383" s="235">
        <v>0.20833333333212067</v>
      </c>
      <c r="AB5383" s="236">
        <v>13.5</v>
      </c>
      <c r="AC5383" s="127">
        <f t="shared" si="98"/>
        <v>14</v>
      </c>
    </row>
    <row r="5384" ht="14.5" customHeight="1" spans="11:29" x14ac:dyDescent="0.25">
      <c r="K5384" s="128"/>
      <c r="X5384" s="234">
        <v>2022</v>
      </c>
      <c r="Y5384" s="234">
        <v>8</v>
      </c>
      <c r="Z5384" s="234">
        <v>13</v>
      </c>
      <c r="AA5384" s="235">
        <v>0.25</v>
      </c>
      <c r="AB5384" s="236">
        <v>13.3</v>
      </c>
      <c r="AC5384" s="127">
        <f t="shared" si="98"/>
        <v>13</v>
      </c>
    </row>
    <row r="5385" ht="14.5" customHeight="1" spans="11:29" x14ac:dyDescent="0.25">
      <c r="K5385" s="128"/>
      <c r="X5385" s="234">
        <v>2022</v>
      </c>
      <c r="Y5385" s="234">
        <v>8</v>
      </c>
      <c r="Z5385" s="234">
        <v>13</v>
      </c>
      <c r="AA5385" s="235">
        <v>0.2916666666678793</v>
      </c>
      <c r="AB5385" s="236">
        <v>16.8</v>
      </c>
      <c r="AC5385" s="127">
        <f t="shared" si="98"/>
        <v>17</v>
      </c>
    </row>
    <row r="5386" ht="14.5" customHeight="1" spans="11:29" x14ac:dyDescent="0.25">
      <c r="K5386" s="128"/>
      <c r="X5386" s="234">
        <v>2022</v>
      </c>
      <c r="Y5386" s="234">
        <v>8</v>
      </c>
      <c r="Z5386" s="234">
        <v>13</v>
      </c>
      <c r="AA5386" s="235">
        <v>0.3333333333321207</v>
      </c>
      <c r="AB5386" s="236">
        <v>20</v>
      </c>
      <c r="AC5386" s="127">
        <f t="shared" si="98"/>
        <v>20</v>
      </c>
    </row>
    <row r="5387" ht="14.5" customHeight="1" spans="11:29" x14ac:dyDescent="0.25">
      <c r="K5387" s="128"/>
      <c r="X5387" s="234">
        <v>2022</v>
      </c>
      <c r="Y5387" s="234">
        <v>8</v>
      </c>
      <c r="Z5387" s="234">
        <v>13</v>
      </c>
      <c r="AA5387" s="235">
        <v>0.375</v>
      </c>
      <c r="AB5387" s="236">
        <v>23</v>
      </c>
      <c r="AC5387" s="127">
        <f t="shared" ref="AC5387:AC5450" si="99">ROUND(AB5387,0)</f>
        <v>23</v>
      </c>
    </row>
    <row r="5388" ht="14.5" customHeight="1" spans="11:29" x14ac:dyDescent="0.25">
      <c r="K5388" s="128"/>
      <c r="X5388" s="234">
        <v>2022</v>
      </c>
      <c r="Y5388" s="234">
        <v>8</v>
      </c>
      <c r="Z5388" s="234">
        <v>13</v>
      </c>
      <c r="AA5388" s="235">
        <v>0.4166666666678793</v>
      </c>
      <c r="AB5388" s="236">
        <v>25.8</v>
      </c>
      <c r="AC5388" s="127">
        <f t="shared" si="99"/>
        <v>26</v>
      </c>
    </row>
    <row r="5389" ht="14.5" customHeight="1" spans="11:29" x14ac:dyDescent="0.25">
      <c r="K5389" s="128"/>
      <c r="X5389" s="234">
        <v>2022</v>
      </c>
      <c r="Y5389" s="234">
        <v>8</v>
      </c>
      <c r="Z5389" s="234">
        <v>13</v>
      </c>
      <c r="AA5389" s="235">
        <v>0.4583333333321207</v>
      </c>
      <c r="AB5389" s="236">
        <v>28.5</v>
      </c>
      <c r="AC5389" s="127">
        <f t="shared" si="99"/>
        <v>29</v>
      </c>
    </row>
    <row r="5390" ht="14.5" customHeight="1" spans="11:29" x14ac:dyDescent="0.25">
      <c r="K5390" s="128"/>
      <c r="X5390" s="234">
        <v>2022</v>
      </c>
      <c r="Y5390" s="234">
        <v>8</v>
      </c>
      <c r="Z5390" s="234">
        <v>13</v>
      </c>
      <c r="AA5390" s="235">
        <v>0.5</v>
      </c>
      <c r="AB5390" s="236">
        <v>28.9</v>
      </c>
      <c r="AC5390" s="127">
        <f t="shared" si="99"/>
        <v>29</v>
      </c>
    </row>
    <row r="5391" ht="14.5" customHeight="1" spans="11:29" x14ac:dyDescent="0.25">
      <c r="K5391" s="128"/>
      <c r="X5391" s="234">
        <v>2022</v>
      </c>
      <c r="Y5391" s="234">
        <v>8</v>
      </c>
      <c r="Z5391" s="234">
        <v>13</v>
      </c>
      <c r="AA5391" s="235">
        <v>0.5416666666678793</v>
      </c>
      <c r="AB5391" s="236">
        <v>29.8</v>
      </c>
      <c r="AC5391" s="127">
        <f t="shared" si="99"/>
        <v>30</v>
      </c>
    </row>
    <row r="5392" ht="14.5" customHeight="1" spans="11:29" x14ac:dyDescent="0.25">
      <c r="K5392" s="128"/>
      <c r="X5392" s="234">
        <v>2022</v>
      </c>
      <c r="Y5392" s="234">
        <v>8</v>
      </c>
      <c r="Z5392" s="234">
        <v>13</v>
      </c>
      <c r="AA5392" s="235">
        <v>0.5833333333321207</v>
      </c>
      <c r="AB5392" s="236">
        <v>28.9</v>
      </c>
      <c r="AC5392" s="127">
        <f t="shared" si="99"/>
        <v>29</v>
      </c>
    </row>
    <row r="5393" ht="14.5" customHeight="1" spans="11:29" x14ac:dyDescent="0.25">
      <c r="K5393" s="128"/>
      <c r="X5393" s="234">
        <v>2022</v>
      </c>
      <c r="Y5393" s="234">
        <v>8</v>
      </c>
      <c r="Z5393" s="234">
        <v>13</v>
      </c>
      <c r="AA5393" s="235">
        <v>0.625</v>
      </c>
      <c r="AB5393" s="236">
        <v>28.4</v>
      </c>
      <c r="AC5393" s="127">
        <f t="shared" si="99"/>
        <v>28</v>
      </c>
    </row>
    <row r="5394" ht="14.5" customHeight="1" spans="11:29" x14ac:dyDescent="0.25">
      <c r="K5394" s="128"/>
      <c r="X5394" s="234">
        <v>2022</v>
      </c>
      <c r="Y5394" s="234">
        <v>8</v>
      </c>
      <c r="Z5394" s="234">
        <v>13</v>
      </c>
      <c r="AA5394" s="235">
        <v>0.6666666666678793</v>
      </c>
      <c r="AB5394" s="236">
        <v>29.2</v>
      </c>
      <c r="AC5394" s="127">
        <f t="shared" si="99"/>
        <v>29</v>
      </c>
    </row>
    <row r="5395" ht="14.5" customHeight="1" spans="11:29" x14ac:dyDescent="0.25">
      <c r="K5395" s="128"/>
      <c r="X5395" s="234">
        <v>2022</v>
      </c>
      <c r="Y5395" s="234">
        <v>8</v>
      </c>
      <c r="Z5395" s="234">
        <v>13</v>
      </c>
      <c r="AA5395" s="235">
        <v>0.7083333333321207</v>
      </c>
      <c r="AB5395" s="236">
        <v>28.9</v>
      </c>
      <c r="AC5395" s="127">
        <f t="shared" si="99"/>
        <v>29</v>
      </c>
    </row>
    <row r="5396" ht="14.5" customHeight="1" spans="11:29" x14ac:dyDescent="0.25">
      <c r="K5396" s="128"/>
      <c r="X5396" s="234">
        <v>2022</v>
      </c>
      <c r="Y5396" s="234">
        <v>8</v>
      </c>
      <c r="Z5396" s="234">
        <v>13</v>
      </c>
      <c r="AA5396" s="235">
        <v>0.75</v>
      </c>
      <c r="AB5396" s="236">
        <v>28.1</v>
      </c>
      <c r="AC5396" s="127">
        <f t="shared" si="99"/>
        <v>28</v>
      </c>
    </row>
    <row r="5397" ht="14.5" customHeight="1" spans="11:29" x14ac:dyDescent="0.25">
      <c r="K5397" s="128"/>
      <c r="X5397" s="234">
        <v>2022</v>
      </c>
      <c r="Y5397" s="234">
        <v>8</v>
      </c>
      <c r="Z5397" s="234">
        <v>13</v>
      </c>
      <c r="AA5397" s="235">
        <v>0.7916666666678793</v>
      </c>
      <c r="AB5397" s="236">
        <v>25.7</v>
      </c>
      <c r="AC5397" s="127">
        <f t="shared" si="99"/>
        <v>26</v>
      </c>
    </row>
    <row r="5398" ht="14.5" customHeight="1" spans="11:29" x14ac:dyDescent="0.25">
      <c r="K5398" s="128"/>
      <c r="X5398" s="234">
        <v>2022</v>
      </c>
      <c r="Y5398" s="234">
        <v>8</v>
      </c>
      <c r="Z5398" s="234">
        <v>13</v>
      </c>
      <c r="AA5398" s="235">
        <v>0.8333333333321207</v>
      </c>
      <c r="AB5398" s="236">
        <v>22.7</v>
      </c>
      <c r="AC5398" s="127">
        <f t="shared" si="99"/>
        <v>23</v>
      </c>
    </row>
    <row r="5399" ht="14.5" customHeight="1" spans="11:29" x14ac:dyDescent="0.25">
      <c r="K5399" s="128"/>
      <c r="X5399" s="234">
        <v>2022</v>
      </c>
      <c r="Y5399" s="234">
        <v>8</v>
      </c>
      <c r="Z5399" s="234">
        <v>13</v>
      </c>
      <c r="AA5399" s="235">
        <v>0.875</v>
      </c>
      <c r="AB5399" s="236">
        <v>19.8</v>
      </c>
      <c r="AC5399" s="127">
        <f t="shared" si="99"/>
        <v>20</v>
      </c>
    </row>
    <row r="5400" ht="14.5" customHeight="1" spans="11:29" x14ac:dyDescent="0.25">
      <c r="K5400" s="128"/>
      <c r="X5400" s="234">
        <v>2022</v>
      </c>
      <c r="Y5400" s="234">
        <v>8</v>
      </c>
      <c r="Z5400" s="234">
        <v>13</v>
      </c>
      <c r="AA5400" s="235">
        <v>0.9166666666678793</v>
      </c>
      <c r="AB5400" s="236">
        <v>16.9</v>
      </c>
      <c r="AC5400" s="127">
        <f t="shared" si="99"/>
        <v>17</v>
      </c>
    </row>
    <row r="5401" ht="14.5" customHeight="1" spans="11:29" x14ac:dyDescent="0.25">
      <c r="K5401" s="128"/>
      <c r="X5401" s="234">
        <v>2022</v>
      </c>
      <c r="Y5401" s="234">
        <v>8</v>
      </c>
      <c r="Z5401" s="234">
        <v>13</v>
      </c>
      <c r="AA5401" s="235">
        <v>0.9583333333321207</v>
      </c>
      <c r="AB5401" s="236">
        <v>16.5</v>
      </c>
      <c r="AC5401" s="127">
        <f t="shared" si="99"/>
        <v>17</v>
      </c>
    </row>
    <row r="5402" ht="14.5" customHeight="1" spans="11:29" x14ac:dyDescent="0.25">
      <c r="K5402" s="128"/>
      <c r="X5402" s="234">
        <v>2022</v>
      </c>
      <c r="Y5402" s="234">
        <v>8</v>
      </c>
      <c r="Z5402" s="234">
        <v>14</v>
      </c>
      <c r="AA5402" s="235">
        <v>0</v>
      </c>
      <c r="AB5402" s="236">
        <v>16.3</v>
      </c>
      <c r="AC5402" s="127">
        <f t="shared" si="99"/>
        <v>16</v>
      </c>
    </row>
    <row r="5403" ht="14.5" customHeight="1" spans="11:29" x14ac:dyDescent="0.25">
      <c r="K5403" s="128"/>
      <c r="X5403" s="234">
        <v>2022</v>
      </c>
      <c r="Y5403" s="234">
        <v>8</v>
      </c>
      <c r="Z5403" s="234">
        <v>14</v>
      </c>
      <c r="AA5403" s="235">
        <v>0.041666666667879326</v>
      </c>
      <c r="AB5403" s="236">
        <v>14.9</v>
      </c>
      <c r="AC5403" s="127">
        <f t="shared" si="99"/>
        <v>15</v>
      </c>
    </row>
    <row r="5404" ht="14.5" customHeight="1" spans="11:29" x14ac:dyDescent="0.25">
      <c r="K5404" s="128"/>
      <c r="X5404" s="234">
        <v>2022</v>
      </c>
      <c r="Y5404" s="234">
        <v>8</v>
      </c>
      <c r="Z5404" s="234">
        <v>14</v>
      </c>
      <c r="AA5404" s="235">
        <v>0.08333333333212067</v>
      </c>
      <c r="AB5404" s="236">
        <v>15.6</v>
      </c>
      <c r="AC5404" s="127">
        <f t="shared" si="99"/>
        <v>16</v>
      </c>
    </row>
    <row r="5405" ht="14.5" customHeight="1" spans="11:29" x14ac:dyDescent="0.25">
      <c r="K5405" s="128"/>
      <c r="X5405" s="234">
        <v>2022</v>
      </c>
      <c r="Y5405" s="234">
        <v>8</v>
      </c>
      <c r="Z5405" s="234">
        <v>14</v>
      </c>
      <c r="AA5405" s="235">
        <v>0.125</v>
      </c>
      <c r="AB5405" s="236">
        <v>13.5</v>
      </c>
      <c r="AC5405" s="127">
        <f t="shared" si="99"/>
        <v>14</v>
      </c>
    </row>
    <row r="5406" ht="14.5" customHeight="1" spans="11:29" x14ac:dyDescent="0.25">
      <c r="K5406" s="128"/>
      <c r="X5406" s="234">
        <v>2022</v>
      </c>
      <c r="Y5406" s="234">
        <v>8</v>
      </c>
      <c r="Z5406" s="234">
        <v>14</v>
      </c>
      <c r="AA5406" s="235">
        <v>0.16666666666787933</v>
      </c>
      <c r="AB5406" s="236">
        <v>12.4</v>
      </c>
      <c r="AC5406" s="127">
        <f t="shared" si="99"/>
        <v>12</v>
      </c>
    </row>
    <row r="5407" ht="14.5" customHeight="1" spans="11:29" x14ac:dyDescent="0.25">
      <c r="K5407" s="128"/>
      <c r="X5407" s="234">
        <v>2022</v>
      </c>
      <c r="Y5407" s="234">
        <v>8</v>
      </c>
      <c r="Z5407" s="234">
        <v>14</v>
      </c>
      <c r="AA5407" s="235">
        <v>0.20833333333212067</v>
      </c>
      <c r="AB5407" s="236">
        <v>11.3</v>
      </c>
      <c r="AC5407" s="127">
        <f t="shared" si="99"/>
        <v>11</v>
      </c>
    </row>
    <row r="5408" ht="14.5" customHeight="1" spans="11:29" x14ac:dyDescent="0.25">
      <c r="K5408" s="128"/>
      <c r="X5408" s="234">
        <v>2022</v>
      </c>
      <c r="Y5408" s="234">
        <v>8</v>
      </c>
      <c r="Z5408" s="234">
        <v>14</v>
      </c>
      <c r="AA5408" s="235">
        <v>0.25</v>
      </c>
      <c r="AB5408" s="236">
        <v>12.5</v>
      </c>
      <c r="AC5408" s="127">
        <f t="shared" si="99"/>
        <v>13</v>
      </c>
    </row>
    <row r="5409" ht="14.5" customHeight="1" spans="11:29" x14ac:dyDescent="0.25">
      <c r="K5409" s="128"/>
      <c r="X5409" s="234">
        <v>2022</v>
      </c>
      <c r="Y5409" s="234">
        <v>8</v>
      </c>
      <c r="Z5409" s="234">
        <v>14</v>
      </c>
      <c r="AA5409" s="235">
        <v>0.2916666666678793</v>
      </c>
      <c r="AB5409" s="236">
        <v>15.3</v>
      </c>
      <c r="AC5409" s="127">
        <f t="shared" si="99"/>
        <v>15</v>
      </c>
    </row>
    <row r="5410" ht="14.5" customHeight="1" spans="11:29" x14ac:dyDescent="0.25">
      <c r="K5410" s="128"/>
      <c r="X5410" s="234">
        <v>2022</v>
      </c>
      <c r="Y5410" s="234">
        <v>8</v>
      </c>
      <c r="Z5410" s="234">
        <v>14</v>
      </c>
      <c r="AA5410" s="235">
        <v>0.3333333333321207</v>
      </c>
      <c r="AB5410" s="236">
        <v>17.6</v>
      </c>
      <c r="AC5410" s="127">
        <f t="shared" si="99"/>
        <v>18</v>
      </c>
    </row>
    <row r="5411" ht="14.5" customHeight="1" spans="11:29" x14ac:dyDescent="0.25">
      <c r="K5411" s="128"/>
      <c r="X5411" s="234">
        <v>2022</v>
      </c>
      <c r="Y5411" s="234">
        <v>8</v>
      </c>
      <c r="Z5411" s="234">
        <v>14</v>
      </c>
      <c r="AA5411" s="235">
        <v>0.375</v>
      </c>
      <c r="AB5411" s="236">
        <v>19.8</v>
      </c>
      <c r="AC5411" s="127">
        <f t="shared" si="99"/>
        <v>20</v>
      </c>
    </row>
    <row r="5412" ht="14.5" customHeight="1" spans="11:29" x14ac:dyDescent="0.25">
      <c r="K5412" s="128"/>
      <c r="X5412" s="234">
        <v>2022</v>
      </c>
      <c r="Y5412" s="234">
        <v>8</v>
      </c>
      <c r="Z5412" s="234">
        <v>14</v>
      </c>
      <c r="AA5412" s="235">
        <v>0.4166666666678793</v>
      </c>
      <c r="AB5412" s="236">
        <v>21.7</v>
      </c>
      <c r="AC5412" s="127">
        <f t="shared" si="99"/>
        <v>22</v>
      </c>
    </row>
    <row r="5413" ht="14.5" customHeight="1" spans="11:29" x14ac:dyDescent="0.25">
      <c r="K5413" s="128"/>
      <c r="X5413" s="234">
        <v>2022</v>
      </c>
      <c r="Y5413" s="234">
        <v>8</v>
      </c>
      <c r="Z5413" s="234">
        <v>14</v>
      </c>
      <c r="AA5413" s="235">
        <v>0.4583333333321207</v>
      </c>
      <c r="AB5413" s="236">
        <v>22.7</v>
      </c>
      <c r="AC5413" s="127">
        <f t="shared" si="99"/>
        <v>23</v>
      </c>
    </row>
    <row r="5414" ht="14.5" customHeight="1" spans="11:29" x14ac:dyDescent="0.25">
      <c r="K5414" s="128"/>
      <c r="X5414" s="234">
        <v>2022</v>
      </c>
      <c r="Y5414" s="234">
        <v>8</v>
      </c>
      <c r="Z5414" s="234">
        <v>14</v>
      </c>
      <c r="AA5414" s="235">
        <v>0.5</v>
      </c>
      <c r="AB5414" s="236">
        <v>24</v>
      </c>
      <c r="AC5414" s="127">
        <f t="shared" si="99"/>
        <v>24</v>
      </c>
    </row>
    <row r="5415" ht="14.5" customHeight="1" spans="11:29" x14ac:dyDescent="0.25">
      <c r="K5415" s="128"/>
      <c r="X5415" s="234">
        <v>2022</v>
      </c>
      <c r="Y5415" s="234">
        <v>8</v>
      </c>
      <c r="Z5415" s="234">
        <v>14</v>
      </c>
      <c r="AA5415" s="235">
        <v>0.5416666666678793</v>
      </c>
      <c r="AB5415" s="236">
        <v>24.8</v>
      </c>
      <c r="AC5415" s="127">
        <f t="shared" si="99"/>
        <v>25</v>
      </c>
    </row>
    <row r="5416" ht="14.5" customHeight="1" spans="11:29" x14ac:dyDescent="0.25">
      <c r="K5416" s="128"/>
      <c r="X5416" s="234">
        <v>2022</v>
      </c>
      <c r="Y5416" s="234">
        <v>8</v>
      </c>
      <c r="Z5416" s="234">
        <v>14</v>
      </c>
      <c r="AA5416" s="235">
        <v>0.5833333333321207</v>
      </c>
      <c r="AB5416" s="236">
        <v>26.2</v>
      </c>
      <c r="AC5416" s="127">
        <f t="shared" si="99"/>
        <v>26</v>
      </c>
    </row>
    <row r="5417" ht="14.5" customHeight="1" spans="11:29" x14ac:dyDescent="0.25">
      <c r="K5417" s="128"/>
      <c r="X5417" s="234">
        <v>2022</v>
      </c>
      <c r="Y5417" s="234">
        <v>8</v>
      </c>
      <c r="Z5417" s="234">
        <v>14</v>
      </c>
      <c r="AA5417" s="235">
        <v>0.625</v>
      </c>
      <c r="AB5417" s="236">
        <v>27.1</v>
      </c>
      <c r="AC5417" s="127">
        <f t="shared" si="99"/>
        <v>27</v>
      </c>
    </row>
    <row r="5418" ht="14.5" customHeight="1" spans="11:29" x14ac:dyDescent="0.25">
      <c r="K5418" s="128"/>
      <c r="X5418" s="234">
        <v>2022</v>
      </c>
      <c r="Y5418" s="234">
        <v>8</v>
      </c>
      <c r="Z5418" s="234">
        <v>14</v>
      </c>
      <c r="AA5418" s="235">
        <v>0.6666666666678793</v>
      </c>
      <c r="AB5418" s="236">
        <v>27.9</v>
      </c>
      <c r="AC5418" s="127">
        <f t="shared" si="99"/>
        <v>28</v>
      </c>
    </row>
    <row r="5419" ht="14.5" customHeight="1" spans="11:29" x14ac:dyDescent="0.25">
      <c r="K5419" s="128"/>
      <c r="X5419" s="234">
        <v>2022</v>
      </c>
      <c r="Y5419" s="234">
        <v>8</v>
      </c>
      <c r="Z5419" s="234">
        <v>14</v>
      </c>
      <c r="AA5419" s="235">
        <v>0.7083333333321207</v>
      </c>
      <c r="AB5419" s="236">
        <v>27.6</v>
      </c>
      <c r="AC5419" s="127">
        <f t="shared" si="99"/>
        <v>28</v>
      </c>
    </row>
    <row r="5420" ht="14.5" customHeight="1" spans="11:29" x14ac:dyDescent="0.25">
      <c r="K5420" s="128"/>
      <c r="X5420" s="234">
        <v>2022</v>
      </c>
      <c r="Y5420" s="234">
        <v>8</v>
      </c>
      <c r="Z5420" s="234">
        <v>14</v>
      </c>
      <c r="AA5420" s="235">
        <v>0.75</v>
      </c>
      <c r="AB5420" s="236">
        <v>26.8</v>
      </c>
      <c r="AC5420" s="127">
        <f t="shared" si="99"/>
        <v>27</v>
      </c>
    </row>
    <row r="5421" ht="14.5" customHeight="1" spans="11:29" x14ac:dyDescent="0.25">
      <c r="K5421" s="128"/>
      <c r="X5421" s="234">
        <v>2022</v>
      </c>
      <c r="Y5421" s="234">
        <v>8</v>
      </c>
      <c r="Z5421" s="234">
        <v>14</v>
      </c>
      <c r="AA5421" s="235">
        <v>0.7916666666678793</v>
      </c>
      <c r="AB5421" s="236">
        <v>24.7</v>
      </c>
      <c r="AC5421" s="127">
        <f t="shared" si="99"/>
        <v>25</v>
      </c>
    </row>
    <row r="5422" ht="14.5" customHeight="1" spans="11:29" x14ac:dyDescent="0.25">
      <c r="K5422" s="128"/>
      <c r="X5422" s="234">
        <v>2022</v>
      </c>
      <c r="Y5422" s="234">
        <v>8</v>
      </c>
      <c r="Z5422" s="234">
        <v>14</v>
      </c>
      <c r="AA5422" s="235">
        <v>0.8333333333321207</v>
      </c>
      <c r="AB5422" s="236">
        <v>21.3</v>
      </c>
      <c r="AC5422" s="127">
        <f t="shared" si="99"/>
        <v>21</v>
      </c>
    </row>
    <row r="5423" ht="14.5" customHeight="1" spans="11:29" x14ac:dyDescent="0.25">
      <c r="K5423" s="128"/>
      <c r="X5423" s="234">
        <v>2022</v>
      </c>
      <c r="Y5423" s="234">
        <v>8</v>
      </c>
      <c r="Z5423" s="234">
        <v>14</v>
      </c>
      <c r="AA5423" s="235">
        <v>0.875</v>
      </c>
      <c r="AB5423" s="236">
        <v>20.7</v>
      </c>
      <c r="AC5423" s="127">
        <f t="shared" si="99"/>
        <v>21</v>
      </c>
    </row>
    <row r="5424" ht="14.5" customHeight="1" spans="11:29" x14ac:dyDescent="0.25">
      <c r="K5424" s="128"/>
      <c r="X5424" s="234">
        <v>2022</v>
      </c>
      <c r="Y5424" s="234">
        <v>8</v>
      </c>
      <c r="Z5424" s="234">
        <v>14</v>
      </c>
      <c r="AA5424" s="235">
        <v>0.9166666666678793</v>
      </c>
      <c r="AB5424" s="236">
        <v>18.8</v>
      </c>
      <c r="AC5424" s="127">
        <f t="shared" si="99"/>
        <v>19</v>
      </c>
    </row>
    <row r="5425" ht="14.5" customHeight="1" spans="11:29" x14ac:dyDescent="0.25">
      <c r="K5425" s="128"/>
      <c r="X5425" s="234">
        <v>2022</v>
      </c>
      <c r="Y5425" s="234">
        <v>8</v>
      </c>
      <c r="Z5425" s="234">
        <v>14</v>
      </c>
      <c r="AA5425" s="235">
        <v>0.9583333333321207</v>
      </c>
      <c r="AB5425" s="236">
        <v>16.3</v>
      </c>
      <c r="AC5425" s="127">
        <f t="shared" si="99"/>
        <v>16</v>
      </c>
    </row>
    <row r="5426" ht="14.5" customHeight="1" spans="11:29" x14ac:dyDescent="0.25">
      <c r="K5426" s="128"/>
      <c r="X5426" s="234">
        <v>2022</v>
      </c>
      <c r="Y5426" s="234">
        <v>8</v>
      </c>
      <c r="Z5426" s="234">
        <v>15</v>
      </c>
      <c r="AA5426" s="235">
        <v>0</v>
      </c>
      <c r="AB5426" s="236">
        <v>16.1</v>
      </c>
      <c r="AC5426" s="127">
        <f t="shared" si="99"/>
        <v>16</v>
      </c>
    </row>
    <row r="5427" ht="14.5" customHeight="1" spans="11:29" x14ac:dyDescent="0.25">
      <c r="K5427" s="128"/>
      <c r="X5427" s="234">
        <v>2022</v>
      </c>
      <c r="Y5427" s="234">
        <v>8</v>
      </c>
      <c r="Z5427" s="234">
        <v>15</v>
      </c>
      <c r="AA5427" s="235">
        <v>0.041666666667879326</v>
      </c>
      <c r="AB5427" s="236">
        <v>14</v>
      </c>
      <c r="AC5427" s="127">
        <f t="shared" si="99"/>
        <v>14</v>
      </c>
    </row>
    <row r="5428" ht="14.5" customHeight="1" spans="11:29" x14ac:dyDescent="0.25">
      <c r="K5428" s="128"/>
      <c r="X5428" s="234">
        <v>2022</v>
      </c>
      <c r="Y5428" s="234">
        <v>8</v>
      </c>
      <c r="Z5428" s="234">
        <v>15</v>
      </c>
      <c r="AA5428" s="235">
        <v>0.08333333333212067</v>
      </c>
      <c r="AB5428" s="236">
        <v>13.6</v>
      </c>
      <c r="AC5428" s="127">
        <f t="shared" si="99"/>
        <v>14</v>
      </c>
    </row>
    <row r="5429" ht="14.5" customHeight="1" spans="11:29" x14ac:dyDescent="0.25">
      <c r="K5429" s="128"/>
      <c r="X5429" s="234">
        <v>2022</v>
      </c>
      <c r="Y5429" s="234">
        <v>8</v>
      </c>
      <c r="Z5429" s="234">
        <v>15</v>
      </c>
      <c r="AA5429" s="235">
        <v>0.125</v>
      </c>
      <c r="AB5429" s="236">
        <v>12.8</v>
      </c>
      <c r="AC5429" s="127">
        <f t="shared" si="99"/>
        <v>13</v>
      </c>
    </row>
    <row r="5430" ht="14.5" customHeight="1" spans="11:29" x14ac:dyDescent="0.25">
      <c r="K5430" s="128"/>
      <c r="X5430" s="234">
        <v>2022</v>
      </c>
      <c r="Y5430" s="234">
        <v>8</v>
      </c>
      <c r="Z5430" s="234">
        <v>15</v>
      </c>
      <c r="AA5430" s="235">
        <v>0.16666666666787933</v>
      </c>
      <c r="AB5430" s="236">
        <v>11.8</v>
      </c>
      <c r="AC5430" s="127">
        <f t="shared" si="99"/>
        <v>12</v>
      </c>
    </row>
    <row r="5431" ht="14.5" customHeight="1" spans="11:29" x14ac:dyDescent="0.25">
      <c r="K5431" s="128"/>
      <c r="X5431" s="234">
        <v>2022</v>
      </c>
      <c r="Y5431" s="234">
        <v>8</v>
      </c>
      <c r="Z5431" s="234">
        <v>15</v>
      </c>
      <c r="AA5431" s="235">
        <v>0.20833333333212067</v>
      </c>
      <c r="AB5431" s="236">
        <v>10.8</v>
      </c>
      <c r="AC5431" s="127">
        <f t="shared" si="99"/>
        <v>11</v>
      </c>
    </row>
    <row r="5432" ht="14.5" customHeight="1" spans="11:29" x14ac:dyDescent="0.25">
      <c r="K5432" s="128"/>
      <c r="X5432" s="234">
        <v>2022</v>
      </c>
      <c r="Y5432" s="234">
        <v>8</v>
      </c>
      <c r="Z5432" s="234">
        <v>15</v>
      </c>
      <c r="AA5432" s="235">
        <v>0.25</v>
      </c>
      <c r="AB5432" s="236">
        <v>11.4</v>
      </c>
      <c r="AC5432" s="127">
        <f t="shared" si="99"/>
        <v>11</v>
      </c>
    </row>
    <row r="5433" ht="14.5" customHeight="1" spans="11:29" x14ac:dyDescent="0.25">
      <c r="K5433" s="128"/>
      <c r="X5433" s="234">
        <v>2022</v>
      </c>
      <c r="Y5433" s="234">
        <v>8</v>
      </c>
      <c r="Z5433" s="234">
        <v>15</v>
      </c>
      <c r="AA5433" s="235">
        <v>0.2916666666678793</v>
      </c>
      <c r="AB5433" s="236">
        <v>13.1</v>
      </c>
      <c r="AC5433" s="127">
        <f t="shared" si="99"/>
        <v>13</v>
      </c>
    </row>
    <row r="5434" ht="14.5" customHeight="1" spans="11:29" x14ac:dyDescent="0.25">
      <c r="K5434" s="128"/>
      <c r="X5434" s="234">
        <v>2022</v>
      </c>
      <c r="Y5434" s="234">
        <v>8</v>
      </c>
      <c r="Z5434" s="234">
        <v>15</v>
      </c>
      <c r="AA5434" s="235">
        <v>0.3333333333321207</v>
      </c>
      <c r="AB5434" s="236">
        <v>16</v>
      </c>
      <c r="AC5434" s="127">
        <f t="shared" si="99"/>
        <v>16</v>
      </c>
    </row>
    <row r="5435" ht="14.5" customHeight="1" spans="11:29" x14ac:dyDescent="0.25">
      <c r="K5435" s="128"/>
      <c r="X5435" s="234">
        <v>2022</v>
      </c>
      <c r="Y5435" s="234">
        <v>8</v>
      </c>
      <c r="Z5435" s="234">
        <v>15</v>
      </c>
      <c r="AA5435" s="235">
        <v>0.375</v>
      </c>
      <c r="AB5435" s="236">
        <v>18.5</v>
      </c>
      <c r="AC5435" s="127">
        <f t="shared" si="99"/>
        <v>19</v>
      </c>
    </row>
    <row r="5436" ht="14.5" customHeight="1" spans="11:29" x14ac:dyDescent="0.25">
      <c r="K5436" s="128"/>
      <c r="X5436" s="234">
        <v>2022</v>
      </c>
      <c r="Y5436" s="234">
        <v>8</v>
      </c>
      <c r="Z5436" s="234">
        <v>15</v>
      </c>
      <c r="AA5436" s="235">
        <v>0.4166666666678793</v>
      </c>
      <c r="AB5436" s="236">
        <v>21</v>
      </c>
      <c r="AC5436" s="127">
        <f t="shared" si="99"/>
        <v>21</v>
      </c>
    </row>
    <row r="5437" ht="14.5" customHeight="1" spans="11:29" x14ac:dyDescent="0.25">
      <c r="K5437" s="128"/>
      <c r="X5437" s="234">
        <v>2022</v>
      </c>
      <c r="Y5437" s="234">
        <v>8</v>
      </c>
      <c r="Z5437" s="234">
        <v>15</v>
      </c>
      <c r="AA5437" s="235">
        <v>0.4583333333321207</v>
      </c>
      <c r="AB5437" s="236">
        <v>23.7</v>
      </c>
      <c r="AC5437" s="127">
        <f t="shared" si="99"/>
        <v>24</v>
      </c>
    </row>
    <row r="5438" ht="14.5" customHeight="1" spans="11:29" x14ac:dyDescent="0.25">
      <c r="K5438" s="128"/>
      <c r="X5438" s="234">
        <v>2022</v>
      </c>
      <c r="Y5438" s="234">
        <v>8</v>
      </c>
      <c r="Z5438" s="234">
        <v>15</v>
      </c>
      <c r="AA5438" s="235">
        <v>0.5</v>
      </c>
      <c r="AB5438" s="236">
        <v>24.2</v>
      </c>
      <c r="AC5438" s="127">
        <f t="shared" si="99"/>
        <v>24</v>
      </c>
    </row>
    <row r="5439" ht="14.5" customHeight="1" spans="11:29" x14ac:dyDescent="0.25">
      <c r="K5439" s="128"/>
      <c r="X5439" s="234">
        <v>2022</v>
      </c>
      <c r="Y5439" s="234">
        <v>8</v>
      </c>
      <c r="Z5439" s="234">
        <v>15</v>
      </c>
      <c r="AA5439" s="235">
        <v>0.5416666666678793</v>
      </c>
      <c r="AB5439" s="236">
        <v>24.4</v>
      </c>
      <c r="AC5439" s="127">
        <f t="shared" si="99"/>
        <v>24</v>
      </c>
    </row>
    <row r="5440" ht="14.5" customHeight="1" spans="11:29" x14ac:dyDescent="0.25">
      <c r="K5440" s="128"/>
      <c r="X5440" s="234">
        <v>2022</v>
      </c>
      <c r="Y5440" s="234">
        <v>8</v>
      </c>
      <c r="Z5440" s="234">
        <v>15</v>
      </c>
      <c r="AA5440" s="235">
        <v>0.5833333333321207</v>
      </c>
      <c r="AB5440" s="236">
        <v>25.2</v>
      </c>
      <c r="AC5440" s="127">
        <f t="shared" si="99"/>
        <v>25</v>
      </c>
    </row>
    <row r="5441" ht="14.5" customHeight="1" spans="11:29" x14ac:dyDescent="0.25">
      <c r="K5441" s="128"/>
      <c r="X5441" s="234">
        <v>2022</v>
      </c>
      <c r="Y5441" s="234">
        <v>8</v>
      </c>
      <c r="Z5441" s="234">
        <v>15</v>
      </c>
      <c r="AA5441" s="235">
        <v>0.625</v>
      </c>
      <c r="AB5441" s="236">
        <v>25.3</v>
      </c>
      <c r="AC5441" s="127">
        <f t="shared" si="99"/>
        <v>25</v>
      </c>
    </row>
    <row r="5442" ht="14.5" customHeight="1" spans="11:29" x14ac:dyDescent="0.25">
      <c r="K5442" s="128"/>
      <c r="X5442" s="234">
        <v>2022</v>
      </c>
      <c r="Y5442" s="234">
        <v>8</v>
      </c>
      <c r="Z5442" s="234">
        <v>15</v>
      </c>
      <c r="AA5442" s="235">
        <v>0.6666666666678793</v>
      </c>
      <c r="AB5442" s="236">
        <v>26.4</v>
      </c>
      <c r="AC5442" s="127">
        <f t="shared" si="99"/>
        <v>26</v>
      </c>
    </row>
    <row r="5443" ht="14.5" customHeight="1" spans="11:29" x14ac:dyDescent="0.25">
      <c r="K5443" s="128"/>
      <c r="X5443" s="234">
        <v>2022</v>
      </c>
      <c r="Y5443" s="234">
        <v>8</v>
      </c>
      <c r="Z5443" s="234">
        <v>15</v>
      </c>
      <c r="AA5443" s="235">
        <v>0.7083333333321207</v>
      </c>
      <c r="AB5443" s="236">
        <v>26.2</v>
      </c>
      <c r="AC5443" s="127">
        <f t="shared" si="99"/>
        <v>26</v>
      </c>
    </row>
    <row r="5444" ht="14.5" customHeight="1" spans="11:29" x14ac:dyDescent="0.25">
      <c r="K5444" s="128"/>
      <c r="X5444" s="234">
        <v>2022</v>
      </c>
      <c r="Y5444" s="234">
        <v>8</v>
      </c>
      <c r="Z5444" s="234">
        <v>15</v>
      </c>
      <c r="AA5444" s="235">
        <v>0.75</v>
      </c>
      <c r="AB5444" s="236">
        <v>25.1</v>
      </c>
      <c r="AC5444" s="127">
        <f t="shared" si="99"/>
        <v>25</v>
      </c>
    </row>
    <row r="5445" ht="14.5" customHeight="1" spans="11:29" x14ac:dyDescent="0.25">
      <c r="K5445" s="128"/>
      <c r="X5445" s="234">
        <v>2022</v>
      </c>
      <c r="Y5445" s="234">
        <v>8</v>
      </c>
      <c r="Z5445" s="234">
        <v>15</v>
      </c>
      <c r="AA5445" s="235">
        <v>0.7916666666678793</v>
      </c>
      <c r="AB5445" s="236">
        <v>23.2</v>
      </c>
      <c r="AC5445" s="127">
        <f t="shared" si="99"/>
        <v>23</v>
      </c>
    </row>
    <row r="5446" ht="14.5" customHeight="1" spans="11:29" x14ac:dyDescent="0.25">
      <c r="K5446" s="128"/>
      <c r="X5446" s="234">
        <v>2022</v>
      </c>
      <c r="Y5446" s="234">
        <v>8</v>
      </c>
      <c r="Z5446" s="234">
        <v>15</v>
      </c>
      <c r="AA5446" s="235">
        <v>0.8333333333321207</v>
      </c>
      <c r="AB5446" s="236">
        <v>20.6</v>
      </c>
      <c r="AC5446" s="127">
        <f t="shared" si="99"/>
        <v>21</v>
      </c>
    </row>
    <row r="5447" ht="14.5" customHeight="1" spans="11:29" x14ac:dyDescent="0.25">
      <c r="K5447" s="128"/>
      <c r="X5447" s="234">
        <v>2022</v>
      </c>
      <c r="Y5447" s="234">
        <v>8</v>
      </c>
      <c r="Z5447" s="234">
        <v>15</v>
      </c>
      <c r="AA5447" s="235">
        <v>0.875</v>
      </c>
      <c r="AB5447" s="236">
        <v>19.3</v>
      </c>
      <c r="AC5447" s="127">
        <f t="shared" si="99"/>
        <v>19</v>
      </c>
    </row>
    <row r="5448" ht="14.5" customHeight="1" spans="11:29" x14ac:dyDescent="0.25">
      <c r="K5448" s="128"/>
      <c r="X5448" s="234">
        <v>2022</v>
      </c>
      <c r="Y5448" s="234">
        <v>8</v>
      </c>
      <c r="Z5448" s="234">
        <v>15</v>
      </c>
      <c r="AA5448" s="235">
        <v>0.9166666666678793</v>
      </c>
      <c r="AB5448" s="236">
        <v>16.3</v>
      </c>
      <c r="AC5448" s="127">
        <f t="shared" si="99"/>
        <v>16</v>
      </c>
    </row>
    <row r="5449" ht="14.5" customHeight="1" spans="11:29" x14ac:dyDescent="0.25">
      <c r="K5449" s="128"/>
      <c r="X5449" s="234">
        <v>2022</v>
      </c>
      <c r="Y5449" s="234">
        <v>8</v>
      </c>
      <c r="Z5449" s="234">
        <v>15</v>
      </c>
      <c r="AA5449" s="235">
        <v>0.9583333333321207</v>
      </c>
      <c r="AB5449" s="236">
        <v>14.4</v>
      </c>
      <c r="AC5449" s="127">
        <f t="shared" si="99"/>
        <v>14</v>
      </c>
    </row>
    <row r="5450" ht="14.5" customHeight="1" spans="11:29" x14ac:dyDescent="0.25">
      <c r="K5450" s="128"/>
      <c r="X5450" s="234">
        <v>2022</v>
      </c>
      <c r="Y5450" s="234">
        <v>8</v>
      </c>
      <c r="Z5450" s="234">
        <v>16</v>
      </c>
      <c r="AA5450" s="235">
        <v>0</v>
      </c>
      <c r="AB5450" s="236">
        <v>14.4</v>
      </c>
      <c r="AC5450" s="127">
        <f t="shared" si="99"/>
        <v>14</v>
      </c>
    </row>
    <row r="5451" ht="14.5" customHeight="1" spans="11:29" x14ac:dyDescent="0.25">
      <c r="K5451" s="128"/>
      <c r="X5451" s="234">
        <v>2022</v>
      </c>
      <c r="Y5451" s="234">
        <v>8</v>
      </c>
      <c r="Z5451" s="234">
        <v>16</v>
      </c>
      <c r="AA5451" s="235">
        <v>0.041666666667879326</v>
      </c>
      <c r="AB5451" s="236">
        <v>12.9</v>
      </c>
      <c r="AC5451" s="127">
        <f t="shared" ref="AC5451:AC5514" si="100">ROUND(AB5451,0)</f>
        <v>13</v>
      </c>
    </row>
    <row r="5452" ht="14.5" customHeight="1" spans="11:29" x14ac:dyDescent="0.25">
      <c r="K5452" s="128"/>
      <c r="X5452" s="234">
        <v>2022</v>
      </c>
      <c r="Y5452" s="234">
        <v>8</v>
      </c>
      <c r="Z5452" s="234">
        <v>16</v>
      </c>
      <c r="AA5452" s="235">
        <v>0.08333333333212067</v>
      </c>
      <c r="AB5452" s="236">
        <v>12.4</v>
      </c>
      <c r="AC5452" s="127">
        <f t="shared" si="100"/>
        <v>12</v>
      </c>
    </row>
    <row r="5453" ht="14.5" customHeight="1" spans="11:29" x14ac:dyDescent="0.25">
      <c r="K5453" s="128"/>
      <c r="X5453" s="234">
        <v>2022</v>
      </c>
      <c r="Y5453" s="234">
        <v>8</v>
      </c>
      <c r="Z5453" s="234">
        <v>16</v>
      </c>
      <c r="AA5453" s="235">
        <v>0.125</v>
      </c>
      <c r="AB5453" s="236">
        <v>12.1</v>
      </c>
      <c r="AC5453" s="127">
        <f t="shared" si="100"/>
        <v>12</v>
      </c>
    </row>
    <row r="5454" ht="14.5" customHeight="1" spans="11:29" x14ac:dyDescent="0.25">
      <c r="K5454" s="128"/>
      <c r="X5454" s="234">
        <v>2022</v>
      </c>
      <c r="Y5454" s="234">
        <v>8</v>
      </c>
      <c r="Z5454" s="234">
        <v>16</v>
      </c>
      <c r="AA5454" s="235">
        <v>0.16666666666787933</v>
      </c>
      <c r="AB5454" s="236">
        <v>11.4</v>
      </c>
      <c r="AC5454" s="127">
        <f t="shared" si="100"/>
        <v>11</v>
      </c>
    </row>
    <row r="5455" ht="14.5" customHeight="1" spans="11:29" x14ac:dyDescent="0.25">
      <c r="K5455" s="128"/>
      <c r="X5455" s="234">
        <v>2022</v>
      </c>
      <c r="Y5455" s="234">
        <v>8</v>
      </c>
      <c r="Z5455" s="234">
        <v>16</v>
      </c>
      <c r="AA5455" s="235">
        <v>0.20833333333212067</v>
      </c>
      <c r="AB5455" s="236">
        <v>10.9</v>
      </c>
      <c r="AC5455" s="127">
        <f t="shared" si="100"/>
        <v>11</v>
      </c>
    </row>
    <row r="5456" ht="14.5" customHeight="1" spans="11:29" x14ac:dyDescent="0.25">
      <c r="K5456" s="128"/>
      <c r="X5456" s="234">
        <v>2022</v>
      </c>
      <c r="Y5456" s="234">
        <v>8</v>
      </c>
      <c r="Z5456" s="234">
        <v>16</v>
      </c>
      <c r="AA5456" s="235">
        <v>0.25</v>
      </c>
      <c r="AB5456" s="236">
        <v>10.9</v>
      </c>
      <c r="AC5456" s="127">
        <f t="shared" si="100"/>
        <v>11</v>
      </c>
    </row>
    <row r="5457" ht="14.5" customHeight="1" spans="11:29" x14ac:dyDescent="0.25">
      <c r="K5457" s="128"/>
      <c r="X5457" s="234">
        <v>2022</v>
      </c>
      <c r="Y5457" s="234">
        <v>8</v>
      </c>
      <c r="Z5457" s="234">
        <v>16</v>
      </c>
      <c r="AA5457" s="235">
        <v>0.2916666666678793</v>
      </c>
      <c r="AB5457" s="236">
        <v>15.2</v>
      </c>
      <c r="AC5457" s="127">
        <f t="shared" si="100"/>
        <v>15</v>
      </c>
    </row>
    <row r="5458" ht="14.5" customHeight="1" spans="11:29" x14ac:dyDescent="0.25">
      <c r="K5458" s="128"/>
      <c r="X5458" s="234">
        <v>2022</v>
      </c>
      <c r="Y5458" s="234">
        <v>8</v>
      </c>
      <c r="Z5458" s="234">
        <v>16</v>
      </c>
      <c r="AA5458" s="235">
        <v>0.3333333333321207</v>
      </c>
      <c r="AB5458" s="236">
        <v>18.1</v>
      </c>
      <c r="AC5458" s="127">
        <f t="shared" si="100"/>
        <v>18</v>
      </c>
    </row>
    <row r="5459" ht="14.5" customHeight="1" spans="11:29" x14ac:dyDescent="0.25">
      <c r="K5459" s="128"/>
      <c r="X5459" s="234">
        <v>2022</v>
      </c>
      <c r="Y5459" s="234">
        <v>8</v>
      </c>
      <c r="Z5459" s="234">
        <v>16</v>
      </c>
      <c r="AA5459" s="235">
        <v>0.375</v>
      </c>
      <c r="AB5459" s="236">
        <v>21.4</v>
      </c>
      <c r="AC5459" s="127">
        <f t="shared" si="100"/>
        <v>21</v>
      </c>
    </row>
    <row r="5460" ht="14.5" customHeight="1" spans="11:29" x14ac:dyDescent="0.25">
      <c r="K5460" s="128"/>
      <c r="X5460" s="234">
        <v>2022</v>
      </c>
      <c r="Y5460" s="234">
        <v>8</v>
      </c>
      <c r="Z5460" s="234">
        <v>16</v>
      </c>
      <c r="AA5460" s="235">
        <v>0.4166666666678793</v>
      </c>
      <c r="AB5460" s="236">
        <v>24.4</v>
      </c>
      <c r="AC5460" s="127">
        <f t="shared" si="100"/>
        <v>24</v>
      </c>
    </row>
    <row r="5461" ht="14.5" customHeight="1" spans="11:29" x14ac:dyDescent="0.25">
      <c r="K5461" s="128"/>
      <c r="X5461" s="234">
        <v>2022</v>
      </c>
      <c r="Y5461" s="234">
        <v>8</v>
      </c>
      <c r="Z5461" s="234">
        <v>16</v>
      </c>
      <c r="AA5461" s="235">
        <v>0.4583333333321207</v>
      </c>
      <c r="AB5461" s="236">
        <v>26.8</v>
      </c>
      <c r="AC5461" s="127">
        <f t="shared" si="100"/>
        <v>27</v>
      </c>
    </row>
    <row r="5462" ht="14.5" customHeight="1" spans="11:29" x14ac:dyDescent="0.25">
      <c r="K5462" s="128"/>
      <c r="X5462" s="234">
        <v>2022</v>
      </c>
      <c r="Y5462" s="234">
        <v>8</v>
      </c>
      <c r="Z5462" s="234">
        <v>16</v>
      </c>
      <c r="AA5462" s="235">
        <v>0.5</v>
      </c>
      <c r="AB5462" s="236">
        <v>28</v>
      </c>
      <c r="AC5462" s="127">
        <f t="shared" si="100"/>
        <v>28</v>
      </c>
    </row>
    <row r="5463" ht="14.5" customHeight="1" spans="11:29" x14ac:dyDescent="0.25">
      <c r="K5463" s="128"/>
      <c r="X5463" s="234">
        <v>2022</v>
      </c>
      <c r="Y5463" s="234">
        <v>8</v>
      </c>
      <c r="Z5463" s="234">
        <v>16</v>
      </c>
      <c r="AA5463" s="235">
        <v>0.5416666666678793</v>
      </c>
      <c r="AB5463" s="236">
        <v>29.6</v>
      </c>
      <c r="AC5463" s="127">
        <f t="shared" si="100"/>
        <v>30</v>
      </c>
    </row>
    <row r="5464" ht="14.5" customHeight="1" spans="11:29" x14ac:dyDescent="0.25">
      <c r="K5464" s="128"/>
      <c r="X5464" s="234">
        <v>2022</v>
      </c>
      <c r="Y5464" s="234">
        <v>8</v>
      </c>
      <c r="Z5464" s="234">
        <v>16</v>
      </c>
      <c r="AA5464" s="235">
        <v>0.5833333333321207</v>
      </c>
      <c r="AB5464" s="236">
        <v>29.9</v>
      </c>
      <c r="AC5464" s="127">
        <f t="shared" si="100"/>
        <v>30</v>
      </c>
    </row>
    <row r="5465" ht="14.5" customHeight="1" spans="11:29" x14ac:dyDescent="0.25">
      <c r="K5465" s="128"/>
      <c r="X5465" s="234">
        <v>2022</v>
      </c>
      <c r="Y5465" s="234">
        <v>8</v>
      </c>
      <c r="Z5465" s="234">
        <v>16</v>
      </c>
      <c r="AA5465" s="235">
        <v>0.625</v>
      </c>
      <c r="AB5465" s="236">
        <v>30.3</v>
      </c>
      <c r="AC5465" s="127">
        <f t="shared" si="100"/>
        <v>30</v>
      </c>
    </row>
    <row r="5466" ht="14.5" customHeight="1" spans="11:29" x14ac:dyDescent="0.25">
      <c r="K5466" s="128"/>
      <c r="X5466" s="234">
        <v>2022</v>
      </c>
      <c r="Y5466" s="234">
        <v>8</v>
      </c>
      <c r="Z5466" s="234">
        <v>16</v>
      </c>
      <c r="AA5466" s="235">
        <v>0.6666666666678793</v>
      </c>
      <c r="AB5466" s="236">
        <v>29.1</v>
      </c>
      <c r="AC5466" s="127">
        <f t="shared" si="100"/>
        <v>29</v>
      </c>
    </row>
    <row r="5467" ht="14.5" customHeight="1" spans="11:29" x14ac:dyDescent="0.25">
      <c r="K5467" s="128"/>
      <c r="X5467" s="234">
        <v>2022</v>
      </c>
      <c r="Y5467" s="234">
        <v>8</v>
      </c>
      <c r="Z5467" s="234">
        <v>16</v>
      </c>
      <c r="AA5467" s="235">
        <v>0.7083333333321207</v>
      </c>
      <c r="AB5467" s="236">
        <v>27.8</v>
      </c>
      <c r="AC5467" s="127">
        <f t="shared" si="100"/>
        <v>28</v>
      </c>
    </row>
    <row r="5468" ht="14.5" customHeight="1" spans="11:29" x14ac:dyDescent="0.25">
      <c r="K5468" s="128"/>
      <c r="X5468" s="234">
        <v>2022</v>
      </c>
      <c r="Y5468" s="234">
        <v>8</v>
      </c>
      <c r="Z5468" s="234">
        <v>16</v>
      </c>
      <c r="AA5468" s="235">
        <v>0.75</v>
      </c>
      <c r="AB5468" s="236">
        <v>26.8</v>
      </c>
      <c r="AC5468" s="127">
        <f t="shared" si="100"/>
        <v>27</v>
      </c>
    </row>
    <row r="5469" ht="14.5" customHeight="1" spans="11:29" x14ac:dyDescent="0.25">
      <c r="K5469" s="128"/>
      <c r="X5469" s="234">
        <v>2022</v>
      </c>
      <c r="Y5469" s="234">
        <v>8</v>
      </c>
      <c r="Z5469" s="234">
        <v>16</v>
      </c>
      <c r="AA5469" s="235">
        <v>0.7916666666678793</v>
      </c>
      <c r="AB5469" s="236">
        <v>25.7</v>
      </c>
      <c r="AC5469" s="127">
        <f t="shared" si="100"/>
        <v>26</v>
      </c>
    </row>
    <row r="5470" ht="14.5" customHeight="1" spans="11:29" x14ac:dyDescent="0.25">
      <c r="K5470" s="128"/>
      <c r="X5470" s="234">
        <v>2022</v>
      </c>
      <c r="Y5470" s="234">
        <v>8</v>
      </c>
      <c r="Z5470" s="234">
        <v>16</v>
      </c>
      <c r="AA5470" s="235">
        <v>0.8333333333321207</v>
      </c>
      <c r="AB5470" s="236">
        <v>22.8</v>
      </c>
      <c r="AC5470" s="127">
        <f t="shared" si="100"/>
        <v>23</v>
      </c>
    </row>
    <row r="5471" ht="14.5" customHeight="1" spans="11:29" x14ac:dyDescent="0.25">
      <c r="K5471" s="128"/>
      <c r="X5471" s="234">
        <v>2022</v>
      </c>
      <c r="Y5471" s="234">
        <v>8</v>
      </c>
      <c r="Z5471" s="234">
        <v>16</v>
      </c>
      <c r="AA5471" s="235">
        <v>0.875</v>
      </c>
      <c r="AB5471" s="236">
        <v>19.6</v>
      </c>
      <c r="AC5471" s="127">
        <f t="shared" si="100"/>
        <v>20</v>
      </c>
    </row>
    <row r="5472" ht="14.5" customHeight="1" spans="11:29" x14ac:dyDescent="0.25">
      <c r="K5472" s="128"/>
      <c r="X5472" s="234">
        <v>2022</v>
      </c>
      <c r="Y5472" s="234">
        <v>8</v>
      </c>
      <c r="Z5472" s="234">
        <v>16</v>
      </c>
      <c r="AA5472" s="235">
        <v>0.9166666666678793</v>
      </c>
      <c r="AB5472" s="236">
        <v>18.7</v>
      </c>
      <c r="AC5472" s="127">
        <f t="shared" si="100"/>
        <v>19</v>
      </c>
    </row>
    <row r="5473" ht="14.5" customHeight="1" spans="11:29" x14ac:dyDescent="0.25">
      <c r="K5473" s="128"/>
      <c r="X5473" s="234">
        <v>2022</v>
      </c>
      <c r="Y5473" s="234">
        <v>8</v>
      </c>
      <c r="Z5473" s="234">
        <v>16</v>
      </c>
      <c r="AA5473" s="235">
        <v>0.9583333333321207</v>
      </c>
      <c r="AB5473" s="236">
        <v>15.8</v>
      </c>
      <c r="AC5473" s="127">
        <f t="shared" si="100"/>
        <v>16</v>
      </c>
    </row>
    <row r="5474" ht="14.5" customHeight="1" spans="11:29" x14ac:dyDescent="0.25">
      <c r="K5474" s="128"/>
      <c r="X5474" s="234">
        <v>2022</v>
      </c>
      <c r="Y5474" s="234">
        <v>8</v>
      </c>
      <c r="Z5474" s="234">
        <v>17</v>
      </c>
      <c r="AA5474" s="235">
        <v>0</v>
      </c>
      <c r="AB5474" s="236">
        <v>15</v>
      </c>
      <c r="AC5474" s="127">
        <f t="shared" si="100"/>
        <v>15</v>
      </c>
    </row>
    <row r="5475" ht="14.5" customHeight="1" spans="11:29" x14ac:dyDescent="0.25">
      <c r="K5475" s="128"/>
      <c r="X5475" s="234">
        <v>2022</v>
      </c>
      <c r="Y5475" s="234">
        <v>8</v>
      </c>
      <c r="Z5475" s="234">
        <v>17</v>
      </c>
      <c r="AA5475" s="235">
        <v>0.041666666667879326</v>
      </c>
      <c r="AB5475" s="236">
        <v>13.9</v>
      </c>
      <c r="AC5475" s="127">
        <f t="shared" si="100"/>
        <v>14</v>
      </c>
    </row>
    <row r="5476" ht="14.5" customHeight="1" spans="11:29" x14ac:dyDescent="0.25">
      <c r="K5476" s="128"/>
      <c r="X5476" s="234">
        <v>2022</v>
      </c>
      <c r="Y5476" s="234">
        <v>8</v>
      </c>
      <c r="Z5476" s="234">
        <v>17</v>
      </c>
      <c r="AA5476" s="235">
        <v>0.08333333333212067</v>
      </c>
      <c r="AB5476" s="236">
        <v>12.8</v>
      </c>
      <c r="AC5476" s="127">
        <f t="shared" si="100"/>
        <v>13</v>
      </c>
    </row>
    <row r="5477" ht="14.5" customHeight="1" spans="11:29" x14ac:dyDescent="0.25">
      <c r="K5477" s="128"/>
      <c r="X5477" s="234">
        <v>2022</v>
      </c>
      <c r="Y5477" s="234">
        <v>8</v>
      </c>
      <c r="Z5477" s="234">
        <v>17</v>
      </c>
      <c r="AA5477" s="235">
        <v>0.125</v>
      </c>
      <c r="AB5477" s="236">
        <v>12.8</v>
      </c>
      <c r="AC5477" s="127">
        <f t="shared" si="100"/>
        <v>13</v>
      </c>
    </row>
    <row r="5478" ht="14.5" customHeight="1" spans="11:29" x14ac:dyDescent="0.25">
      <c r="K5478" s="128"/>
      <c r="X5478" s="234">
        <v>2022</v>
      </c>
      <c r="Y5478" s="234">
        <v>8</v>
      </c>
      <c r="Z5478" s="234">
        <v>17</v>
      </c>
      <c r="AA5478" s="235">
        <v>0.16666666666787933</v>
      </c>
      <c r="AB5478" s="236">
        <v>12.1</v>
      </c>
      <c r="AC5478" s="127">
        <f t="shared" si="100"/>
        <v>12</v>
      </c>
    </row>
    <row r="5479" ht="14.5" customHeight="1" spans="11:29" x14ac:dyDescent="0.25">
      <c r="K5479" s="128"/>
      <c r="X5479" s="234">
        <v>2022</v>
      </c>
      <c r="Y5479" s="234">
        <v>8</v>
      </c>
      <c r="Z5479" s="234">
        <v>17</v>
      </c>
      <c r="AA5479" s="235">
        <v>0.20833333333212067</v>
      </c>
      <c r="AB5479" s="236">
        <v>12</v>
      </c>
      <c r="AC5479" s="127">
        <f t="shared" si="100"/>
        <v>12</v>
      </c>
    </row>
    <row r="5480" ht="14.5" customHeight="1" spans="11:29" x14ac:dyDescent="0.25">
      <c r="K5480" s="128"/>
      <c r="X5480" s="234">
        <v>2022</v>
      </c>
      <c r="Y5480" s="234">
        <v>8</v>
      </c>
      <c r="Z5480" s="234">
        <v>17</v>
      </c>
      <c r="AA5480" s="235">
        <v>0.25</v>
      </c>
      <c r="AB5480" s="236">
        <v>13.8</v>
      </c>
      <c r="AC5480" s="127">
        <f t="shared" si="100"/>
        <v>14</v>
      </c>
    </row>
    <row r="5481" ht="14.5" customHeight="1" spans="11:29" x14ac:dyDescent="0.25">
      <c r="K5481" s="128"/>
      <c r="X5481" s="234">
        <v>2022</v>
      </c>
      <c r="Y5481" s="234">
        <v>8</v>
      </c>
      <c r="Z5481" s="234">
        <v>17</v>
      </c>
      <c r="AA5481" s="235">
        <v>0.2916666666678793</v>
      </c>
      <c r="AB5481" s="236">
        <v>15.2</v>
      </c>
      <c r="AC5481" s="127">
        <f t="shared" si="100"/>
        <v>15</v>
      </c>
    </row>
    <row r="5482" ht="14.5" customHeight="1" spans="11:29" x14ac:dyDescent="0.25">
      <c r="K5482" s="128"/>
      <c r="X5482" s="234">
        <v>2022</v>
      </c>
      <c r="Y5482" s="234">
        <v>8</v>
      </c>
      <c r="Z5482" s="234">
        <v>17</v>
      </c>
      <c r="AA5482" s="235">
        <v>0.3333333333321207</v>
      </c>
      <c r="AB5482" s="236">
        <v>17.4</v>
      </c>
      <c r="AC5482" s="127">
        <f t="shared" si="100"/>
        <v>17</v>
      </c>
    </row>
    <row r="5483" ht="14.5" customHeight="1" spans="11:29" x14ac:dyDescent="0.25">
      <c r="K5483" s="128"/>
      <c r="X5483" s="234">
        <v>2022</v>
      </c>
      <c r="Y5483" s="234">
        <v>8</v>
      </c>
      <c r="Z5483" s="234">
        <v>17</v>
      </c>
      <c r="AA5483" s="235">
        <v>0.375</v>
      </c>
      <c r="AB5483" s="236">
        <v>19.4</v>
      </c>
      <c r="AC5483" s="127">
        <f t="shared" si="100"/>
        <v>19</v>
      </c>
    </row>
    <row r="5484" ht="14.5" customHeight="1" spans="11:29" x14ac:dyDescent="0.25">
      <c r="K5484" s="128"/>
      <c r="X5484" s="234">
        <v>2022</v>
      </c>
      <c r="Y5484" s="234">
        <v>8</v>
      </c>
      <c r="Z5484" s="234">
        <v>17</v>
      </c>
      <c r="AA5484" s="235">
        <v>0.4166666666678793</v>
      </c>
      <c r="AB5484" s="236">
        <v>21.1</v>
      </c>
      <c r="AC5484" s="127">
        <f t="shared" si="100"/>
        <v>21</v>
      </c>
    </row>
    <row r="5485" ht="14.5" customHeight="1" spans="11:29" x14ac:dyDescent="0.25">
      <c r="K5485" s="128"/>
      <c r="X5485" s="234">
        <v>2022</v>
      </c>
      <c r="Y5485" s="234">
        <v>8</v>
      </c>
      <c r="Z5485" s="234">
        <v>17</v>
      </c>
      <c r="AA5485" s="235">
        <v>0.4583333333321207</v>
      </c>
      <c r="AB5485" s="236">
        <v>22.5</v>
      </c>
      <c r="AC5485" s="127">
        <f t="shared" si="100"/>
        <v>23</v>
      </c>
    </row>
    <row r="5486" ht="14.5" customHeight="1" spans="11:29" x14ac:dyDescent="0.25">
      <c r="K5486" s="128"/>
      <c r="X5486" s="234">
        <v>2022</v>
      </c>
      <c r="Y5486" s="234">
        <v>8</v>
      </c>
      <c r="Z5486" s="234">
        <v>17</v>
      </c>
      <c r="AA5486" s="235">
        <v>0.5</v>
      </c>
      <c r="AB5486" s="236">
        <v>23.9</v>
      </c>
      <c r="AC5486" s="127">
        <f t="shared" si="100"/>
        <v>24</v>
      </c>
    </row>
    <row r="5487" ht="14.5" customHeight="1" spans="11:29" x14ac:dyDescent="0.25">
      <c r="K5487" s="128"/>
      <c r="X5487" s="234">
        <v>2022</v>
      </c>
      <c r="Y5487" s="234">
        <v>8</v>
      </c>
      <c r="Z5487" s="234">
        <v>17</v>
      </c>
      <c r="AA5487" s="235">
        <v>0.5416666666678793</v>
      </c>
      <c r="AB5487" s="236">
        <v>24.9</v>
      </c>
      <c r="AC5487" s="127">
        <f t="shared" si="100"/>
        <v>25</v>
      </c>
    </row>
    <row r="5488" ht="14.5" customHeight="1" spans="11:29" x14ac:dyDescent="0.25">
      <c r="K5488" s="128"/>
      <c r="X5488" s="234">
        <v>2022</v>
      </c>
      <c r="Y5488" s="234">
        <v>8</v>
      </c>
      <c r="Z5488" s="234">
        <v>17</v>
      </c>
      <c r="AA5488" s="235">
        <v>0.5833333333321207</v>
      </c>
      <c r="AB5488" s="236">
        <v>25.6</v>
      </c>
      <c r="AC5488" s="127">
        <f t="shared" si="100"/>
        <v>26</v>
      </c>
    </row>
    <row r="5489" ht="14.5" customHeight="1" spans="11:29" x14ac:dyDescent="0.25">
      <c r="K5489" s="128"/>
      <c r="X5489" s="234">
        <v>2022</v>
      </c>
      <c r="Y5489" s="234">
        <v>8</v>
      </c>
      <c r="Z5489" s="234">
        <v>17</v>
      </c>
      <c r="AA5489" s="235">
        <v>0.625</v>
      </c>
      <c r="AB5489" s="236">
        <v>26.5</v>
      </c>
      <c r="AC5489" s="127">
        <f t="shared" si="100"/>
        <v>27</v>
      </c>
    </row>
    <row r="5490" ht="14.5" customHeight="1" spans="11:29" x14ac:dyDescent="0.25">
      <c r="K5490" s="128"/>
      <c r="X5490" s="234">
        <v>2022</v>
      </c>
      <c r="Y5490" s="234">
        <v>8</v>
      </c>
      <c r="Z5490" s="234">
        <v>17</v>
      </c>
      <c r="AA5490" s="235">
        <v>0.6666666666678793</v>
      </c>
      <c r="AB5490" s="236">
        <v>26.4</v>
      </c>
      <c r="AC5490" s="127">
        <f t="shared" si="100"/>
        <v>26</v>
      </c>
    </row>
    <row r="5491" ht="14.5" customHeight="1" spans="11:29" x14ac:dyDescent="0.25">
      <c r="K5491" s="128"/>
      <c r="X5491" s="234">
        <v>2022</v>
      </c>
      <c r="Y5491" s="234">
        <v>8</v>
      </c>
      <c r="Z5491" s="234">
        <v>17</v>
      </c>
      <c r="AA5491" s="235">
        <v>0.7083333333321207</v>
      </c>
      <c r="AB5491" s="236">
        <v>26.1</v>
      </c>
      <c r="AC5491" s="127">
        <f t="shared" si="100"/>
        <v>26</v>
      </c>
    </row>
    <row r="5492" ht="14.5" customHeight="1" spans="11:29" x14ac:dyDescent="0.25">
      <c r="K5492" s="128"/>
      <c r="X5492" s="234">
        <v>2022</v>
      </c>
      <c r="Y5492" s="234">
        <v>8</v>
      </c>
      <c r="Z5492" s="234">
        <v>17</v>
      </c>
      <c r="AA5492" s="235">
        <v>0.75</v>
      </c>
      <c r="AB5492" s="236">
        <v>25.6</v>
      </c>
      <c r="AC5492" s="127">
        <f t="shared" si="100"/>
        <v>26</v>
      </c>
    </row>
    <row r="5493" ht="14.5" customHeight="1" spans="11:29" x14ac:dyDescent="0.25">
      <c r="K5493" s="128"/>
      <c r="X5493" s="234">
        <v>2022</v>
      </c>
      <c r="Y5493" s="234">
        <v>8</v>
      </c>
      <c r="Z5493" s="234">
        <v>17</v>
      </c>
      <c r="AA5493" s="235">
        <v>0.7916666666678793</v>
      </c>
      <c r="AB5493" s="236">
        <v>24.4</v>
      </c>
      <c r="AC5493" s="127">
        <f t="shared" si="100"/>
        <v>24</v>
      </c>
    </row>
    <row r="5494" ht="14.5" customHeight="1" spans="11:29" x14ac:dyDescent="0.25">
      <c r="K5494" s="128"/>
      <c r="X5494" s="234">
        <v>2022</v>
      </c>
      <c r="Y5494" s="234">
        <v>8</v>
      </c>
      <c r="Z5494" s="234">
        <v>17</v>
      </c>
      <c r="AA5494" s="235">
        <v>0.8333333333321207</v>
      </c>
      <c r="AB5494" s="236">
        <v>22.4</v>
      </c>
      <c r="AC5494" s="127">
        <f t="shared" si="100"/>
        <v>22</v>
      </c>
    </row>
    <row r="5495" ht="14.5" customHeight="1" spans="11:29" x14ac:dyDescent="0.25">
      <c r="K5495" s="128"/>
      <c r="X5495" s="234">
        <v>2022</v>
      </c>
      <c r="Y5495" s="234">
        <v>8</v>
      </c>
      <c r="Z5495" s="234">
        <v>17</v>
      </c>
      <c r="AA5495" s="235">
        <v>0.875</v>
      </c>
      <c r="AB5495" s="236">
        <v>20.9</v>
      </c>
      <c r="AC5495" s="127">
        <f t="shared" si="100"/>
        <v>21</v>
      </c>
    </row>
    <row r="5496" ht="14.5" customHeight="1" spans="11:29" x14ac:dyDescent="0.25">
      <c r="K5496" s="128"/>
      <c r="X5496" s="234">
        <v>2022</v>
      </c>
      <c r="Y5496" s="234">
        <v>8</v>
      </c>
      <c r="Z5496" s="234">
        <v>17</v>
      </c>
      <c r="AA5496" s="235">
        <v>0.9166666666678793</v>
      </c>
      <c r="AB5496" s="236">
        <v>19.5</v>
      </c>
      <c r="AC5496" s="127">
        <f t="shared" si="100"/>
        <v>20</v>
      </c>
    </row>
    <row r="5497" ht="14.5" customHeight="1" spans="11:29" x14ac:dyDescent="0.25">
      <c r="K5497" s="128"/>
      <c r="X5497" s="234">
        <v>2022</v>
      </c>
      <c r="Y5497" s="234">
        <v>8</v>
      </c>
      <c r="Z5497" s="234">
        <v>17</v>
      </c>
      <c r="AA5497" s="235">
        <v>0.9583333333321207</v>
      </c>
      <c r="AB5497" s="236">
        <v>18.4</v>
      </c>
      <c r="AC5497" s="127">
        <f t="shared" si="100"/>
        <v>18</v>
      </c>
    </row>
    <row r="5498" ht="14.5" customHeight="1" spans="11:29" x14ac:dyDescent="0.25">
      <c r="K5498" s="128"/>
      <c r="X5498" s="234">
        <v>2022</v>
      </c>
      <c r="Y5498" s="234">
        <v>8</v>
      </c>
      <c r="Z5498" s="234">
        <v>18</v>
      </c>
      <c r="AA5498" s="235">
        <v>0</v>
      </c>
      <c r="AB5498" s="236">
        <v>16.2</v>
      </c>
      <c r="AC5498" s="127">
        <f t="shared" si="100"/>
        <v>16</v>
      </c>
    </row>
    <row r="5499" ht="14.5" customHeight="1" spans="11:29" x14ac:dyDescent="0.25">
      <c r="K5499" s="128"/>
      <c r="X5499" s="234">
        <v>2022</v>
      </c>
      <c r="Y5499" s="234">
        <v>8</v>
      </c>
      <c r="Z5499" s="234">
        <v>18</v>
      </c>
      <c r="AA5499" s="235">
        <v>0.041666666667879326</v>
      </c>
      <c r="AB5499" s="236">
        <v>15.3</v>
      </c>
      <c r="AC5499" s="127">
        <f t="shared" si="100"/>
        <v>15</v>
      </c>
    </row>
    <row r="5500" ht="14.5" customHeight="1" spans="11:29" x14ac:dyDescent="0.25">
      <c r="K5500" s="128"/>
      <c r="X5500" s="234">
        <v>2022</v>
      </c>
      <c r="Y5500" s="234">
        <v>8</v>
      </c>
      <c r="Z5500" s="234">
        <v>18</v>
      </c>
      <c r="AA5500" s="235">
        <v>0.08333333333212067</v>
      </c>
      <c r="AB5500" s="236">
        <v>13.5</v>
      </c>
      <c r="AC5500" s="127">
        <f t="shared" si="100"/>
        <v>14</v>
      </c>
    </row>
    <row r="5501" ht="14.5" customHeight="1" spans="11:29" x14ac:dyDescent="0.25">
      <c r="K5501" s="128"/>
      <c r="X5501" s="234">
        <v>2022</v>
      </c>
      <c r="Y5501" s="234">
        <v>8</v>
      </c>
      <c r="Z5501" s="234">
        <v>18</v>
      </c>
      <c r="AA5501" s="235">
        <v>0.125</v>
      </c>
      <c r="AB5501" s="236">
        <v>12.6</v>
      </c>
      <c r="AC5501" s="127">
        <f t="shared" si="100"/>
        <v>13</v>
      </c>
    </row>
    <row r="5502" ht="14.5" customHeight="1" spans="11:29" x14ac:dyDescent="0.25">
      <c r="K5502" s="128"/>
      <c r="X5502" s="234">
        <v>2022</v>
      </c>
      <c r="Y5502" s="234">
        <v>8</v>
      </c>
      <c r="Z5502" s="234">
        <v>18</v>
      </c>
      <c r="AA5502" s="235">
        <v>0.16666666666787933</v>
      </c>
      <c r="AB5502" s="236">
        <v>13.4</v>
      </c>
      <c r="AC5502" s="127">
        <f t="shared" si="100"/>
        <v>13</v>
      </c>
    </row>
    <row r="5503" ht="14.5" customHeight="1" spans="11:29" x14ac:dyDescent="0.25">
      <c r="K5503" s="128"/>
      <c r="X5503" s="234">
        <v>2022</v>
      </c>
      <c r="Y5503" s="234">
        <v>8</v>
      </c>
      <c r="Z5503" s="234">
        <v>18</v>
      </c>
      <c r="AA5503" s="235">
        <v>0.20833333333212067</v>
      </c>
      <c r="AB5503" s="236">
        <v>12.5</v>
      </c>
      <c r="AC5503" s="127">
        <f t="shared" si="100"/>
        <v>13</v>
      </c>
    </row>
    <row r="5504" ht="14.5" customHeight="1" spans="11:29" x14ac:dyDescent="0.25">
      <c r="K5504" s="128"/>
      <c r="X5504" s="234">
        <v>2022</v>
      </c>
      <c r="Y5504" s="234">
        <v>8</v>
      </c>
      <c r="Z5504" s="234">
        <v>18</v>
      </c>
      <c r="AA5504" s="235">
        <v>0.25</v>
      </c>
      <c r="AB5504" s="236">
        <v>12.1</v>
      </c>
      <c r="AC5504" s="127">
        <f t="shared" si="100"/>
        <v>12</v>
      </c>
    </row>
    <row r="5505" ht="14.5" customHeight="1" spans="11:29" x14ac:dyDescent="0.25">
      <c r="K5505" s="128"/>
      <c r="X5505" s="234">
        <v>2022</v>
      </c>
      <c r="Y5505" s="234">
        <v>8</v>
      </c>
      <c r="Z5505" s="234">
        <v>18</v>
      </c>
      <c r="AA5505" s="235">
        <v>0.2916666666678793</v>
      </c>
      <c r="AB5505" s="236">
        <v>14.6</v>
      </c>
      <c r="AC5505" s="127">
        <f t="shared" si="100"/>
        <v>15</v>
      </c>
    </row>
    <row r="5506" ht="14.5" customHeight="1" spans="11:29" x14ac:dyDescent="0.25">
      <c r="K5506" s="128"/>
      <c r="X5506" s="234">
        <v>2022</v>
      </c>
      <c r="Y5506" s="234">
        <v>8</v>
      </c>
      <c r="Z5506" s="234">
        <v>18</v>
      </c>
      <c r="AA5506" s="235">
        <v>0.3333333333321207</v>
      </c>
      <c r="AB5506" s="236">
        <v>19.1</v>
      </c>
      <c r="AC5506" s="127">
        <f t="shared" si="100"/>
        <v>19</v>
      </c>
    </row>
    <row r="5507" ht="14.5" customHeight="1" spans="11:29" x14ac:dyDescent="0.25">
      <c r="K5507" s="128"/>
      <c r="X5507" s="234">
        <v>2022</v>
      </c>
      <c r="Y5507" s="234">
        <v>8</v>
      </c>
      <c r="Z5507" s="234">
        <v>18</v>
      </c>
      <c r="AA5507" s="235">
        <v>0.375</v>
      </c>
      <c r="AB5507" s="236">
        <v>20.7</v>
      </c>
      <c r="AC5507" s="127">
        <f t="shared" si="100"/>
        <v>21</v>
      </c>
    </row>
    <row r="5508" ht="14.5" customHeight="1" spans="11:29" x14ac:dyDescent="0.25">
      <c r="K5508" s="128"/>
      <c r="X5508" s="234">
        <v>2022</v>
      </c>
      <c r="Y5508" s="234">
        <v>8</v>
      </c>
      <c r="Z5508" s="234">
        <v>18</v>
      </c>
      <c r="AA5508" s="235">
        <v>0.4166666666678793</v>
      </c>
      <c r="AB5508" s="236">
        <v>22.2</v>
      </c>
      <c r="AC5508" s="127">
        <f t="shared" si="100"/>
        <v>22</v>
      </c>
    </row>
    <row r="5509" ht="14.5" customHeight="1" spans="11:29" x14ac:dyDescent="0.25">
      <c r="K5509" s="128"/>
      <c r="X5509" s="234">
        <v>2022</v>
      </c>
      <c r="Y5509" s="234">
        <v>8</v>
      </c>
      <c r="Z5509" s="234">
        <v>18</v>
      </c>
      <c r="AA5509" s="235">
        <v>0.4583333333321207</v>
      </c>
      <c r="AB5509" s="236">
        <v>24.8</v>
      </c>
      <c r="AC5509" s="127">
        <f t="shared" si="100"/>
        <v>25</v>
      </c>
    </row>
    <row r="5510" ht="14.5" customHeight="1" spans="11:29" x14ac:dyDescent="0.25">
      <c r="K5510" s="128"/>
      <c r="X5510" s="234">
        <v>2022</v>
      </c>
      <c r="Y5510" s="234">
        <v>8</v>
      </c>
      <c r="Z5510" s="234">
        <v>18</v>
      </c>
      <c r="AA5510" s="235">
        <v>0.5</v>
      </c>
      <c r="AB5510" s="236">
        <v>27.4</v>
      </c>
      <c r="AC5510" s="127">
        <f t="shared" si="100"/>
        <v>27</v>
      </c>
    </row>
    <row r="5511" ht="14.5" customHeight="1" spans="11:29" x14ac:dyDescent="0.25">
      <c r="K5511" s="128"/>
      <c r="X5511" s="234">
        <v>2022</v>
      </c>
      <c r="Y5511" s="234">
        <v>8</v>
      </c>
      <c r="Z5511" s="234">
        <v>18</v>
      </c>
      <c r="AA5511" s="235">
        <v>0.5416666666678793</v>
      </c>
      <c r="AB5511" s="236">
        <v>28.9</v>
      </c>
      <c r="AC5511" s="127">
        <f t="shared" si="100"/>
        <v>29</v>
      </c>
    </row>
    <row r="5512" ht="14.5" customHeight="1" spans="11:29" x14ac:dyDescent="0.25">
      <c r="K5512" s="128"/>
      <c r="X5512" s="234">
        <v>2022</v>
      </c>
      <c r="Y5512" s="234">
        <v>8</v>
      </c>
      <c r="Z5512" s="234">
        <v>18</v>
      </c>
      <c r="AA5512" s="235">
        <v>0.5833333333321207</v>
      </c>
      <c r="AB5512" s="236">
        <v>29.6</v>
      </c>
      <c r="AC5512" s="127">
        <f t="shared" si="100"/>
        <v>30</v>
      </c>
    </row>
    <row r="5513" ht="14.5" customHeight="1" spans="11:29" x14ac:dyDescent="0.25">
      <c r="K5513" s="128"/>
      <c r="X5513" s="234">
        <v>2022</v>
      </c>
      <c r="Y5513" s="234">
        <v>8</v>
      </c>
      <c r="Z5513" s="234">
        <v>18</v>
      </c>
      <c r="AA5513" s="235">
        <v>0.625</v>
      </c>
      <c r="AB5513" s="236">
        <v>29.9</v>
      </c>
      <c r="AC5513" s="127">
        <f t="shared" si="100"/>
        <v>30</v>
      </c>
    </row>
    <row r="5514" ht="14.5" customHeight="1" spans="11:29" x14ac:dyDescent="0.25">
      <c r="K5514" s="128"/>
      <c r="X5514" s="234">
        <v>2022</v>
      </c>
      <c r="Y5514" s="234">
        <v>8</v>
      </c>
      <c r="Z5514" s="234">
        <v>18</v>
      </c>
      <c r="AA5514" s="235">
        <v>0.6666666666678793</v>
      </c>
      <c r="AB5514" s="236">
        <v>30.4</v>
      </c>
      <c r="AC5514" s="127">
        <f t="shared" si="100"/>
        <v>30</v>
      </c>
    </row>
    <row r="5515" ht="14.5" customHeight="1" spans="11:29" x14ac:dyDescent="0.25">
      <c r="K5515" s="128"/>
      <c r="X5515" s="234">
        <v>2022</v>
      </c>
      <c r="Y5515" s="234">
        <v>8</v>
      </c>
      <c r="Z5515" s="234">
        <v>18</v>
      </c>
      <c r="AA5515" s="235">
        <v>0.7083333333321207</v>
      </c>
      <c r="AB5515" s="236">
        <v>29.5</v>
      </c>
      <c r="AC5515" s="127">
        <f t="shared" ref="AC5515:AC5578" si="101">ROUND(AB5515,0)</f>
        <v>30</v>
      </c>
    </row>
    <row r="5516" ht="14.5" customHeight="1" spans="11:29" x14ac:dyDescent="0.25">
      <c r="K5516" s="128"/>
      <c r="X5516" s="234">
        <v>2022</v>
      </c>
      <c r="Y5516" s="234">
        <v>8</v>
      </c>
      <c r="Z5516" s="234">
        <v>18</v>
      </c>
      <c r="AA5516" s="235">
        <v>0.75</v>
      </c>
      <c r="AB5516" s="236">
        <v>28.2</v>
      </c>
      <c r="AC5516" s="127">
        <f t="shared" si="101"/>
        <v>28</v>
      </c>
    </row>
    <row r="5517" ht="14.5" customHeight="1" spans="11:29" x14ac:dyDescent="0.25">
      <c r="K5517" s="128"/>
      <c r="X5517" s="234">
        <v>2022</v>
      </c>
      <c r="Y5517" s="234">
        <v>8</v>
      </c>
      <c r="Z5517" s="234">
        <v>18</v>
      </c>
      <c r="AA5517" s="235">
        <v>0.7916666666678793</v>
      </c>
      <c r="AB5517" s="236">
        <v>26.5</v>
      </c>
      <c r="AC5517" s="127">
        <f t="shared" si="101"/>
        <v>27</v>
      </c>
    </row>
    <row r="5518" ht="14.5" customHeight="1" spans="11:29" x14ac:dyDescent="0.25">
      <c r="K5518" s="128"/>
      <c r="X5518" s="234">
        <v>2022</v>
      </c>
      <c r="Y5518" s="234">
        <v>8</v>
      </c>
      <c r="Z5518" s="234">
        <v>18</v>
      </c>
      <c r="AA5518" s="235">
        <v>0.8333333333321207</v>
      </c>
      <c r="AB5518" s="236">
        <v>23.7</v>
      </c>
      <c r="AC5518" s="127">
        <f t="shared" si="101"/>
        <v>24</v>
      </c>
    </row>
    <row r="5519" ht="14.5" customHeight="1" spans="11:29" x14ac:dyDescent="0.25">
      <c r="K5519" s="128"/>
      <c r="X5519" s="234">
        <v>2022</v>
      </c>
      <c r="Y5519" s="234">
        <v>8</v>
      </c>
      <c r="Z5519" s="234">
        <v>18</v>
      </c>
      <c r="AA5519" s="235">
        <v>0.875</v>
      </c>
      <c r="AB5519" s="236">
        <v>21.9</v>
      </c>
      <c r="AC5519" s="127">
        <f t="shared" si="101"/>
        <v>22</v>
      </c>
    </row>
    <row r="5520" ht="14.5" customHeight="1" spans="11:29" x14ac:dyDescent="0.25">
      <c r="K5520" s="128"/>
      <c r="X5520" s="234">
        <v>2022</v>
      </c>
      <c r="Y5520" s="234">
        <v>8</v>
      </c>
      <c r="Z5520" s="234">
        <v>18</v>
      </c>
      <c r="AA5520" s="235">
        <v>0.9166666666678793</v>
      </c>
      <c r="AB5520" s="236">
        <v>20.9</v>
      </c>
      <c r="AC5520" s="127">
        <f t="shared" si="101"/>
        <v>21</v>
      </c>
    </row>
    <row r="5521" ht="14.5" customHeight="1" spans="11:29" x14ac:dyDescent="0.25">
      <c r="K5521" s="128"/>
      <c r="X5521" s="234">
        <v>2022</v>
      </c>
      <c r="Y5521" s="234">
        <v>8</v>
      </c>
      <c r="Z5521" s="234">
        <v>18</v>
      </c>
      <c r="AA5521" s="235">
        <v>0.9583333333321207</v>
      </c>
      <c r="AB5521" s="236">
        <v>18.9</v>
      </c>
      <c r="AC5521" s="127">
        <f t="shared" si="101"/>
        <v>19</v>
      </c>
    </row>
    <row r="5522" ht="14.5" customHeight="1" spans="11:29" x14ac:dyDescent="0.25">
      <c r="K5522" s="128"/>
      <c r="X5522" s="234">
        <v>2022</v>
      </c>
      <c r="Y5522" s="234">
        <v>8</v>
      </c>
      <c r="Z5522" s="234">
        <v>19</v>
      </c>
      <c r="AA5522" s="235">
        <v>0</v>
      </c>
      <c r="AB5522" s="236">
        <v>18.2</v>
      </c>
      <c r="AC5522" s="127">
        <f t="shared" si="101"/>
        <v>18</v>
      </c>
    </row>
    <row r="5523" ht="14.5" customHeight="1" spans="11:29" x14ac:dyDescent="0.25">
      <c r="K5523" s="128"/>
      <c r="X5523" s="234">
        <v>2022</v>
      </c>
      <c r="Y5523" s="234">
        <v>8</v>
      </c>
      <c r="Z5523" s="234">
        <v>19</v>
      </c>
      <c r="AA5523" s="235">
        <v>0.041666666667879326</v>
      </c>
      <c r="AB5523" s="236">
        <v>18.3</v>
      </c>
      <c r="AC5523" s="127">
        <f t="shared" si="101"/>
        <v>18</v>
      </c>
    </row>
    <row r="5524" ht="14.5" customHeight="1" spans="11:29" x14ac:dyDescent="0.25">
      <c r="K5524" s="128"/>
      <c r="X5524" s="234">
        <v>2022</v>
      </c>
      <c r="Y5524" s="234">
        <v>8</v>
      </c>
      <c r="Z5524" s="234">
        <v>19</v>
      </c>
      <c r="AA5524" s="235">
        <v>0.08333333333212067</v>
      </c>
      <c r="AB5524" s="236">
        <v>17.8</v>
      </c>
      <c r="AC5524" s="127">
        <f t="shared" si="101"/>
        <v>18</v>
      </c>
    </row>
    <row r="5525" ht="14.5" customHeight="1" spans="11:29" x14ac:dyDescent="0.25">
      <c r="K5525" s="128"/>
      <c r="X5525" s="234">
        <v>2022</v>
      </c>
      <c r="Y5525" s="234">
        <v>8</v>
      </c>
      <c r="Z5525" s="234">
        <v>19</v>
      </c>
      <c r="AA5525" s="235">
        <v>0.125</v>
      </c>
      <c r="AB5525" s="236">
        <v>16.4</v>
      </c>
      <c r="AC5525" s="127">
        <f t="shared" si="101"/>
        <v>16</v>
      </c>
    </row>
    <row r="5526" ht="14.5" customHeight="1" spans="11:29" x14ac:dyDescent="0.25">
      <c r="K5526" s="128"/>
      <c r="X5526" s="234">
        <v>2022</v>
      </c>
      <c r="Y5526" s="234">
        <v>8</v>
      </c>
      <c r="Z5526" s="234">
        <v>19</v>
      </c>
      <c r="AA5526" s="235">
        <v>0.16666666666787933</v>
      </c>
      <c r="AB5526" s="236">
        <v>15.1</v>
      </c>
      <c r="AC5526" s="127">
        <f t="shared" si="101"/>
        <v>15</v>
      </c>
    </row>
    <row r="5527" ht="14.5" customHeight="1" spans="11:29" x14ac:dyDescent="0.25">
      <c r="K5527" s="128"/>
      <c r="X5527" s="234">
        <v>2022</v>
      </c>
      <c r="Y5527" s="234">
        <v>8</v>
      </c>
      <c r="Z5527" s="234">
        <v>19</v>
      </c>
      <c r="AA5527" s="235">
        <v>0.20833333333212067</v>
      </c>
      <c r="AB5527" s="236">
        <v>15.5</v>
      </c>
      <c r="AC5527" s="127">
        <f t="shared" si="101"/>
        <v>16</v>
      </c>
    </row>
    <row r="5528" ht="14.5" customHeight="1" spans="11:29" x14ac:dyDescent="0.25">
      <c r="K5528" s="128"/>
      <c r="X5528" s="234">
        <v>2022</v>
      </c>
      <c r="Y5528" s="234">
        <v>8</v>
      </c>
      <c r="Z5528" s="234">
        <v>19</v>
      </c>
      <c r="AA5528" s="235">
        <v>0.25</v>
      </c>
      <c r="AB5528" s="236">
        <v>14.3</v>
      </c>
      <c r="AC5528" s="127">
        <f t="shared" si="101"/>
        <v>14</v>
      </c>
    </row>
    <row r="5529" ht="14.5" customHeight="1" spans="11:29" x14ac:dyDescent="0.25">
      <c r="K5529" s="128"/>
      <c r="X5529" s="234">
        <v>2022</v>
      </c>
      <c r="Y5529" s="234">
        <v>8</v>
      </c>
      <c r="Z5529" s="234">
        <v>19</v>
      </c>
      <c r="AA5529" s="235">
        <v>0.2916666666678793</v>
      </c>
      <c r="AB5529" s="236">
        <v>17.3</v>
      </c>
      <c r="AC5529" s="127">
        <f t="shared" si="101"/>
        <v>17</v>
      </c>
    </row>
    <row r="5530" ht="14.5" customHeight="1" spans="11:29" x14ac:dyDescent="0.25">
      <c r="K5530" s="128"/>
      <c r="X5530" s="234">
        <v>2022</v>
      </c>
      <c r="Y5530" s="234">
        <v>8</v>
      </c>
      <c r="Z5530" s="234">
        <v>19</v>
      </c>
      <c r="AA5530" s="235">
        <v>0.3333333333321207</v>
      </c>
      <c r="AB5530" s="236">
        <v>20.3</v>
      </c>
      <c r="AC5530" s="127">
        <f t="shared" si="101"/>
        <v>20</v>
      </c>
    </row>
    <row r="5531" ht="14.5" customHeight="1" spans="11:29" x14ac:dyDescent="0.25">
      <c r="K5531" s="128"/>
      <c r="X5531" s="234">
        <v>2022</v>
      </c>
      <c r="Y5531" s="234">
        <v>8</v>
      </c>
      <c r="Z5531" s="234">
        <v>19</v>
      </c>
      <c r="AA5531" s="235">
        <v>0.375</v>
      </c>
      <c r="AB5531" s="236">
        <v>22.7</v>
      </c>
      <c r="AC5531" s="127">
        <f t="shared" si="101"/>
        <v>23</v>
      </c>
    </row>
    <row r="5532" ht="14.5" customHeight="1" spans="11:29" x14ac:dyDescent="0.25">
      <c r="K5532" s="128"/>
      <c r="X5532" s="234">
        <v>2022</v>
      </c>
      <c r="Y5532" s="234">
        <v>8</v>
      </c>
      <c r="Z5532" s="234">
        <v>19</v>
      </c>
      <c r="AA5532" s="235">
        <v>0.4166666666678793</v>
      </c>
      <c r="AB5532" s="236">
        <v>24.2</v>
      </c>
      <c r="AC5532" s="127">
        <f t="shared" si="101"/>
        <v>24</v>
      </c>
    </row>
    <row r="5533" ht="14.5" customHeight="1" spans="11:29" x14ac:dyDescent="0.25">
      <c r="K5533" s="128"/>
      <c r="X5533" s="234">
        <v>2022</v>
      </c>
      <c r="Y5533" s="234">
        <v>8</v>
      </c>
      <c r="Z5533" s="234">
        <v>19</v>
      </c>
      <c r="AA5533" s="235">
        <v>0.4583333333321207</v>
      </c>
      <c r="AB5533" s="236">
        <v>27.5</v>
      </c>
      <c r="AC5533" s="127">
        <f t="shared" si="101"/>
        <v>28</v>
      </c>
    </row>
    <row r="5534" ht="14.5" customHeight="1" spans="11:29" x14ac:dyDescent="0.25">
      <c r="K5534" s="128"/>
      <c r="X5534" s="234">
        <v>2022</v>
      </c>
      <c r="Y5534" s="234">
        <v>8</v>
      </c>
      <c r="Z5534" s="234">
        <v>19</v>
      </c>
      <c r="AA5534" s="235">
        <v>0.5</v>
      </c>
      <c r="AB5534" s="236">
        <v>29.7</v>
      </c>
      <c r="AC5534" s="127">
        <f t="shared" si="101"/>
        <v>30</v>
      </c>
    </row>
    <row r="5535" ht="14.5" customHeight="1" spans="11:29" x14ac:dyDescent="0.25">
      <c r="K5535" s="128"/>
      <c r="X5535" s="234">
        <v>2022</v>
      </c>
      <c r="Y5535" s="234">
        <v>8</v>
      </c>
      <c r="Z5535" s="234">
        <v>19</v>
      </c>
      <c r="AA5535" s="235">
        <v>0.5416666666678793</v>
      </c>
      <c r="AB5535" s="236">
        <v>30</v>
      </c>
      <c r="AC5535" s="127">
        <f t="shared" si="101"/>
        <v>30</v>
      </c>
    </row>
    <row r="5536" ht="14.5" customHeight="1" spans="11:29" x14ac:dyDescent="0.25">
      <c r="K5536" s="128"/>
      <c r="X5536" s="234">
        <v>2022</v>
      </c>
      <c r="Y5536" s="234">
        <v>8</v>
      </c>
      <c r="Z5536" s="234">
        <v>19</v>
      </c>
      <c r="AA5536" s="235">
        <v>0.5833333333321207</v>
      </c>
      <c r="AB5536" s="236">
        <v>30.4</v>
      </c>
      <c r="AC5536" s="127">
        <f t="shared" si="101"/>
        <v>30</v>
      </c>
    </row>
    <row r="5537" ht="14.5" customHeight="1" spans="11:29" x14ac:dyDescent="0.25">
      <c r="K5537" s="128"/>
      <c r="X5537" s="234">
        <v>2022</v>
      </c>
      <c r="Y5537" s="234">
        <v>8</v>
      </c>
      <c r="Z5537" s="234">
        <v>19</v>
      </c>
      <c r="AA5537" s="235">
        <v>0.625</v>
      </c>
      <c r="AB5537" s="236">
        <v>31.1</v>
      </c>
      <c r="AC5537" s="127">
        <f t="shared" si="101"/>
        <v>31</v>
      </c>
    </row>
    <row r="5538" ht="14.5" customHeight="1" spans="11:29" x14ac:dyDescent="0.25">
      <c r="K5538" s="128"/>
      <c r="X5538" s="234">
        <v>2022</v>
      </c>
      <c r="Y5538" s="234">
        <v>8</v>
      </c>
      <c r="Z5538" s="234">
        <v>19</v>
      </c>
      <c r="AA5538" s="235">
        <v>0.6666666666678793</v>
      </c>
      <c r="AB5538" s="236">
        <v>31</v>
      </c>
      <c r="AC5538" s="127">
        <f t="shared" si="101"/>
        <v>31</v>
      </c>
    </row>
    <row r="5539" ht="14.5" customHeight="1" spans="11:29" x14ac:dyDescent="0.25">
      <c r="K5539" s="128"/>
      <c r="X5539" s="234">
        <v>2022</v>
      </c>
      <c r="Y5539" s="234">
        <v>8</v>
      </c>
      <c r="Z5539" s="234">
        <v>19</v>
      </c>
      <c r="AA5539" s="235">
        <v>0.7083333333321207</v>
      </c>
      <c r="AB5539" s="236">
        <v>30.3</v>
      </c>
      <c r="AC5539" s="127">
        <f t="shared" si="101"/>
        <v>30</v>
      </c>
    </row>
    <row r="5540" ht="14.5" customHeight="1" spans="11:29" x14ac:dyDescent="0.25">
      <c r="K5540" s="128"/>
      <c r="X5540" s="234">
        <v>2022</v>
      </c>
      <c r="Y5540" s="234">
        <v>8</v>
      </c>
      <c r="Z5540" s="234">
        <v>19</v>
      </c>
      <c r="AA5540" s="235">
        <v>0.75</v>
      </c>
      <c r="AB5540" s="236">
        <v>29.3</v>
      </c>
      <c r="AC5540" s="127">
        <f t="shared" si="101"/>
        <v>29</v>
      </c>
    </row>
    <row r="5541" ht="14.5" customHeight="1" spans="11:29" x14ac:dyDescent="0.25">
      <c r="K5541" s="128"/>
      <c r="X5541" s="234">
        <v>2022</v>
      </c>
      <c r="Y5541" s="234">
        <v>8</v>
      </c>
      <c r="Z5541" s="234">
        <v>19</v>
      </c>
      <c r="AA5541" s="235">
        <v>0.7916666666678793</v>
      </c>
      <c r="AB5541" s="236">
        <v>26.7</v>
      </c>
      <c r="AC5541" s="127">
        <f t="shared" si="101"/>
        <v>27</v>
      </c>
    </row>
    <row r="5542" ht="14.5" customHeight="1" spans="11:29" x14ac:dyDescent="0.25">
      <c r="K5542" s="128"/>
      <c r="X5542" s="234">
        <v>2022</v>
      </c>
      <c r="Y5542" s="234">
        <v>8</v>
      </c>
      <c r="Z5542" s="234">
        <v>19</v>
      </c>
      <c r="AA5542" s="235">
        <v>0.8333333333321207</v>
      </c>
      <c r="AB5542" s="236">
        <v>23.9</v>
      </c>
      <c r="AC5542" s="127">
        <f t="shared" si="101"/>
        <v>24</v>
      </c>
    </row>
    <row r="5543" ht="14.5" customHeight="1" spans="11:29" x14ac:dyDescent="0.25">
      <c r="K5543" s="128"/>
      <c r="X5543" s="234">
        <v>2022</v>
      </c>
      <c r="Y5543" s="234">
        <v>8</v>
      </c>
      <c r="Z5543" s="234">
        <v>19</v>
      </c>
      <c r="AA5543" s="235">
        <v>0.875</v>
      </c>
      <c r="AB5543" s="236">
        <v>21.9</v>
      </c>
      <c r="AC5543" s="127">
        <f t="shared" si="101"/>
        <v>22</v>
      </c>
    </row>
    <row r="5544" ht="14.5" customHeight="1" spans="11:29" x14ac:dyDescent="0.25">
      <c r="K5544" s="128"/>
      <c r="X5544" s="234">
        <v>2022</v>
      </c>
      <c r="Y5544" s="234">
        <v>8</v>
      </c>
      <c r="Z5544" s="234">
        <v>19</v>
      </c>
      <c r="AA5544" s="235">
        <v>0.9166666666678793</v>
      </c>
      <c r="AB5544" s="236">
        <v>20.6</v>
      </c>
      <c r="AC5544" s="127">
        <f t="shared" si="101"/>
        <v>21</v>
      </c>
    </row>
    <row r="5545" ht="14.5" customHeight="1" spans="11:29" x14ac:dyDescent="0.25">
      <c r="K5545" s="128"/>
      <c r="X5545" s="234">
        <v>2022</v>
      </c>
      <c r="Y5545" s="234">
        <v>8</v>
      </c>
      <c r="Z5545" s="234">
        <v>19</v>
      </c>
      <c r="AA5545" s="235">
        <v>0.9583333333321207</v>
      </c>
      <c r="AB5545" s="236">
        <v>18.7</v>
      </c>
      <c r="AC5545" s="127">
        <f t="shared" si="101"/>
        <v>19</v>
      </c>
    </row>
    <row r="5546" ht="14.5" customHeight="1" spans="11:29" x14ac:dyDescent="0.25">
      <c r="K5546" s="128"/>
      <c r="X5546" s="234">
        <v>2022</v>
      </c>
      <c r="Y5546" s="234">
        <v>8</v>
      </c>
      <c r="Z5546" s="234">
        <v>20</v>
      </c>
      <c r="AA5546" s="235">
        <v>0</v>
      </c>
      <c r="AB5546" s="236">
        <v>17.4</v>
      </c>
      <c r="AC5546" s="127">
        <f t="shared" si="101"/>
        <v>17</v>
      </c>
    </row>
    <row r="5547" ht="14.5" customHeight="1" spans="11:29" x14ac:dyDescent="0.25">
      <c r="K5547" s="128"/>
      <c r="X5547" s="234">
        <v>2022</v>
      </c>
      <c r="Y5547" s="234">
        <v>8</v>
      </c>
      <c r="Z5547" s="234">
        <v>20</v>
      </c>
      <c r="AA5547" s="235">
        <v>0.041666666667879326</v>
      </c>
      <c r="AB5547" s="236">
        <v>16.7</v>
      </c>
      <c r="AC5547" s="127">
        <f t="shared" si="101"/>
        <v>17</v>
      </c>
    </row>
    <row r="5548" ht="14.5" customHeight="1" spans="11:29" x14ac:dyDescent="0.25">
      <c r="K5548" s="128"/>
      <c r="X5548" s="234">
        <v>2022</v>
      </c>
      <c r="Y5548" s="234">
        <v>8</v>
      </c>
      <c r="Z5548" s="234">
        <v>20</v>
      </c>
      <c r="AA5548" s="235">
        <v>0.08333333333212067</v>
      </c>
      <c r="AB5548" s="236">
        <v>16.6</v>
      </c>
      <c r="AC5548" s="127">
        <f t="shared" si="101"/>
        <v>17</v>
      </c>
    </row>
    <row r="5549" ht="14.5" customHeight="1" spans="11:29" x14ac:dyDescent="0.25">
      <c r="K5549" s="128"/>
      <c r="X5549" s="234">
        <v>2022</v>
      </c>
      <c r="Y5549" s="234">
        <v>8</v>
      </c>
      <c r="Z5549" s="234">
        <v>20</v>
      </c>
      <c r="AA5549" s="235">
        <v>0.125</v>
      </c>
      <c r="AB5549" s="236">
        <v>14.7</v>
      </c>
      <c r="AC5549" s="127">
        <f t="shared" si="101"/>
        <v>15</v>
      </c>
    </row>
    <row r="5550" ht="14.5" customHeight="1" spans="11:29" x14ac:dyDescent="0.25">
      <c r="K5550" s="128"/>
      <c r="X5550" s="234">
        <v>2022</v>
      </c>
      <c r="Y5550" s="234">
        <v>8</v>
      </c>
      <c r="Z5550" s="234">
        <v>20</v>
      </c>
      <c r="AA5550" s="235">
        <v>0.16666666666787933</v>
      </c>
      <c r="AB5550" s="236">
        <v>14.8</v>
      </c>
      <c r="AC5550" s="127">
        <f t="shared" si="101"/>
        <v>15</v>
      </c>
    </row>
    <row r="5551" ht="14.5" customHeight="1" spans="11:29" x14ac:dyDescent="0.25">
      <c r="K5551" s="128"/>
      <c r="X5551" s="234">
        <v>2022</v>
      </c>
      <c r="Y5551" s="234">
        <v>8</v>
      </c>
      <c r="Z5551" s="234">
        <v>20</v>
      </c>
      <c r="AA5551" s="235">
        <v>0.20833333333212067</v>
      </c>
      <c r="AB5551" s="236">
        <v>15</v>
      </c>
      <c r="AC5551" s="127">
        <f t="shared" si="101"/>
        <v>15</v>
      </c>
    </row>
    <row r="5552" ht="14.5" customHeight="1" spans="11:29" x14ac:dyDescent="0.25">
      <c r="K5552" s="128"/>
      <c r="X5552" s="234">
        <v>2022</v>
      </c>
      <c r="Y5552" s="234">
        <v>8</v>
      </c>
      <c r="Z5552" s="234">
        <v>20</v>
      </c>
      <c r="AA5552" s="235">
        <v>0.25</v>
      </c>
      <c r="AB5552" s="236">
        <v>17</v>
      </c>
      <c r="AC5552" s="127">
        <f t="shared" si="101"/>
        <v>17</v>
      </c>
    </row>
    <row r="5553" ht="14.5" customHeight="1" spans="11:29" x14ac:dyDescent="0.25">
      <c r="K5553" s="128"/>
      <c r="X5553" s="234">
        <v>2022</v>
      </c>
      <c r="Y5553" s="234">
        <v>8</v>
      </c>
      <c r="Z5553" s="234">
        <v>20</v>
      </c>
      <c r="AA5553" s="235">
        <v>0.2916666666678793</v>
      </c>
      <c r="AB5553" s="236">
        <v>19.1</v>
      </c>
      <c r="AC5553" s="127">
        <f t="shared" si="101"/>
        <v>19</v>
      </c>
    </row>
    <row r="5554" ht="14.5" customHeight="1" spans="11:29" x14ac:dyDescent="0.25">
      <c r="K5554" s="128"/>
      <c r="X5554" s="234">
        <v>2022</v>
      </c>
      <c r="Y5554" s="234">
        <v>8</v>
      </c>
      <c r="Z5554" s="234">
        <v>20</v>
      </c>
      <c r="AA5554" s="235">
        <v>0.3333333333321207</v>
      </c>
      <c r="AB5554" s="236">
        <v>21.1</v>
      </c>
      <c r="AC5554" s="127">
        <f t="shared" si="101"/>
        <v>21</v>
      </c>
    </row>
    <row r="5555" ht="14.5" customHeight="1" spans="11:29" x14ac:dyDescent="0.25">
      <c r="K5555" s="128"/>
      <c r="X5555" s="234">
        <v>2022</v>
      </c>
      <c r="Y5555" s="234">
        <v>8</v>
      </c>
      <c r="Z5555" s="234">
        <v>20</v>
      </c>
      <c r="AA5555" s="235">
        <v>0.375</v>
      </c>
      <c r="AB5555" s="236">
        <v>22.6</v>
      </c>
      <c r="AC5555" s="127">
        <f t="shared" si="101"/>
        <v>23</v>
      </c>
    </row>
    <row r="5556" ht="14.5" customHeight="1" spans="11:29" x14ac:dyDescent="0.25">
      <c r="K5556" s="128"/>
      <c r="X5556" s="234">
        <v>2022</v>
      </c>
      <c r="Y5556" s="234">
        <v>8</v>
      </c>
      <c r="Z5556" s="234">
        <v>20</v>
      </c>
      <c r="AA5556" s="235">
        <v>0.4166666666678793</v>
      </c>
      <c r="AB5556" s="236">
        <v>23.9</v>
      </c>
      <c r="AC5556" s="127">
        <f t="shared" si="101"/>
        <v>24</v>
      </c>
    </row>
    <row r="5557" ht="14.5" customHeight="1" spans="11:29" x14ac:dyDescent="0.25">
      <c r="K5557" s="128"/>
      <c r="X5557" s="234">
        <v>2022</v>
      </c>
      <c r="Y5557" s="234">
        <v>8</v>
      </c>
      <c r="Z5557" s="234">
        <v>20</v>
      </c>
      <c r="AA5557" s="235">
        <v>0.4583333333321207</v>
      </c>
      <c r="AB5557" s="236">
        <v>23.4</v>
      </c>
      <c r="AC5557" s="127">
        <f t="shared" si="101"/>
        <v>23</v>
      </c>
    </row>
    <row r="5558" ht="14.5" customHeight="1" spans="11:29" x14ac:dyDescent="0.25">
      <c r="K5558" s="128"/>
      <c r="X5558" s="234">
        <v>2022</v>
      </c>
      <c r="Y5558" s="234">
        <v>8</v>
      </c>
      <c r="Z5558" s="234">
        <v>20</v>
      </c>
      <c r="AA5558" s="235">
        <v>0.5</v>
      </c>
      <c r="AB5558" s="236">
        <v>23.4</v>
      </c>
      <c r="AC5558" s="127">
        <f t="shared" si="101"/>
        <v>23</v>
      </c>
    </row>
    <row r="5559" ht="14.5" customHeight="1" spans="11:29" x14ac:dyDescent="0.25">
      <c r="K5559" s="128"/>
      <c r="X5559" s="234">
        <v>2022</v>
      </c>
      <c r="Y5559" s="234">
        <v>8</v>
      </c>
      <c r="Z5559" s="234">
        <v>20</v>
      </c>
      <c r="AA5559" s="235">
        <v>0.5416666666678793</v>
      </c>
      <c r="AB5559" s="236">
        <v>23.7</v>
      </c>
      <c r="AC5559" s="127">
        <f t="shared" si="101"/>
        <v>24</v>
      </c>
    </row>
    <row r="5560" ht="14.5" customHeight="1" spans="11:29" x14ac:dyDescent="0.25">
      <c r="K5560" s="128"/>
      <c r="X5560" s="234">
        <v>2022</v>
      </c>
      <c r="Y5560" s="234">
        <v>8</v>
      </c>
      <c r="Z5560" s="234">
        <v>20</v>
      </c>
      <c r="AA5560" s="235">
        <v>0.5833333333321207</v>
      </c>
      <c r="AB5560" s="236">
        <v>24.3</v>
      </c>
      <c r="AC5560" s="127">
        <f t="shared" si="101"/>
        <v>24</v>
      </c>
    </row>
    <row r="5561" ht="14.5" customHeight="1" spans="11:29" x14ac:dyDescent="0.25">
      <c r="K5561" s="128"/>
      <c r="X5561" s="234">
        <v>2022</v>
      </c>
      <c r="Y5561" s="234">
        <v>8</v>
      </c>
      <c r="Z5561" s="234">
        <v>20</v>
      </c>
      <c r="AA5561" s="235">
        <v>0.625</v>
      </c>
      <c r="AB5561" s="236">
        <v>22.5</v>
      </c>
      <c r="AC5561" s="127">
        <f t="shared" si="101"/>
        <v>23</v>
      </c>
    </row>
    <row r="5562" ht="14.5" customHeight="1" spans="11:29" x14ac:dyDescent="0.25">
      <c r="K5562" s="128"/>
      <c r="X5562" s="234">
        <v>2022</v>
      </c>
      <c r="Y5562" s="234">
        <v>8</v>
      </c>
      <c r="Z5562" s="234">
        <v>20</v>
      </c>
      <c r="AA5562" s="235">
        <v>0.6666666666678793</v>
      </c>
      <c r="AB5562" s="236">
        <v>25.5</v>
      </c>
      <c r="AC5562" s="127">
        <f t="shared" si="101"/>
        <v>26</v>
      </c>
    </row>
    <row r="5563" ht="14.5" customHeight="1" spans="11:29" x14ac:dyDescent="0.25">
      <c r="K5563" s="128"/>
      <c r="X5563" s="234">
        <v>2022</v>
      </c>
      <c r="Y5563" s="234">
        <v>8</v>
      </c>
      <c r="Z5563" s="234">
        <v>20</v>
      </c>
      <c r="AA5563" s="235">
        <v>0.7083333333321207</v>
      </c>
      <c r="AB5563" s="236">
        <v>26.6</v>
      </c>
      <c r="AC5563" s="127">
        <f t="shared" si="101"/>
        <v>27</v>
      </c>
    </row>
    <row r="5564" ht="14.5" customHeight="1" spans="11:29" x14ac:dyDescent="0.25">
      <c r="K5564" s="128"/>
      <c r="X5564" s="234">
        <v>2022</v>
      </c>
      <c r="Y5564" s="234">
        <v>8</v>
      </c>
      <c r="Z5564" s="234">
        <v>20</v>
      </c>
      <c r="AA5564" s="235">
        <v>0.75</v>
      </c>
      <c r="AB5564" s="236">
        <v>25.5</v>
      </c>
      <c r="AC5564" s="127">
        <f t="shared" si="101"/>
        <v>26</v>
      </c>
    </row>
    <row r="5565" ht="14.5" customHeight="1" spans="11:29" x14ac:dyDescent="0.25">
      <c r="K5565" s="128"/>
      <c r="X5565" s="234">
        <v>2022</v>
      </c>
      <c r="Y5565" s="234">
        <v>8</v>
      </c>
      <c r="Z5565" s="234">
        <v>20</v>
      </c>
      <c r="AA5565" s="235">
        <v>0.7916666666678793</v>
      </c>
      <c r="AB5565" s="236">
        <v>23.8</v>
      </c>
      <c r="AC5565" s="127">
        <f t="shared" si="101"/>
        <v>24</v>
      </c>
    </row>
    <row r="5566" ht="14.5" customHeight="1" spans="11:29" x14ac:dyDescent="0.25">
      <c r="K5566" s="128"/>
      <c r="X5566" s="234">
        <v>2022</v>
      </c>
      <c r="Y5566" s="234">
        <v>8</v>
      </c>
      <c r="Z5566" s="234">
        <v>20</v>
      </c>
      <c r="AA5566" s="235">
        <v>0.8333333333321207</v>
      </c>
      <c r="AB5566" s="236">
        <v>21</v>
      </c>
      <c r="AC5566" s="127">
        <f t="shared" si="101"/>
        <v>21</v>
      </c>
    </row>
    <row r="5567" ht="14.5" customHeight="1" spans="11:29" x14ac:dyDescent="0.25">
      <c r="K5567" s="128"/>
      <c r="X5567" s="234">
        <v>2022</v>
      </c>
      <c r="Y5567" s="234">
        <v>8</v>
      </c>
      <c r="Z5567" s="234">
        <v>20</v>
      </c>
      <c r="AA5567" s="235">
        <v>0.875</v>
      </c>
      <c r="AB5567" s="236">
        <v>18.8</v>
      </c>
      <c r="AC5567" s="127">
        <f t="shared" si="101"/>
        <v>19</v>
      </c>
    </row>
    <row r="5568" ht="14.5" customHeight="1" spans="11:29" x14ac:dyDescent="0.25">
      <c r="K5568" s="128"/>
      <c r="X5568" s="234">
        <v>2022</v>
      </c>
      <c r="Y5568" s="234">
        <v>8</v>
      </c>
      <c r="Z5568" s="234">
        <v>20</v>
      </c>
      <c r="AA5568" s="235">
        <v>0.9166666666678793</v>
      </c>
      <c r="AB5568" s="236">
        <v>17.7</v>
      </c>
      <c r="AC5568" s="127">
        <f t="shared" si="101"/>
        <v>18</v>
      </c>
    </row>
    <row r="5569" ht="14.5" customHeight="1" spans="11:29" x14ac:dyDescent="0.25">
      <c r="K5569" s="128"/>
      <c r="X5569" s="234">
        <v>2022</v>
      </c>
      <c r="Y5569" s="234">
        <v>8</v>
      </c>
      <c r="Z5569" s="234">
        <v>20</v>
      </c>
      <c r="AA5569" s="235">
        <v>0.9583333333321207</v>
      </c>
      <c r="AB5569" s="236">
        <v>18.2</v>
      </c>
      <c r="AC5569" s="127">
        <f t="shared" si="101"/>
        <v>18</v>
      </c>
    </row>
    <row r="5570" ht="14.5" customHeight="1" spans="11:29" x14ac:dyDescent="0.25">
      <c r="K5570" s="128"/>
      <c r="X5570" s="234">
        <v>2022</v>
      </c>
      <c r="Y5570" s="234">
        <v>8</v>
      </c>
      <c r="Z5570" s="234">
        <v>21</v>
      </c>
      <c r="AA5570" s="235">
        <v>0</v>
      </c>
      <c r="AB5570" s="236">
        <v>18.3</v>
      </c>
      <c r="AC5570" s="127">
        <f t="shared" si="101"/>
        <v>18</v>
      </c>
    </row>
    <row r="5571" ht="14.5" customHeight="1" spans="11:29" x14ac:dyDescent="0.25">
      <c r="K5571" s="128"/>
      <c r="X5571" s="234">
        <v>2022</v>
      </c>
      <c r="Y5571" s="234">
        <v>8</v>
      </c>
      <c r="Z5571" s="234">
        <v>21</v>
      </c>
      <c r="AA5571" s="235">
        <v>0.041666666667879326</v>
      </c>
      <c r="AB5571" s="236">
        <v>16.6</v>
      </c>
      <c r="AC5571" s="127">
        <f t="shared" si="101"/>
        <v>17</v>
      </c>
    </row>
    <row r="5572" ht="14.5" customHeight="1" spans="11:29" x14ac:dyDescent="0.25">
      <c r="K5572" s="128"/>
      <c r="X5572" s="234">
        <v>2022</v>
      </c>
      <c r="Y5572" s="234">
        <v>8</v>
      </c>
      <c r="Z5572" s="234">
        <v>21</v>
      </c>
      <c r="AA5572" s="235">
        <v>0.08333333333212067</v>
      </c>
      <c r="AB5572" s="236">
        <v>15.5</v>
      </c>
      <c r="AC5572" s="127">
        <f t="shared" si="101"/>
        <v>16</v>
      </c>
    </row>
    <row r="5573" ht="14.5" customHeight="1" spans="11:29" x14ac:dyDescent="0.25">
      <c r="K5573" s="128"/>
      <c r="X5573" s="234">
        <v>2022</v>
      </c>
      <c r="Y5573" s="234">
        <v>8</v>
      </c>
      <c r="Z5573" s="234">
        <v>21</v>
      </c>
      <c r="AA5573" s="235">
        <v>0.125</v>
      </c>
      <c r="AB5573" s="236">
        <v>15.5</v>
      </c>
      <c r="AC5573" s="127">
        <f t="shared" si="101"/>
        <v>16</v>
      </c>
    </row>
    <row r="5574" ht="14.5" customHeight="1" spans="11:29" x14ac:dyDescent="0.25">
      <c r="K5574" s="128"/>
      <c r="X5574" s="234">
        <v>2022</v>
      </c>
      <c r="Y5574" s="234">
        <v>8</v>
      </c>
      <c r="Z5574" s="234">
        <v>21</v>
      </c>
      <c r="AA5574" s="235">
        <v>0.16666666666787933</v>
      </c>
      <c r="AB5574" s="236">
        <v>15.2</v>
      </c>
      <c r="AC5574" s="127">
        <f t="shared" si="101"/>
        <v>15</v>
      </c>
    </row>
    <row r="5575" ht="14.5" customHeight="1" spans="11:29" x14ac:dyDescent="0.25">
      <c r="K5575" s="128"/>
      <c r="X5575" s="234">
        <v>2022</v>
      </c>
      <c r="Y5575" s="234">
        <v>8</v>
      </c>
      <c r="Z5575" s="234">
        <v>21</v>
      </c>
      <c r="AA5575" s="235">
        <v>0.20833333333212067</v>
      </c>
      <c r="AB5575" s="236">
        <v>14.8</v>
      </c>
      <c r="AC5575" s="127">
        <f t="shared" si="101"/>
        <v>15</v>
      </c>
    </row>
    <row r="5576" ht="14.5" customHeight="1" spans="11:29" x14ac:dyDescent="0.25">
      <c r="K5576" s="128"/>
      <c r="X5576" s="234">
        <v>2022</v>
      </c>
      <c r="Y5576" s="234">
        <v>8</v>
      </c>
      <c r="Z5576" s="234">
        <v>21</v>
      </c>
      <c r="AA5576" s="235">
        <v>0.25</v>
      </c>
      <c r="AB5576" s="236">
        <v>14.9</v>
      </c>
      <c r="AC5576" s="127">
        <f t="shared" si="101"/>
        <v>15</v>
      </c>
    </row>
    <row r="5577" ht="14.5" customHeight="1" spans="11:29" x14ac:dyDescent="0.25">
      <c r="K5577" s="128"/>
      <c r="X5577" s="234">
        <v>2022</v>
      </c>
      <c r="Y5577" s="234">
        <v>8</v>
      </c>
      <c r="Z5577" s="234">
        <v>21</v>
      </c>
      <c r="AA5577" s="235">
        <v>0.2916666666678793</v>
      </c>
      <c r="AB5577" s="236">
        <v>16.8</v>
      </c>
      <c r="AC5577" s="127">
        <f t="shared" si="101"/>
        <v>17</v>
      </c>
    </row>
    <row r="5578" ht="14.5" customHeight="1" spans="11:29" x14ac:dyDescent="0.25">
      <c r="K5578" s="128"/>
      <c r="X5578" s="234">
        <v>2022</v>
      </c>
      <c r="Y5578" s="234">
        <v>8</v>
      </c>
      <c r="Z5578" s="234">
        <v>21</v>
      </c>
      <c r="AA5578" s="235">
        <v>0.3333333333321207</v>
      </c>
      <c r="AB5578" s="236">
        <v>18.8</v>
      </c>
      <c r="AC5578" s="127">
        <f t="shared" si="101"/>
        <v>19</v>
      </c>
    </row>
    <row r="5579" ht="14.5" customHeight="1" spans="11:29" x14ac:dyDescent="0.25">
      <c r="K5579" s="128"/>
      <c r="X5579" s="234">
        <v>2022</v>
      </c>
      <c r="Y5579" s="234">
        <v>8</v>
      </c>
      <c r="Z5579" s="234">
        <v>21</v>
      </c>
      <c r="AA5579" s="235">
        <v>0.375</v>
      </c>
      <c r="AB5579" s="236">
        <v>19.7</v>
      </c>
      <c r="AC5579" s="127">
        <f t="shared" ref="AC5579:AC5642" si="102">ROUND(AB5579,0)</f>
        <v>20</v>
      </c>
    </row>
    <row r="5580" ht="14.5" customHeight="1" spans="11:29" x14ac:dyDescent="0.25">
      <c r="K5580" s="128"/>
      <c r="X5580" s="234">
        <v>2022</v>
      </c>
      <c r="Y5580" s="234">
        <v>8</v>
      </c>
      <c r="Z5580" s="234">
        <v>21</v>
      </c>
      <c r="AA5580" s="235">
        <v>0.4166666666678793</v>
      </c>
      <c r="AB5580" s="236">
        <v>21</v>
      </c>
      <c r="AC5580" s="127">
        <f t="shared" si="102"/>
        <v>21</v>
      </c>
    </row>
    <row r="5581" ht="14.5" customHeight="1" spans="11:29" x14ac:dyDescent="0.25">
      <c r="K5581" s="128"/>
      <c r="X5581" s="234">
        <v>2022</v>
      </c>
      <c r="Y5581" s="234">
        <v>8</v>
      </c>
      <c r="Z5581" s="234">
        <v>21</v>
      </c>
      <c r="AA5581" s="235">
        <v>0.4583333333321207</v>
      </c>
      <c r="AB5581" s="236">
        <v>21.8</v>
      </c>
      <c r="AC5581" s="127">
        <f t="shared" si="102"/>
        <v>22</v>
      </c>
    </row>
    <row r="5582" ht="14.5" customHeight="1" spans="11:29" x14ac:dyDescent="0.25">
      <c r="K5582" s="128"/>
      <c r="X5582" s="234">
        <v>2022</v>
      </c>
      <c r="Y5582" s="234">
        <v>8</v>
      </c>
      <c r="Z5582" s="234">
        <v>21</v>
      </c>
      <c r="AA5582" s="235">
        <v>0.5</v>
      </c>
      <c r="AB5582" s="236">
        <v>23.8</v>
      </c>
      <c r="AC5582" s="127">
        <f t="shared" si="102"/>
        <v>24</v>
      </c>
    </row>
    <row r="5583" ht="14.5" customHeight="1" spans="11:29" x14ac:dyDescent="0.25">
      <c r="K5583" s="128"/>
      <c r="X5583" s="234">
        <v>2022</v>
      </c>
      <c r="Y5583" s="234">
        <v>8</v>
      </c>
      <c r="Z5583" s="234">
        <v>21</v>
      </c>
      <c r="AA5583" s="235">
        <v>0.5416666666678793</v>
      </c>
      <c r="AB5583" s="236">
        <v>24.5</v>
      </c>
      <c r="AC5583" s="127">
        <f t="shared" si="102"/>
        <v>25</v>
      </c>
    </row>
    <row r="5584" ht="14.5" customHeight="1" spans="11:29" x14ac:dyDescent="0.25">
      <c r="K5584" s="128"/>
      <c r="X5584" s="234">
        <v>2022</v>
      </c>
      <c r="Y5584" s="234">
        <v>8</v>
      </c>
      <c r="Z5584" s="234">
        <v>21</v>
      </c>
      <c r="AA5584" s="235">
        <v>0.5833333333321207</v>
      </c>
      <c r="AB5584" s="236">
        <v>23.9</v>
      </c>
      <c r="AC5584" s="127">
        <f t="shared" si="102"/>
        <v>24</v>
      </c>
    </row>
    <row r="5585" ht="14.5" customHeight="1" spans="11:29" x14ac:dyDescent="0.25">
      <c r="K5585" s="128"/>
      <c r="X5585" s="234">
        <v>2022</v>
      </c>
      <c r="Y5585" s="234">
        <v>8</v>
      </c>
      <c r="Z5585" s="234">
        <v>21</v>
      </c>
      <c r="AA5585" s="235">
        <v>0.625</v>
      </c>
      <c r="AB5585" s="236">
        <v>25.1</v>
      </c>
      <c r="AC5585" s="127">
        <f t="shared" si="102"/>
        <v>25</v>
      </c>
    </row>
    <row r="5586" ht="14.5" customHeight="1" spans="11:29" x14ac:dyDescent="0.25">
      <c r="K5586" s="128"/>
      <c r="X5586" s="234">
        <v>2022</v>
      </c>
      <c r="Y5586" s="234">
        <v>8</v>
      </c>
      <c r="Z5586" s="234">
        <v>21</v>
      </c>
      <c r="AA5586" s="235">
        <v>0.6666666666678793</v>
      </c>
      <c r="AB5586" s="236">
        <v>23</v>
      </c>
      <c r="AC5586" s="127">
        <f t="shared" si="102"/>
        <v>23</v>
      </c>
    </row>
    <row r="5587" ht="14.5" customHeight="1" spans="11:29" x14ac:dyDescent="0.25">
      <c r="K5587" s="128"/>
      <c r="X5587" s="234">
        <v>2022</v>
      </c>
      <c r="Y5587" s="234">
        <v>8</v>
      </c>
      <c r="Z5587" s="234">
        <v>21</v>
      </c>
      <c r="AA5587" s="235">
        <v>0.7083333333321207</v>
      </c>
      <c r="AB5587" s="236">
        <v>19.4</v>
      </c>
      <c r="AC5587" s="127">
        <f t="shared" si="102"/>
        <v>19</v>
      </c>
    </row>
    <row r="5588" ht="14.5" customHeight="1" spans="11:29" x14ac:dyDescent="0.25">
      <c r="K5588" s="128"/>
      <c r="X5588" s="234">
        <v>2022</v>
      </c>
      <c r="Y5588" s="234">
        <v>8</v>
      </c>
      <c r="Z5588" s="234">
        <v>21</v>
      </c>
      <c r="AA5588" s="235">
        <v>0.75</v>
      </c>
      <c r="AB5588" s="236">
        <v>18.1</v>
      </c>
      <c r="AC5588" s="127">
        <f t="shared" si="102"/>
        <v>18</v>
      </c>
    </row>
    <row r="5589" ht="14.5" customHeight="1" spans="11:29" x14ac:dyDescent="0.25">
      <c r="K5589" s="128"/>
      <c r="X5589" s="234">
        <v>2022</v>
      </c>
      <c r="Y5589" s="234">
        <v>8</v>
      </c>
      <c r="Z5589" s="234">
        <v>21</v>
      </c>
      <c r="AA5589" s="235">
        <v>0.7916666666678793</v>
      </c>
      <c r="AB5589" s="236">
        <v>17.5</v>
      </c>
      <c r="AC5589" s="127">
        <f t="shared" si="102"/>
        <v>18</v>
      </c>
    </row>
    <row r="5590" ht="14.5" customHeight="1" spans="11:29" x14ac:dyDescent="0.25">
      <c r="K5590" s="128"/>
      <c r="X5590" s="234">
        <v>2022</v>
      </c>
      <c r="Y5590" s="234">
        <v>8</v>
      </c>
      <c r="Z5590" s="234">
        <v>21</v>
      </c>
      <c r="AA5590" s="235">
        <v>0.8333333333321207</v>
      </c>
      <c r="AB5590" s="236">
        <v>17.1</v>
      </c>
      <c r="AC5590" s="127">
        <f t="shared" si="102"/>
        <v>17</v>
      </c>
    </row>
    <row r="5591" ht="14.5" customHeight="1" spans="11:29" x14ac:dyDescent="0.25">
      <c r="K5591" s="128"/>
      <c r="X5591" s="234">
        <v>2022</v>
      </c>
      <c r="Y5591" s="234">
        <v>8</v>
      </c>
      <c r="Z5591" s="234">
        <v>21</v>
      </c>
      <c r="AA5591" s="235">
        <v>0.875</v>
      </c>
      <c r="AB5591" s="236">
        <v>16.9</v>
      </c>
      <c r="AC5591" s="127">
        <f t="shared" si="102"/>
        <v>17</v>
      </c>
    </row>
    <row r="5592" ht="14.5" customHeight="1" spans="11:29" x14ac:dyDescent="0.25">
      <c r="K5592" s="128"/>
      <c r="X5592" s="234">
        <v>2022</v>
      </c>
      <c r="Y5592" s="234">
        <v>8</v>
      </c>
      <c r="Z5592" s="234">
        <v>21</v>
      </c>
      <c r="AA5592" s="235">
        <v>0.9166666666678793</v>
      </c>
      <c r="AB5592" s="236">
        <v>16.3</v>
      </c>
      <c r="AC5592" s="127">
        <f t="shared" si="102"/>
        <v>16</v>
      </c>
    </row>
    <row r="5593" ht="14.5" customHeight="1" spans="11:29" x14ac:dyDescent="0.25">
      <c r="K5593" s="128"/>
      <c r="X5593" s="234">
        <v>2022</v>
      </c>
      <c r="Y5593" s="234">
        <v>8</v>
      </c>
      <c r="Z5593" s="234">
        <v>21</v>
      </c>
      <c r="AA5593" s="235">
        <v>0.9583333333321207</v>
      </c>
      <c r="AB5593" s="236">
        <v>15.8</v>
      </c>
      <c r="AC5593" s="127">
        <f t="shared" si="102"/>
        <v>16</v>
      </c>
    </row>
    <row r="5594" ht="14.5" customHeight="1" spans="11:29" x14ac:dyDescent="0.25">
      <c r="K5594" s="128"/>
      <c r="X5594" s="234">
        <v>2022</v>
      </c>
      <c r="Y5594" s="234">
        <v>8</v>
      </c>
      <c r="Z5594" s="234">
        <v>22</v>
      </c>
      <c r="AA5594" s="235">
        <v>0</v>
      </c>
      <c r="AB5594" s="236">
        <v>15.2</v>
      </c>
      <c r="AC5594" s="127">
        <f t="shared" si="102"/>
        <v>15</v>
      </c>
    </row>
    <row r="5595" ht="14.5" customHeight="1" spans="11:29" x14ac:dyDescent="0.25">
      <c r="K5595" s="128"/>
      <c r="X5595" s="234">
        <v>2022</v>
      </c>
      <c r="Y5595" s="234">
        <v>8</v>
      </c>
      <c r="Z5595" s="234">
        <v>22</v>
      </c>
      <c r="AA5595" s="235">
        <v>0.041666666667879326</v>
      </c>
      <c r="AB5595" s="236">
        <v>14</v>
      </c>
      <c r="AC5595" s="127">
        <f t="shared" si="102"/>
        <v>14</v>
      </c>
    </row>
    <row r="5596" ht="14.5" customHeight="1" spans="11:29" x14ac:dyDescent="0.25">
      <c r="K5596" s="128"/>
      <c r="X5596" s="234">
        <v>2022</v>
      </c>
      <c r="Y5596" s="234">
        <v>8</v>
      </c>
      <c r="Z5596" s="234">
        <v>22</v>
      </c>
      <c r="AA5596" s="235">
        <v>0.08333333333212067</v>
      </c>
      <c r="AB5596" s="236">
        <v>13.5</v>
      </c>
      <c r="AC5596" s="127">
        <f t="shared" si="102"/>
        <v>14</v>
      </c>
    </row>
    <row r="5597" ht="14.5" customHeight="1" spans="11:29" x14ac:dyDescent="0.25">
      <c r="K5597" s="128"/>
      <c r="X5597" s="234">
        <v>2022</v>
      </c>
      <c r="Y5597" s="234">
        <v>8</v>
      </c>
      <c r="Z5597" s="234">
        <v>22</v>
      </c>
      <c r="AA5597" s="235">
        <v>0.125</v>
      </c>
      <c r="AB5597" s="236">
        <v>13.5</v>
      </c>
      <c r="AC5597" s="127">
        <f t="shared" si="102"/>
        <v>14</v>
      </c>
    </row>
    <row r="5598" ht="14.5" customHeight="1" spans="11:29" x14ac:dyDescent="0.25">
      <c r="K5598" s="128"/>
      <c r="X5598" s="234">
        <v>2022</v>
      </c>
      <c r="Y5598" s="234">
        <v>8</v>
      </c>
      <c r="Z5598" s="234">
        <v>22</v>
      </c>
      <c r="AA5598" s="235">
        <v>0.16666666666787933</v>
      </c>
      <c r="AB5598" s="236">
        <v>13.8</v>
      </c>
      <c r="AC5598" s="127">
        <f t="shared" si="102"/>
        <v>14</v>
      </c>
    </row>
    <row r="5599" ht="14.5" customHeight="1" spans="11:29" x14ac:dyDescent="0.25">
      <c r="K5599" s="128"/>
      <c r="X5599" s="234">
        <v>2022</v>
      </c>
      <c r="Y5599" s="234">
        <v>8</v>
      </c>
      <c r="Z5599" s="234">
        <v>22</v>
      </c>
      <c r="AA5599" s="235">
        <v>0.20833333333212067</v>
      </c>
      <c r="AB5599" s="236">
        <v>12.6</v>
      </c>
      <c r="AC5599" s="127">
        <f t="shared" si="102"/>
        <v>13</v>
      </c>
    </row>
    <row r="5600" ht="14.5" customHeight="1" spans="11:29" x14ac:dyDescent="0.25">
      <c r="K5600" s="128"/>
      <c r="X5600" s="234">
        <v>2022</v>
      </c>
      <c r="Y5600" s="234">
        <v>8</v>
      </c>
      <c r="Z5600" s="234">
        <v>22</v>
      </c>
      <c r="AA5600" s="235">
        <v>0.25</v>
      </c>
      <c r="AB5600" s="236">
        <v>12.7</v>
      </c>
      <c r="AC5600" s="127">
        <f t="shared" si="102"/>
        <v>13</v>
      </c>
    </row>
    <row r="5601" ht="14.5" customHeight="1" spans="11:29" x14ac:dyDescent="0.25">
      <c r="K5601" s="128"/>
      <c r="X5601" s="234">
        <v>2022</v>
      </c>
      <c r="Y5601" s="234">
        <v>8</v>
      </c>
      <c r="Z5601" s="234">
        <v>22</v>
      </c>
      <c r="AA5601" s="235">
        <v>0.2916666666678793</v>
      </c>
      <c r="AB5601" s="236">
        <v>14.1</v>
      </c>
      <c r="AC5601" s="127">
        <f t="shared" si="102"/>
        <v>14</v>
      </c>
    </row>
    <row r="5602" ht="14.5" customHeight="1" spans="11:29" x14ac:dyDescent="0.25">
      <c r="K5602" s="128"/>
      <c r="X5602" s="234">
        <v>2022</v>
      </c>
      <c r="Y5602" s="234">
        <v>8</v>
      </c>
      <c r="Z5602" s="234">
        <v>22</v>
      </c>
      <c r="AA5602" s="235">
        <v>0.3333333333321207</v>
      </c>
      <c r="AB5602" s="236">
        <v>15.7</v>
      </c>
      <c r="AC5602" s="127">
        <f t="shared" si="102"/>
        <v>16</v>
      </c>
    </row>
    <row r="5603" ht="14.5" customHeight="1" spans="11:29" x14ac:dyDescent="0.25">
      <c r="K5603" s="128"/>
      <c r="X5603" s="234">
        <v>2022</v>
      </c>
      <c r="Y5603" s="234">
        <v>8</v>
      </c>
      <c r="Z5603" s="234">
        <v>22</v>
      </c>
      <c r="AA5603" s="235">
        <v>0.375</v>
      </c>
      <c r="AB5603" s="236">
        <v>18.2</v>
      </c>
      <c r="AC5603" s="127">
        <f t="shared" si="102"/>
        <v>18</v>
      </c>
    </row>
    <row r="5604" ht="14.5" customHeight="1" spans="11:29" x14ac:dyDescent="0.25">
      <c r="K5604" s="128"/>
      <c r="X5604" s="234">
        <v>2022</v>
      </c>
      <c r="Y5604" s="234">
        <v>8</v>
      </c>
      <c r="Z5604" s="234">
        <v>22</v>
      </c>
      <c r="AA5604" s="235">
        <v>0.4166666666678793</v>
      </c>
      <c r="AB5604" s="236">
        <v>20.7</v>
      </c>
      <c r="AC5604" s="127">
        <f t="shared" si="102"/>
        <v>21</v>
      </c>
    </row>
    <row r="5605" ht="14.5" customHeight="1" spans="11:29" x14ac:dyDescent="0.25">
      <c r="K5605" s="128"/>
      <c r="X5605" s="234">
        <v>2022</v>
      </c>
      <c r="Y5605" s="234">
        <v>8</v>
      </c>
      <c r="Z5605" s="234">
        <v>22</v>
      </c>
      <c r="AA5605" s="235">
        <v>0.4583333333321207</v>
      </c>
      <c r="AB5605" s="236">
        <v>22.1</v>
      </c>
      <c r="AC5605" s="127">
        <f t="shared" si="102"/>
        <v>22</v>
      </c>
    </row>
    <row r="5606" ht="14.5" customHeight="1" spans="11:29" x14ac:dyDescent="0.25">
      <c r="K5606" s="128"/>
      <c r="X5606" s="234">
        <v>2022</v>
      </c>
      <c r="Y5606" s="234">
        <v>8</v>
      </c>
      <c r="Z5606" s="234">
        <v>22</v>
      </c>
      <c r="AA5606" s="235">
        <v>0.5</v>
      </c>
      <c r="AB5606" s="236">
        <v>23.5</v>
      </c>
      <c r="AC5606" s="127">
        <f t="shared" si="102"/>
        <v>24</v>
      </c>
    </row>
    <row r="5607" ht="14.5" customHeight="1" spans="11:29" x14ac:dyDescent="0.25">
      <c r="K5607" s="128"/>
      <c r="X5607" s="234">
        <v>2022</v>
      </c>
      <c r="Y5607" s="234">
        <v>8</v>
      </c>
      <c r="Z5607" s="234">
        <v>22</v>
      </c>
      <c r="AA5607" s="235">
        <v>0.5416666666678793</v>
      </c>
      <c r="AB5607" s="236">
        <v>24.9</v>
      </c>
      <c r="AC5607" s="127">
        <f t="shared" si="102"/>
        <v>25</v>
      </c>
    </row>
    <row r="5608" ht="14.5" customHeight="1" spans="11:29" x14ac:dyDescent="0.25">
      <c r="K5608" s="128"/>
      <c r="X5608" s="234">
        <v>2022</v>
      </c>
      <c r="Y5608" s="234">
        <v>8</v>
      </c>
      <c r="Z5608" s="234">
        <v>22</v>
      </c>
      <c r="AA5608" s="235">
        <v>0.5833333333321207</v>
      </c>
      <c r="AB5608" s="236">
        <v>25.6</v>
      </c>
      <c r="AC5608" s="127">
        <f t="shared" si="102"/>
        <v>26</v>
      </c>
    </row>
    <row r="5609" ht="14.5" customHeight="1" spans="11:29" x14ac:dyDescent="0.25">
      <c r="K5609" s="128"/>
      <c r="X5609" s="234">
        <v>2022</v>
      </c>
      <c r="Y5609" s="234">
        <v>8</v>
      </c>
      <c r="Z5609" s="234">
        <v>22</v>
      </c>
      <c r="AA5609" s="235">
        <v>0.625</v>
      </c>
      <c r="AB5609" s="236">
        <v>26.5</v>
      </c>
      <c r="AC5609" s="127">
        <f t="shared" si="102"/>
        <v>27</v>
      </c>
    </row>
    <row r="5610" ht="14.5" customHeight="1" spans="11:29" x14ac:dyDescent="0.25">
      <c r="K5610" s="128"/>
      <c r="X5610" s="234">
        <v>2022</v>
      </c>
      <c r="Y5610" s="234">
        <v>8</v>
      </c>
      <c r="Z5610" s="234">
        <v>22</v>
      </c>
      <c r="AA5610" s="235">
        <v>0.6666666666678793</v>
      </c>
      <c r="AB5610" s="236">
        <v>26.3</v>
      </c>
      <c r="AC5610" s="127">
        <f t="shared" si="102"/>
        <v>26</v>
      </c>
    </row>
    <row r="5611" ht="14.5" customHeight="1" spans="11:29" x14ac:dyDescent="0.25">
      <c r="K5611" s="128"/>
      <c r="X5611" s="234">
        <v>2022</v>
      </c>
      <c r="Y5611" s="234">
        <v>8</v>
      </c>
      <c r="Z5611" s="234">
        <v>22</v>
      </c>
      <c r="AA5611" s="235">
        <v>0.7083333333321207</v>
      </c>
      <c r="AB5611" s="236">
        <v>26.4</v>
      </c>
      <c r="AC5611" s="127">
        <f t="shared" si="102"/>
        <v>26</v>
      </c>
    </row>
    <row r="5612" ht="14.5" customHeight="1" spans="11:29" x14ac:dyDescent="0.25">
      <c r="K5612" s="128"/>
      <c r="X5612" s="234">
        <v>2022</v>
      </c>
      <c r="Y5612" s="234">
        <v>8</v>
      </c>
      <c r="Z5612" s="234">
        <v>22</v>
      </c>
      <c r="AA5612" s="235">
        <v>0.75</v>
      </c>
      <c r="AB5612" s="236">
        <v>25.5</v>
      </c>
      <c r="AC5612" s="127">
        <f t="shared" si="102"/>
        <v>26</v>
      </c>
    </row>
    <row r="5613" ht="14.5" customHeight="1" spans="11:29" x14ac:dyDescent="0.25">
      <c r="K5613" s="128"/>
      <c r="X5613" s="234">
        <v>2022</v>
      </c>
      <c r="Y5613" s="234">
        <v>8</v>
      </c>
      <c r="Z5613" s="234">
        <v>22</v>
      </c>
      <c r="AA5613" s="235">
        <v>0.7916666666678793</v>
      </c>
      <c r="AB5613" s="236">
        <v>23.8</v>
      </c>
      <c r="AC5613" s="127">
        <f t="shared" si="102"/>
        <v>24</v>
      </c>
    </row>
    <row r="5614" ht="14.5" customHeight="1" spans="11:29" x14ac:dyDescent="0.25">
      <c r="K5614" s="128"/>
      <c r="X5614" s="234">
        <v>2022</v>
      </c>
      <c r="Y5614" s="234">
        <v>8</v>
      </c>
      <c r="Z5614" s="234">
        <v>22</v>
      </c>
      <c r="AA5614" s="235">
        <v>0.8333333333321207</v>
      </c>
      <c r="AB5614" s="236">
        <v>22.5</v>
      </c>
      <c r="AC5614" s="127">
        <f t="shared" si="102"/>
        <v>23</v>
      </c>
    </row>
    <row r="5615" ht="14.5" customHeight="1" spans="11:29" x14ac:dyDescent="0.25">
      <c r="K5615" s="128"/>
      <c r="X5615" s="234">
        <v>2022</v>
      </c>
      <c r="Y5615" s="234">
        <v>8</v>
      </c>
      <c r="Z5615" s="234">
        <v>22</v>
      </c>
      <c r="AA5615" s="235">
        <v>0.875</v>
      </c>
      <c r="AB5615" s="236">
        <v>22.1</v>
      </c>
      <c r="AC5615" s="127">
        <f t="shared" si="102"/>
        <v>22</v>
      </c>
    </row>
    <row r="5616" ht="14.5" customHeight="1" spans="11:29" x14ac:dyDescent="0.25">
      <c r="K5616" s="128"/>
      <c r="X5616" s="234">
        <v>2022</v>
      </c>
      <c r="Y5616" s="234">
        <v>8</v>
      </c>
      <c r="Z5616" s="234">
        <v>22</v>
      </c>
      <c r="AA5616" s="235">
        <v>0.9166666666678793</v>
      </c>
      <c r="AB5616" s="236">
        <v>17.1</v>
      </c>
      <c r="AC5616" s="127">
        <f t="shared" si="102"/>
        <v>17</v>
      </c>
    </row>
    <row r="5617" ht="14.5" customHeight="1" spans="11:29" x14ac:dyDescent="0.25">
      <c r="K5617" s="128"/>
      <c r="X5617" s="234">
        <v>2022</v>
      </c>
      <c r="Y5617" s="234">
        <v>8</v>
      </c>
      <c r="Z5617" s="234">
        <v>22</v>
      </c>
      <c r="AA5617" s="235">
        <v>0.9583333333321207</v>
      </c>
      <c r="AB5617" s="236">
        <v>15.4</v>
      </c>
      <c r="AC5617" s="127">
        <f t="shared" si="102"/>
        <v>15</v>
      </c>
    </row>
    <row r="5618" ht="14.5" customHeight="1" spans="11:29" x14ac:dyDescent="0.25">
      <c r="K5618" s="128"/>
      <c r="X5618" s="234">
        <v>2022</v>
      </c>
      <c r="Y5618" s="234">
        <v>8</v>
      </c>
      <c r="Z5618" s="234">
        <v>23</v>
      </c>
      <c r="AA5618" s="235">
        <v>0</v>
      </c>
      <c r="AB5618" s="236">
        <v>15.5</v>
      </c>
      <c r="AC5618" s="127">
        <f t="shared" si="102"/>
        <v>16</v>
      </c>
    </row>
    <row r="5619" ht="14.5" customHeight="1" spans="11:29" x14ac:dyDescent="0.25">
      <c r="K5619" s="128"/>
      <c r="X5619" s="234">
        <v>2022</v>
      </c>
      <c r="Y5619" s="234">
        <v>8</v>
      </c>
      <c r="Z5619" s="234">
        <v>23</v>
      </c>
      <c r="AA5619" s="235">
        <v>0.041666666667879326</v>
      </c>
      <c r="AB5619" s="236">
        <v>16.4</v>
      </c>
      <c r="AC5619" s="127">
        <f t="shared" si="102"/>
        <v>16</v>
      </c>
    </row>
    <row r="5620" ht="14.5" customHeight="1" spans="11:29" x14ac:dyDescent="0.25">
      <c r="K5620" s="128"/>
      <c r="X5620" s="234">
        <v>2022</v>
      </c>
      <c r="Y5620" s="234">
        <v>8</v>
      </c>
      <c r="Z5620" s="234">
        <v>23</v>
      </c>
      <c r="AA5620" s="235">
        <v>0.08333333333212067</v>
      </c>
      <c r="AB5620" s="236">
        <v>15.6</v>
      </c>
      <c r="AC5620" s="127">
        <f t="shared" si="102"/>
        <v>16</v>
      </c>
    </row>
    <row r="5621" ht="14.5" customHeight="1" spans="11:29" x14ac:dyDescent="0.25">
      <c r="K5621" s="128"/>
      <c r="X5621" s="234">
        <v>2022</v>
      </c>
      <c r="Y5621" s="234">
        <v>8</v>
      </c>
      <c r="Z5621" s="234">
        <v>23</v>
      </c>
      <c r="AA5621" s="235">
        <v>0.125</v>
      </c>
      <c r="AB5621" s="236">
        <v>15.6</v>
      </c>
      <c r="AC5621" s="127">
        <f t="shared" si="102"/>
        <v>16</v>
      </c>
    </row>
    <row r="5622" ht="14.5" customHeight="1" spans="11:29" x14ac:dyDescent="0.25">
      <c r="K5622" s="128"/>
      <c r="X5622" s="234">
        <v>2022</v>
      </c>
      <c r="Y5622" s="234">
        <v>8</v>
      </c>
      <c r="Z5622" s="234">
        <v>23</v>
      </c>
      <c r="AA5622" s="235">
        <v>0.16666666666787933</v>
      </c>
      <c r="AB5622" s="236">
        <v>15.4</v>
      </c>
      <c r="AC5622" s="127">
        <f t="shared" si="102"/>
        <v>15</v>
      </c>
    </row>
    <row r="5623" ht="14.5" customHeight="1" spans="11:29" x14ac:dyDescent="0.25">
      <c r="K5623" s="128"/>
      <c r="X5623" s="234">
        <v>2022</v>
      </c>
      <c r="Y5623" s="234">
        <v>8</v>
      </c>
      <c r="Z5623" s="234">
        <v>23</v>
      </c>
      <c r="AA5623" s="235">
        <v>0.20833333333212067</v>
      </c>
      <c r="AB5623" s="236">
        <v>14.8</v>
      </c>
      <c r="AC5623" s="127">
        <f t="shared" si="102"/>
        <v>15</v>
      </c>
    </row>
    <row r="5624" ht="14.5" customHeight="1" spans="11:29" x14ac:dyDescent="0.25">
      <c r="K5624" s="128"/>
      <c r="X5624" s="234">
        <v>2022</v>
      </c>
      <c r="Y5624" s="234">
        <v>8</v>
      </c>
      <c r="Z5624" s="234">
        <v>23</v>
      </c>
      <c r="AA5624" s="235">
        <v>0.25</v>
      </c>
      <c r="AB5624" s="236">
        <v>15</v>
      </c>
      <c r="AC5624" s="127">
        <f t="shared" si="102"/>
        <v>15</v>
      </c>
    </row>
    <row r="5625" ht="14.5" customHeight="1" spans="11:29" x14ac:dyDescent="0.25">
      <c r="K5625" s="128"/>
      <c r="X5625" s="234">
        <v>2022</v>
      </c>
      <c r="Y5625" s="234">
        <v>8</v>
      </c>
      <c r="Z5625" s="234">
        <v>23</v>
      </c>
      <c r="AA5625" s="235">
        <v>0.2916666666678793</v>
      </c>
      <c r="AB5625" s="236">
        <v>15.3</v>
      </c>
      <c r="AC5625" s="127">
        <f t="shared" si="102"/>
        <v>15</v>
      </c>
    </row>
    <row r="5626" ht="14.5" customHeight="1" spans="11:29" x14ac:dyDescent="0.25">
      <c r="K5626" s="128"/>
      <c r="X5626" s="234">
        <v>2022</v>
      </c>
      <c r="Y5626" s="234">
        <v>8</v>
      </c>
      <c r="Z5626" s="234">
        <v>23</v>
      </c>
      <c r="AA5626" s="235">
        <v>0.3333333333321207</v>
      </c>
      <c r="AB5626" s="236">
        <v>16.1</v>
      </c>
      <c r="AC5626" s="127">
        <f t="shared" si="102"/>
        <v>16</v>
      </c>
    </row>
    <row r="5627" ht="14.5" customHeight="1" spans="11:29" x14ac:dyDescent="0.25">
      <c r="K5627" s="128"/>
      <c r="X5627" s="234">
        <v>2022</v>
      </c>
      <c r="Y5627" s="234">
        <v>8</v>
      </c>
      <c r="Z5627" s="234">
        <v>23</v>
      </c>
      <c r="AA5627" s="235">
        <v>0.375</v>
      </c>
      <c r="AB5627" s="236">
        <v>16</v>
      </c>
      <c r="AC5627" s="127">
        <f t="shared" si="102"/>
        <v>16</v>
      </c>
    </row>
    <row r="5628" ht="14.5" customHeight="1" spans="11:29" x14ac:dyDescent="0.25">
      <c r="K5628" s="128"/>
      <c r="X5628" s="234">
        <v>2022</v>
      </c>
      <c r="Y5628" s="234">
        <v>8</v>
      </c>
      <c r="Z5628" s="234">
        <v>23</v>
      </c>
      <c r="AA5628" s="235">
        <v>0.4166666666678793</v>
      </c>
      <c r="AB5628" s="236">
        <v>16.3</v>
      </c>
      <c r="AC5628" s="127">
        <f t="shared" si="102"/>
        <v>16</v>
      </c>
    </row>
    <row r="5629" ht="14.5" customHeight="1" spans="11:29" x14ac:dyDescent="0.25">
      <c r="K5629" s="128"/>
      <c r="X5629" s="234">
        <v>2022</v>
      </c>
      <c r="Y5629" s="234">
        <v>8</v>
      </c>
      <c r="Z5629" s="234">
        <v>23</v>
      </c>
      <c r="AA5629" s="235">
        <v>0.4583333333321207</v>
      </c>
      <c r="AB5629" s="236">
        <v>16.4</v>
      </c>
      <c r="AC5629" s="127">
        <f t="shared" si="102"/>
        <v>16</v>
      </c>
    </row>
    <row r="5630" ht="14.5" customHeight="1" spans="11:29" x14ac:dyDescent="0.25">
      <c r="K5630" s="128"/>
      <c r="X5630" s="234">
        <v>2022</v>
      </c>
      <c r="Y5630" s="234">
        <v>8</v>
      </c>
      <c r="Z5630" s="234">
        <v>23</v>
      </c>
      <c r="AA5630" s="235">
        <v>0.5</v>
      </c>
      <c r="AB5630" s="236">
        <v>16.7</v>
      </c>
      <c r="AC5630" s="127">
        <f t="shared" si="102"/>
        <v>17</v>
      </c>
    </row>
    <row r="5631" ht="14.5" customHeight="1" spans="11:29" x14ac:dyDescent="0.25">
      <c r="K5631" s="128"/>
      <c r="X5631" s="234">
        <v>2022</v>
      </c>
      <c r="Y5631" s="234">
        <v>8</v>
      </c>
      <c r="Z5631" s="234">
        <v>23</v>
      </c>
      <c r="AA5631" s="235">
        <v>0.5416666666678793</v>
      </c>
      <c r="AB5631" s="236">
        <v>17.1</v>
      </c>
      <c r="AC5631" s="127">
        <f t="shared" si="102"/>
        <v>17</v>
      </c>
    </row>
    <row r="5632" ht="14.5" customHeight="1" spans="11:29" x14ac:dyDescent="0.25">
      <c r="K5632" s="128"/>
      <c r="X5632" s="234">
        <v>2022</v>
      </c>
      <c r="Y5632" s="234">
        <v>8</v>
      </c>
      <c r="Z5632" s="234">
        <v>23</v>
      </c>
      <c r="AA5632" s="235">
        <v>0.5833333333321207</v>
      </c>
      <c r="AB5632" s="236">
        <v>17</v>
      </c>
      <c r="AC5632" s="127">
        <f t="shared" si="102"/>
        <v>17</v>
      </c>
    </row>
    <row r="5633" ht="14.5" customHeight="1" spans="11:29" x14ac:dyDescent="0.25">
      <c r="K5633" s="128"/>
      <c r="X5633" s="234">
        <v>2022</v>
      </c>
      <c r="Y5633" s="234">
        <v>8</v>
      </c>
      <c r="Z5633" s="234">
        <v>23</v>
      </c>
      <c r="AA5633" s="235">
        <v>0.625</v>
      </c>
      <c r="AB5633" s="236">
        <v>17.1</v>
      </c>
      <c r="AC5633" s="127">
        <f t="shared" si="102"/>
        <v>17</v>
      </c>
    </row>
    <row r="5634" ht="14.5" customHeight="1" spans="11:29" x14ac:dyDescent="0.25">
      <c r="K5634" s="128"/>
      <c r="X5634" s="234">
        <v>2022</v>
      </c>
      <c r="Y5634" s="234">
        <v>8</v>
      </c>
      <c r="Z5634" s="234">
        <v>23</v>
      </c>
      <c r="AA5634" s="235">
        <v>0.6666666666678793</v>
      </c>
      <c r="AB5634" s="236">
        <v>17.5</v>
      </c>
      <c r="AC5634" s="127">
        <f t="shared" si="102"/>
        <v>18</v>
      </c>
    </row>
    <row r="5635" ht="14.5" customHeight="1" spans="11:29" x14ac:dyDescent="0.25">
      <c r="K5635" s="128"/>
      <c r="X5635" s="234">
        <v>2022</v>
      </c>
      <c r="Y5635" s="234">
        <v>8</v>
      </c>
      <c r="Z5635" s="234">
        <v>23</v>
      </c>
      <c r="AA5635" s="235">
        <v>0.7083333333321207</v>
      </c>
      <c r="AB5635" s="236">
        <v>17.6</v>
      </c>
      <c r="AC5635" s="127">
        <f t="shared" si="102"/>
        <v>18</v>
      </c>
    </row>
    <row r="5636" ht="14.5" customHeight="1" spans="11:29" x14ac:dyDescent="0.25">
      <c r="K5636" s="128"/>
      <c r="X5636" s="234">
        <v>2022</v>
      </c>
      <c r="Y5636" s="234">
        <v>8</v>
      </c>
      <c r="Z5636" s="234">
        <v>23</v>
      </c>
      <c r="AA5636" s="235">
        <v>0.75</v>
      </c>
      <c r="AB5636" s="236">
        <v>17.7</v>
      </c>
      <c r="AC5636" s="127">
        <f t="shared" si="102"/>
        <v>18</v>
      </c>
    </row>
    <row r="5637" ht="14.5" customHeight="1" spans="11:29" x14ac:dyDescent="0.25">
      <c r="K5637" s="128"/>
      <c r="X5637" s="234">
        <v>2022</v>
      </c>
      <c r="Y5637" s="234">
        <v>8</v>
      </c>
      <c r="Z5637" s="234">
        <v>23</v>
      </c>
      <c r="AA5637" s="235">
        <v>0.7916666666678793</v>
      </c>
      <c r="AB5637" s="236">
        <v>16.9</v>
      </c>
      <c r="AC5637" s="127">
        <f t="shared" si="102"/>
        <v>17</v>
      </c>
    </row>
    <row r="5638" ht="14.5" customHeight="1" spans="11:29" x14ac:dyDescent="0.25">
      <c r="K5638" s="128"/>
      <c r="X5638" s="234">
        <v>2022</v>
      </c>
      <c r="Y5638" s="234">
        <v>8</v>
      </c>
      <c r="Z5638" s="234">
        <v>23</v>
      </c>
      <c r="AA5638" s="235">
        <v>0.8333333333321207</v>
      </c>
      <c r="AB5638" s="236">
        <v>15.8</v>
      </c>
      <c r="AC5638" s="127">
        <f t="shared" si="102"/>
        <v>16</v>
      </c>
    </row>
    <row r="5639" ht="14.5" customHeight="1" spans="11:29" x14ac:dyDescent="0.25">
      <c r="K5639" s="128"/>
      <c r="X5639" s="234">
        <v>2022</v>
      </c>
      <c r="Y5639" s="234">
        <v>8</v>
      </c>
      <c r="Z5639" s="234">
        <v>23</v>
      </c>
      <c r="AA5639" s="235">
        <v>0.875</v>
      </c>
      <c r="AB5639" s="236">
        <v>15.5</v>
      </c>
      <c r="AC5639" s="127">
        <f t="shared" si="102"/>
        <v>16</v>
      </c>
    </row>
    <row r="5640" ht="14.5" customHeight="1" spans="11:29" x14ac:dyDescent="0.25">
      <c r="K5640" s="128"/>
      <c r="X5640" s="234">
        <v>2022</v>
      </c>
      <c r="Y5640" s="234">
        <v>8</v>
      </c>
      <c r="Z5640" s="234">
        <v>23</v>
      </c>
      <c r="AA5640" s="235">
        <v>0.9166666666678793</v>
      </c>
      <c r="AB5640" s="236">
        <v>15.8</v>
      </c>
      <c r="AC5640" s="127">
        <f t="shared" si="102"/>
        <v>16</v>
      </c>
    </row>
    <row r="5641" ht="14.5" customHeight="1" spans="11:29" x14ac:dyDescent="0.25">
      <c r="K5641" s="128"/>
      <c r="X5641" s="234">
        <v>2022</v>
      </c>
      <c r="Y5641" s="234">
        <v>8</v>
      </c>
      <c r="Z5641" s="234">
        <v>23</v>
      </c>
      <c r="AA5641" s="235">
        <v>0.9583333333321207</v>
      </c>
      <c r="AB5641" s="236">
        <v>15.9</v>
      </c>
      <c r="AC5641" s="127">
        <f t="shared" si="102"/>
        <v>16</v>
      </c>
    </row>
    <row r="5642" ht="14.5" customHeight="1" spans="11:29" x14ac:dyDescent="0.25">
      <c r="K5642" s="128"/>
      <c r="X5642" s="234">
        <v>2022</v>
      </c>
      <c r="Y5642" s="234">
        <v>8</v>
      </c>
      <c r="Z5642" s="234">
        <v>24</v>
      </c>
      <c r="AA5642" s="235">
        <v>0</v>
      </c>
      <c r="AB5642" s="236">
        <v>15.5</v>
      </c>
      <c r="AC5642" s="127">
        <f t="shared" si="102"/>
        <v>16</v>
      </c>
    </row>
    <row r="5643" ht="14.5" customHeight="1" spans="11:29" x14ac:dyDescent="0.25">
      <c r="K5643" s="128"/>
      <c r="X5643" s="234">
        <v>2022</v>
      </c>
      <c r="Y5643" s="234">
        <v>8</v>
      </c>
      <c r="Z5643" s="234">
        <v>24</v>
      </c>
      <c r="AA5643" s="235">
        <v>0.041666666667879326</v>
      </c>
      <c r="AB5643" s="236">
        <v>14.4</v>
      </c>
      <c r="AC5643" s="127">
        <f t="shared" ref="AC5643:AC5706" si="103">ROUND(AB5643,0)</f>
        <v>14</v>
      </c>
    </row>
    <row r="5644" ht="14.5" customHeight="1" spans="11:29" x14ac:dyDescent="0.25">
      <c r="K5644" s="128"/>
      <c r="X5644" s="234">
        <v>2022</v>
      </c>
      <c r="Y5644" s="234">
        <v>8</v>
      </c>
      <c r="Z5644" s="234">
        <v>24</v>
      </c>
      <c r="AA5644" s="235">
        <v>0.08333333333212067</v>
      </c>
      <c r="AB5644" s="236">
        <v>14.8</v>
      </c>
      <c r="AC5644" s="127">
        <f t="shared" si="103"/>
        <v>15</v>
      </c>
    </row>
    <row r="5645" ht="14.5" customHeight="1" spans="11:29" x14ac:dyDescent="0.25">
      <c r="K5645" s="128"/>
      <c r="X5645" s="234">
        <v>2022</v>
      </c>
      <c r="Y5645" s="234">
        <v>8</v>
      </c>
      <c r="Z5645" s="234">
        <v>24</v>
      </c>
      <c r="AA5645" s="235">
        <v>0.125</v>
      </c>
      <c r="AB5645" s="236">
        <v>14.7</v>
      </c>
      <c r="AC5645" s="127">
        <f t="shared" si="103"/>
        <v>15</v>
      </c>
    </row>
    <row r="5646" ht="14.5" customHeight="1" spans="11:29" x14ac:dyDescent="0.25">
      <c r="K5646" s="128"/>
      <c r="X5646" s="234">
        <v>2022</v>
      </c>
      <c r="Y5646" s="234">
        <v>8</v>
      </c>
      <c r="Z5646" s="234">
        <v>24</v>
      </c>
      <c r="AA5646" s="235">
        <v>0.16666666666787933</v>
      </c>
      <c r="AB5646" s="236">
        <v>13.7</v>
      </c>
      <c r="AC5646" s="127">
        <f t="shared" si="103"/>
        <v>14</v>
      </c>
    </row>
    <row r="5647" ht="14.5" customHeight="1" spans="11:29" x14ac:dyDescent="0.25">
      <c r="K5647" s="128"/>
      <c r="X5647" s="234">
        <v>2022</v>
      </c>
      <c r="Y5647" s="234">
        <v>8</v>
      </c>
      <c r="Z5647" s="234">
        <v>24</v>
      </c>
      <c r="AA5647" s="235">
        <v>0.20833333333212067</v>
      </c>
      <c r="AB5647" s="236">
        <v>13.3</v>
      </c>
      <c r="AC5647" s="127">
        <f t="shared" si="103"/>
        <v>13</v>
      </c>
    </row>
    <row r="5648" ht="14.5" customHeight="1" spans="11:29" x14ac:dyDescent="0.25">
      <c r="K5648" s="128"/>
      <c r="X5648" s="234">
        <v>2022</v>
      </c>
      <c r="Y5648" s="234">
        <v>8</v>
      </c>
      <c r="Z5648" s="234">
        <v>24</v>
      </c>
      <c r="AA5648" s="235">
        <v>0.25</v>
      </c>
      <c r="AB5648" s="236">
        <v>12.9</v>
      </c>
      <c r="AC5648" s="127">
        <f t="shared" si="103"/>
        <v>13</v>
      </c>
    </row>
    <row r="5649" ht="14.5" customHeight="1" spans="11:29" x14ac:dyDescent="0.25">
      <c r="K5649" s="128"/>
      <c r="X5649" s="234">
        <v>2022</v>
      </c>
      <c r="Y5649" s="234">
        <v>8</v>
      </c>
      <c r="Z5649" s="234">
        <v>24</v>
      </c>
      <c r="AA5649" s="235">
        <v>0.2916666666678793</v>
      </c>
      <c r="AB5649" s="236">
        <v>14.4</v>
      </c>
      <c r="AC5649" s="127">
        <f t="shared" si="103"/>
        <v>14</v>
      </c>
    </row>
    <row r="5650" ht="14.5" customHeight="1" spans="11:29" x14ac:dyDescent="0.25">
      <c r="K5650" s="128"/>
      <c r="X5650" s="234">
        <v>2022</v>
      </c>
      <c r="Y5650" s="234">
        <v>8</v>
      </c>
      <c r="Z5650" s="234">
        <v>24</v>
      </c>
      <c r="AA5650" s="235">
        <v>0.3333333333321207</v>
      </c>
      <c r="AB5650" s="236">
        <v>16.5</v>
      </c>
      <c r="AC5650" s="127">
        <f t="shared" si="103"/>
        <v>17</v>
      </c>
    </row>
    <row r="5651" ht="14.5" customHeight="1" spans="11:29" x14ac:dyDescent="0.25">
      <c r="K5651" s="128"/>
      <c r="X5651" s="234">
        <v>2022</v>
      </c>
      <c r="Y5651" s="234">
        <v>8</v>
      </c>
      <c r="Z5651" s="234">
        <v>24</v>
      </c>
      <c r="AA5651" s="235">
        <v>0.375</v>
      </c>
      <c r="AB5651" s="236">
        <v>18.5</v>
      </c>
      <c r="AC5651" s="127">
        <f t="shared" si="103"/>
        <v>19</v>
      </c>
    </row>
    <row r="5652" ht="14.5" customHeight="1" spans="11:29" x14ac:dyDescent="0.25">
      <c r="K5652" s="128"/>
      <c r="X5652" s="234">
        <v>2022</v>
      </c>
      <c r="Y5652" s="234">
        <v>8</v>
      </c>
      <c r="Z5652" s="234">
        <v>24</v>
      </c>
      <c r="AA5652" s="235">
        <v>0.4166666666678793</v>
      </c>
      <c r="AB5652" s="236">
        <v>20.4</v>
      </c>
      <c r="AC5652" s="127">
        <f t="shared" si="103"/>
        <v>20</v>
      </c>
    </row>
    <row r="5653" ht="14.5" customHeight="1" spans="11:29" x14ac:dyDescent="0.25">
      <c r="K5653" s="128"/>
      <c r="X5653" s="234">
        <v>2022</v>
      </c>
      <c r="Y5653" s="234">
        <v>8</v>
      </c>
      <c r="Z5653" s="234">
        <v>24</v>
      </c>
      <c r="AA5653" s="235">
        <v>0.4583333333321207</v>
      </c>
      <c r="AB5653" s="236">
        <v>20.7</v>
      </c>
      <c r="AC5653" s="127">
        <f t="shared" si="103"/>
        <v>21</v>
      </c>
    </row>
    <row r="5654" ht="14.5" customHeight="1" spans="11:29" x14ac:dyDescent="0.25">
      <c r="K5654" s="128"/>
      <c r="X5654" s="234">
        <v>2022</v>
      </c>
      <c r="Y5654" s="234">
        <v>8</v>
      </c>
      <c r="Z5654" s="234">
        <v>24</v>
      </c>
      <c r="AA5654" s="235">
        <v>0.5</v>
      </c>
      <c r="AB5654" s="236">
        <v>22.9</v>
      </c>
      <c r="AC5654" s="127">
        <f t="shared" si="103"/>
        <v>23</v>
      </c>
    </row>
    <row r="5655" ht="14.5" customHeight="1" spans="11:29" x14ac:dyDescent="0.25">
      <c r="K5655" s="128"/>
      <c r="X5655" s="234">
        <v>2022</v>
      </c>
      <c r="Y5655" s="234">
        <v>8</v>
      </c>
      <c r="Z5655" s="234">
        <v>24</v>
      </c>
      <c r="AA5655" s="235">
        <v>0.5416666666678793</v>
      </c>
      <c r="AB5655" s="236">
        <v>23.8</v>
      </c>
      <c r="AC5655" s="127">
        <f t="shared" si="103"/>
        <v>24</v>
      </c>
    </row>
    <row r="5656" ht="14.5" customHeight="1" spans="11:29" x14ac:dyDescent="0.25">
      <c r="K5656" s="128"/>
      <c r="X5656" s="234">
        <v>2022</v>
      </c>
      <c r="Y5656" s="234">
        <v>8</v>
      </c>
      <c r="Z5656" s="234">
        <v>24</v>
      </c>
      <c r="AA5656" s="235">
        <v>0.5833333333321207</v>
      </c>
      <c r="AB5656" s="236">
        <v>24.1</v>
      </c>
      <c r="AC5656" s="127">
        <f t="shared" si="103"/>
        <v>24</v>
      </c>
    </row>
    <row r="5657" ht="14.5" customHeight="1" spans="11:29" x14ac:dyDescent="0.25">
      <c r="K5657" s="128"/>
      <c r="X5657" s="234">
        <v>2022</v>
      </c>
      <c r="Y5657" s="234">
        <v>8</v>
      </c>
      <c r="Z5657" s="234">
        <v>24</v>
      </c>
      <c r="AA5657" s="235">
        <v>0.625</v>
      </c>
      <c r="AB5657" s="236">
        <v>23.4</v>
      </c>
      <c r="AC5657" s="127">
        <f t="shared" si="103"/>
        <v>23</v>
      </c>
    </row>
    <row r="5658" ht="14.5" customHeight="1" spans="11:29" x14ac:dyDescent="0.25">
      <c r="K5658" s="128"/>
      <c r="X5658" s="234">
        <v>2022</v>
      </c>
      <c r="Y5658" s="234">
        <v>8</v>
      </c>
      <c r="Z5658" s="234">
        <v>24</v>
      </c>
      <c r="AA5658" s="235">
        <v>0.6666666666678793</v>
      </c>
      <c r="AB5658" s="236">
        <v>20.9</v>
      </c>
      <c r="AC5658" s="127">
        <f t="shared" si="103"/>
        <v>21</v>
      </c>
    </row>
    <row r="5659" ht="14.5" customHeight="1" spans="11:29" x14ac:dyDescent="0.25">
      <c r="K5659" s="128"/>
      <c r="X5659" s="234">
        <v>2022</v>
      </c>
      <c r="Y5659" s="234">
        <v>8</v>
      </c>
      <c r="Z5659" s="234">
        <v>24</v>
      </c>
      <c r="AA5659" s="235">
        <v>0.7083333333321207</v>
      </c>
      <c r="AB5659" s="236">
        <v>20.6</v>
      </c>
      <c r="AC5659" s="127">
        <f t="shared" si="103"/>
        <v>21</v>
      </c>
    </row>
    <row r="5660" ht="14.5" customHeight="1" spans="11:29" x14ac:dyDescent="0.25">
      <c r="K5660" s="128"/>
      <c r="X5660" s="234">
        <v>2022</v>
      </c>
      <c r="Y5660" s="234">
        <v>8</v>
      </c>
      <c r="Z5660" s="234">
        <v>24</v>
      </c>
      <c r="AA5660" s="235">
        <v>0.75</v>
      </c>
      <c r="AB5660" s="236">
        <v>21.2</v>
      </c>
      <c r="AC5660" s="127">
        <f t="shared" si="103"/>
        <v>21</v>
      </c>
    </row>
    <row r="5661" ht="14.5" customHeight="1" spans="11:29" x14ac:dyDescent="0.25">
      <c r="K5661" s="128"/>
      <c r="X5661" s="234">
        <v>2022</v>
      </c>
      <c r="Y5661" s="234">
        <v>8</v>
      </c>
      <c r="Z5661" s="234">
        <v>24</v>
      </c>
      <c r="AA5661" s="235">
        <v>0.7916666666678793</v>
      </c>
      <c r="AB5661" s="236">
        <v>19.9</v>
      </c>
      <c r="AC5661" s="127">
        <f t="shared" si="103"/>
        <v>20</v>
      </c>
    </row>
    <row r="5662" ht="14.5" customHeight="1" spans="11:29" x14ac:dyDescent="0.25">
      <c r="K5662" s="128"/>
      <c r="X5662" s="234">
        <v>2022</v>
      </c>
      <c r="Y5662" s="234">
        <v>8</v>
      </c>
      <c r="Z5662" s="234">
        <v>24</v>
      </c>
      <c r="AA5662" s="235">
        <v>0.8333333333321207</v>
      </c>
      <c r="AB5662" s="236">
        <v>17.8</v>
      </c>
      <c r="AC5662" s="127">
        <f t="shared" si="103"/>
        <v>18</v>
      </c>
    </row>
    <row r="5663" ht="14.5" customHeight="1" spans="11:29" x14ac:dyDescent="0.25">
      <c r="K5663" s="128"/>
      <c r="X5663" s="234">
        <v>2022</v>
      </c>
      <c r="Y5663" s="234">
        <v>8</v>
      </c>
      <c r="Z5663" s="234">
        <v>24</v>
      </c>
      <c r="AA5663" s="235">
        <v>0.875</v>
      </c>
      <c r="AB5663" s="236">
        <v>16.4</v>
      </c>
      <c r="AC5663" s="127">
        <f t="shared" si="103"/>
        <v>16</v>
      </c>
    </row>
    <row r="5664" ht="14.5" customHeight="1" spans="11:29" x14ac:dyDescent="0.25">
      <c r="K5664" s="128"/>
      <c r="X5664" s="234">
        <v>2022</v>
      </c>
      <c r="Y5664" s="234">
        <v>8</v>
      </c>
      <c r="Z5664" s="234">
        <v>24</v>
      </c>
      <c r="AA5664" s="235">
        <v>0.9166666666678793</v>
      </c>
      <c r="AB5664" s="236">
        <v>15</v>
      </c>
      <c r="AC5664" s="127">
        <f t="shared" si="103"/>
        <v>15</v>
      </c>
    </row>
    <row r="5665" ht="14.5" customHeight="1" spans="11:29" x14ac:dyDescent="0.25">
      <c r="K5665" s="128"/>
      <c r="X5665" s="234">
        <v>2022</v>
      </c>
      <c r="Y5665" s="234">
        <v>8</v>
      </c>
      <c r="Z5665" s="234">
        <v>24</v>
      </c>
      <c r="AA5665" s="235">
        <v>0.9583333333321207</v>
      </c>
      <c r="AB5665" s="236">
        <v>13.7</v>
      </c>
      <c r="AC5665" s="127">
        <f t="shared" si="103"/>
        <v>14</v>
      </c>
    </row>
    <row r="5666" ht="14.5" customHeight="1" spans="11:29" x14ac:dyDescent="0.25">
      <c r="K5666" s="128"/>
      <c r="X5666" s="234">
        <v>2022</v>
      </c>
      <c r="Y5666" s="234">
        <v>8</v>
      </c>
      <c r="Z5666" s="234">
        <v>25</v>
      </c>
      <c r="AA5666" s="235">
        <v>0</v>
      </c>
      <c r="AB5666" s="236">
        <v>13.3</v>
      </c>
      <c r="AC5666" s="127">
        <f t="shared" si="103"/>
        <v>13</v>
      </c>
    </row>
    <row r="5667" ht="14.5" customHeight="1" spans="11:29" x14ac:dyDescent="0.25">
      <c r="K5667" s="128"/>
      <c r="X5667" s="234">
        <v>2022</v>
      </c>
      <c r="Y5667" s="234">
        <v>8</v>
      </c>
      <c r="Z5667" s="234">
        <v>25</v>
      </c>
      <c r="AA5667" s="235">
        <v>0.041666666667879326</v>
      </c>
      <c r="AB5667" s="236">
        <v>12.3</v>
      </c>
      <c r="AC5667" s="127">
        <f t="shared" si="103"/>
        <v>12</v>
      </c>
    </row>
    <row r="5668" ht="14.5" customHeight="1" spans="11:29" x14ac:dyDescent="0.25">
      <c r="K5668" s="128"/>
      <c r="X5668" s="234">
        <v>2022</v>
      </c>
      <c r="Y5668" s="234">
        <v>8</v>
      </c>
      <c r="Z5668" s="234">
        <v>25</v>
      </c>
      <c r="AA5668" s="235">
        <v>0.08333333333212067</v>
      </c>
      <c r="AB5668" s="236">
        <v>11</v>
      </c>
      <c r="AC5668" s="127">
        <f t="shared" si="103"/>
        <v>11</v>
      </c>
    </row>
    <row r="5669" ht="14.5" customHeight="1" spans="11:29" x14ac:dyDescent="0.25">
      <c r="K5669" s="128"/>
      <c r="X5669" s="234">
        <v>2022</v>
      </c>
      <c r="Y5669" s="234">
        <v>8</v>
      </c>
      <c r="Z5669" s="234">
        <v>25</v>
      </c>
      <c r="AA5669" s="235">
        <v>0.125</v>
      </c>
      <c r="AB5669" s="236">
        <v>10.7</v>
      </c>
      <c r="AC5669" s="127">
        <f t="shared" si="103"/>
        <v>11</v>
      </c>
    </row>
    <row r="5670" ht="14.5" customHeight="1" spans="11:29" x14ac:dyDescent="0.25">
      <c r="K5670" s="128"/>
      <c r="X5670" s="234">
        <v>2022</v>
      </c>
      <c r="Y5670" s="234">
        <v>8</v>
      </c>
      <c r="Z5670" s="234">
        <v>25</v>
      </c>
      <c r="AA5670" s="235">
        <v>0.16666666666787933</v>
      </c>
      <c r="AB5670" s="236">
        <v>10.9</v>
      </c>
      <c r="AC5670" s="127">
        <f t="shared" si="103"/>
        <v>11</v>
      </c>
    </row>
    <row r="5671" ht="14.5" customHeight="1" spans="11:29" x14ac:dyDescent="0.25">
      <c r="K5671" s="128"/>
      <c r="X5671" s="234">
        <v>2022</v>
      </c>
      <c r="Y5671" s="234">
        <v>8</v>
      </c>
      <c r="Z5671" s="234">
        <v>25</v>
      </c>
      <c r="AA5671" s="235">
        <v>0.20833333333212067</v>
      </c>
      <c r="AB5671" s="236">
        <v>9.6</v>
      </c>
      <c r="AC5671" s="127">
        <f t="shared" si="103"/>
        <v>10</v>
      </c>
    </row>
    <row r="5672" ht="14.5" customHeight="1" spans="11:29" x14ac:dyDescent="0.25">
      <c r="K5672" s="128"/>
      <c r="X5672" s="234">
        <v>2022</v>
      </c>
      <c r="Y5672" s="234">
        <v>8</v>
      </c>
      <c r="Z5672" s="234">
        <v>25</v>
      </c>
      <c r="AA5672" s="235">
        <v>0.25</v>
      </c>
      <c r="AB5672" s="236">
        <v>9.7</v>
      </c>
      <c r="AC5672" s="127">
        <f t="shared" si="103"/>
        <v>10</v>
      </c>
    </row>
    <row r="5673" ht="14.5" customHeight="1" spans="11:29" x14ac:dyDescent="0.25">
      <c r="K5673" s="128"/>
      <c r="X5673" s="234">
        <v>2022</v>
      </c>
      <c r="Y5673" s="234">
        <v>8</v>
      </c>
      <c r="Z5673" s="234">
        <v>25</v>
      </c>
      <c r="AA5673" s="235">
        <v>0.2916666666678793</v>
      </c>
      <c r="AB5673" s="236">
        <v>12.2</v>
      </c>
      <c r="AC5673" s="127">
        <f t="shared" si="103"/>
        <v>12</v>
      </c>
    </row>
    <row r="5674" ht="14.5" customHeight="1" spans="11:29" x14ac:dyDescent="0.25">
      <c r="K5674" s="128"/>
      <c r="X5674" s="234">
        <v>2022</v>
      </c>
      <c r="Y5674" s="234">
        <v>8</v>
      </c>
      <c r="Z5674" s="234">
        <v>25</v>
      </c>
      <c r="AA5674" s="235">
        <v>0.3333333333321207</v>
      </c>
      <c r="AB5674" s="236">
        <v>14.2</v>
      </c>
      <c r="AC5674" s="127">
        <f t="shared" si="103"/>
        <v>14</v>
      </c>
    </row>
    <row r="5675" ht="14.5" customHeight="1" spans="11:29" x14ac:dyDescent="0.25">
      <c r="K5675" s="128"/>
      <c r="X5675" s="234">
        <v>2022</v>
      </c>
      <c r="Y5675" s="234">
        <v>8</v>
      </c>
      <c r="Z5675" s="234">
        <v>25</v>
      </c>
      <c r="AA5675" s="235">
        <v>0.375</v>
      </c>
      <c r="AB5675" s="236">
        <v>16.8</v>
      </c>
      <c r="AC5675" s="127">
        <f t="shared" si="103"/>
        <v>17</v>
      </c>
    </row>
    <row r="5676" ht="14.5" customHeight="1" spans="11:29" x14ac:dyDescent="0.25">
      <c r="K5676" s="128"/>
      <c r="X5676" s="234">
        <v>2022</v>
      </c>
      <c r="Y5676" s="234">
        <v>8</v>
      </c>
      <c r="Z5676" s="234">
        <v>25</v>
      </c>
      <c r="AA5676" s="235">
        <v>0.4166666666678793</v>
      </c>
      <c r="AB5676" s="236">
        <v>19.2</v>
      </c>
      <c r="AC5676" s="127">
        <f t="shared" si="103"/>
        <v>19</v>
      </c>
    </row>
    <row r="5677" ht="14.5" customHeight="1" spans="11:29" x14ac:dyDescent="0.25">
      <c r="K5677" s="128"/>
      <c r="X5677" s="234">
        <v>2022</v>
      </c>
      <c r="Y5677" s="234">
        <v>8</v>
      </c>
      <c r="Z5677" s="234">
        <v>25</v>
      </c>
      <c r="AA5677" s="235">
        <v>0.4583333333321207</v>
      </c>
      <c r="AB5677" s="236">
        <v>21</v>
      </c>
      <c r="AC5677" s="127">
        <f t="shared" si="103"/>
        <v>21</v>
      </c>
    </row>
    <row r="5678" ht="14.5" customHeight="1" spans="11:29" x14ac:dyDescent="0.25">
      <c r="K5678" s="128"/>
      <c r="X5678" s="234">
        <v>2022</v>
      </c>
      <c r="Y5678" s="234">
        <v>8</v>
      </c>
      <c r="Z5678" s="234">
        <v>25</v>
      </c>
      <c r="AA5678" s="235">
        <v>0.5</v>
      </c>
      <c r="AB5678" s="236">
        <v>21.9</v>
      </c>
      <c r="AC5678" s="127">
        <f t="shared" si="103"/>
        <v>22</v>
      </c>
    </row>
    <row r="5679" ht="14.5" customHeight="1" spans="11:29" x14ac:dyDescent="0.25">
      <c r="K5679" s="128"/>
      <c r="X5679" s="234">
        <v>2022</v>
      </c>
      <c r="Y5679" s="234">
        <v>8</v>
      </c>
      <c r="Z5679" s="234">
        <v>25</v>
      </c>
      <c r="AA5679" s="235">
        <v>0.5416666666678793</v>
      </c>
      <c r="AB5679" s="236">
        <v>22.4</v>
      </c>
      <c r="AC5679" s="127">
        <f t="shared" si="103"/>
        <v>22</v>
      </c>
    </row>
    <row r="5680" ht="14.5" customHeight="1" spans="11:29" x14ac:dyDescent="0.25">
      <c r="K5680" s="128"/>
      <c r="X5680" s="234">
        <v>2022</v>
      </c>
      <c r="Y5680" s="234">
        <v>8</v>
      </c>
      <c r="Z5680" s="234">
        <v>25</v>
      </c>
      <c r="AA5680" s="235">
        <v>0.5833333333321207</v>
      </c>
      <c r="AB5680" s="236">
        <v>22.6</v>
      </c>
      <c r="AC5680" s="127">
        <f t="shared" si="103"/>
        <v>23</v>
      </c>
    </row>
    <row r="5681" ht="14.5" customHeight="1" spans="11:29" x14ac:dyDescent="0.25">
      <c r="K5681" s="128"/>
      <c r="X5681" s="234">
        <v>2022</v>
      </c>
      <c r="Y5681" s="234">
        <v>8</v>
      </c>
      <c r="Z5681" s="234">
        <v>25</v>
      </c>
      <c r="AA5681" s="235">
        <v>0.625</v>
      </c>
      <c r="AB5681" s="236">
        <v>22.6</v>
      </c>
      <c r="AC5681" s="127">
        <f t="shared" si="103"/>
        <v>23</v>
      </c>
    </row>
    <row r="5682" ht="14.5" customHeight="1" spans="11:29" x14ac:dyDescent="0.25">
      <c r="K5682" s="128"/>
      <c r="X5682" s="234">
        <v>2022</v>
      </c>
      <c r="Y5682" s="234">
        <v>8</v>
      </c>
      <c r="Z5682" s="234">
        <v>25</v>
      </c>
      <c r="AA5682" s="235">
        <v>0.6666666666678793</v>
      </c>
      <c r="AB5682" s="236">
        <v>23.6</v>
      </c>
      <c r="AC5682" s="127">
        <f t="shared" si="103"/>
        <v>24</v>
      </c>
    </row>
    <row r="5683" ht="14.5" customHeight="1" spans="11:29" x14ac:dyDescent="0.25">
      <c r="K5683" s="128"/>
      <c r="X5683" s="234">
        <v>2022</v>
      </c>
      <c r="Y5683" s="234">
        <v>8</v>
      </c>
      <c r="Z5683" s="234">
        <v>25</v>
      </c>
      <c r="AA5683" s="235">
        <v>0.7083333333321207</v>
      </c>
      <c r="AB5683" s="236">
        <v>23.6</v>
      </c>
      <c r="AC5683" s="127">
        <f t="shared" si="103"/>
        <v>24</v>
      </c>
    </row>
    <row r="5684" ht="14.5" customHeight="1" spans="11:29" x14ac:dyDescent="0.25">
      <c r="K5684" s="128"/>
      <c r="X5684" s="234">
        <v>2022</v>
      </c>
      <c r="Y5684" s="234">
        <v>8</v>
      </c>
      <c r="Z5684" s="234">
        <v>25</v>
      </c>
      <c r="AA5684" s="235">
        <v>0.75</v>
      </c>
      <c r="AB5684" s="236">
        <v>22.9</v>
      </c>
      <c r="AC5684" s="127">
        <f t="shared" si="103"/>
        <v>23</v>
      </c>
    </row>
    <row r="5685" ht="14.5" customHeight="1" spans="11:29" x14ac:dyDescent="0.25">
      <c r="K5685" s="128"/>
      <c r="X5685" s="234">
        <v>2022</v>
      </c>
      <c r="Y5685" s="234">
        <v>8</v>
      </c>
      <c r="Z5685" s="234">
        <v>25</v>
      </c>
      <c r="AA5685" s="235">
        <v>0.7916666666678793</v>
      </c>
      <c r="AB5685" s="236">
        <v>21.3</v>
      </c>
      <c r="AC5685" s="127">
        <f t="shared" si="103"/>
        <v>21</v>
      </c>
    </row>
    <row r="5686" ht="14.5" customHeight="1" spans="11:29" x14ac:dyDescent="0.25">
      <c r="K5686" s="128"/>
      <c r="X5686" s="234">
        <v>2022</v>
      </c>
      <c r="Y5686" s="234">
        <v>8</v>
      </c>
      <c r="Z5686" s="234">
        <v>25</v>
      </c>
      <c r="AA5686" s="235">
        <v>0.8333333333321207</v>
      </c>
      <c r="AB5686" s="236">
        <v>19.7</v>
      </c>
      <c r="AC5686" s="127">
        <f t="shared" si="103"/>
        <v>20</v>
      </c>
    </row>
    <row r="5687" ht="14.5" customHeight="1" spans="11:29" x14ac:dyDescent="0.25">
      <c r="K5687" s="128"/>
      <c r="X5687" s="234">
        <v>2022</v>
      </c>
      <c r="Y5687" s="234">
        <v>8</v>
      </c>
      <c r="Z5687" s="234">
        <v>25</v>
      </c>
      <c r="AA5687" s="235">
        <v>0.875</v>
      </c>
      <c r="AB5687" s="236">
        <v>17</v>
      </c>
      <c r="AC5687" s="127">
        <f t="shared" si="103"/>
        <v>17</v>
      </c>
    </row>
    <row r="5688" ht="14.5" customHeight="1" spans="11:29" x14ac:dyDescent="0.25">
      <c r="K5688" s="128"/>
      <c r="X5688" s="234">
        <v>2022</v>
      </c>
      <c r="Y5688" s="234">
        <v>8</v>
      </c>
      <c r="Z5688" s="234">
        <v>25</v>
      </c>
      <c r="AA5688" s="235">
        <v>0.9166666666678793</v>
      </c>
      <c r="AB5688" s="236">
        <v>15.8</v>
      </c>
      <c r="AC5688" s="127">
        <f t="shared" si="103"/>
        <v>16</v>
      </c>
    </row>
    <row r="5689" ht="14.5" customHeight="1" spans="11:29" x14ac:dyDescent="0.25">
      <c r="K5689" s="128"/>
      <c r="X5689" s="234">
        <v>2022</v>
      </c>
      <c r="Y5689" s="234">
        <v>8</v>
      </c>
      <c r="Z5689" s="234">
        <v>25</v>
      </c>
      <c r="AA5689" s="235">
        <v>0.9583333333321207</v>
      </c>
      <c r="AB5689" s="236">
        <v>15.1</v>
      </c>
      <c r="AC5689" s="127">
        <f t="shared" si="103"/>
        <v>15</v>
      </c>
    </row>
    <row r="5690" ht="14.5" customHeight="1" spans="11:29" x14ac:dyDescent="0.25">
      <c r="K5690" s="128"/>
      <c r="X5690" s="234">
        <v>2022</v>
      </c>
      <c r="Y5690" s="234">
        <v>8</v>
      </c>
      <c r="Z5690" s="234">
        <v>26</v>
      </c>
      <c r="AA5690" s="235">
        <v>0</v>
      </c>
      <c r="AB5690" s="236">
        <v>14.8</v>
      </c>
      <c r="AC5690" s="127">
        <f t="shared" si="103"/>
        <v>15</v>
      </c>
    </row>
    <row r="5691" ht="14.5" customHeight="1" spans="11:29" x14ac:dyDescent="0.25">
      <c r="K5691" s="128"/>
      <c r="X5691" s="234">
        <v>2022</v>
      </c>
      <c r="Y5691" s="234">
        <v>8</v>
      </c>
      <c r="Z5691" s="234">
        <v>26</v>
      </c>
      <c r="AA5691" s="235">
        <v>0.041666666667879326</v>
      </c>
      <c r="AB5691" s="236">
        <v>13.5</v>
      </c>
      <c r="AC5691" s="127">
        <f t="shared" si="103"/>
        <v>14</v>
      </c>
    </row>
    <row r="5692" ht="14.5" customHeight="1" spans="11:29" x14ac:dyDescent="0.25">
      <c r="K5692" s="128"/>
      <c r="X5692" s="234">
        <v>2022</v>
      </c>
      <c r="Y5692" s="234">
        <v>8</v>
      </c>
      <c r="Z5692" s="234">
        <v>26</v>
      </c>
      <c r="AA5692" s="235">
        <v>0.08333333333212067</v>
      </c>
      <c r="AB5692" s="236">
        <v>12.9</v>
      </c>
      <c r="AC5692" s="127">
        <f t="shared" si="103"/>
        <v>13</v>
      </c>
    </row>
    <row r="5693" ht="14.5" customHeight="1" spans="11:29" x14ac:dyDescent="0.25">
      <c r="K5693" s="128"/>
      <c r="X5693" s="234">
        <v>2022</v>
      </c>
      <c r="Y5693" s="234">
        <v>8</v>
      </c>
      <c r="Z5693" s="234">
        <v>26</v>
      </c>
      <c r="AA5693" s="235">
        <v>0.125</v>
      </c>
      <c r="AB5693" s="236">
        <v>13</v>
      </c>
      <c r="AC5693" s="127">
        <f t="shared" si="103"/>
        <v>13</v>
      </c>
    </row>
    <row r="5694" ht="14.5" customHeight="1" spans="11:29" x14ac:dyDescent="0.25">
      <c r="K5694" s="128"/>
      <c r="X5694" s="234">
        <v>2022</v>
      </c>
      <c r="Y5694" s="234">
        <v>8</v>
      </c>
      <c r="Z5694" s="234">
        <v>26</v>
      </c>
      <c r="AA5694" s="235">
        <v>0.16666666666787933</v>
      </c>
      <c r="AB5694" s="236">
        <v>11.9</v>
      </c>
      <c r="AC5694" s="127">
        <f t="shared" si="103"/>
        <v>12</v>
      </c>
    </row>
    <row r="5695" ht="14.5" customHeight="1" spans="11:29" x14ac:dyDescent="0.25">
      <c r="K5695" s="128"/>
      <c r="X5695" s="234">
        <v>2022</v>
      </c>
      <c r="Y5695" s="234">
        <v>8</v>
      </c>
      <c r="Z5695" s="234">
        <v>26</v>
      </c>
      <c r="AA5695" s="235">
        <v>0.20833333333212067</v>
      </c>
      <c r="AB5695" s="236">
        <v>12.2</v>
      </c>
      <c r="AC5695" s="127">
        <f t="shared" si="103"/>
        <v>12</v>
      </c>
    </row>
    <row r="5696" ht="14.5" customHeight="1" spans="11:29" x14ac:dyDescent="0.25">
      <c r="K5696" s="128"/>
      <c r="X5696" s="234">
        <v>2022</v>
      </c>
      <c r="Y5696" s="234">
        <v>8</v>
      </c>
      <c r="Z5696" s="234">
        <v>26</v>
      </c>
      <c r="AA5696" s="235">
        <v>0.25</v>
      </c>
      <c r="AB5696" s="236">
        <v>11</v>
      </c>
      <c r="AC5696" s="127">
        <f t="shared" si="103"/>
        <v>11</v>
      </c>
    </row>
    <row r="5697" ht="14.5" customHeight="1" spans="11:29" x14ac:dyDescent="0.25">
      <c r="K5697" s="128"/>
      <c r="X5697" s="234">
        <v>2022</v>
      </c>
      <c r="Y5697" s="234">
        <v>8</v>
      </c>
      <c r="Z5697" s="234">
        <v>26</v>
      </c>
      <c r="AA5697" s="235">
        <v>0.2916666666678793</v>
      </c>
      <c r="AB5697" s="236">
        <v>13.9</v>
      </c>
      <c r="AC5697" s="127">
        <f t="shared" si="103"/>
        <v>14</v>
      </c>
    </row>
    <row r="5698" ht="14.5" customHeight="1" spans="11:29" x14ac:dyDescent="0.25">
      <c r="K5698" s="128"/>
      <c r="X5698" s="234">
        <v>2022</v>
      </c>
      <c r="Y5698" s="234">
        <v>8</v>
      </c>
      <c r="Z5698" s="234">
        <v>26</v>
      </c>
      <c r="AA5698" s="235">
        <v>0.3333333333321207</v>
      </c>
      <c r="AB5698" s="236">
        <v>17.1</v>
      </c>
      <c r="AC5698" s="127">
        <f t="shared" si="103"/>
        <v>17</v>
      </c>
    </row>
    <row r="5699" ht="14.5" customHeight="1" spans="11:29" x14ac:dyDescent="0.25">
      <c r="K5699" s="128"/>
      <c r="X5699" s="234">
        <v>2022</v>
      </c>
      <c r="Y5699" s="234">
        <v>8</v>
      </c>
      <c r="Z5699" s="234">
        <v>26</v>
      </c>
      <c r="AA5699" s="235">
        <v>0.375</v>
      </c>
      <c r="AB5699" s="236">
        <v>21</v>
      </c>
      <c r="AC5699" s="127">
        <f t="shared" si="103"/>
        <v>21</v>
      </c>
    </row>
    <row r="5700" ht="14.5" customHeight="1" spans="11:29" x14ac:dyDescent="0.25">
      <c r="K5700" s="128"/>
      <c r="X5700" s="234">
        <v>2022</v>
      </c>
      <c r="Y5700" s="234">
        <v>8</v>
      </c>
      <c r="Z5700" s="234">
        <v>26</v>
      </c>
      <c r="AA5700" s="235">
        <v>0.4166666666678793</v>
      </c>
      <c r="AB5700" s="236">
        <v>24.3</v>
      </c>
      <c r="AC5700" s="127">
        <f t="shared" si="103"/>
        <v>24</v>
      </c>
    </row>
    <row r="5701" ht="14.5" customHeight="1" spans="11:29" x14ac:dyDescent="0.25">
      <c r="K5701" s="128"/>
      <c r="X5701" s="234">
        <v>2022</v>
      </c>
      <c r="Y5701" s="234">
        <v>8</v>
      </c>
      <c r="Z5701" s="234">
        <v>26</v>
      </c>
      <c r="AA5701" s="235">
        <v>0.4583333333321207</v>
      </c>
      <c r="AB5701" s="236">
        <v>24.8</v>
      </c>
      <c r="AC5701" s="127">
        <f t="shared" si="103"/>
        <v>25</v>
      </c>
    </row>
    <row r="5702" ht="14.5" customHeight="1" spans="11:29" x14ac:dyDescent="0.25">
      <c r="K5702" s="128"/>
      <c r="X5702" s="234">
        <v>2022</v>
      </c>
      <c r="Y5702" s="234">
        <v>8</v>
      </c>
      <c r="Z5702" s="234">
        <v>26</v>
      </c>
      <c r="AA5702" s="235">
        <v>0.5</v>
      </c>
      <c r="AB5702" s="236">
        <v>25.8</v>
      </c>
      <c r="AC5702" s="127">
        <f t="shared" si="103"/>
        <v>26</v>
      </c>
    </row>
    <row r="5703" ht="14.5" customHeight="1" spans="11:29" x14ac:dyDescent="0.25">
      <c r="K5703" s="128"/>
      <c r="X5703" s="234">
        <v>2022</v>
      </c>
      <c r="Y5703" s="234">
        <v>8</v>
      </c>
      <c r="Z5703" s="234">
        <v>26</v>
      </c>
      <c r="AA5703" s="235">
        <v>0.5416666666678793</v>
      </c>
      <c r="AB5703" s="236">
        <v>26.8</v>
      </c>
      <c r="AC5703" s="127">
        <f t="shared" si="103"/>
        <v>27</v>
      </c>
    </row>
    <row r="5704" ht="14.5" customHeight="1" spans="11:29" x14ac:dyDescent="0.25">
      <c r="K5704" s="128"/>
      <c r="X5704" s="234">
        <v>2022</v>
      </c>
      <c r="Y5704" s="234">
        <v>8</v>
      </c>
      <c r="Z5704" s="234">
        <v>26</v>
      </c>
      <c r="AA5704" s="235">
        <v>0.5833333333321207</v>
      </c>
      <c r="AB5704" s="236">
        <v>22.7</v>
      </c>
      <c r="AC5704" s="127">
        <f t="shared" si="103"/>
        <v>23</v>
      </c>
    </row>
    <row r="5705" ht="14.5" customHeight="1" spans="11:29" x14ac:dyDescent="0.25">
      <c r="K5705" s="128"/>
      <c r="X5705" s="234">
        <v>2022</v>
      </c>
      <c r="Y5705" s="234">
        <v>8</v>
      </c>
      <c r="Z5705" s="234">
        <v>26</v>
      </c>
      <c r="AA5705" s="235">
        <v>0.625</v>
      </c>
      <c r="AB5705" s="236">
        <v>24</v>
      </c>
      <c r="AC5705" s="127">
        <f t="shared" si="103"/>
        <v>24</v>
      </c>
    </row>
    <row r="5706" ht="14.5" customHeight="1" spans="11:29" x14ac:dyDescent="0.25">
      <c r="K5706" s="128"/>
      <c r="X5706" s="234">
        <v>2022</v>
      </c>
      <c r="Y5706" s="234">
        <v>8</v>
      </c>
      <c r="Z5706" s="234">
        <v>26</v>
      </c>
      <c r="AA5706" s="235">
        <v>0.6666666666678793</v>
      </c>
      <c r="AB5706" s="236">
        <v>26.3</v>
      </c>
      <c r="AC5706" s="127">
        <f t="shared" si="103"/>
        <v>26</v>
      </c>
    </row>
    <row r="5707" ht="14.5" customHeight="1" spans="11:29" x14ac:dyDescent="0.25">
      <c r="K5707" s="128"/>
      <c r="X5707" s="234">
        <v>2022</v>
      </c>
      <c r="Y5707" s="234">
        <v>8</v>
      </c>
      <c r="Z5707" s="234">
        <v>26</v>
      </c>
      <c r="AA5707" s="235">
        <v>0.7083333333321207</v>
      </c>
      <c r="AB5707" s="236">
        <v>25.4</v>
      </c>
      <c r="AC5707" s="127">
        <f t="shared" ref="AC5707:AC5770" si="104">ROUND(AB5707,0)</f>
        <v>25</v>
      </c>
    </row>
    <row r="5708" ht="14.5" customHeight="1" spans="11:29" x14ac:dyDescent="0.25">
      <c r="K5708" s="128"/>
      <c r="X5708" s="234">
        <v>2022</v>
      </c>
      <c r="Y5708" s="234">
        <v>8</v>
      </c>
      <c r="Z5708" s="234">
        <v>26</v>
      </c>
      <c r="AA5708" s="235">
        <v>0.75</v>
      </c>
      <c r="AB5708" s="236">
        <v>20.5</v>
      </c>
      <c r="AC5708" s="127">
        <f t="shared" si="104"/>
        <v>21</v>
      </c>
    </row>
    <row r="5709" ht="14.5" customHeight="1" spans="11:29" x14ac:dyDescent="0.25">
      <c r="K5709" s="128"/>
      <c r="X5709" s="234">
        <v>2022</v>
      </c>
      <c r="Y5709" s="234">
        <v>8</v>
      </c>
      <c r="Z5709" s="234">
        <v>26</v>
      </c>
      <c r="AA5709" s="235">
        <v>0.7916666666678793</v>
      </c>
      <c r="AB5709" s="236">
        <v>19.8</v>
      </c>
      <c r="AC5709" s="127">
        <f t="shared" si="104"/>
        <v>20</v>
      </c>
    </row>
    <row r="5710" ht="14.5" customHeight="1" spans="11:29" x14ac:dyDescent="0.25">
      <c r="K5710" s="128"/>
      <c r="X5710" s="234">
        <v>2022</v>
      </c>
      <c r="Y5710" s="234">
        <v>8</v>
      </c>
      <c r="Z5710" s="234">
        <v>26</v>
      </c>
      <c r="AA5710" s="235">
        <v>0.8333333333321207</v>
      </c>
      <c r="AB5710" s="236">
        <v>18</v>
      </c>
      <c r="AC5710" s="127">
        <f t="shared" si="104"/>
        <v>18</v>
      </c>
    </row>
    <row r="5711" ht="14.5" customHeight="1" spans="11:29" x14ac:dyDescent="0.25">
      <c r="K5711" s="128"/>
      <c r="X5711" s="234">
        <v>2022</v>
      </c>
      <c r="Y5711" s="234">
        <v>8</v>
      </c>
      <c r="Z5711" s="234">
        <v>26</v>
      </c>
      <c r="AA5711" s="235">
        <v>0.875</v>
      </c>
      <c r="AB5711" s="236">
        <v>16</v>
      </c>
      <c r="AC5711" s="127">
        <f t="shared" si="104"/>
        <v>16</v>
      </c>
    </row>
    <row r="5712" ht="14.5" customHeight="1" spans="11:29" x14ac:dyDescent="0.25">
      <c r="K5712" s="128"/>
      <c r="X5712" s="234">
        <v>2022</v>
      </c>
      <c r="Y5712" s="234">
        <v>8</v>
      </c>
      <c r="Z5712" s="234">
        <v>26</v>
      </c>
      <c r="AA5712" s="235">
        <v>0.9166666666678793</v>
      </c>
      <c r="AB5712" s="236">
        <v>16.2</v>
      </c>
      <c r="AC5712" s="127">
        <f t="shared" si="104"/>
        <v>16</v>
      </c>
    </row>
    <row r="5713" ht="14.5" customHeight="1" spans="11:29" x14ac:dyDescent="0.25">
      <c r="K5713" s="128"/>
      <c r="X5713" s="234">
        <v>2022</v>
      </c>
      <c r="Y5713" s="234">
        <v>8</v>
      </c>
      <c r="Z5713" s="234">
        <v>26</v>
      </c>
      <c r="AA5713" s="235">
        <v>0.9583333333321207</v>
      </c>
      <c r="AB5713" s="236">
        <v>16.6</v>
      </c>
      <c r="AC5713" s="127">
        <f t="shared" si="104"/>
        <v>17</v>
      </c>
    </row>
    <row r="5714" ht="14.5" customHeight="1" spans="11:29" x14ac:dyDescent="0.25">
      <c r="K5714" s="128"/>
      <c r="X5714" s="234">
        <v>2022</v>
      </c>
      <c r="Y5714" s="234">
        <v>8</v>
      </c>
      <c r="Z5714" s="234">
        <v>27</v>
      </c>
      <c r="AA5714" s="235">
        <v>0</v>
      </c>
      <c r="AB5714" s="236">
        <v>14.6</v>
      </c>
      <c r="AC5714" s="127">
        <f t="shared" si="104"/>
        <v>15</v>
      </c>
    </row>
    <row r="5715" ht="14.5" customHeight="1" spans="11:29" x14ac:dyDescent="0.25">
      <c r="K5715" s="128"/>
      <c r="X5715" s="234">
        <v>2022</v>
      </c>
      <c r="Y5715" s="234">
        <v>8</v>
      </c>
      <c r="Z5715" s="234">
        <v>27</v>
      </c>
      <c r="AA5715" s="235">
        <v>0.041666666667879326</v>
      </c>
      <c r="AB5715" s="236">
        <v>13.8</v>
      </c>
      <c r="AC5715" s="127">
        <f t="shared" si="104"/>
        <v>14</v>
      </c>
    </row>
    <row r="5716" ht="14.5" customHeight="1" spans="11:29" x14ac:dyDescent="0.25">
      <c r="K5716" s="128"/>
      <c r="X5716" s="234">
        <v>2022</v>
      </c>
      <c r="Y5716" s="234">
        <v>8</v>
      </c>
      <c r="Z5716" s="234">
        <v>27</v>
      </c>
      <c r="AA5716" s="235">
        <v>0.08333333333212067</v>
      </c>
      <c r="AB5716" s="236">
        <v>12</v>
      </c>
      <c r="AC5716" s="127">
        <f t="shared" si="104"/>
        <v>12</v>
      </c>
    </row>
    <row r="5717" ht="14.5" customHeight="1" spans="11:29" x14ac:dyDescent="0.25">
      <c r="K5717" s="128"/>
      <c r="X5717" s="234">
        <v>2022</v>
      </c>
      <c r="Y5717" s="234">
        <v>8</v>
      </c>
      <c r="Z5717" s="234">
        <v>27</v>
      </c>
      <c r="AA5717" s="235">
        <v>0.125</v>
      </c>
      <c r="AB5717" s="236">
        <v>14.6</v>
      </c>
      <c r="AC5717" s="127">
        <f t="shared" si="104"/>
        <v>15</v>
      </c>
    </row>
    <row r="5718" ht="14.5" customHeight="1" spans="11:29" x14ac:dyDescent="0.25">
      <c r="K5718" s="128"/>
      <c r="X5718" s="234">
        <v>2022</v>
      </c>
      <c r="Y5718" s="234">
        <v>8</v>
      </c>
      <c r="Z5718" s="234">
        <v>27</v>
      </c>
      <c r="AA5718" s="235">
        <v>0.16666666666787933</v>
      </c>
      <c r="AB5718" s="236">
        <v>15.9</v>
      </c>
      <c r="AC5718" s="127">
        <f t="shared" si="104"/>
        <v>16</v>
      </c>
    </row>
    <row r="5719" ht="14.5" customHeight="1" spans="11:29" x14ac:dyDescent="0.25">
      <c r="K5719" s="128"/>
      <c r="X5719" s="234">
        <v>2022</v>
      </c>
      <c r="Y5719" s="234">
        <v>8</v>
      </c>
      <c r="Z5719" s="234">
        <v>27</v>
      </c>
      <c r="AA5719" s="235">
        <v>0.20833333333212067</v>
      </c>
      <c r="AB5719" s="236">
        <v>15.7</v>
      </c>
      <c r="AC5719" s="127">
        <f t="shared" si="104"/>
        <v>16</v>
      </c>
    </row>
    <row r="5720" ht="14.5" customHeight="1" spans="11:29" x14ac:dyDescent="0.25">
      <c r="K5720" s="128"/>
      <c r="X5720" s="234">
        <v>2022</v>
      </c>
      <c r="Y5720" s="234">
        <v>8</v>
      </c>
      <c r="Z5720" s="234">
        <v>27</v>
      </c>
      <c r="AA5720" s="235">
        <v>0.25</v>
      </c>
      <c r="AB5720" s="236">
        <v>15</v>
      </c>
      <c r="AC5720" s="127">
        <f t="shared" si="104"/>
        <v>15</v>
      </c>
    </row>
    <row r="5721" ht="14.5" customHeight="1" spans="11:29" x14ac:dyDescent="0.25">
      <c r="K5721" s="128"/>
      <c r="X5721" s="234">
        <v>2022</v>
      </c>
      <c r="Y5721" s="234">
        <v>8</v>
      </c>
      <c r="Z5721" s="234">
        <v>27</v>
      </c>
      <c r="AA5721" s="235">
        <v>0.2916666666678793</v>
      </c>
      <c r="AB5721" s="236">
        <v>15.7</v>
      </c>
      <c r="AC5721" s="127">
        <f t="shared" si="104"/>
        <v>16</v>
      </c>
    </row>
    <row r="5722" ht="14.5" customHeight="1" spans="11:29" x14ac:dyDescent="0.25">
      <c r="K5722" s="128"/>
      <c r="X5722" s="234">
        <v>2022</v>
      </c>
      <c r="Y5722" s="234">
        <v>8</v>
      </c>
      <c r="Z5722" s="234">
        <v>27</v>
      </c>
      <c r="AA5722" s="235">
        <v>0.3333333333321207</v>
      </c>
      <c r="AB5722" s="236">
        <v>17</v>
      </c>
      <c r="AC5722" s="127">
        <f t="shared" si="104"/>
        <v>17</v>
      </c>
    </row>
    <row r="5723" ht="14.5" customHeight="1" spans="11:29" x14ac:dyDescent="0.25">
      <c r="K5723" s="128"/>
      <c r="X5723" s="234">
        <v>2022</v>
      </c>
      <c r="Y5723" s="234">
        <v>8</v>
      </c>
      <c r="Z5723" s="234">
        <v>27</v>
      </c>
      <c r="AA5723" s="235">
        <v>0.375</v>
      </c>
      <c r="AB5723" s="236">
        <v>16.9</v>
      </c>
      <c r="AC5723" s="127">
        <f t="shared" si="104"/>
        <v>17</v>
      </c>
    </row>
    <row r="5724" ht="14.5" customHeight="1" spans="11:29" x14ac:dyDescent="0.25">
      <c r="K5724" s="128"/>
      <c r="X5724" s="234">
        <v>2022</v>
      </c>
      <c r="Y5724" s="234">
        <v>8</v>
      </c>
      <c r="Z5724" s="234">
        <v>27</v>
      </c>
      <c r="AA5724" s="235">
        <v>0.4166666666678793</v>
      </c>
      <c r="AB5724" s="236">
        <v>17.1</v>
      </c>
      <c r="AC5724" s="127">
        <f t="shared" si="104"/>
        <v>17</v>
      </c>
    </row>
    <row r="5725" ht="14.5" customHeight="1" spans="11:29" x14ac:dyDescent="0.25">
      <c r="K5725" s="128"/>
      <c r="X5725" s="234">
        <v>2022</v>
      </c>
      <c r="Y5725" s="234">
        <v>8</v>
      </c>
      <c r="Z5725" s="234">
        <v>27</v>
      </c>
      <c r="AA5725" s="235">
        <v>0.4583333333321207</v>
      </c>
      <c r="AB5725" s="236">
        <v>18.6</v>
      </c>
      <c r="AC5725" s="127">
        <f t="shared" si="104"/>
        <v>19</v>
      </c>
    </row>
    <row r="5726" ht="14.5" customHeight="1" spans="11:29" x14ac:dyDescent="0.25">
      <c r="K5726" s="128"/>
      <c r="X5726" s="234">
        <v>2022</v>
      </c>
      <c r="Y5726" s="234">
        <v>8</v>
      </c>
      <c r="Z5726" s="234">
        <v>27</v>
      </c>
      <c r="AA5726" s="235">
        <v>0.5</v>
      </c>
      <c r="AB5726" s="236">
        <v>19.1</v>
      </c>
      <c r="AC5726" s="127">
        <f t="shared" si="104"/>
        <v>19</v>
      </c>
    </row>
    <row r="5727" ht="14.5" customHeight="1" spans="11:29" x14ac:dyDescent="0.25">
      <c r="K5727" s="128"/>
      <c r="X5727" s="234">
        <v>2022</v>
      </c>
      <c r="Y5727" s="234">
        <v>8</v>
      </c>
      <c r="Z5727" s="234">
        <v>27</v>
      </c>
      <c r="AA5727" s="235">
        <v>0.5416666666678793</v>
      </c>
      <c r="AB5727" s="236">
        <v>14.6</v>
      </c>
      <c r="AC5727" s="127">
        <f t="shared" si="104"/>
        <v>15</v>
      </c>
    </row>
    <row r="5728" ht="14.5" customHeight="1" spans="11:29" x14ac:dyDescent="0.25">
      <c r="K5728" s="128"/>
      <c r="X5728" s="234">
        <v>2022</v>
      </c>
      <c r="Y5728" s="234">
        <v>8</v>
      </c>
      <c r="Z5728" s="234">
        <v>27</v>
      </c>
      <c r="AA5728" s="235">
        <v>0.5833333333321207</v>
      </c>
      <c r="AB5728" s="236">
        <v>11.1</v>
      </c>
      <c r="AC5728" s="127">
        <f t="shared" si="104"/>
        <v>11</v>
      </c>
    </row>
    <row r="5729" ht="14.5" customHeight="1" spans="11:29" x14ac:dyDescent="0.25">
      <c r="K5729" s="128"/>
      <c r="X5729" s="234">
        <v>2022</v>
      </c>
      <c r="Y5729" s="234">
        <v>8</v>
      </c>
      <c r="Z5729" s="234">
        <v>27</v>
      </c>
      <c r="AA5729" s="235">
        <v>0.625</v>
      </c>
      <c r="AB5729" s="236">
        <v>10.6</v>
      </c>
      <c r="AC5729" s="127">
        <f t="shared" si="104"/>
        <v>11</v>
      </c>
    </row>
    <row r="5730" ht="14.5" customHeight="1" spans="11:29" x14ac:dyDescent="0.25">
      <c r="K5730" s="128"/>
      <c r="X5730" s="234">
        <v>2022</v>
      </c>
      <c r="Y5730" s="234">
        <v>8</v>
      </c>
      <c r="Z5730" s="234">
        <v>27</v>
      </c>
      <c r="AA5730" s="235">
        <v>0.6666666666678793</v>
      </c>
      <c r="AB5730" s="236">
        <v>11.6</v>
      </c>
      <c r="AC5730" s="127">
        <f t="shared" si="104"/>
        <v>12</v>
      </c>
    </row>
    <row r="5731" ht="14.5" customHeight="1" spans="11:29" x14ac:dyDescent="0.25">
      <c r="K5731" s="128"/>
      <c r="X5731" s="234">
        <v>2022</v>
      </c>
      <c r="Y5731" s="234">
        <v>8</v>
      </c>
      <c r="Z5731" s="234">
        <v>27</v>
      </c>
      <c r="AA5731" s="235">
        <v>0.7083333333321207</v>
      </c>
      <c r="AB5731" s="236">
        <v>13</v>
      </c>
      <c r="AC5731" s="127">
        <f t="shared" si="104"/>
        <v>13</v>
      </c>
    </row>
    <row r="5732" ht="14.5" customHeight="1" spans="11:29" x14ac:dyDescent="0.25">
      <c r="K5732" s="128"/>
      <c r="X5732" s="234">
        <v>2022</v>
      </c>
      <c r="Y5732" s="234">
        <v>8</v>
      </c>
      <c r="Z5732" s="234">
        <v>27</v>
      </c>
      <c r="AA5732" s="235">
        <v>0.75</v>
      </c>
      <c r="AB5732" s="236">
        <v>12.9</v>
      </c>
      <c r="AC5732" s="127">
        <f t="shared" si="104"/>
        <v>13</v>
      </c>
    </row>
    <row r="5733" ht="14.5" customHeight="1" spans="11:29" x14ac:dyDescent="0.25">
      <c r="K5733" s="128"/>
      <c r="X5733" s="234">
        <v>2022</v>
      </c>
      <c r="Y5733" s="234">
        <v>8</v>
      </c>
      <c r="Z5733" s="234">
        <v>27</v>
      </c>
      <c r="AA5733" s="235">
        <v>0.7916666666678793</v>
      </c>
      <c r="AB5733" s="236">
        <v>11.5</v>
      </c>
      <c r="AC5733" s="127">
        <f t="shared" si="104"/>
        <v>12</v>
      </c>
    </row>
    <row r="5734" ht="14.5" customHeight="1" spans="11:29" x14ac:dyDescent="0.25">
      <c r="K5734" s="128"/>
      <c r="X5734" s="234">
        <v>2022</v>
      </c>
      <c r="Y5734" s="234">
        <v>8</v>
      </c>
      <c r="Z5734" s="234">
        <v>27</v>
      </c>
      <c r="AA5734" s="235">
        <v>0.8333333333321207</v>
      </c>
      <c r="AB5734" s="236">
        <v>12</v>
      </c>
      <c r="AC5734" s="127">
        <f t="shared" si="104"/>
        <v>12</v>
      </c>
    </row>
    <row r="5735" ht="14.5" customHeight="1" spans="11:29" x14ac:dyDescent="0.25">
      <c r="K5735" s="128"/>
      <c r="X5735" s="234">
        <v>2022</v>
      </c>
      <c r="Y5735" s="234">
        <v>8</v>
      </c>
      <c r="Z5735" s="234">
        <v>27</v>
      </c>
      <c r="AA5735" s="235">
        <v>0.875</v>
      </c>
      <c r="AB5735" s="236">
        <v>12.6</v>
      </c>
      <c r="AC5735" s="127">
        <f t="shared" si="104"/>
        <v>13</v>
      </c>
    </row>
    <row r="5736" ht="14.5" customHeight="1" spans="11:29" x14ac:dyDescent="0.25">
      <c r="K5736" s="128"/>
      <c r="X5736" s="234">
        <v>2022</v>
      </c>
      <c r="Y5736" s="234">
        <v>8</v>
      </c>
      <c r="Z5736" s="234">
        <v>27</v>
      </c>
      <c r="AA5736" s="235">
        <v>0.9166666666678793</v>
      </c>
      <c r="AB5736" s="236">
        <v>12.3</v>
      </c>
      <c r="AC5736" s="127">
        <f t="shared" si="104"/>
        <v>12</v>
      </c>
    </row>
    <row r="5737" ht="14.5" customHeight="1" spans="11:29" x14ac:dyDescent="0.25">
      <c r="K5737" s="128"/>
      <c r="X5737" s="234">
        <v>2022</v>
      </c>
      <c r="Y5737" s="234">
        <v>8</v>
      </c>
      <c r="Z5737" s="234">
        <v>27</v>
      </c>
      <c r="AA5737" s="235">
        <v>0.9583333333321207</v>
      </c>
      <c r="AB5737" s="236">
        <v>12.2</v>
      </c>
      <c r="AC5737" s="127">
        <f t="shared" si="104"/>
        <v>12</v>
      </c>
    </row>
    <row r="5738" ht="14.5" customHeight="1" spans="11:29" x14ac:dyDescent="0.25">
      <c r="K5738" s="128"/>
      <c r="X5738" s="234">
        <v>2022</v>
      </c>
      <c r="Y5738" s="234">
        <v>8</v>
      </c>
      <c r="Z5738" s="234">
        <v>28</v>
      </c>
      <c r="AA5738" s="235">
        <v>0</v>
      </c>
      <c r="AB5738" s="236">
        <v>12.5</v>
      </c>
      <c r="AC5738" s="127">
        <f t="shared" si="104"/>
        <v>13</v>
      </c>
    </row>
    <row r="5739" ht="14.5" customHeight="1" spans="11:29" x14ac:dyDescent="0.25">
      <c r="K5739" s="128"/>
      <c r="X5739" s="234">
        <v>2022</v>
      </c>
      <c r="Y5739" s="234">
        <v>8</v>
      </c>
      <c r="Z5739" s="234">
        <v>28</v>
      </c>
      <c r="AA5739" s="235">
        <v>0.041666666667879326</v>
      </c>
      <c r="AB5739" s="236">
        <v>12.5</v>
      </c>
      <c r="AC5739" s="127">
        <f t="shared" si="104"/>
        <v>13</v>
      </c>
    </row>
    <row r="5740" ht="14.5" customHeight="1" spans="11:29" x14ac:dyDescent="0.25">
      <c r="K5740" s="128"/>
      <c r="X5740" s="234">
        <v>2022</v>
      </c>
      <c r="Y5740" s="234">
        <v>8</v>
      </c>
      <c r="Z5740" s="234">
        <v>28</v>
      </c>
      <c r="AA5740" s="235">
        <v>0.08333333333212067</v>
      </c>
      <c r="AB5740" s="236">
        <v>13</v>
      </c>
      <c r="AC5740" s="127">
        <f t="shared" si="104"/>
        <v>13</v>
      </c>
    </row>
    <row r="5741" ht="14.5" customHeight="1" spans="11:29" x14ac:dyDescent="0.25">
      <c r="K5741" s="128"/>
      <c r="X5741" s="234">
        <v>2022</v>
      </c>
      <c r="Y5741" s="234">
        <v>8</v>
      </c>
      <c r="Z5741" s="234">
        <v>28</v>
      </c>
      <c r="AA5741" s="235">
        <v>0.125</v>
      </c>
      <c r="AB5741" s="236">
        <v>12</v>
      </c>
      <c r="AC5741" s="127">
        <f t="shared" si="104"/>
        <v>12</v>
      </c>
    </row>
    <row r="5742" ht="14.5" customHeight="1" spans="11:29" x14ac:dyDescent="0.25">
      <c r="K5742" s="128"/>
      <c r="X5742" s="234">
        <v>2022</v>
      </c>
      <c r="Y5742" s="234">
        <v>8</v>
      </c>
      <c r="Z5742" s="234">
        <v>28</v>
      </c>
      <c r="AA5742" s="235">
        <v>0.16666666666787933</v>
      </c>
      <c r="AB5742" s="236">
        <v>11.1</v>
      </c>
      <c r="AC5742" s="127">
        <f t="shared" si="104"/>
        <v>11</v>
      </c>
    </row>
    <row r="5743" ht="14.5" customHeight="1" spans="11:29" x14ac:dyDescent="0.25">
      <c r="K5743" s="128"/>
      <c r="X5743" s="234">
        <v>2022</v>
      </c>
      <c r="Y5743" s="234">
        <v>8</v>
      </c>
      <c r="Z5743" s="234">
        <v>28</v>
      </c>
      <c r="AA5743" s="235">
        <v>0.20833333333212067</v>
      </c>
      <c r="AB5743" s="236">
        <v>9.9</v>
      </c>
      <c r="AC5743" s="127">
        <f t="shared" si="104"/>
        <v>10</v>
      </c>
    </row>
    <row r="5744" ht="14.5" customHeight="1" spans="11:29" x14ac:dyDescent="0.25">
      <c r="K5744" s="128"/>
      <c r="X5744" s="234">
        <v>2022</v>
      </c>
      <c r="Y5744" s="234">
        <v>8</v>
      </c>
      <c r="Z5744" s="234">
        <v>28</v>
      </c>
      <c r="AA5744" s="235">
        <v>0.25</v>
      </c>
      <c r="AB5744" s="236">
        <v>8.3</v>
      </c>
      <c r="AC5744" s="127">
        <f t="shared" si="104"/>
        <v>8</v>
      </c>
    </row>
    <row r="5745" ht="14.5" customHeight="1" spans="11:29" x14ac:dyDescent="0.25">
      <c r="K5745" s="128"/>
      <c r="X5745" s="234">
        <v>2022</v>
      </c>
      <c r="Y5745" s="234">
        <v>8</v>
      </c>
      <c r="Z5745" s="234">
        <v>28</v>
      </c>
      <c r="AA5745" s="235">
        <v>0.2916666666678793</v>
      </c>
      <c r="AB5745" s="236">
        <v>11.3</v>
      </c>
      <c r="AC5745" s="127">
        <f t="shared" si="104"/>
        <v>11</v>
      </c>
    </row>
    <row r="5746" ht="14.5" customHeight="1" spans="11:29" x14ac:dyDescent="0.25">
      <c r="K5746" s="128"/>
      <c r="X5746" s="234">
        <v>2022</v>
      </c>
      <c r="Y5746" s="234">
        <v>8</v>
      </c>
      <c r="Z5746" s="234">
        <v>28</v>
      </c>
      <c r="AA5746" s="235">
        <v>0.3333333333321207</v>
      </c>
      <c r="AB5746" s="236">
        <v>13.4</v>
      </c>
      <c r="AC5746" s="127">
        <f t="shared" si="104"/>
        <v>13</v>
      </c>
    </row>
    <row r="5747" ht="14.5" customHeight="1" spans="11:29" x14ac:dyDescent="0.25">
      <c r="K5747" s="128"/>
      <c r="X5747" s="234">
        <v>2022</v>
      </c>
      <c r="Y5747" s="234">
        <v>8</v>
      </c>
      <c r="Z5747" s="234">
        <v>28</v>
      </c>
      <c r="AA5747" s="235">
        <v>0.375</v>
      </c>
      <c r="AB5747" s="236">
        <v>15.4</v>
      </c>
      <c r="AC5747" s="127">
        <f t="shared" si="104"/>
        <v>15</v>
      </c>
    </row>
    <row r="5748" ht="14.5" customHeight="1" spans="11:29" x14ac:dyDescent="0.25">
      <c r="K5748" s="128"/>
      <c r="X5748" s="234">
        <v>2022</v>
      </c>
      <c r="Y5748" s="234">
        <v>8</v>
      </c>
      <c r="Z5748" s="234">
        <v>28</v>
      </c>
      <c r="AA5748" s="235">
        <v>0.4166666666678793</v>
      </c>
      <c r="AB5748" s="236">
        <v>15.4</v>
      </c>
      <c r="AC5748" s="127">
        <f t="shared" si="104"/>
        <v>15</v>
      </c>
    </row>
    <row r="5749" ht="14.5" customHeight="1" spans="11:29" x14ac:dyDescent="0.25">
      <c r="K5749" s="128"/>
      <c r="X5749" s="234">
        <v>2022</v>
      </c>
      <c r="Y5749" s="234">
        <v>8</v>
      </c>
      <c r="Z5749" s="234">
        <v>28</v>
      </c>
      <c r="AA5749" s="235">
        <v>0.4583333333321207</v>
      </c>
      <c r="AB5749" s="236">
        <v>17.5</v>
      </c>
      <c r="AC5749" s="127">
        <f t="shared" si="104"/>
        <v>18</v>
      </c>
    </row>
    <row r="5750" ht="14.5" customHeight="1" spans="11:29" x14ac:dyDescent="0.25">
      <c r="K5750" s="128"/>
      <c r="X5750" s="234">
        <v>2022</v>
      </c>
      <c r="Y5750" s="234">
        <v>8</v>
      </c>
      <c r="Z5750" s="234">
        <v>28</v>
      </c>
      <c r="AA5750" s="235">
        <v>0.5</v>
      </c>
      <c r="AB5750" s="236">
        <v>18.2</v>
      </c>
      <c r="AC5750" s="127">
        <f t="shared" si="104"/>
        <v>18</v>
      </c>
    </row>
    <row r="5751" ht="14.5" customHeight="1" spans="11:29" x14ac:dyDescent="0.25">
      <c r="K5751" s="128"/>
      <c r="X5751" s="234">
        <v>2022</v>
      </c>
      <c r="Y5751" s="234">
        <v>8</v>
      </c>
      <c r="Z5751" s="234">
        <v>28</v>
      </c>
      <c r="AA5751" s="235">
        <v>0.5416666666678793</v>
      </c>
      <c r="AB5751" s="236">
        <v>18.6</v>
      </c>
      <c r="AC5751" s="127">
        <f t="shared" si="104"/>
        <v>19</v>
      </c>
    </row>
    <row r="5752" ht="14.5" customHeight="1" spans="11:29" x14ac:dyDescent="0.25">
      <c r="K5752" s="128"/>
      <c r="X5752" s="234">
        <v>2022</v>
      </c>
      <c r="Y5752" s="234">
        <v>8</v>
      </c>
      <c r="Z5752" s="234">
        <v>28</v>
      </c>
      <c r="AA5752" s="235">
        <v>0.5833333333321207</v>
      </c>
      <c r="AB5752" s="236">
        <v>19.7</v>
      </c>
      <c r="AC5752" s="127">
        <f t="shared" si="104"/>
        <v>20</v>
      </c>
    </row>
    <row r="5753" ht="14.5" customHeight="1" spans="11:29" x14ac:dyDescent="0.25">
      <c r="K5753" s="128"/>
      <c r="X5753" s="234">
        <v>2022</v>
      </c>
      <c r="Y5753" s="234">
        <v>8</v>
      </c>
      <c r="Z5753" s="234">
        <v>28</v>
      </c>
      <c r="AA5753" s="235">
        <v>0.625</v>
      </c>
      <c r="AB5753" s="236">
        <v>20.5</v>
      </c>
      <c r="AC5753" s="127">
        <f t="shared" si="104"/>
        <v>21</v>
      </c>
    </row>
    <row r="5754" ht="14.5" customHeight="1" spans="11:29" x14ac:dyDescent="0.25">
      <c r="K5754" s="128"/>
      <c r="X5754" s="234">
        <v>2022</v>
      </c>
      <c r="Y5754" s="234">
        <v>8</v>
      </c>
      <c r="Z5754" s="234">
        <v>28</v>
      </c>
      <c r="AA5754" s="235">
        <v>0.6666666666678793</v>
      </c>
      <c r="AB5754" s="236">
        <v>20.7</v>
      </c>
      <c r="AC5754" s="127">
        <f t="shared" si="104"/>
        <v>21</v>
      </c>
    </row>
    <row r="5755" ht="14.5" customHeight="1" spans="11:29" x14ac:dyDescent="0.25">
      <c r="K5755" s="128"/>
      <c r="X5755" s="234">
        <v>2022</v>
      </c>
      <c r="Y5755" s="234">
        <v>8</v>
      </c>
      <c r="Z5755" s="234">
        <v>28</v>
      </c>
      <c r="AA5755" s="235">
        <v>0.7083333333321207</v>
      </c>
      <c r="AB5755" s="236">
        <v>21.6</v>
      </c>
      <c r="AC5755" s="127">
        <f t="shared" si="104"/>
        <v>22</v>
      </c>
    </row>
    <row r="5756" ht="14.5" customHeight="1" spans="11:29" x14ac:dyDescent="0.25">
      <c r="K5756" s="128"/>
      <c r="X5756" s="234">
        <v>2022</v>
      </c>
      <c r="Y5756" s="234">
        <v>8</v>
      </c>
      <c r="Z5756" s="234">
        <v>28</v>
      </c>
      <c r="AA5756" s="235">
        <v>0.75</v>
      </c>
      <c r="AB5756" s="236">
        <v>20.9</v>
      </c>
      <c r="AC5756" s="127">
        <f t="shared" si="104"/>
        <v>21</v>
      </c>
    </row>
    <row r="5757" ht="14.5" customHeight="1" spans="11:29" x14ac:dyDescent="0.25">
      <c r="K5757" s="128"/>
      <c r="X5757" s="234">
        <v>2022</v>
      </c>
      <c r="Y5757" s="234">
        <v>8</v>
      </c>
      <c r="Z5757" s="234">
        <v>28</v>
      </c>
      <c r="AA5757" s="235">
        <v>0.7916666666678793</v>
      </c>
      <c r="AB5757" s="236">
        <v>19.4</v>
      </c>
      <c r="AC5757" s="127">
        <f t="shared" si="104"/>
        <v>19</v>
      </c>
    </row>
    <row r="5758" ht="14.5" customHeight="1" spans="11:29" x14ac:dyDescent="0.25">
      <c r="K5758" s="128"/>
      <c r="X5758" s="234">
        <v>2022</v>
      </c>
      <c r="Y5758" s="234">
        <v>8</v>
      </c>
      <c r="Z5758" s="234">
        <v>28</v>
      </c>
      <c r="AA5758" s="235">
        <v>0.8333333333321207</v>
      </c>
      <c r="AB5758" s="236">
        <v>17.2</v>
      </c>
      <c r="AC5758" s="127">
        <f t="shared" si="104"/>
        <v>17</v>
      </c>
    </row>
    <row r="5759" ht="14.5" customHeight="1" spans="11:29" x14ac:dyDescent="0.25">
      <c r="K5759" s="128"/>
      <c r="X5759" s="234">
        <v>2022</v>
      </c>
      <c r="Y5759" s="234">
        <v>8</v>
      </c>
      <c r="Z5759" s="234">
        <v>28</v>
      </c>
      <c r="AA5759" s="235">
        <v>0.875</v>
      </c>
      <c r="AB5759" s="236">
        <v>16.7</v>
      </c>
      <c r="AC5759" s="127">
        <f t="shared" si="104"/>
        <v>17</v>
      </c>
    </row>
    <row r="5760" ht="14.5" customHeight="1" spans="11:29" x14ac:dyDescent="0.25">
      <c r="K5760" s="128"/>
      <c r="X5760" s="234">
        <v>2022</v>
      </c>
      <c r="Y5760" s="234">
        <v>8</v>
      </c>
      <c r="Z5760" s="234">
        <v>28</v>
      </c>
      <c r="AA5760" s="235">
        <v>0.9166666666678793</v>
      </c>
      <c r="AB5760" s="236">
        <v>15.3</v>
      </c>
      <c r="AC5760" s="127">
        <f t="shared" si="104"/>
        <v>15</v>
      </c>
    </row>
    <row r="5761" ht="14.5" customHeight="1" spans="11:29" x14ac:dyDescent="0.25">
      <c r="K5761" s="128"/>
      <c r="X5761" s="234">
        <v>2022</v>
      </c>
      <c r="Y5761" s="234">
        <v>8</v>
      </c>
      <c r="Z5761" s="234">
        <v>28</v>
      </c>
      <c r="AA5761" s="235">
        <v>0.9583333333321207</v>
      </c>
      <c r="AB5761" s="236">
        <v>12.4</v>
      </c>
      <c r="AC5761" s="127">
        <f t="shared" si="104"/>
        <v>12</v>
      </c>
    </row>
    <row r="5762" ht="14.5" customHeight="1" spans="11:29" x14ac:dyDescent="0.25">
      <c r="K5762" s="128"/>
      <c r="X5762" s="234">
        <v>2022</v>
      </c>
      <c r="Y5762" s="234">
        <v>8</v>
      </c>
      <c r="Z5762" s="234">
        <v>29</v>
      </c>
      <c r="AA5762" s="235">
        <v>0</v>
      </c>
      <c r="AB5762" s="236">
        <v>11.2</v>
      </c>
      <c r="AC5762" s="127">
        <f t="shared" si="104"/>
        <v>11</v>
      </c>
    </row>
    <row r="5763" ht="14.5" customHeight="1" spans="11:29" x14ac:dyDescent="0.25">
      <c r="K5763" s="128"/>
      <c r="X5763" s="234">
        <v>2022</v>
      </c>
      <c r="Y5763" s="234">
        <v>8</v>
      </c>
      <c r="Z5763" s="234">
        <v>29</v>
      </c>
      <c r="AA5763" s="235">
        <v>0.041666666667879326</v>
      </c>
      <c r="AB5763" s="236">
        <v>11</v>
      </c>
      <c r="AC5763" s="127">
        <f t="shared" si="104"/>
        <v>11</v>
      </c>
    </row>
    <row r="5764" ht="14.5" customHeight="1" spans="11:29" x14ac:dyDescent="0.25">
      <c r="K5764" s="128"/>
      <c r="X5764" s="234">
        <v>2022</v>
      </c>
      <c r="Y5764" s="234">
        <v>8</v>
      </c>
      <c r="Z5764" s="234">
        <v>29</v>
      </c>
      <c r="AA5764" s="235">
        <v>0.08333333333212067</v>
      </c>
      <c r="AB5764" s="236">
        <v>9.5</v>
      </c>
      <c r="AC5764" s="127">
        <f t="shared" si="104"/>
        <v>10</v>
      </c>
    </row>
    <row r="5765" ht="14.5" customHeight="1" spans="11:29" x14ac:dyDescent="0.25">
      <c r="K5765" s="128"/>
      <c r="X5765" s="234">
        <v>2022</v>
      </c>
      <c r="Y5765" s="234">
        <v>8</v>
      </c>
      <c r="Z5765" s="234">
        <v>29</v>
      </c>
      <c r="AA5765" s="235">
        <v>0.125</v>
      </c>
      <c r="AB5765" s="236">
        <v>9.9</v>
      </c>
      <c r="AC5765" s="127">
        <f t="shared" si="104"/>
        <v>10</v>
      </c>
    </row>
    <row r="5766" ht="14.5" customHeight="1" spans="11:29" x14ac:dyDescent="0.25">
      <c r="K5766" s="128"/>
      <c r="X5766" s="234">
        <v>2022</v>
      </c>
      <c r="Y5766" s="234">
        <v>8</v>
      </c>
      <c r="Z5766" s="234">
        <v>29</v>
      </c>
      <c r="AA5766" s="235">
        <v>0.16666666666787933</v>
      </c>
      <c r="AB5766" s="236">
        <v>9.8</v>
      </c>
      <c r="AC5766" s="127">
        <f t="shared" si="104"/>
        <v>10</v>
      </c>
    </row>
    <row r="5767" ht="14.5" customHeight="1" spans="11:29" x14ac:dyDescent="0.25">
      <c r="K5767" s="128"/>
      <c r="X5767" s="234">
        <v>2022</v>
      </c>
      <c r="Y5767" s="234">
        <v>8</v>
      </c>
      <c r="Z5767" s="234">
        <v>29</v>
      </c>
      <c r="AA5767" s="235">
        <v>0.20833333333212067</v>
      </c>
      <c r="AB5767" s="236">
        <v>10.1</v>
      </c>
      <c r="AC5767" s="127">
        <f t="shared" si="104"/>
        <v>10</v>
      </c>
    </row>
    <row r="5768" ht="14.5" customHeight="1" spans="11:29" x14ac:dyDescent="0.25">
      <c r="K5768" s="128"/>
      <c r="X5768" s="234">
        <v>2022</v>
      </c>
      <c r="Y5768" s="234">
        <v>8</v>
      </c>
      <c r="Z5768" s="234">
        <v>29</v>
      </c>
      <c r="AA5768" s="235">
        <v>0.25</v>
      </c>
      <c r="AB5768" s="236">
        <v>9.7</v>
      </c>
      <c r="AC5768" s="127">
        <f t="shared" si="104"/>
        <v>10</v>
      </c>
    </row>
    <row r="5769" ht="14.5" customHeight="1" spans="11:29" x14ac:dyDescent="0.25">
      <c r="K5769" s="128"/>
      <c r="X5769" s="234">
        <v>2022</v>
      </c>
      <c r="Y5769" s="234">
        <v>8</v>
      </c>
      <c r="Z5769" s="234">
        <v>29</v>
      </c>
      <c r="AA5769" s="235">
        <v>0.2916666666678793</v>
      </c>
      <c r="AB5769" s="236">
        <v>12.6</v>
      </c>
      <c r="AC5769" s="127">
        <f t="shared" si="104"/>
        <v>13</v>
      </c>
    </row>
    <row r="5770" ht="14.5" customHeight="1" spans="11:29" x14ac:dyDescent="0.25">
      <c r="K5770" s="128"/>
      <c r="X5770" s="234">
        <v>2022</v>
      </c>
      <c r="Y5770" s="234">
        <v>8</v>
      </c>
      <c r="Z5770" s="234">
        <v>29</v>
      </c>
      <c r="AA5770" s="235">
        <v>0.3333333333321207</v>
      </c>
      <c r="AB5770" s="236">
        <v>15.9</v>
      </c>
      <c r="AC5770" s="127">
        <f t="shared" si="104"/>
        <v>16</v>
      </c>
    </row>
    <row r="5771" ht="14.5" customHeight="1" spans="11:29" x14ac:dyDescent="0.25">
      <c r="K5771" s="128"/>
      <c r="X5771" s="234">
        <v>2022</v>
      </c>
      <c r="Y5771" s="234">
        <v>8</v>
      </c>
      <c r="Z5771" s="234">
        <v>29</v>
      </c>
      <c r="AA5771" s="235">
        <v>0.375</v>
      </c>
      <c r="AB5771" s="236">
        <v>18</v>
      </c>
      <c r="AC5771" s="127">
        <f t="shared" ref="AC5771:AC5834" si="105">ROUND(AB5771,0)</f>
        <v>18</v>
      </c>
    </row>
    <row r="5772" ht="14.5" customHeight="1" spans="11:29" x14ac:dyDescent="0.25">
      <c r="K5772" s="128"/>
      <c r="X5772" s="234">
        <v>2022</v>
      </c>
      <c r="Y5772" s="234">
        <v>8</v>
      </c>
      <c r="Z5772" s="234">
        <v>29</v>
      </c>
      <c r="AA5772" s="235">
        <v>0.4166666666678793</v>
      </c>
      <c r="AB5772" s="236">
        <v>20.6</v>
      </c>
      <c r="AC5772" s="127">
        <f t="shared" si="105"/>
        <v>21</v>
      </c>
    </row>
    <row r="5773" ht="14.5" customHeight="1" spans="11:29" x14ac:dyDescent="0.25">
      <c r="K5773" s="128"/>
      <c r="X5773" s="234">
        <v>2022</v>
      </c>
      <c r="Y5773" s="234">
        <v>8</v>
      </c>
      <c r="Z5773" s="234">
        <v>29</v>
      </c>
      <c r="AA5773" s="235">
        <v>0.4583333333321207</v>
      </c>
      <c r="AB5773" s="236">
        <v>21.7</v>
      </c>
      <c r="AC5773" s="127">
        <f t="shared" si="105"/>
        <v>22</v>
      </c>
    </row>
    <row r="5774" ht="14.5" customHeight="1" spans="11:29" x14ac:dyDescent="0.25">
      <c r="K5774" s="128"/>
      <c r="X5774" s="234">
        <v>2022</v>
      </c>
      <c r="Y5774" s="234">
        <v>8</v>
      </c>
      <c r="Z5774" s="234">
        <v>29</v>
      </c>
      <c r="AA5774" s="235">
        <v>0.5</v>
      </c>
      <c r="AB5774" s="236">
        <v>23</v>
      </c>
      <c r="AC5774" s="127">
        <f t="shared" si="105"/>
        <v>23</v>
      </c>
    </row>
    <row r="5775" ht="14.5" customHeight="1" spans="11:29" x14ac:dyDescent="0.25">
      <c r="K5775" s="128"/>
      <c r="X5775" s="234">
        <v>2022</v>
      </c>
      <c r="Y5775" s="234">
        <v>8</v>
      </c>
      <c r="Z5775" s="234">
        <v>29</v>
      </c>
      <c r="AA5775" s="235">
        <v>0.5416666666678793</v>
      </c>
      <c r="AB5775" s="236">
        <v>24.6</v>
      </c>
      <c r="AC5775" s="127">
        <f t="shared" si="105"/>
        <v>25</v>
      </c>
    </row>
    <row r="5776" ht="14.5" customHeight="1" spans="11:29" x14ac:dyDescent="0.25">
      <c r="K5776" s="128"/>
      <c r="X5776" s="234">
        <v>2022</v>
      </c>
      <c r="Y5776" s="234">
        <v>8</v>
      </c>
      <c r="Z5776" s="234">
        <v>29</v>
      </c>
      <c r="AA5776" s="235">
        <v>0.5833333333321207</v>
      </c>
      <c r="AB5776" s="236">
        <v>24.6</v>
      </c>
      <c r="AC5776" s="127">
        <f t="shared" si="105"/>
        <v>25</v>
      </c>
    </row>
    <row r="5777" ht="14.5" customHeight="1" spans="11:29" x14ac:dyDescent="0.25">
      <c r="K5777" s="128"/>
      <c r="X5777" s="234">
        <v>2022</v>
      </c>
      <c r="Y5777" s="234">
        <v>8</v>
      </c>
      <c r="Z5777" s="234">
        <v>29</v>
      </c>
      <c r="AA5777" s="235">
        <v>0.625</v>
      </c>
      <c r="AB5777" s="236">
        <v>26.1</v>
      </c>
      <c r="AC5777" s="127">
        <f t="shared" si="105"/>
        <v>26</v>
      </c>
    </row>
    <row r="5778" ht="14.5" customHeight="1" spans="11:29" x14ac:dyDescent="0.25">
      <c r="K5778" s="128"/>
      <c r="X5778" s="234">
        <v>2022</v>
      </c>
      <c r="Y5778" s="234">
        <v>8</v>
      </c>
      <c r="Z5778" s="234">
        <v>29</v>
      </c>
      <c r="AA5778" s="235">
        <v>0.6666666666678793</v>
      </c>
      <c r="AB5778" s="236">
        <v>25.9</v>
      </c>
      <c r="AC5778" s="127">
        <f t="shared" si="105"/>
        <v>26</v>
      </c>
    </row>
    <row r="5779" ht="14.5" customHeight="1" spans="11:29" x14ac:dyDescent="0.25">
      <c r="K5779" s="128"/>
      <c r="X5779" s="234">
        <v>2022</v>
      </c>
      <c r="Y5779" s="234">
        <v>8</v>
      </c>
      <c r="Z5779" s="234">
        <v>29</v>
      </c>
      <c r="AA5779" s="235">
        <v>0.7083333333321207</v>
      </c>
      <c r="AB5779" s="236">
        <v>25.5</v>
      </c>
      <c r="AC5779" s="127">
        <f t="shared" si="105"/>
        <v>26</v>
      </c>
    </row>
    <row r="5780" ht="14.5" customHeight="1" spans="11:29" x14ac:dyDescent="0.25">
      <c r="K5780" s="128"/>
      <c r="X5780" s="234">
        <v>2022</v>
      </c>
      <c r="Y5780" s="234">
        <v>8</v>
      </c>
      <c r="Z5780" s="234">
        <v>29</v>
      </c>
      <c r="AA5780" s="235">
        <v>0.75</v>
      </c>
      <c r="AB5780" s="236">
        <v>26.2</v>
      </c>
      <c r="AC5780" s="127">
        <f t="shared" si="105"/>
        <v>26</v>
      </c>
    </row>
    <row r="5781" ht="14.5" customHeight="1" spans="11:29" x14ac:dyDescent="0.25">
      <c r="K5781" s="128"/>
      <c r="X5781" s="234">
        <v>2022</v>
      </c>
      <c r="Y5781" s="234">
        <v>8</v>
      </c>
      <c r="Z5781" s="234">
        <v>29</v>
      </c>
      <c r="AA5781" s="235">
        <v>0.7916666666678793</v>
      </c>
      <c r="AB5781" s="236">
        <v>24</v>
      </c>
      <c r="AC5781" s="127">
        <f t="shared" si="105"/>
        <v>24</v>
      </c>
    </row>
    <row r="5782" ht="14.5" customHeight="1" spans="11:29" x14ac:dyDescent="0.25">
      <c r="K5782" s="128"/>
      <c r="X5782" s="234">
        <v>2022</v>
      </c>
      <c r="Y5782" s="234">
        <v>8</v>
      </c>
      <c r="Z5782" s="234">
        <v>29</v>
      </c>
      <c r="AA5782" s="235">
        <v>0.8333333333321207</v>
      </c>
      <c r="AB5782" s="236">
        <v>22.2</v>
      </c>
      <c r="AC5782" s="127">
        <f t="shared" si="105"/>
        <v>22</v>
      </c>
    </row>
    <row r="5783" ht="14.5" customHeight="1" spans="11:29" x14ac:dyDescent="0.25">
      <c r="K5783" s="128"/>
      <c r="X5783" s="234">
        <v>2022</v>
      </c>
      <c r="Y5783" s="234">
        <v>8</v>
      </c>
      <c r="Z5783" s="234">
        <v>29</v>
      </c>
      <c r="AA5783" s="235">
        <v>0.875</v>
      </c>
      <c r="AB5783" s="236">
        <v>21</v>
      </c>
      <c r="AC5783" s="127">
        <f t="shared" si="105"/>
        <v>21</v>
      </c>
    </row>
    <row r="5784" ht="14.5" customHeight="1" spans="11:29" x14ac:dyDescent="0.25">
      <c r="K5784" s="128"/>
      <c r="X5784" s="234">
        <v>2022</v>
      </c>
      <c r="Y5784" s="234">
        <v>8</v>
      </c>
      <c r="Z5784" s="234">
        <v>29</v>
      </c>
      <c r="AA5784" s="235">
        <v>0.9166666666678793</v>
      </c>
      <c r="AB5784" s="236">
        <v>18.6</v>
      </c>
      <c r="AC5784" s="127">
        <f t="shared" si="105"/>
        <v>19</v>
      </c>
    </row>
    <row r="5785" ht="14.5" customHeight="1" spans="11:29" x14ac:dyDescent="0.25">
      <c r="K5785" s="128"/>
      <c r="X5785" s="234">
        <v>2022</v>
      </c>
      <c r="Y5785" s="234">
        <v>8</v>
      </c>
      <c r="Z5785" s="234">
        <v>29</v>
      </c>
      <c r="AA5785" s="235">
        <v>0.9583333333321207</v>
      </c>
      <c r="AB5785" s="236">
        <v>18.9</v>
      </c>
      <c r="AC5785" s="127">
        <f t="shared" si="105"/>
        <v>19</v>
      </c>
    </row>
    <row r="5786" ht="14.5" customHeight="1" spans="11:29" x14ac:dyDescent="0.25">
      <c r="K5786" s="128"/>
      <c r="X5786" s="234">
        <v>2022</v>
      </c>
      <c r="Y5786" s="234">
        <v>8</v>
      </c>
      <c r="Z5786" s="234">
        <v>30</v>
      </c>
      <c r="AA5786" s="235">
        <v>0</v>
      </c>
      <c r="AB5786" s="236">
        <v>16.6</v>
      </c>
      <c r="AC5786" s="127">
        <f t="shared" si="105"/>
        <v>17</v>
      </c>
    </row>
    <row r="5787" ht="14.5" customHeight="1" spans="11:29" x14ac:dyDescent="0.25">
      <c r="K5787" s="128"/>
      <c r="X5787" s="234">
        <v>2022</v>
      </c>
      <c r="Y5787" s="234">
        <v>8</v>
      </c>
      <c r="Z5787" s="234">
        <v>30</v>
      </c>
      <c r="AA5787" s="235">
        <v>0.041666666667879326</v>
      </c>
      <c r="AB5787" s="236">
        <v>15.1</v>
      </c>
      <c r="AC5787" s="127">
        <f t="shared" si="105"/>
        <v>15</v>
      </c>
    </row>
    <row r="5788" ht="14.5" customHeight="1" spans="11:29" x14ac:dyDescent="0.25">
      <c r="K5788" s="128"/>
      <c r="X5788" s="234">
        <v>2022</v>
      </c>
      <c r="Y5788" s="234">
        <v>8</v>
      </c>
      <c r="Z5788" s="234">
        <v>30</v>
      </c>
      <c r="AA5788" s="235">
        <v>0.08333333333212067</v>
      </c>
      <c r="AB5788" s="236">
        <v>14.2</v>
      </c>
      <c r="AC5788" s="127">
        <f t="shared" si="105"/>
        <v>14</v>
      </c>
    </row>
    <row r="5789" ht="14.5" customHeight="1" spans="11:29" x14ac:dyDescent="0.25">
      <c r="K5789" s="128"/>
      <c r="X5789" s="234">
        <v>2022</v>
      </c>
      <c r="Y5789" s="234">
        <v>8</v>
      </c>
      <c r="Z5789" s="234">
        <v>30</v>
      </c>
      <c r="AA5789" s="235">
        <v>0.125</v>
      </c>
      <c r="AB5789" s="236">
        <v>12.1</v>
      </c>
      <c r="AC5789" s="127">
        <f t="shared" si="105"/>
        <v>12</v>
      </c>
    </row>
    <row r="5790" ht="14.5" customHeight="1" spans="11:29" x14ac:dyDescent="0.25">
      <c r="K5790" s="128"/>
      <c r="X5790" s="234">
        <v>2022</v>
      </c>
      <c r="Y5790" s="234">
        <v>8</v>
      </c>
      <c r="Z5790" s="234">
        <v>30</v>
      </c>
      <c r="AA5790" s="235">
        <v>0.16666666666787933</v>
      </c>
      <c r="AB5790" s="236">
        <v>12.9</v>
      </c>
      <c r="AC5790" s="127">
        <f t="shared" si="105"/>
        <v>13</v>
      </c>
    </row>
    <row r="5791" ht="14.5" customHeight="1" spans="11:29" x14ac:dyDescent="0.25">
      <c r="K5791" s="128"/>
      <c r="X5791" s="234">
        <v>2022</v>
      </c>
      <c r="Y5791" s="234">
        <v>8</v>
      </c>
      <c r="Z5791" s="234">
        <v>30</v>
      </c>
      <c r="AA5791" s="235">
        <v>0.20833333333212067</v>
      </c>
      <c r="AB5791" s="236">
        <v>13</v>
      </c>
      <c r="AC5791" s="127">
        <f t="shared" si="105"/>
        <v>13</v>
      </c>
    </row>
    <row r="5792" ht="14.5" customHeight="1" spans="11:29" x14ac:dyDescent="0.25">
      <c r="K5792" s="128"/>
      <c r="X5792" s="234">
        <v>2022</v>
      </c>
      <c r="Y5792" s="234">
        <v>8</v>
      </c>
      <c r="Z5792" s="234">
        <v>30</v>
      </c>
      <c r="AA5792" s="235">
        <v>0.25</v>
      </c>
      <c r="AB5792" s="236">
        <v>14.2</v>
      </c>
      <c r="AC5792" s="127">
        <f t="shared" si="105"/>
        <v>14</v>
      </c>
    </row>
    <row r="5793" ht="14.5" customHeight="1" spans="11:29" x14ac:dyDescent="0.25">
      <c r="K5793" s="128"/>
      <c r="X5793" s="234">
        <v>2022</v>
      </c>
      <c r="Y5793" s="234">
        <v>8</v>
      </c>
      <c r="Z5793" s="234">
        <v>30</v>
      </c>
      <c r="AA5793" s="235">
        <v>0.2916666666678793</v>
      </c>
      <c r="AB5793" s="236">
        <v>16.6</v>
      </c>
      <c r="AC5793" s="127">
        <f t="shared" si="105"/>
        <v>17</v>
      </c>
    </row>
    <row r="5794" ht="14.5" customHeight="1" spans="11:29" x14ac:dyDescent="0.25">
      <c r="K5794" s="128"/>
      <c r="X5794" s="234">
        <v>2022</v>
      </c>
      <c r="Y5794" s="234">
        <v>8</v>
      </c>
      <c r="Z5794" s="234">
        <v>30</v>
      </c>
      <c r="AA5794" s="235">
        <v>0.3333333333321207</v>
      </c>
      <c r="AB5794" s="236">
        <v>19</v>
      </c>
      <c r="AC5794" s="127">
        <f t="shared" si="105"/>
        <v>19</v>
      </c>
    </row>
    <row r="5795" ht="14.5" customHeight="1" spans="11:29" x14ac:dyDescent="0.25">
      <c r="K5795" s="128"/>
      <c r="X5795" s="234">
        <v>2022</v>
      </c>
      <c r="Y5795" s="234">
        <v>8</v>
      </c>
      <c r="Z5795" s="234">
        <v>30</v>
      </c>
      <c r="AA5795" s="235">
        <v>0.375</v>
      </c>
      <c r="AB5795" s="236">
        <v>22.6</v>
      </c>
      <c r="AC5795" s="127">
        <f t="shared" si="105"/>
        <v>23</v>
      </c>
    </row>
    <row r="5796" ht="14.5" customHeight="1" spans="11:29" x14ac:dyDescent="0.25">
      <c r="K5796" s="128"/>
      <c r="X5796" s="234">
        <v>2022</v>
      </c>
      <c r="Y5796" s="234">
        <v>8</v>
      </c>
      <c r="Z5796" s="234">
        <v>30</v>
      </c>
      <c r="AA5796" s="235">
        <v>0.4166666666678793</v>
      </c>
      <c r="AB5796" s="236">
        <v>25.3</v>
      </c>
      <c r="AC5796" s="127">
        <f t="shared" si="105"/>
        <v>25</v>
      </c>
    </row>
    <row r="5797" ht="14.5" customHeight="1" spans="11:29" x14ac:dyDescent="0.25">
      <c r="K5797" s="128"/>
      <c r="X5797" s="234">
        <v>2022</v>
      </c>
      <c r="Y5797" s="234">
        <v>8</v>
      </c>
      <c r="Z5797" s="234">
        <v>30</v>
      </c>
      <c r="AA5797" s="235">
        <v>0.4583333333321207</v>
      </c>
      <c r="AB5797" s="236">
        <v>26.4</v>
      </c>
      <c r="AC5797" s="127">
        <f t="shared" si="105"/>
        <v>26</v>
      </c>
    </row>
    <row r="5798" ht="14.5" customHeight="1" spans="11:29" x14ac:dyDescent="0.25">
      <c r="K5798" s="128"/>
      <c r="X5798" s="234">
        <v>2022</v>
      </c>
      <c r="Y5798" s="234">
        <v>8</v>
      </c>
      <c r="Z5798" s="234">
        <v>30</v>
      </c>
      <c r="AA5798" s="235">
        <v>0.5</v>
      </c>
      <c r="AB5798" s="236">
        <v>28.1</v>
      </c>
      <c r="AC5798" s="127">
        <f t="shared" si="105"/>
        <v>28</v>
      </c>
    </row>
    <row r="5799" ht="14.5" customHeight="1" spans="11:29" x14ac:dyDescent="0.25">
      <c r="K5799" s="128"/>
      <c r="X5799" s="234">
        <v>2022</v>
      </c>
      <c r="Y5799" s="234">
        <v>8</v>
      </c>
      <c r="Z5799" s="234">
        <v>30</v>
      </c>
      <c r="AA5799" s="235">
        <v>0.5416666666678793</v>
      </c>
      <c r="AB5799" s="236">
        <v>29.1</v>
      </c>
      <c r="AC5799" s="127">
        <f t="shared" si="105"/>
        <v>29</v>
      </c>
    </row>
    <row r="5800" ht="14.5" customHeight="1" spans="11:29" x14ac:dyDescent="0.25">
      <c r="K5800" s="128"/>
      <c r="X5800" s="234">
        <v>2022</v>
      </c>
      <c r="Y5800" s="234">
        <v>8</v>
      </c>
      <c r="Z5800" s="234">
        <v>30</v>
      </c>
      <c r="AA5800" s="235">
        <v>0.5833333333321207</v>
      </c>
      <c r="AB5800" s="236">
        <v>29.7</v>
      </c>
      <c r="AC5800" s="127">
        <f t="shared" si="105"/>
        <v>30</v>
      </c>
    </row>
    <row r="5801" ht="14.5" customHeight="1" spans="11:29" x14ac:dyDescent="0.25">
      <c r="K5801" s="128"/>
      <c r="X5801" s="234">
        <v>2022</v>
      </c>
      <c r="Y5801" s="234">
        <v>8</v>
      </c>
      <c r="Z5801" s="234">
        <v>30</v>
      </c>
      <c r="AA5801" s="235">
        <v>0.625</v>
      </c>
      <c r="AB5801" s="236">
        <v>29.8</v>
      </c>
      <c r="AC5801" s="127">
        <f t="shared" si="105"/>
        <v>30</v>
      </c>
    </row>
    <row r="5802" ht="14.5" customHeight="1" spans="11:29" x14ac:dyDescent="0.25">
      <c r="K5802" s="128"/>
      <c r="X5802" s="234">
        <v>2022</v>
      </c>
      <c r="Y5802" s="234">
        <v>8</v>
      </c>
      <c r="Z5802" s="234">
        <v>30</v>
      </c>
      <c r="AA5802" s="235">
        <v>0.6666666666678793</v>
      </c>
      <c r="AB5802" s="236">
        <v>29.8</v>
      </c>
      <c r="AC5802" s="127">
        <f t="shared" si="105"/>
        <v>30</v>
      </c>
    </row>
    <row r="5803" ht="14.5" customHeight="1" spans="11:29" x14ac:dyDescent="0.25">
      <c r="K5803" s="128"/>
      <c r="X5803" s="234">
        <v>2022</v>
      </c>
      <c r="Y5803" s="234">
        <v>8</v>
      </c>
      <c r="Z5803" s="234">
        <v>30</v>
      </c>
      <c r="AA5803" s="235">
        <v>0.7083333333321207</v>
      </c>
      <c r="AB5803" s="236">
        <v>30.6</v>
      </c>
      <c r="AC5803" s="127">
        <f t="shared" si="105"/>
        <v>31</v>
      </c>
    </row>
    <row r="5804" ht="14.5" customHeight="1" spans="11:29" x14ac:dyDescent="0.25">
      <c r="K5804" s="128"/>
      <c r="X5804" s="234">
        <v>2022</v>
      </c>
      <c r="Y5804" s="234">
        <v>8</v>
      </c>
      <c r="Z5804" s="234">
        <v>30</v>
      </c>
      <c r="AA5804" s="235">
        <v>0.75</v>
      </c>
      <c r="AB5804" s="236">
        <v>29.3</v>
      </c>
      <c r="AC5804" s="127">
        <f t="shared" si="105"/>
        <v>29</v>
      </c>
    </row>
    <row r="5805" ht="14.5" customHeight="1" spans="11:29" x14ac:dyDescent="0.25">
      <c r="K5805" s="128"/>
      <c r="X5805" s="234">
        <v>2022</v>
      </c>
      <c r="Y5805" s="234">
        <v>8</v>
      </c>
      <c r="Z5805" s="234">
        <v>30</v>
      </c>
      <c r="AA5805" s="235">
        <v>0.7916666666678793</v>
      </c>
      <c r="AB5805" s="236">
        <v>26.1</v>
      </c>
      <c r="AC5805" s="127">
        <f t="shared" si="105"/>
        <v>26</v>
      </c>
    </row>
    <row r="5806" ht="14.5" customHeight="1" spans="11:29" x14ac:dyDescent="0.25">
      <c r="K5806" s="128"/>
      <c r="X5806" s="234">
        <v>2022</v>
      </c>
      <c r="Y5806" s="234">
        <v>8</v>
      </c>
      <c r="Z5806" s="234">
        <v>30</v>
      </c>
      <c r="AA5806" s="235">
        <v>0.8333333333321207</v>
      </c>
      <c r="AB5806" s="236">
        <v>22.5</v>
      </c>
      <c r="AC5806" s="127">
        <f t="shared" si="105"/>
        <v>23</v>
      </c>
    </row>
    <row r="5807" ht="14.5" customHeight="1" spans="11:29" x14ac:dyDescent="0.25">
      <c r="K5807" s="128"/>
      <c r="X5807" s="234">
        <v>2022</v>
      </c>
      <c r="Y5807" s="234">
        <v>8</v>
      </c>
      <c r="Z5807" s="234">
        <v>30</v>
      </c>
      <c r="AA5807" s="235">
        <v>0.875</v>
      </c>
      <c r="AB5807" s="236">
        <v>22.6</v>
      </c>
      <c r="AC5807" s="127">
        <f t="shared" si="105"/>
        <v>23</v>
      </c>
    </row>
    <row r="5808" ht="14.5" customHeight="1" spans="11:29" x14ac:dyDescent="0.25">
      <c r="K5808" s="128"/>
      <c r="X5808" s="234">
        <v>2022</v>
      </c>
      <c r="Y5808" s="234">
        <v>8</v>
      </c>
      <c r="Z5808" s="234">
        <v>30</v>
      </c>
      <c r="AA5808" s="235">
        <v>0.9166666666678793</v>
      </c>
      <c r="AB5808" s="236">
        <v>20.6</v>
      </c>
      <c r="AC5808" s="127">
        <f t="shared" si="105"/>
        <v>21</v>
      </c>
    </row>
    <row r="5809" ht="14.5" customHeight="1" spans="11:29" x14ac:dyDescent="0.25">
      <c r="K5809" s="128"/>
      <c r="X5809" s="234">
        <v>2022</v>
      </c>
      <c r="Y5809" s="234">
        <v>8</v>
      </c>
      <c r="Z5809" s="234">
        <v>30</v>
      </c>
      <c r="AA5809" s="235">
        <v>0.9583333333321207</v>
      </c>
      <c r="AB5809" s="236">
        <v>17.1</v>
      </c>
      <c r="AC5809" s="127">
        <f t="shared" si="105"/>
        <v>17</v>
      </c>
    </row>
    <row r="5810" ht="14.5" customHeight="1" spans="11:29" x14ac:dyDescent="0.25">
      <c r="K5810" s="128"/>
      <c r="X5810" s="234">
        <v>2022</v>
      </c>
      <c r="Y5810" s="234">
        <v>8</v>
      </c>
      <c r="Z5810" s="234">
        <v>31</v>
      </c>
      <c r="AA5810" s="235">
        <v>0</v>
      </c>
      <c r="AB5810" s="236">
        <v>17</v>
      </c>
      <c r="AC5810" s="127">
        <f t="shared" si="105"/>
        <v>17</v>
      </c>
    </row>
    <row r="5811" ht="14.5" customHeight="1" spans="11:29" x14ac:dyDescent="0.25">
      <c r="K5811" s="128"/>
      <c r="X5811" s="234">
        <v>2022</v>
      </c>
      <c r="Y5811" s="234">
        <v>8</v>
      </c>
      <c r="Z5811" s="234">
        <v>31</v>
      </c>
      <c r="AA5811" s="235">
        <v>0.041666666667879326</v>
      </c>
      <c r="AB5811" s="236">
        <v>15.3</v>
      </c>
      <c r="AC5811" s="127">
        <f t="shared" si="105"/>
        <v>15</v>
      </c>
    </row>
    <row r="5812" ht="14.5" customHeight="1" spans="11:29" x14ac:dyDescent="0.25">
      <c r="K5812" s="128"/>
      <c r="X5812" s="234">
        <v>2022</v>
      </c>
      <c r="Y5812" s="234">
        <v>8</v>
      </c>
      <c r="Z5812" s="234">
        <v>31</v>
      </c>
      <c r="AA5812" s="235">
        <v>0.08333333333212067</v>
      </c>
      <c r="AB5812" s="236">
        <v>16.7</v>
      </c>
      <c r="AC5812" s="127">
        <f t="shared" si="105"/>
        <v>17</v>
      </c>
    </row>
    <row r="5813" ht="14.5" customHeight="1" spans="11:29" x14ac:dyDescent="0.25">
      <c r="K5813" s="128"/>
      <c r="X5813" s="234">
        <v>2022</v>
      </c>
      <c r="Y5813" s="234">
        <v>8</v>
      </c>
      <c r="Z5813" s="234">
        <v>31</v>
      </c>
      <c r="AA5813" s="235">
        <v>0.125</v>
      </c>
      <c r="AB5813" s="236">
        <v>15.4</v>
      </c>
      <c r="AC5813" s="127">
        <f t="shared" si="105"/>
        <v>15</v>
      </c>
    </row>
    <row r="5814" ht="14.5" customHeight="1" spans="11:29" x14ac:dyDescent="0.25">
      <c r="K5814" s="128"/>
      <c r="X5814" s="234">
        <v>2022</v>
      </c>
      <c r="Y5814" s="234">
        <v>8</v>
      </c>
      <c r="Z5814" s="234">
        <v>31</v>
      </c>
      <c r="AA5814" s="235">
        <v>0.16666666666787933</v>
      </c>
      <c r="AB5814" s="236">
        <v>14.5</v>
      </c>
      <c r="AC5814" s="127">
        <f t="shared" si="105"/>
        <v>15</v>
      </c>
    </row>
    <row r="5815" ht="14.5" customHeight="1" spans="11:29" x14ac:dyDescent="0.25">
      <c r="K5815" s="128"/>
      <c r="X5815" s="234">
        <v>2022</v>
      </c>
      <c r="Y5815" s="234">
        <v>8</v>
      </c>
      <c r="Z5815" s="234">
        <v>31</v>
      </c>
      <c r="AA5815" s="235">
        <v>0.20833333333212067</v>
      </c>
      <c r="AB5815" s="236">
        <v>13.3</v>
      </c>
      <c r="AC5815" s="127">
        <f t="shared" si="105"/>
        <v>13</v>
      </c>
    </row>
    <row r="5816" ht="14.5" customHeight="1" spans="11:29" x14ac:dyDescent="0.25">
      <c r="K5816" s="128"/>
      <c r="X5816" s="234">
        <v>2022</v>
      </c>
      <c r="Y5816" s="234">
        <v>8</v>
      </c>
      <c r="Z5816" s="234">
        <v>31</v>
      </c>
      <c r="AA5816" s="235">
        <v>0.25</v>
      </c>
      <c r="AB5816" s="236">
        <v>13</v>
      </c>
      <c r="AC5816" s="127">
        <f t="shared" si="105"/>
        <v>13</v>
      </c>
    </row>
    <row r="5817" ht="14.5" customHeight="1" spans="11:29" x14ac:dyDescent="0.25">
      <c r="K5817" s="128"/>
      <c r="X5817" s="234">
        <v>2022</v>
      </c>
      <c r="Y5817" s="234">
        <v>8</v>
      </c>
      <c r="Z5817" s="234">
        <v>31</v>
      </c>
      <c r="AA5817" s="235">
        <v>0.2916666666678793</v>
      </c>
      <c r="AB5817" s="236">
        <v>15.4</v>
      </c>
      <c r="AC5817" s="127">
        <f t="shared" si="105"/>
        <v>15</v>
      </c>
    </row>
    <row r="5818" ht="14.5" customHeight="1" spans="11:29" x14ac:dyDescent="0.25">
      <c r="K5818" s="128"/>
      <c r="X5818" s="234">
        <v>2022</v>
      </c>
      <c r="Y5818" s="234">
        <v>8</v>
      </c>
      <c r="Z5818" s="234">
        <v>31</v>
      </c>
      <c r="AA5818" s="235">
        <v>0.3333333333321207</v>
      </c>
      <c r="AB5818" s="236">
        <v>19.2</v>
      </c>
      <c r="AC5818" s="127">
        <f t="shared" si="105"/>
        <v>19</v>
      </c>
    </row>
    <row r="5819" ht="14.5" customHeight="1" spans="11:29" x14ac:dyDescent="0.25">
      <c r="K5819" s="128"/>
      <c r="X5819" s="234">
        <v>2022</v>
      </c>
      <c r="Y5819" s="234">
        <v>8</v>
      </c>
      <c r="Z5819" s="234">
        <v>31</v>
      </c>
      <c r="AA5819" s="235">
        <v>0.375</v>
      </c>
      <c r="AB5819" s="236">
        <v>23.7</v>
      </c>
      <c r="AC5819" s="127">
        <f t="shared" si="105"/>
        <v>24</v>
      </c>
    </row>
    <row r="5820" ht="14.5" customHeight="1" spans="11:29" x14ac:dyDescent="0.25">
      <c r="K5820" s="128"/>
      <c r="X5820" s="234">
        <v>2022</v>
      </c>
      <c r="Y5820" s="234">
        <v>8</v>
      </c>
      <c r="Z5820" s="234">
        <v>31</v>
      </c>
      <c r="AA5820" s="235">
        <v>0.4166666666678793</v>
      </c>
      <c r="AB5820" s="236">
        <v>26.5</v>
      </c>
      <c r="AC5820" s="127">
        <f t="shared" si="105"/>
        <v>27</v>
      </c>
    </row>
    <row r="5821" ht="14.5" customHeight="1" spans="11:29" x14ac:dyDescent="0.25">
      <c r="K5821" s="128"/>
      <c r="X5821" s="234">
        <v>2022</v>
      </c>
      <c r="Y5821" s="234">
        <v>8</v>
      </c>
      <c r="Z5821" s="234">
        <v>31</v>
      </c>
      <c r="AA5821" s="235">
        <v>0.4583333333321207</v>
      </c>
      <c r="AB5821" s="236">
        <v>28.1</v>
      </c>
      <c r="AC5821" s="127">
        <f t="shared" si="105"/>
        <v>28</v>
      </c>
    </row>
    <row r="5822" ht="14.5" customHeight="1" spans="11:29" x14ac:dyDescent="0.25">
      <c r="K5822" s="128"/>
      <c r="X5822" s="234">
        <v>2022</v>
      </c>
      <c r="Y5822" s="234">
        <v>8</v>
      </c>
      <c r="Z5822" s="234">
        <v>31</v>
      </c>
      <c r="AA5822" s="235">
        <v>0.5</v>
      </c>
      <c r="AB5822" s="236">
        <v>29</v>
      </c>
      <c r="AC5822" s="127">
        <f t="shared" si="105"/>
        <v>29</v>
      </c>
    </row>
    <row r="5823" ht="14.5" customHeight="1" spans="11:29" x14ac:dyDescent="0.25">
      <c r="K5823" s="128"/>
      <c r="X5823" s="234">
        <v>2022</v>
      </c>
      <c r="Y5823" s="234">
        <v>8</v>
      </c>
      <c r="Z5823" s="234">
        <v>31</v>
      </c>
      <c r="AA5823" s="235">
        <v>0.5416666666678793</v>
      </c>
      <c r="AB5823" s="236">
        <v>30.1</v>
      </c>
      <c r="AC5823" s="127">
        <f t="shared" si="105"/>
        <v>30</v>
      </c>
    </row>
    <row r="5824" ht="14.5" customHeight="1" spans="11:29" x14ac:dyDescent="0.25">
      <c r="K5824" s="128"/>
      <c r="X5824" s="234">
        <v>2022</v>
      </c>
      <c r="Y5824" s="234">
        <v>8</v>
      </c>
      <c r="Z5824" s="234">
        <v>31</v>
      </c>
      <c r="AA5824" s="235">
        <v>0.5833333333321207</v>
      </c>
      <c r="AB5824" s="236">
        <v>30.8</v>
      </c>
      <c r="AC5824" s="127">
        <f t="shared" si="105"/>
        <v>31</v>
      </c>
    </row>
    <row r="5825" ht="14.5" customHeight="1" spans="11:29" x14ac:dyDescent="0.25">
      <c r="K5825" s="128"/>
      <c r="X5825" s="234">
        <v>2022</v>
      </c>
      <c r="Y5825" s="234">
        <v>8</v>
      </c>
      <c r="Z5825" s="234">
        <v>31</v>
      </c>
      <c r="AA5825" s="235">
        <v>0.625</v>
      </c>
      <c r="AB5825" s="236">
        <v>30.9</v>
      </c>
      <c r="AC5825" s="127">
        <f t="shared" si="105"/>
        <v>31</v>
      </c>
    </row>
    <row r="5826" ht="14.5" customHeight="1" spans="11:29" x14ac:dyDescent="0.25">
      <c r="K5826" s="128"/>
      <c r="X5826" s="234">
        <v>2022</v>
      </c>
      <c r="Y5826" s="234">
        <v>8</v>
      </c>
      <c r="Z5826" s="234">
        <v>31</v>
      </c>
      <c r="AA5826" s="235">
        <v>0.6666666666678793</v>
      </c>
      <c r="AB5826" s="236">
        <v>31.4</v>
      </c>
      <c r="AC5826" s="127">
        <f t="shared" si="105"/>
        <v>31</v>
      </c>
    </row>
    <row r="5827" ht="14.5" customHeight="1" spans="11:29" x14ac:dyDescent="0.25">
      <c r="K5827" s="128"/>
      <c r="X5827" s="234">
        <v>2022</v>
      </c>
      <c r="Y5827" s="234">
        <v>8</v>
      </c>
      <c r="Z5827" s="234">
        <v>31</v>
      </c>
      <c r="AA5827" s="235">
        <v>0.7083333333321207</v>
      </c>
      <c r="AB5827" s="236">
        <v>31.1</v>
      </c>
      <c r="AC5827" s="127">
        <f t="shared" si="105"/>
        <v>31</v>
      </c>
    </row>
    <row r="5828" ht="14.5" customHeight="1" spans="11:29" x14ac:dyDescent="0.25">
      <c r="K5828" s="128"/>
      <c r="X5828" s="234">
        <v>2022</v>
      </c>
      <c r="Y5828" s="234">
        <v>8</v>
      </c>
      <c r="Z5828" s="234">
        <v>31</v>
      </c>
      <c r="AA5828" s="235">
        <v>0.75</v>
      </c>
      <c r="AB5828" s="236">
        <v>28.3</v>
      </c>
      <c r="AC5828" s="127">
        <f t="shared" si="105"/>
        <v>28</v>
      </c>
    </row>
    <row r="5829" ht="14.5" customHeight="1" spans="11:29" x14ac:dyDescent="0.25">
      <c r="K5829" s="128"/>
      <c r="X5829" s="234">
        <v>2022</v>
      </c>
      <c r="Y5829" s="234">
        <v>8</v>
      </c>
      <c r="Z5829" s="234">
        <v>31</v>
      </c>
      <c r="AA5829" s="235">
        <v>0.7916666666678793</v>
      </c>
      <c r="AB5829" s="236">
        <v>26.6</v>
      </c>
      <c r="AC5829" s="127">
        <f t="shared" si="105"/>
        <v>27</v>
      </c>
    </row>
    <row r="5830" ht="14.5" customHeight="1" spans="11:29" x14ac:dyDescent="0.25">
      <c r="K5830" s="128"/>
      <c r="X5830" s="234">
        <v>2022</v>
      </c>
      <c r="Y5830" s="234">
        <v>8</v>
      </c>
      <c r="Z5830" s="234">
        <v>31</v>
      </c>
      <c r="AA5830" s="235">
        <v>0.8333333333321207</v>
      </c>
      <c r="AB5830" s="236">
        <v>23.8</v>
      </c>
      <c r="AC5830" s="127">
        <f t="shared" si="105"/>
        <v>24</v>
      </c>
    </row>
    <row r="5831" ht="14.5" customHeight="1" spans="11:29" x14ac:dyDescent="0.25">
      <c r="K5831" s="128"/>
      <c r="X5831" s="234">
        <v>2022</v>
      </c>
      <c r="Y5831" s="234">
        <v>8</v>
      </c>
      <c r="Z5831" s="234">
        <v>31</v>
      </c>
      <c r="AA5831" s="235">
        <v>0.875</v>
      </c>
      <c r="AB5831" s="236">
        <v>23.2</v>
      </c>
      <c r="AC5831" s="127">
        <f t="shared" si="105"/>
        <v>23</v>
      </c>
    </row>
    <row r="5832" ht="14.5" customHeight="1" spans="11:29" x14ac:dyDescent="0.25">
      <c r="K5832" s="128"/>
      <c r="X5832" s="234">
        <v>2022</v>
      </c>
      <c r="Y5832" s="234">
        <v>8</v>
      </c>
      <c r="Z5832" s="234">
        <v>31</v>
      </c>
      <c r="AA5832" s="235">
        <v>0.9166666666678793</v>
      </c>
      <c r="AB5832" s="236">
        <v>22.3</v>
      </c>
      <c r="AC5832" s="127">
        <f t="shared" si="105"/>
        <v>22</v>
      </c>
    </row>
    <row r="5833" ht="14.5" customHeight="1" spans="11:29" x14ac:dyDescent="0.25">
      <c r="K5833" s="128"/>
      <c r="X5833" s="234">
        <v>2022</v>
      </c>
      <c r="Y5833" s="234">
        <v>8</v>
      </c>
      <c r="Z5833" s="234">
        <v>31</v>
      </c>
      <c r="AA5833" s="235">
        <v>0.9583333333321207</v>
      </c>
      <c r="AB5833" s="236">
        <v>21.9</v>
      </c>
      <c r="AC5833" s="127">
        <f t="shared" si="105"/>
        <v>22</v>
      </c>
    </row>
    <row r="5834" ht="14.5" customHeight="1" spans="11:29" x14ac:dyDescent="0.25">
      <c r="K5834" s="128"/>
      <c r="X5834" s="234">
        <v>2022</v>
      </c>
      <c r="Y5834" s="234">
        <v>9</v>
      </c>
      <c r="Z5834" s="234">
        <v>1</v>
      </c>
      <c r="AA5834" s="235">
        <v>0</v>
      </c>
      <c r="AB5834" s="236">
        <v>21</v>
      </c>
      <c r="AC5834" s="127">
        <f t="shared" si="105"/>
        <v>21</v>
      </c>
    </row>
    <row r="5835" ht="14.5" customHeight="1" spans="11:29" x14ac:dyDescent="0.25">
      <c r="K5835" s="128"/>
      <c r="X5835" s="234">
        <v>2022</v>
      </c>
      <c r="Y5835" s="234">
        <v>9</v>
      </c>
      <c r="Z5835" s="234">
        <v>1</v>
      </c>
      <c r="AA5835" s="235">
        <v>0.041666666667879326</v>
      </c>
      <c r="AB5835" s="236">
        <v>17.7</v>
      </c>
      <c r="AC5835" s="127">
        <f t="shared" ref="AC5835:AC5898" si="106">ROUND(AB5835,0)</f>
        <v>18</v>
      </c>
    </row>
    <row r="5836" ht="14.5" customHeight="1" spans="11:29" x14ac:dyDescent="0.25">
      <c r="K5836" s="128"/>
      <c r="X5836" s="234">
        <v>2022</v>
      </c>
      <c r="Y5836" s="234">
        <v>9</v>
      </c>
      <c r="Z5836" s="234">
        <v>1</v>
      </c>
      <c r="AA5836" s="235">
        <v>0.08333333333212067</v>
      </c>
      <c r="AB5836" s="236">
        <v>17.9</v>
      </c>
      <c r="AC5836" s="127">
        <f t="shared" si="106"/>
        <v>18</v>
      </c>
    </row>
    <row r="5837" ht="14.5" customHeight="1" spans="11:29" x14ac:dyDescent="0.25">
      <c r="K5837" s="128"/>
      <c r="X5837" s="234">
        <v>2022</v>
      </c>
      <c r="Y5837" s="234">
        <v>9</v>
      </c>
      <c r="Z5837" s="234">
        <v>1</v>
      </c>
      <c r="AA5837" s="235">
        <v>0.125</v>
      </c>
      <c r="AB5837" s="236">
        <v>17.7</v>
      </c>
      <c r="AC5837" s="127">
        <f t="shared" si="106"/>
        <v>18</v>
      </c>
    </row>
    <row r="5838" ht="14.5" customHeight="1" spans="11:29" x14ac:dyDescent="0.25">
      <c r="K5838" s="128"/>
      <c r="X5838" s="234">
        <v>2022</v>
      </c>
      <c r="Y5838" s="234">
        <v>9</v>
      </c>
      <c r="Z5838" s="234">
        <v>1</v>
      </c>
      <c r="AA5838" s="235">
        <v>0.16666666666787933</v>
      </c>
      <c r="AB5838" s="236">
        <v>18</v>
      </c>
      <c r="AC5838" s="127">
        <f t="shared" si="106"/>
        <v>18</v>
      </c>
    </row>
    <row r="5839" ht="14.5" customHeight="1" spans="11:29" x14ac:dyDescent="0.25">
      <c r="K5839" s="128"/>
      <c r="X5839" s="234">
        <v>2022</v>
      </c>
      <c r="Y5839" s="234">
        <v>9</v>
      </c>
      <c r="Z5839" s="234">
        <v>1</v>
      </c>
      <c r="AA5839" s="235">
        <v>0.20833333333212067</v>
      </c>
      <c r="AB5839" s="236">
        <v>16.4</v>
      </c>
      <c r="AC5839" s="127">
        <f t="shared" si="106"/>
        <v>16</v>
      </c>
    </row>
    <row r="5840" ht="14.5" customHeight="1" spans="11:29" x14ac:dyDescent="0.25">
      <c r="K5840" s="128"/>
      <c r="X5840" s="234">
        <v>2022</v>
      </c>
      <c r="Y5840" s="234">
        <v>9</v>
      </c>
      <c r="Z5840" s="234">
        <v>1</v>
      </c>
      <c r="AA5840" s="235">
        <v>0.25</v>
      </c>
      <c r="AB5840" s="236">
        <v>17.5</v>
      </c>
      <c r="AC5840" s="127">
        <f t="shared" si="106"/>
        <v>18</v>
      </c>
    </row>
    <row r="5841" ht="14.5" customHeight="1" spans="11:29" x14ac:dyDescent="0.25">
      <c r="K5841" s="128"/>
      <c r="X5841" s="234">
        <v>2022</v>
      </c>
      <c r="Y5841" s="234">
        <v>9</v>
      </c>
      <c r="Z5841" s="234">
        <v>1</v>
      </c>
      <c r="AA5841" s="235">
        <v>0.2916666666678793</v>
      </c>
      <c r="AB5841" s="236">
        <v>17.1</v>
      </c>
      <c r="AC5841" s="127">
        <f t="shared" si="106"/>
        <v>17</v>
      </c>
    </row>
    <row r="5842" ht="14.5" customHeight="1" spans="11:29" x14ac:dyDescent="0.25">
      <c r="K5842" s="128"/>
      <c r="X5842" s="234">
        <v>2022</v>
      </c>
      <c r="Y5842" s="234">
        <v>9</v>
      </c>
      <c r="Z5842" s="234">
        <v>1</v>
      </c>
      <c r="AA5842" s="235">
        <v>0.3333333333321207</v>
      </c>
      <c r="AB5842" s="236">
        <v>20.8</v>
      </c>
      <c r="AC5842" s="127">
        <f t="shared" si="106"/>
        <v>21</v>
      </c>
    </row>
    <row r="5843" ht="14.5" customHeight="1" spans="11:29" x14ac:dyDescent="0.25">
      <c r="K5843" s="128"/>
      <c r="X5843" s="234">
        <v>2022</v>
      </c>
      <c r="Y5843" s="234">
        <v>9</v>
      </c>
      <c r="Z5843" s="234">
        <v>1</v>
      </c>
      <c r="AA5843" s="235">
        <v>0.375</v>
      </c>
      <c r="AB5843" s="236">
        <v>23.2</v>
      </c>
      <c r="AC5843" s="127">
        <f t="shared" si="106"/>
        <v>23</v>
      </c>
    </row>
    <row r="5844" ht="14.5" customHeight="1" spans="11:29" x14ac:dyDescent="0.25">
      <c r="K5844" s="128"/>
      <c r="X5844" s="234">
        <v>2022</v>
      </c>
      <c r="Y5844" s="234">
        <v>9</v>
      </c>
      <c r="Z5844" s="234">
        <v>1</v>
      </c>
      <c r="AA5844" s="235">
        <v>0.4166666666678793</v>
      </c>
      <c r="AB5844" s="236">
        <v>23.9</v>
      </c>
      <c r="AC5844" s="127">
        <f t="shared" si="106"/>
        <v>24</v>
      </c>
    </row>
    <row r="5845" ht="14.5" customHeight="1" spans="11:29" x14ac:dyDescent="0.25">
      <c r="K5845" s="128"/>
      <c r="X5845" s="234">
        <v>2022</v>
      </c>
      <c r="Y5845" s="234">
        <v>9</v>
      </c>
      <c r="Z5845" s="234">
        <v>1</v>
      </c>
      <c r="AA5845" s="235">
        <v>0.4583333333321207</v>
      </c>
      <c r="AB5845" s="236">
        <v>24.8</v>
      </c>
      <c r="AC5845" s="127">
        <f t="shared" si="106"/>
        <v>25</v>
      </c>
    </row>
    <row r="5846" ht="14.5" customHeight="1" spans="11:29" x14ac:dyDescent="0.25">
      <c r="K5846" s="128"/>
      <c r="X5846" s="234">
        <v>2022</v>
      </c>
      <c r="Y5846" s="234">
        <v>9</v>
      </c>
      <c r="Z5846" s="234">
        <v>1</v>
      </c>
      <c r="AA5846" s="235">
        <v>0.5</v>
      </c>
      <c r="AB5846" s="236">
        <v>24.6</v>
      </c>
      <c r="AC5846" s="127">
        <f t="shared" si="106"/>
        <v>25</v>
      </c>
    </row>
    <row r="5847" ht="14.5" customHeight="1" spans="11:29" x14ac:dyDescent="0.25">
      <c r="K5847" s="128"/>
      <c r="X5847" s="234">
        <v>2022</v>
      </c>
      <c r="Y5847" s="234">
        <v>9</v>
      </c>
      <c r="Z5847" s="234">
        <v>1</v>
      </c>
      <c r="AA5847" s="235">
        <v>0.5416666666678793</v>
      </c>
      <c r="AB5847" s="236">
        <v>25.2</v>
      </c>
      <c r="AC5847" s="127">
        <f t="shared" si="106"/>
        <v>25</v>
      </c>
    </row>
    <row r="5848" ht="14.5" customHeight="1" spans="11:29" x14ac:dyDescent="0.25">
      <c r="K5848" s="128"/>
      <c r="X5848" s="234">
        <v>2022</v>
      </c>
      <c r="Y5848" s="234">
        <v>9</v>
      </c>
      <c r="Z5848" s="234">
        <v>1</v>
      </c>
      <c r="AA5848" s="235">
        <v>0.5833333333321207</v>
      </c>
      <c r="AB5848" s="236">
        <v>24.5</v>
      </c>
      <c r="AC5848" s="127">
        <f t="shared" si="106"/>
        <v>25</v>
      </c>
    </row>
    <row r="5849" ht="14.5" customHeight="1" spans="11:29" x14ac:dyDescent="0.25">
      <c r="K5849" s="128"/>
      <c r="X5849" s="234">
        <v>2022</v>
      </c>
      <c r="Y5849" s="234">
        <v>9</v>
      </c>
      <c r="Z5849" s="234">
        <v>1</v>
      </c>
      <c r="AA5849" s="235">
        <v>0.625</v>
      </c>
      <c r="AB5849" s="236">
        <v>24.8</v>
      </c>
      <c r="AC5849" s="127">
        <f t="shared" si="106"/>
        <v>25</v>
      </c>
    </row>
    <row r="5850" ht="14.5" customHeight="1" spans="11:29" x14ac:dyDescent="0.25">
      <c r="K5850" s="128"/>
      <c r="X5850" s="234">
        <v>2022</v>
      </c>
      <c r="Y5850" s="234">
        <v>9</v>
      </c>
      <c r="Z5850" s="234">
        <v>1</v>
      </c>
      <c r="AA5850" s="235">
        <v>0.6666666666678793</v>
      </c>
      <c r="AB5850" s="236">
        <v>22.5</v>
      </c>
      <c r="AC5850" s="127">
        <f t="shared" si="106"/>
        <v>23</v>
      </c>
    </row>
    <row r="5851" ht="14.5" customHeight="1" spans="11:29" x14ac:dyDescent="0.25">
      <c r="K5851" s="128"/>
      <c r="X5851" s="234">
        <v>2022</v>
      </c>
      <c r="Y5851" s="234">
        <v>9</v>
      </c>
      <c r="Z5851" s="234">
        <v>1</v>
      </c>
      <c r="AA5851" s="235">
        <v>0.7083333333321207</v>
      </c>
      <c r="AB5851" s="236">
        <v>22.1</v>
      </c>
      <c r="AC5851" s="127">
        <f t="shared" si="106"/>
        <v>22</v>
      </c>
    </row>
    <row r="5852" ht="14.5" customHeight="1" spans="11:29" x14ac:dyDescent="0.25">
      <c r="K5852" s="128"/>
      <c r="X5852" s="234">
        <v>2022</v>
      </c>
      <c r="Y5852" s="234">
        <v>9</v>
      </c>
      <c r="Z5852" s="234">
        <v>1</v>
      </c>
      <c r="AA5852" s="235">
        <v>0.75</v>
      </c>
      <c r="AB5852" s="236">
        <v>22.1</v>
      </c>
      <c r="AC5852" s="127">
        <f t="shared" si="106"/>
        <v>22</v>
      </c>
    </row>
    <row r="5853" ht="14.5" customHeight="1" spans="11:29" x14ac:dyDescent="0.25">
      <c r="K5853" s="128"/>
      <c r="X5853" s="234">
        <v>2022</v>
      </c>
      <c r="Y5853" s="234">
        <v>9</v>
      </c>
      <c r="Z5853" s="234">
        <v>1</v>
      </c>
      <c r="AA5853" s="235">
        <v>0.7916666666678793</v>
      </c>
      <c r="AB5853" s="236">
        <v>19.4</v>
      </c>
      <c r="AC5853" s="127">
        <f t="shared" si="106"/>
        <v>19</v>
      </c>
    </row>
    <row r="5854" ht="14.5" customHeight="1" spans="11:29" x14ac:dyDescent="0.25">
      <c r="K5854" s="128"/>
      <c r="X5854" s="234">
        <v>2022</v>
      </c>
      <c r="Y5854" s="234">
        <v>9</v>
      </c>
      <c r="Z5854" s="234">
        <v>1</v>
      </c>
      <c r="AA5854" s="235">
        <v>0.8333333333321207</v>
      </c>
      <c r="AB5854" s="236">
        <v>16.8</v>
      </c>
      <c r="AC5854" s="127">
        <f t="shared" si="106"/>
        <v>17</v>
      </c>
    </row>
    <row r="5855" ht="14.5" customHeight="1" spans="11:29" x14ac:dyDescent="0.25">
      <c r="K5855" s="128"/>
      <c r="X5855" s="234">
        <v>2022</v>
      </c>
      <c r="Y5855" s="234">
        <v>9</v>
      </c>
      <c r="Z5855" s="234">
        <v>1</v>
      </c>
      <c r="AA5855" s="235">
        <v>0.875</v>
      </c>
      <c r="AB5855" s="236">
        <v>15</v>
      </c>
      <c r="AC5855" s="127">
        <f t="shared" si="106"/>
        <v>15</v>
      </c>
    </row>
    <row r="5856" ht="14.5" customHeight="1" spans="11:29" x14ac:dyDescent="0.25">
      <c r="K5856" s="128"/>
      <c r="X5856" s="234">
        <v>2022</v>
      </c>
      <c r="Y5856" s="234">
        <v>9</v>
      </c>
      <c r="Z5856" s="234">
        <v>1</v>
      </c>
      <c r="AA5856" s="235">
        <v>0.9166666666678793</v>
      </c>
      <c r="AB5856" s="236">
        <v>13.2</v>
      </c>
      <c r="AC5856" s="127">
        <f t="shared" si="106"/>
        <v>13</v>
      </c>
    </row>
    <row r="5857" ht="14.5" customHeight="1" spans="11:29" x14ac:dyDescent="0.25">
      <c r="K5857" s="128"/>
      <c r="X5857" s="234">
        <v>2022</v>
      </c>
      <c r="Y5857" s="234">
        <v>9</v>
      </c>
      <c r="Z5857" s="234">
        <v>1</v>
      </c>
      <c r="AA5857" s="235">
        <v>0.9583333333321207</v>
      </c>
      <c r="AB5857" s="236">
        <v>12.7</v>
      </c>
      <c r="AC5857" s="127">
        <f t="shared" si="106"/>
        <v>13</v>
      </c>
    </row>
    <row r="5858" ht="14.5" customHeight="1" spans="11:29" x14ac:dyDescent="0.25">
      <c r="K5858" s="128"/>
      <c r="X5858" s="234">
        <v>2022</v>
      </c>
      <c r="Y5858" s="234">
        <v>9</v>
      </c>
      <c r="Z5858" s="234">
        <v>2</v>
      </c>
      <c r="AA5858" s="235">
        <v>0</v>
      </c>
      <c r="AB5858" s="236">
        <v>12.5</v>
      </c>
      <c r="AC5858" s="127">
        <f t="shared" si="106"/>
        <v>13</v>
      </c>
    </row>
    <row r="5859" ht="14.5" customHeight="1" spans="11:29" x14ac:dyDescent="0.25">
      <c r="K5859" s="128"/>
      <c r="X5859" s="234">
        <v>2022</v>
      </c>
      <c r="Y5859" s="234">
        <v>9</v>
      </c>
      <c r="Z5859" s="234">
        <v>2</v>
      </c>
      <c r="AA5859" s="235">
        <v>0.041666666667879326</v>
      </c>
      <c r="AB5859" s="236">
        <v>12.3</v>
      </c>
      <c r="AC5859" s="127">
        <f t="shared" si="106"/>
        <v>12</v>
      </c>
    </row>
    <row r="5860" ht="14.5" customHeight="1" spans="11:29" x14ac:dyDescent="0.25">
      <c r="K5860" s="128"/>
      <c r="X5860" s="234">
        <v>2022</v>
      </c>
      <c r="Y5860" s="234">
        <v>9</v>
      </c>
      <c r="Z5860" s="234">
        <v>2</v>
      </c>
      <c r="AA5860" s="235">
        <v>0.08333333333212067</v>
      </c>
      <c r="AB5860" s="236">
        <v>12.2</v>
      </c>
      <c r="AC5860" s="127">
        <f t="shared" si="106"/>
        <v>12</v>
      </c>
    </row>
    <row r="5861" ht="14.5" customHeight="1" spans="11:29" x14ac:dyDescent="0.25">
      <c r="K5861" s="128"/>
      <c r="X5861" s="234">
        <v>2022</v>
      </c>
      <c r="Y5861" s="234">
        <v>9</v>
      </c>
      <c r="Z5861" s="234">
        <v>2</v>
      </c>
      <c r="AA5861" s="235">
        <v>0.125</v>
      </c>
      <c r="AB5861" s="236">
        <v>12.9</v>
      </c>
      <c r="AC5861" s="127">
        <f t="shared" si="106"/>
        <v>13</v>
      </c>
    </row>
    <row r="5862" ht="14.5" customHeight="1" spans="11:29" x14ac:dyDescent="0.25">
      <c r="K5862" s="128"/>
      <c r="X5862" s="234">
        <v>2022</v>
      </c>
      <c r="Y5862" s="234">
        <v>9</v>
      </c>
      <c r="Z5862" s="234">
        <v>2</v>
      </c>
      <c r="AA5862" s="235">
        <v>0.16666666666787933</v>
      </c>
      <c r="AB5862" s="236">
        <v>12</v>
      </c>
      <c r="AC5862" s="127">
        <f t="shared" si="106"/>
        <v>12</v>
      </c>
    </row>
    <row r="5863" ht="14.5" customHeight="1" spans="11:29" x14ac:dyDescent="0.25">
      <c r="K5863" s="128"/>
      <c r="X5863" s="234">
        <v>2022</v>
      </c>
      <c r="Y5863" s="234">
        <v>9</v>
      </c>
      <c r="Z5863" s="234">
        <v>2</v>
      </c>
      <c r="AA5863" s="235">
        <v>0.20833333333212067</v>
      </c>
      <c r="AB5863" s="236">
        <v>11.1</v>
      </c>
      <c r="AC5863" s="127">
        <f t="shared" si="106"/>
        <v>11</v>
      </c>
    </row>
    <row r="5864" ht="14.5" customHeight="1" spans="11:29" x14ac:dyDescent="0.25">
      <c r="K5864" s="128"/>
      <c r="X5864" s="234">
        <v>2022</v>
      </c>
      <c r="Y5864" s="234">
        <v>9</v>
      </c>
      <c r="Z5864" s="234">
        <v>2</v>
      </c>
      <c r="AA5864" s="235">
        <v>0.25</v>
      </c>
      <c r="AB5864" s="236">
        <v>10.2</v>
      </c>
      <c r="AC5864" s="127">
        <f t="shared" si="106"/>
        <v>10</v>
      </c>
    </row>
    <row r="5865" ht="14.5" customHeight="1" spans="11:29" x14ac:dyDescent="0.25">
      <c r="K5865" s="128"/>
      <c r="X5865" s="234">
        <v>2022</v>
      </c>
      <c r="Y5865" s="234">
        <v>9</v>
      </c>
      <c r="Z5865" s="234">
        <v>2</v>
      </c>
      <c r="AA5865" s="235">
        <v>0.2916666666678793</v>
      </c>
      <c r="AB5865" s="236">
        <v>11.9</v>
      </c>
      <c r="AC5865" s="127">
        <f t="shared" si="106"/>
        <v>12</v>
      </c>
    </row>
    <row r="5866" ht="14.5" customHeight="1" spans="11:29" x14ac:dyDescent="0.25">
      <c r="K5866" s="128"/>
      <c r="X5866" s="234">
        <v>2022</v>
      </c>
      <c r="Y5866" s="234">
        <v>9</v>
      </c>
      <c r="Z5866" s="234">
        <v>2</v>
      </c>
      <c r="AA5866" s="235">
        <v>0.3333333333321207</v>
      </c>
      <c r="AB5866" s="236">
        <v>14.4</v>
      </c>
      <c r="AC5866" s="127">
        <f t="shared" si="106"/>
        <v>14</v>
      </c>
    </row>
    <row r="5867" ht="14.5" customHeight="1" spans="11:29" x14ac:dyDescent="0.25">
      <c r="K5867" s="128"/>
      <c r="X5867" s="234">
        <v>2022</v>
      </c>
      <c r="Y5867" s="234">
        <v>9</v>
      </c>
      <c r="Z5867" s="234">
        <v>2</v>
      </c>
      <c r="AA5867" s="235">
        <v>0.375</v>
      </c>
      <c r="AB5867" s="236">
        <v>17.7</v>
      </c>
      <c r="AC5867" s="127">
        <f t="shared" si="106"/>
        <v>18</v>
      </c>
    </row>
    <row r="5868" ht="14.5" customHeight="1" spans="11:29" x14ac:dyDescent="0.25">
      <c r="K5868" s="128"/>
      <c r="X5868" s="234">
        <v>2022</v>
      </c>
      <c r="Y5868" s="234">
        <v>9</v>
      </c>
      <c r="Z5868" s="234">
        <v>2</v>
      </c>
      <c r="AA5868" s="235">
        <v>0.4166666666678793</v>
      </c>
      <c r="AB5868" s="236">
        <v>20.9</v>
      </c>
      <c r="AC5868" s="127">
        <f t="shared" si="106"/>
        <v>21</v>
      </c>
    </row>
    <row r="5869" ht="14.5" customHeight="1" spans="11:29" x14ac:dyDescent="0.25">
      <c r="K5869" s="128"/>
      <c r="X5869" s="234">
        <v>2022</v>
      </c>
      <c r="Y5869" s="234">
        <v>9</v>
      </c>
      <c r="Z5869" s="234">
        <v>2</v>
      </c>
      <c r="AA5869" s="235">
        <v>0.4583333333321207</v>
      </c>
      <c r="AB5869" s="236">
        <v>23</v>
      </c>
      <c r="AC5869" s="127">
        <f t="shared" si="106"/>
        <v>23</v>
      </c>
    </row>
    <row r="5870" ht="14.5" customHeight="1" spans="11:29" x14ac:dyDescent="0.25">
      <c r="K5870" s="128"/>
      <c r="X5870" s="234">
        <v>2022</v>
      </c>
      <c r="Y5870" s="234">
        <v>9</v>
      </c>
      <c r="Z5870" s="234">
        <v>2</v>
      </c>
      <c r="AA5870" s="235">
        <v>0.5</v>
      </c>
      <c r="AB5870" s="236">
        <v>26.1</v>
      </c>
      <c r="AC5870" s="127">
        <f t="shared" si="106"/>
        <v>26</v>
      </c>
    </row>
    <row r="5871" ht="14.5" customHeight="1" spans="11:29" x14ac:dyDescent="0.25">
      <c r="K5871" s="128"/>
      <c r="X5871" s="234">
        <v>2022</v>
      </c>
      <c r="Y5871" s="234">
        <v>9</v>
      </c>
      <c r="Z5871" s="234">
        <v>2</v>
      </c>
      <c r="AA5871" s="235">
        <v>0.5416666666678793</v>
      </c>
      <c r="AB5871" s="236">
        <v>27.9</v>
      </c>
      <c r="AC5871" s="127">
        <f t="shared" si="106"/>
        <v>28</v>
      </c>
    </row>
    <row r="5872" ht="14.5" customHeight="1" spans="11:29" x14ac:dyDescent="0.25">
      <c r="K5872" s="128"/>
      <c r="X5872" s="234">
        <v>2022</v>
      </c>
      <c r="Y5872" s="234">
        <v>9</v>
      </c>
      <c r="Z5872" s="234">
        <v>2</v>
      </c>
      <c r="AA5872" s="235">
        <v>0.5833333333321207</v>
      </c>
      <c r="AB5872" s="236">
        <v>29.3</v>
      </c>
      <c r="AC5872" s="127">
        <f t="shared" si="106"/>
        <v>29</v>
      </c>
    </row>
    <row r="5873" ht="14.5" customHeight="1" spans="11:29" x14ac:dyDescent="0.25">
      <c r="K5873" s="128"/>
      <c r="X5873" s="234">
        <v>2022</v>
      </c>
      <c r="Y5873" s="234">
        <v>9</v>
      </c>
      <c r="Z5873" s="234">
        <v>2</v>
      </c>
      <c r="AA5873" s="235">
        <v>0.625</v>
      </c>
      <c r="AB5873" s="236">
        <v>29.7</v>
      </c>
      <c r="AC5873" s="127">
        <f t="shared" si="106"/>
        <v>30</v>
      </c>
    </row>
    <row r="5874" ht="14.5" customHeight="1" spans="11:29" x14ac:dyDescent="0.25">
      <c r="K5874" s="128"/>
      <c r="X5874" s="234">
        <v>2022</v>
      </c>
      <c r="Y5874" s="234">
        <v>9</v>
      </c>
      <c r="Z5874" s="234">
        <v>2</v>
      </c>
      <c r="AA5874" s="235">
        <v>0.6666666666678793</v>
      </c>
      <c r="AB5874" s="236">
        <v>30</v>
      </c>
      <c r="AC5874" s="127">
        <f t="shared" si="106"/>
        <v>30</v>
      </c>
    </row>
    <row r="5875" ht="14.5" customHeight="1" spans="11:29" x14ac:dyDescent="0.25">
      <c r="K5875" s="128"/>
      <c r="X5875" s="234">
        <v>2022</v>
      </c>
      <c r="Y5875" s="234">
        <v>9</v>
      </c>
      <c r="Z5875" s="234">
        <v>2</v>
      </c>
      <c r="AA5875" s="235">
        <v>0.7083333333321207</v>
      </c>
      <c r="AB5875" s="236">
        <v>29.6</v>
      </c>
      <c r="AC5875" s="127">
        <f t="shared" si="106"/>
        <v>30</v>
      </c>
    </row>
    <row r="5876" ht="14.5" customHeight="1" spans="11:29" x14ac:dyDescent="0.25">
      <c r="K5876" s="128"/>
      <c r="X5876" s="234">
        <v>2022</v>
      </c>
      <c r="Y5876" s="234">
        <v>9</v>
      </c>
      <c r="Z5876" s="234">
        <v>2</v>
      </c>
      <c r="AA5876" s="235">
        <v>0.75</v>
      </c>
      <c r="AB5876" s="236">
        <v>28.9</v>
      </c>
      <c r="AC5876" s="127">
        <f t="shared" si="106"/>
        <v>29</v>
      </c>
    </row>
    <row r="5877" ht="14.5" customHeight="1" spans="11:29" x14ac:dyDescent="0.25">
      <c r="K5877" s="128"/>
      <c r="X5877" s="234">
        <v>2022</v>
      </c>
      <c r="Y5877" s="234">
        <v>9</v>
      </c>
      <c r="Z5877" s="234">
        <v>2</v>
      </c>
      <c r="AA5877" s="235">
        <v>0.7916666666678793</v>
      </c>
      <c r="AB5877" s="236">
        <v>25</v>
      </c>
      <c r="AC5877" s="127">
        <f t="shared" si="106"/>
        <v>25</v>
      </c>
    </row>
    <row r="5878" ht="14.5" customHeight="1" spans="11:29" x14ac:dyDescent="0.25">
      <c r="K5878" s="128"/>
      <c r="X5878" s="234">
        <v>2022</v>
      </c>
      <c r="Y5878" s="234">
        <v>9</v>
      </c>
      <c r="Z5878" s="234">
        <v>2</v>
      </c>
      <c r="AA5878" s="235">
        <v>0.8333333333321207</v>
      </c>
      <c r="AB5878" s="236">
        <v>24</v>
      </c>
      <c r="AC5878" s="127">
        <f t="shared" si="106"/>
        <v>24</v>
      </c>
    </row>
    <row r="5879" ht="14.5" customHeight="1" spans="11:29" x14ac:dyDescent="0.25">
      <c r="K5879" s="128"/>
      <c r="X5879" s="234">
        <v>2022</v>
      </c>
      <c r="Y5879" s="234">
        <v>9</v>
      </c>
      <c r="Z5879" s="234">
        <v>2</v>
      </c>
      <c r="AA5879" s="235">
        <v>0.875</v>
      </c>
      <c r="AB5879" s="236">
        <v>23.1</v>
      </c>
      <c r="AC5879" s="127">
        <f t="shared" si="106"/>
        <v>23</v>
      </c>
    </row>
    <row r="5880" ht="14.5" customHeight="1" spans="11:29" x14ac:dyDescent="0.25">
      <c r="K5880" s="128"/>
      <c r="X5880" s="234">
        <v>2022</v>
      </c>
      <c r="Y5880" s="234">
        <v>9</v>
      </c>
      <c r="Z5880" s="234">
        <v>2</v>
      </c>
      <c r="AA5880" s="235">
        <v>0.9166666666678793</v>
      </c>
      <c r="AB5880" s="236">
        <v>18.9</v>
      </c>
      <c r="AC5880" s="127">
        <f t="shared" si="106"/>
        <v>19</v>
      </c>
    </row>
    <row r="5881" ht="14.5" customHeight="1" spans="11:29" x14ac:dyDescent="0.25">
      <c r="K5881" s="128"/>
      <c r="X5881" s="234">
        <v>2022</v>
      </c>
      <c r="Y5881" s="234">
        <v>9</v>
      </c>
      <c r="Z5881" s="234">
        <v>2</v>
      </c>
      <c r="AA5881" s="235">
        <v>0.9583333333321207</v>
      </c>
      <c r="AB5881" s="236">
        <v>16.5</v>
      </c>
      <c r="AC5881" s="127">
        <f t="shared" si="106"/>
        <v>17</v>
      </c>
    </row>
    <row r="5882" ht="14.5" customHeight="1" spans="11:29" x14ac:dyDescent="0.25">
      <c r="K5882" s="128"/>
      <c r="X5882" s="234">
        <v>2022</v>
      </c>
      <c r="Y5882" s="234">
        <v>9</v>
      </c>
      <c r="Z5882" s="234">
        <v>3</v>
      </c>
      <c r="AA5882" s="235">
        <v>0</v>
      </c>
      <c r="AB5882" s="236">
        <v>15.3</v>
      </c>
      <c r="AC5882" s="127">
        <f t="shared" si="106"/>
        <v>15</v>
      </c>
    </row>
    <row r="5883" ht="14.5" customHeight="1" spans="11:29" x14ac:dyDescent="0.25">
      <c r="K5883" s="128"/>
      <c r="X5883" s="234">
        <v>2022</v>
      </c>
      <c r="Y5883" s="234">
        <v>9</v>
      </c>
      <c r="Z5883" s="234">
        <v>3</v>
      </c>
      <c r="AA5883" s="235">
        <v>0.041666666667879326</v>
      </c>
      <c r="AB5883" s="236">
        <v>15.2</v>
      </c>
      <c r="AC5883" s="127">
        <f t="shared" si="106"/>
        <v>15</v>
      </c>
    </row>
    <row r="5884" ht="14.5" customHeight="1" spans="11:29" x14ac:dyDescent="0.25">
      <c r="K5884" s="128"/>
      <c r="X5884" s="234">
        <v>2022</v>
      </c>
      <c r="Y5884" s="234">
        <v>9</v>
      </c>
      <c r="Z5884" s="234">
        <v>3</v>
      </c>
      <c r="AA5884" s="235">
        <v>0.08333333333212067</v>
      </c>
      <c r="AB5884" s="236">
        <v>12.6</v>
      </c>
      <c r="AC5884" s="127">
        <f t="shared" si="106"/>
        <v>13</v>
      </c>
    </row>
    <row r="5885" ht="14.5" customHeight="1" spans="11:29" x14ac:dyDescent="0.25">
      <c r="K5885" s="128"/>
      <c r="X5885" s="234">
        <v>2022</v>
      </c>
      <c r="Y5885" s="234">
        <v>9</v>
      </c>
      <c r="Z5885" s="234">
        <v>3</v>
      </c>
      <c r="AA5885" s="235">
        <v>0.125</v>
      </c>
      <c r="AB5885" s="236">
        <v>11.6</v>
      </c>
      <c r="AC5885" s="127">
        <f t="shared" si="106"/>
        <v>12</v>
      </c>
    </row>
    <row r="5886" ht="14.5" customHeight="1" spans="11:29" x14ac:dyDescent="0.25">
      <c r="K5886" s="128"/>
      <c r="X5886" s="234">
        <v>2022</v>
      </c>
      <c r="Y5886" s="234">
        <v>9</v>
      </c>
      <c r="Z5886" s="234">
        <v>3</v>
      </c>
      <c r="AA5886" s="235">
        <v>0.16666666666787933</v>
      </c>
      <c r="AB5886" s="236">
        <v>11.3</v>
      </c>
      <c r="AC5886" s="127">
        <f t="shared" si="106"/>
        <v>11</v>
      </c>
    </row>
    <row r="5887" ht="14.5" customHeight="1" spans="11:29" x14ac:dyDescent="0.25">
      <c r="K5887" s="128"/>
      <c r="X5887" s="234">
        <v>2022</v>
      </c>
      <c r="Y5887" s="234">
        <v>9</v>
      </c>
      <c r="Z5887" s="234">
        <v>3</v>
      </c>
      <c r="AA5887" s="235">
        <v>0.20833333333212067</v>
      </c>
      <c r="AB5887" s="236">
        <v>11.5</v>
      </c>
      <c r="AC5887" s="127">
        <f t="shared" si="106"/>
        <v>12</v>
      </c>
    </row>
    <row r="5888" ht="14.5" customHeight="1" spans="11:29" x14ac:dyDescent="0.25">
      <c r="K5888" s="128"/>
      <c r="X5888" s="234">
        <v>2022</v>
      </c>
      <c r="Y5888" s="234">
        <v>9</v>
      </c>
      <c r="Z5888" s="234">
        <v>3</v>
      </c>
      <c r="AA5888" s="235">
        <v>0.25</v>
      </c>
      <c r="AB5888" s="236">
        <v>10.5</v>
      </c>
      <c r="AC5888" s="127">
        <f t="shared" si="106"/>
        <v>11</v>
      </c>
    </row>
    <row r="5889" ht="14.5" customHeight="1" spans="11:29" x14ac:dyDescent="0.25">
      <c r="K5889" s="128"/>
      <c r="X5889" s="234">
        <v>2022</v>
      </c>
      <c r="Y5889" s="234">
        <v>9</v>
      </c>
      <c r="Z5889" s="234">
        <v>3</v>
      </c>
      <c r="AA5889" s="235">
        <v>0.2916666666678793</v>
      </c>
      <c r="AB5889" s="236">
        <v>12.1</v>
      </c>
      <c r="AC5889" s="127">
        <f t="shared" si="106"/>
        <v>12</v>
      </c>
    </row>
    <row r="5890" ht="14.5" customHeight="1" spans="11:29" x14ac:dyDescent="0.25">
      <c r="K5890" s="128"/>
      <c r="X5890" s="234">
        <v>2022</v>
      </c>
      <c r="Y5890" s="234">
        <v>9</v>
      </c>
      <c r="Z5890" s="234">
        <v>3</v>
      </c>
      <c r="AA5890" s="235">
        <v>0.3333333333321207</v>
      </c>
      <c r="AB5890" s="236">
        <v>15.3</v>
      </c>
      <c r="AC5890" s="127">
        <f t="shared" si="106"/>
        <v>15</v>
      </c>
    </row>
    <row r="5891" ht="14.5" customHeight="1" spans="11:29" x14ac:dyDescent="0.25">
      <c r="K5891" s="128"/>
      <c r="X5891" s="234">
        <v>2022</v>
      </c>
      <c r="Y5891" s="234">
        <v>9</v>
      </c>
      <c r="Z5891" s="234">
        <v>3</v>
      </c>
      <c r="AA5891" s="235">
        <v>0.375</v>
      </c>
      <c r="AB5891" s="236">
        <v>18.7</v>
      </c>
      <c r="AC5891" s="127">
        <f t="shared" si="106"/>
        <v>19</v>
      </c>
    </row>
    <row r="5892" ht="14.5" customHeight="1" spans="11:29" x14ac:dyDescent="0.25">
      <c r="K5892" s="128"/>
      <c r="X5892" s="234">
        <v>2022</v>
      </c>
      <c r="Y5892" s="234">
        <v>9</v>
      </c>
      <c r="Z5892" s="234">
        <v>3</v>
      </c>
      <c r="AA5892" s="235">
        <v>0.4166666666678793</v>
      </c>
      <c r="AB5892" s="236">
        <v>21.9</v>
      </c>
      <c r="AC5892" s="127">
        <f t="shared" si="106"/>
        <v>22</v>
      </c>
    </row>
    <row r="5893" ht="14.5" customHeight="1" spans="11:29" x14ac:dyDescent="0.25">
      <c r="K5893" s="128"/>
      <c r="X5893" s="234">
        <v>2022</v>
      </c>
      <c r="Y5893" s="234">
        <v>9</v>
      </c>
      <c r="Z5893" s="234">
        <v>3</v>
      </c>
      <c r="AA5893" s="235">
        <v>0.4583333333321207</v>
      </c>
      <c r="AB5893" s="236">
        <v>25.1</v>
      </c>
      <c r="AC5893" s="127">
        <f t="shared" si="106"/>
        <v>25</v>
      </c>
    </row>
    <row r="5894" ht="14.5" customHeight="1" spans="11:29" x14ac:dyDescent="0.25">
      <c r="K5894" s="128"/>
      <c r="X5894" s="234">
        <v>2022</v>
      </c>
      <c r="Y5894" s="234">
        <v>9</v>
      </c>
      <c r="Z5894" s="234">
        <v>3</v>
      </c>
      <c r="AA5894" s="235">
        <v>0.5</v>
      </c>
      <c r="AB5894" s="236">
        <v>29</v>
      </c>
      <c r="AC5894" s="127">
        <f t="shared" si="106"/>
        <v>29</v>
      </c>
    </row>
    <row r="5895" ht="14.5" customHeight="1" spans="11:29" x14ac:dyDescent="0.25">
      <c r="K5895" s="128"/>
      <c r="X5895" s="234">
        <v>2022</v>
      </c>
      <c r="Y5895" s="234">
        <v>9</v>
      </c>
      <c r="Z5895" s="234">
        <v>3</v>
      </c>
      <c r="AA5895" s="235">
        <v>0.5416666666678793</v>
      </c>
      <c r="AB5895" s="236">
        <v>30.6</v>
      </c>
      <c r="AC5895" s="127">
        <f t="shared" si="106"/>
        <v>31</v>
      </c>
    </row>
    <row r="5896" ht="14.5" customHeight="1" spans="11:29" x14ac:dyDescent="0.25">
      <c r="K5896" s="128"/>
      <c r="X5896" s="234">
        <v>2022</v>
      </c>
      <c r="Y5896" s="234">
        <v>9</v>
      </c>
      <c r="Z5896" s="234">
        <v>3</v>
      </c>
      <c r="AA5896" s="235">
        <v>0.5833333333321207</v>
      </c>
      <c r="AB5896" s="236">
        <v>31.6</v>
      </c>
      <c r="AC5896" s="127">
        <f t="shared" si="106"/>
        <v>32</v>
      </c>
    </row>
    <row r="5897" ht="14.5" customHeight="1" spans="11:29" x14ac:dyDescent="0.25">
      <c r="K5897" s="128"/>
      <c r="X5897" s="234">
        <v>2022</v>
      </c>
      <c r="Y5897" s="234">
        <v>9</v>
      </c>
      <c r="Z5897" s="234">
        <v>3</v>
      </c>
      <c r="AA5897" s="235">
        <v>0.625</v>
      </c>
      <c r="AB5897" s="236">
        <v>32.7</v>
      </c>
      <c r="AC5897" s="127">
        <f t="shared" si="106"/>
        <v>33</v>
      </c>
    </row>
    <row r="5898" ht="14.5" customHeight="1" spans="11:29" x14ac:dyDescent="0.25">
      <c r="K5898" s="128"/>
      <c r="X5898" s="234">
        <v>2022</v>
      </c>
      <c r="Y5898" s="234">
        <v>9</v>
      </c>
      <c r="Z5898" s="234">
        <v>3</v>
      </c>
      <c r="AA5898" s="235">
        <v>0.6666666666678793</v>
      </c>
      <c r="AB5898" s="236">
        <v>31.9</v>
      </c>
      <c r="AC5898" s="127">
        <f t="shared" si="106"/>
        <v>32</v>
      </c>
    </row>
    <row r="5899" ht="14.5" customHeight="1" spans="11:29" x14ac:dyDescent="0.25">
      <c r="K5899" s="128"/>
      <c r="X5899" s="234">
        <v>2022</v>
      </c>
      <c r="Y5899" s="234">
        <v>9</v>
      </c>
      <c r="Z5899" s="234">
        <v>3</v>
      </c>
      <c r="AA5899" s="235">
        <v>0.7083333333321207</v>
      </c>
      <c r="AB5899" s="236">
        <v>31.7</v>
      </c>
      <c r="AC5899" s="127">
        <f t="shared" ref="AC5899:AC5962" si="107">ROUND(AB5899,0)</f>
        <v>32</v>
      </c>
    </row>
    <row r="5900" ht="14.5" customHeight="1" spans="11:29" x14ac:dyDescent="0.25">
      <c r="K5900" s="128"/>
      <c r="X5900" s="234">
        <v>2022</v>
      </c>
      <c r="Y5900" s="234">
        <v>9</v>
      </c>
      <c r="Z5900" s="234">
        <v>3</v>
      </c>
      <c r="AA5900" s="235">
        <v>0.75</v>
      </c>
      <c r="AB5900" s="236">
        <v>29.4</v>
      </c>
      <c r="AC5900" s="127">
        <f t="shared" si="107"/>
        <v>29</v>
      </c>
    </row>
    <row r="5901" ht="14.5" customHeight="1" spans="11:29" x14ac:dyDescent="0.25">
      <c r="K5901" s="128"/>
      <c r="X5901" s="234">
        <v>2022</v>
      </c>
      <c r="Y5901" s="234">
        <v>9</v>
      </c>
      <c r="Z5901" s="234">
        <v>3</v>
      </c>
      <c r="AA5901" s="235">
        <v>0.7916666666678793</v>
      </c>
      <c r="AB5901" s="236">
        <v>24.5</v>
      </c>
      <c r="AC5901" s="127">
        <f t="shared" si="107"/>
        <v>25</v>
      </c>
    </row>
    <row r="5902" ht="14.5" customHeight="1" spans="11:29" x14ac:dyDescent="0.25">
      <c r="K5902" s="128"/>
      <c r="X5902" s="234">
        <v>2022</v>
      </c>
      <c r="Y5902" s="234">
        <v>9</v>
      </c>
      <c r="Z5902" s="234">
        <v>3</v>
      </c>
      <c r="AA5902" s="235">
        <v>0.8333333333321207</v>
      </c>
      <c r="AB5902" s="236">
        <v>23.4</v>
      </c>
      <c r="AC5902" s="127">
        <f t="shared" si="107"/>
        <v>23</v>
      </c>
    </row>
    <row r="5903" ht="14.5" customHeight="1" spans="11:29" x14ac:dyDescent="0.25">
      <c r="K5903" s="128"/>
      <c r="X5903" s="234">
        <v>2022</v>
      </c>
      <c r="Y5903" s="234">
        <v>9</v>
      </c>
      <c r="Z5903" s="234">
        <v>3</v>
      </c>
      <c r="AA5903" s="235">
        <v>0.875</v>
      </c>
      <c r="AB5903" s="236">
        <v>21.5</v>
      </c>
      <c r="AC5903" s="127">
        <f t="shared" si="107"/>
        <v>22</v>
      </c>
    </row>
    <row r="5904" ht="14.5" customHeight="1" spans="11:29" x14ac:dyDescent="0.25">
      <c r="K5904" s="128"/>
      <c r="X5904" s="234">
        <v>2022</v>
      </c>
      <c r="Y5904" s="234">
        <v>9</v>
      </c>
      <c r="Z5904" s="234">
        <v>3</v>
      </c>
      <c r="AA5904" s="235">
        <v>0.9166666666678793</v>
      </c>
      <c r="AB5904" s="236">
        <v>18.5</v>
      </c>
      <c r="AC5904" s="127">
        <f t="shared" si="107"/>
        <v>19</v>
      </c>
    </row>
    <row r="5905" ht="14.5" customHeight="1" spans="11:29" x14ac:dyDescent="0.25">
      <c r="K5905" s="128"/>
      <c r="X5905" s="234">
        <v>2022</v>
      </c>
      <c r="Y5905" s="234">
        <v>9</v>
      </c>
      <c r="Z5905" s="234">
        <v>3</v>
      </c>
      <c r="AA5905" s="235">
        <v>0.9583333333321207</v>
      </c>
      <c r="AB5905" s="236">
        <v>17.4</v>
      </c>
      <c r="AC5905" s="127">
        <f t="shared" si="107"/>
        <v>17</v>
      </c>
    </row>
    <row r="5906" ht="14.5" customHeight="1" spans="11:29" x14ac:dyDescent="0.25">
      <c r="K5906" s="128"/>
      <c r="X5906" s="234">
        <v>2022</v>
      </c>
      <c r="Y5906" s="234">
        <v>9</v>
      </c>
      <c r="Z5906" s="234">
        <v>4</v>
      </c>
      <c r="AA5906" s="235">
        <v>0</v>
      </c>
      <c r="AB5906" s="236">
        <v>18</v>
      </c>
      <c r="AC5906" s="127">
        <f t="shared" si="107"/>
        <v>18</v>
      </c>
    </row>
    <row r="5907" ht="14.5" customHeight="1" spans="11:29" x14ac:dyDescent="0.25">
      <c r="K5907" s="128"/>
      <c r="X5907" s="234">
        <v>2022</v>
      </c>
      <c r="Y5907" s="234">
        <v>9</v>
      </c>
      <c r="Z5907" s="234">
        <v>4</v>
      </c>
      <c r="AA5907" s="235">
        <v>0.041666666667879326</v>
      </c>
      <c r="AB5907" s="236">
        <v>18.6</v>
      </c>
      <c r="AC5907" s="127">
        <f t="shared" si="107"/>
        <v>19</v>
      </c>
    </row>
    <row r="5908" ht="14.5" customHeight="1" spans="11:29" x14ac:dyDescent="0.25">
      <c r="K5908" s="128"/>
      <c r="X5908" s="234">
        <v>2022</v>
      </c>
      <c r="Y5908" s="234">
        <v>9</v>
      </c>
      <c r="Z5908" s="234">
        <v>4</v>
      </c>
      <c r="AA5908" s="235">
        <v>0.08333333333212067</v>
      </c>
      <c r="AB5908" s="236">
        <v>22.8</v>
      </c>
      <c r="AC5908" s="127">
        <f t="shared" si="107"/>
        <v>23</v>
      </c>
    </row>
    <row r="5909" ht="14.5" customHeight="1" spans="11:29" x14ac:dyDescent="0.25">
      <c r="K5909" s="128"/>
      <c r="X5909" s="234">
        <v>2022</v>
      </c>
      <c r="Y5909" s="234">
        <v>9</v>
      </c>
      <c r="Z5909" s="234">
        <v>4</v>
      </c>
      <c r="AA5909" s="235">
        <v>0.125</v>
      </c>
      <c r="AB5909" s="236">
        <v>22</v>
      </c>
      <c r="AC5909" s="127">
        <f t="shared" si="107"/>
        <v>22</v>
      </c>
    </row>
    <row r="5910" ht="14.5" customHeight="1" spans="11:29" x14ac:dyDescent="0.25">
      <c r="K5910" s="128"/>
      <c r="X5910" s="234">
        <v>2022</v>
      </c>
      <c r="Y5910" s="234">
        <v>9</v>
      </c>
      <c r="Z5910" s="234">
        <v>4</v>
      </c>
      <c r="AA5910" s="235">
        <v>0.16666666666787933</v>
      </c>
      <c r="AB5910" s="236">
        <v>19.8</v>
      </c>
      <c r="AC5910" s="127">
        <f t="shared" si="107"/>
        <v>20</v>
      </c>
    </row>
    <row r="5911" ht="14.5" customHeight="1" spans="11:29" x14ac:dyDescent="0.25">
      <c r="K5911" s="128"/>
      <c r="X5911" s="234">
        <v>2022</v>
      </c>
      <c r="Y5911" s="234">
        <v>9</v>
      </c>
      <c r="Z5911" s="234">
        <v>4</v>
      </c>
      <c r="AA5911" s="235">
        <v>0.20833333333212067</v>
      </c>
      <c r="AB5911" s="236">
        <v>18.6</v>
      </c>
      <c r="AC5911" s="127">
        <f t="shared" si="107"/>
        <v>19</v>
      </c>
    </row>
    <row r="5912" ht="14.5" customHeight="1" spans="11:29" x14ac:dyDescent="0.25">
      <c r="K5912" s="128"/>
      <c r="X5912" s="234">
        <v>2022</v>
      </c>
      <c r="Y5912" s="234">
        <v>9</v>
      </c>
      <c r="Z5912" s="234">
        <v>4</v>
      </c>
      <c r="AA5912" s="235">
        <v>0.25</v>
      </c>
      <c r="AB5912" s="236">
        <v>18.5</v>
      </c>
      <c r="AC5912" s="127">
        <f t="shared" si="107"/>
        <v>19</v>
      </c>
    </row>
    <row r="5913" ht="14.5" customHeight="1" spans="11:29" x14ac:dyDescent="0.25">
      <c r="K5913" s="128"/>
      <c r="X5913" s="234">
        <v>2022</v>
      </c>
      <c r="Y5913" s="234">
        <v>9</v>
      </c>
      <c r="Z5913" s="234">
        <v>4</v>
      </c>
      <c r="AA5913" s="235">
        <v>0.2916666666678793</v>
      </c>
      <c r="AB5913" s="236">
        <v>17.4</v>
      </c>
      <c r="AC5913" s="127">
        <f t="shared" si="107"/>
        <v>17</v>
      </c>
    </row>
    <row r="5914" ht="14.5" customHeight="1" spans="11:29" x14ac:dyDescent="0.25">
      <c r="K5914" s="128"/>
      <c r="X5914" s="234">
        <v>2022</v>
      </c>
      <c r="Y5914" s="234">
        <v>9</v>
      </c>
      <c r="Z5914" s="234">
        <v>4</v>
      </c>
      <c r="AA5914" s="235">
        <v>0.3333333333321207</v>
      </c>
      <c r="AB5914" s="236">
        <v>23.2</v>
      </c>
      <c r="AC5914" s="127">
        <f t="shared" si="107"/>
        <v>23</v>
      </c>
    </row>
    <row r="5915" ht="14.5" customHeight="1" spans="11:29" x14ac:dyDescent="0.25">
      <c r="K5915" s="128"/>
      <c r="X5915" s="234">
        <v>2022</v>
      </c>
      <c r="Y5915" s="234">
        <v>9</v>
      </c>
      <c r="Z5915" s="234">
        <v>4</v>
      </c>
      <c r="AA5915" s="235">
        <v>0.375</v>
      </c>
      <c r="AB5915" s="236">
        <v>25.3</v>
      </c>
      <c r="AC5915" s="127">
        <f t="shared" si="107"/>
        <v>25</v>
      </c>
    </row>
    <row r="5916" ht="14.5" customHeight="1" spans="11:29" x14ac:dyDescent="0.25">
      <c r="K5916" s="128"/>
      <c r="X5916" s="234">
        <v>2022</v>
      </c>
      <c r="Y5916" s="234">
        <v>9</v>
      </c>
      <c r="Z5916" s="234">
        <v>4</v>
      </c>
      <c r="AA5916" s="235">
        <v>0.4166666666678793</v>
      </c>
      <c r="AB5916" s="236">
        <v>26.7</v>
      </c>
      <c r="AC5916" s="127">
        <f t="shared" si="107"/>
        <v>27</v>
      </c>
    </row>
    <row r="5917" ht="14.5" customHeight="1" spans="11:29" x14ac:dyDescent="0.25">
      <c r="K5917" s="128"/>
      <c r="X5917" s="234">
        <v>2022</v>
      </c>
      <c r="Y5917" s="234">
        <v>9</v>
      </c>
      <c r="Z5917" s="234">
        <v>4</v>
      </c>
      <c r="AA5917" s="235">
        <v>0.4583333333321207</v>
      </c>
      <c r="AB5917" s="236">
        <v>28</v>
      </c>
      <c r="AC5917" s="127">
        <f t="shared" si="107"/>
        <v>28</v>
      </c>
    </row>
    <row r="5918" ht="14.5" customHeight="1" spans="11:29" x14ac:dyDescent="0.25">
      <c r="K5918" s="128"/>
      <c r="X5918" s="234">
        <v>2022</v>
      </c>
      <c r="Y5918" s="234">
        <v>9</v>
      </c>
      <c r="Z5918" s="234">
        <v>4</v>
      </c>
      <c r="AA5918" s="235">
        <v>0.5</v>
      </c>
      <c r="AB5918" s="236">
        <v>29.3</v>
      </c>
      <c r="AC5918" s="127">
        <f t="shared" si="107"/>
        <v>29</v>
      </c>
    </row>
    <row r="5919" ht="14.5" customHeight="1" spans="11:29" x14ac:dyDescent="0.25">
      <c r="K5919" s="128"/>
      <c r="X5919" s="234">
        <v>2022</v>
      </c>
      <c r="Y5919" s="234">
        <v>9</v>
      </c>
      <c r="Z5919" s="234">
        <v>4</v>
      </c>
      <c r="AA5919" s="235">
        <v>0.5416666666678793</v>
      </c>
      <c r="AB5919" s="236">
        <v>30.9</v>
      </c>
      <c r="AC5919" s="127">
        <f t="shared" si="107"/>
        <v>31</v>
      </c>
    </row>
    <row r="5920" ht="14.5" customHeight="1" spans="11:29" x14ac:dyDescent="0.25">
      <c r="K5920" s="128"/>
      <c r="X5920" s="234">
        <v>2022</v>
      </c>
      <c r="Y5920" s="234">
        <v>9</v>
      </c>
      <c r="Z5920" s="234">
        <v>4</v>
      </c>
      <c r="AA5920" s="235">
        <v>0.5833333333321207</v>
      </c>
      <c r="AB5920" s="236">
        <v>31.4</v>
      </c>
      <c r="AC5920" s="127">
        <f t="shared" si="107"/>
        <v>31</v>
      </c>
    </row>
    <row r="5921" ht="14.5" customHeight="1" spans="11:29" x14ac:dyDescent="0.25">
      <c r="K5921" s="128"/>
      <c r="X5921" s="234">
        <v>2022</v>
      </c>
      <c r="Y5921" s="234">
        <v>9</v>
      </c>
      <c r="Z5921" s="234">
        <v>4</v>
      </c>
      <c r="AA5921" s="235">
        <v>0.625</v>
      </c>
      <c r="AB5921" s="236">
        <v>31.5</v>
      </c>
      <c r="AC5921" s="127">
        <f t="shared" si="107"/>
        <v>32</v>
      </c>
    </row>
    <row r="5922" ht="14.5" customHeight="1" spans="11:29" x14ac:dyDescent="0.25">
      <c r="K5922" s="128"/>
      <c r="X5922" s="234">
        <v>2022</v>
      </c>
      <c r="Y5922" s="234">
        <v>9</v>
      </c>
      <c r="Z5922" s="234">
        <v>4</v>
      </c>
      <c r="AA5922" s="235">
        <v>0.6666666666678793</v>
      </c>
      <c r="AB5922" s="236">
        <v>31.2</v>
      </c>
      <c r="AC5922" s="127">
        <f t="shared" si="107"/>
        <v>31</v>
      </c>
    </row>
    <row r="5923" ht="14.5" customHeight="1" spans="11:29" x14ac:dyDescent="0.25">
      <c r="K5923" s="128"/>
      <c r="X5923" s="234">
        <v>2022</v>
      </c>
      <c r="Y5923" s="234">
        <v>9</v>
      </c>
      <c r="Z5923" s="234">
        <v>4</v>
      </c>
      <c r="AA5923" s="235">
        <v>0.7083333333321207</v>
      </c>
      <c r="AB5923" s="236">
        <v>30.1</v>
      </c>
      <c r="AC5923" s="127">
        <f t="shared" si="107"/>
        <v>30</v>
      </c>
    </row>
    <row r="5924" ht="14.5" customHeight="1" spans="11:29" x14ac:dyDescent="0.25">
      <c r="K5924" s="128"/>
      <c r="X5924" s="234">
        <v>2022</v>
      </c>
      <c r="Y5924" s="234">
        <v>9</v>
      </c>
      <c r="Z5924" s="234">
        <v>4</v>
      </c>
      <c r="AA5924" s="235">
        <v>0.75</v>
      </c>
      <c r="AB5924" s="236">
        <v>27.9</v>
      </c>
      <c r="AC5924" s="127">
        <f t="shared" si="107"/>
        <v>28</v>
      </c>
    </row>
    <row r="5925" ht="14.5" customHeight="1" spans="11:29" x14ac:dyDescent="0.25">
      <c r="K5925" s="128"/>
      <c r="X5925" s="234">
        <v>2022</v>
      </c>
      <c r="Y5925" s="234">
        <v>9</v>
      </c>
      <c r="Z5925" s="234">
        <v>4</v>
      </c>
      <c r="AA5925" s="235">
        <v>0.7916666666678793</v>
      </c>
      <c r="AB5925" s="236">
        <v>26.3</v>
      </c>
      <c r="AC5925" s="127">
        <f t="shared" si="107"/>
        <v>26</v>
      </c>
    </row>
    <row r="5926" ht="14.5" customHeight="1" spans="11:29" x14ac:dyDescent="0.25">
      <c r="K5926" s="128"/>
      <c r="X5926" s="234">
        <v>2022</v>
      </c>
      <c r="Y5926" s="234">
        <v>9</v>
      </c>
      <c r="Z5926" s="234">
        <v>4</v>
      </c>
      <c r="AA5926" s="235">
        <v>0.8333333333321207</v>
      </c>
      <c r="AB5926" s="236">
        <v>23.9</v>
      </c>
      <c r="AC5926" s="127">
        <f t="shared" si="107"/>
        <v>24</v>
      </c>
    </row>
    <row r="5927" ht="14.5" customHeight="1" spans="11:29" x14ac:dyDescent="0.25">
      <c r="K5927" s="128"/>
      <c r="X5927" s="234">
        <v>2022</v>
      </c>
      <c r="Y5927" s="234">
        <v>9</v>
      </c>
      <c r="Z5927" s="234">
        <v>4</v>
      </c>
      <c r="AA5927" s="235">
        <v>0.875</v>
      </c>
      <c r="AB5927" s="236">
        <v>22.8</v>
      </c>
      <c r="AC5927" s="127">
        <f t="shared" si="107"/>
        <v>23</v>
      </c>
    </row>
    <row r="5928" ht="14.5" customHeight="1" spans="11:29" x14ac:dyDescent="0.25">
      <c r="K5928" s="128"/>
      <c r="X5928" s="234">
        <v>2022</v>
      </c>
      <c r="Y5928" s="234">
        <v>9</v>
      </c>
      <c r="Z5928" s="234">
        <v>4</v>
      </c>
      <c r="AA5928" s="235">
        <v>0.9166666666678793</v>
      </c>
      <c r="AB5928" s="236">
        <v>21.7</v>
      </c>
      <c r="AC5928" s="127">
        <f t="shared" si="107"/>
        <v>22</v>
      </c>
    </row>
    <row r="5929" ht="14.5" customHeight="1" spans="11:29" x14ac:dyDescent="0.25">
      <c r="K5929" s="128"/>
      <c r="X5929" s="234">
        <v>2022</v>
      </c>
      <c r="Y5929" s="234">
        <v>9</v>
      </c>
      <c r="Z5929" s="234">
        <v>4</v>
      </c>
      <c r="AA5929" s="235">
        <v>0.9583333333321207</v>
      </c>
      <c r="AB5929" s="236">
        <v>18.9</v>
      </c>
      <c r="AC5929" s="127">
        <f t="shared" si="107"/>
        <v>19</v>
      </c>
    </row>
    <row r="5930" ht="14.5" customHeight="1" spans="11:29" x14ac:dyDescent="0.25">
      <c r="K5930" s="128"/>
      <c r="X5930" s="234">
        <v>2022</v>
      </c>
      <c r="Y5930" s="234">
        <v>9</v>
      </c>
      <c r="Z5930" s="234">
        <v>5</v>
      </c>
      <c r="AA5930" s="235">
        <v>0</v>
      </c>
      <c r="AB5930" s="236">
        <v>19</v>
      </c>
      <c r="AC5930" s="127">
        <f t="shared" si="107"/>
        <v>19</v>
      </c>
    </row>
    <row r="5931" ht="14.5" customHeight="1" spans="11:29" x14ac:dyDescent="0.25">
      <c r="K5931" s="128"/>
      <c r="X5931" s="234">
        <v>2022</v>
      </c>
      <c r="Y5931" s="234">
        <v>9</v>
      </c>
      <c r="Z5931" s="234">
        <v>5</v>
      </c>
      <c r="AA5931" s="235">
        <v>0.041666666667879326</v>
      </c>
      <c r="AB5931" s="236">
        <v>20.4</v>
      </c>
      <c r="AC5931" s="127">
        <f t="shared" si="107"/>
        <v>20</v>
      </c>
    </row>
    <row r="5932" ht="14.5" customHeight="1" spans="11:29" x14ac:dyDescent="0.25">
      <c r="K5932" s="128"/>
      <c r="X5932" s="234">
        <v>2022</v>
      </c>
      <c r="Y5932" s="234">
        <v>9</v>
      </c>
      <c r="Z5932" s="234">
        <v>5</v>
      </c>
      <c r="AA5932" s="235">
        <v>0.08333333333212067</v>
      </c>
      <c r="AB5932" s="236">
        <v>20.7</v>
      </c>
      <c r="AC5932" s="127">
        <f t="shared" si="107"/>
        <v>21</v>
      </c>
    </row>
    <row r="5933" ht="14.5" customHeight="1" spans="11:29" x14ac:dyDescent="0.25">
      <c r="K5933" s="128"/>
      <c r="X5933" s="234">
        <v>2022</v>
      </c>
      <c r="Y5933" s="234">
        <v>9</v>
      </c>
      <c r="Z5933" s="234">
        <v>5</v>
      </c>
      <c r="AA5933" s="235">
        <v>0.125</v>
      </c>
      <c r="AB5933" s="236">
        <v>18.5</v>
      </c>
      <c r="AC5933" s="127">
        <f t="shared" si="107"/>
        <v>19</v>
      </c>
    </row>
    <row r="5934" ht="14.5" customHeight="1" spans="11:29" x14ac:dyDescent="0.25">
      <c r="K5934" s="128"/>
      <c r="X5934" s="234">
        <v>2022</v>
      </c>
      <c r="Y5934" s="234">
        <v>9</v>
      </c>
      <c r="Z5934" s="234">
        <v>5</v>
      </c>
      <c r="AA5934" s="235">
        <v>0.16666666666787933</v>
      </c>
      <c r="AB5934" s="236">
        <v>17.5</v>
      </c>
      <c r="AC5934" s="127">
        <f t="shared" si="107"/>
        <v>18</v>
      </c>
    </row>
    <row r="5935" ht="14.5" customHeight="1" spans="11:29" x14ac:dyDescent="0.25">
      <c r="K5935" s="128"/>
      <c r="X5935" s="234">
        <v>2022</v>
      </c>
      <c r="Y5935" s="234">
        <v>9</v>
      </c>
      <c r="Z5935" s="234">
        <v>5</v>
      </c>
      <c r="AA5935" s="235">
        <v>0.20833333333212067</v>
      </c>
      <c r="AB5935" s="236">
        <v>16.2</v>
      </c>
      <c r="AC5935" s="127">
        <f t="shared" si="107"/>
        <v>16</v>
      </c>
    </row>
    <row r="5936" ht="14.5" customHeight="1" spans="11:29" x14ac:dyDescent="0.25">
      <c r="K5936" s="128"/>
      <c r="X5936" s="234">
        <v>2022</v>
      </c>
      <c r="Y5936" s="234">
        <v>9</v>
      </c>
      <c r="Z5936" s="234">
        <v>5</v>
      </c>
      <c r="AA5936" s="235">
        <v>0.25</v>
      </c>
      <c r="AB5936" s="236">
        <v>13.6</v>
      </c>
      <c r="AC5936" s="127">
        <f t="shared" si="107"/>
        <v>14</v>
      </c>
    </row>
    <row r="5937" ht="14.5" customHeight="1" spans="11:29" x14ac:dyDescent="0.25">
      <c r="K5937" s="128"/>
      <c r="X5937" s="234">
        <v>2022</v>
      </c>
      <c r="Y5937" s="234">
        <v>9</v>
      </c>
      <c r="Z5937" s="234">
        <v>5</v>
      </c>
      <c r="AA5937" s="235">
        <v>0.2916666666678793</v>
      </c>
      <c r="AB5937" s="236">
        <v>13.2</v>
      </c>
      <c r="AC5937" s="127">
        <f t="shared" si="107"/>
        <v>13</v>
      </c>
    </row>
    <row r="5938" ht="14.5" customHeight="1" spans="11:29" x14ac:dyDescent="0.25">
      <c r="K5938" s="128"/>
      <c r="X5938" s="234">
        <v>2022</v>
      </c>
      <c r="Y5938" s="234">
        <v>9</v>
      </c>
      <c r="Z5938" s="234">
        <v>5</v>
      </c>
      <c r="AA5938" s="235">
        <v>0.3333333333321207</v>
      </c>
      <c r="AB5938" s="236">
        <v>15</v>
      </c>
      <c r="AC5938" s="127">
        <f t="shared" si="107"/>
        <v>15</v>
      </c>
    </row>
    <row r="5939" ht="14.5" customHeight="1" spans="11:29" x14ac:dyDescent="0.25">
      <c r="K5939" s="128"/>
      <c r="X5939" s="234">
        <v>2022</v>
      </c>
      <c r="Y5939" s="234">
        <v>9</v>
      </c>
      <c r="Z5939" s="234">
        <v>5</v>
      </c>
      <c r="AA5939" s="235">
        <v>0.375</v>
      </c>
      <c r="AB5939" s="236">
        <v>16.2</v>
      </c>
      <c r="AC5939" s="127">
        <f t="shared" si="107"/>
        <v>16</v>
      </c>
    </row>
    <row r="5940" ht="14.5" customHeight="1" spans="11:29" x14ac:dyDescent="0.25">
      <c r="K5940" s="128"/>
      <c r="X5940" s="234">
        <v>2022</v>
      </c>
      <c r="Y5940" s="234">
        <v>9</v>
      </c>
      <c r="Z5940" s="234">
        <v>5</v>
      </c>
      <c r="AA5940" s="235">
        <v>0.4166666666678793</v>
      </c>
      <c r="AB5940" s="236">
        <v>17.4</v>
      </c>
      <c r="AC5940" s="127">
        <f t="shared" si="107"/>
        <v>17</v>
      </c>
    </row>
    <row r="5941" ht="14.5" customHeight="1" spans="11:29" x14ac:dyDescent="0.25">
      <c r="K5941" s="128"/>
      <c r="X5941" s="234">
        <v>2022</v>
      </c>
      <c r="Y5941" s="234">
        <v>9</v>
      </c>
      <c r="Z5941" s="234">
        <v>5</v>
      </c>
      <c r="AA5941" s="235">
        <v>0.4583333333321207</v>
      </c>
      <c r="AB5941" s="236">
        <v>18.5</v>
      </c>
      <c r="AC5941" s="127">
        <f t="shared" si="107"/>
        <v>19</v>
      </c>
    </row>
    <row r="5942" ht="14.5" customHeight="1" spans="11:29" x14ac:dyDescent="0.25">
      <c r="K5942" s="128"/>
      <c r="X5942" s="234">
        <v>2022</v>
      </c>
      <c r="Y5942" s="234">
        <v>9</v>
      </c>
      <c r="Z5942" s="234">
        <v>5</v>
      </c>
      <c r="AA5942" s="235">
        <v>0.5</v>
      </c>
      <c r="AB5942" s="236">
        <v>19</v>
      </c>
      <c r="AC5942" s="127">
        <f t="shared" si="107"/>
        <v>19</v>
      </c>
    </row>
    <row r="5943" ht="14.5" customHeight="1" spans="11:29" x14ac:dyDescent="0.25">
      <c r="K5943" s="128"/>
      <c r="X5943" s="234">
        <v>2022</v>
      </c>
      <c r="Y5943" s="234">
        <v>9</v>
      </c>
      <c r="Z5943" s="234">
        <v>5</v>
      </c>
      <c r="AA5943" s="235">
        <v>0.5416666666678793</v>
      </c>
      <c r="AB5943" s="236">
        <v>18.6</v>
      </c>
      <c r="AC5943" s="127">
        <f t="shared" si="107"/>
        <v>19</v>
      </c>
    </row>
    <row r="5944" ht="14.5" customHeight="1" spans="11:29" x14ac:dyDescent="0.25">
      <c r="K5944" s="128"/>
      <c r="X5944" s="234">
        <v>2022</v>
      </c>
      <c r="Y5944" s="234">
        <v>9</v>
      </c>
      <c r="Z5944" s="234">
        <v>5</v>
      </c>
      <c r="AA5944" s="235">
        <v>0.5833333333321207</v>
      </c>
      <c r="AB5944" s="236">
        <v>18.4</v>
      </c>
      <c r="AC5944" s="127">
        <f t="shared" si="107"/>
        <v>18</v>
      </c>
    </row>
    <row r="5945" ht="14.5" customHeight="1" spans="11:29" x14ac:dyDescent="0.25">
      <c r="K5945" s="128"/>
      <c r="X5945" s="234">
        <v>2022</v>
      </c>
      <c r="Y5945" s="234">
        <v>9</v>
      </c>
      <c r="Z5945" s="234">
        <v>5</v>
      </c>
      <c r="AA5945" s="235">
        <v>0.625</v>
      </c>
      <c r="AB5945" s="236">
        <v>18.9</v>
      </c>
      <c r="AC5945" s="127">
        <f t="shared" si="107"/>
        <v>19</v>
      </c>
    </row>
    <row r="5946" ht="14.5" customHeight="1" spans="11:29" x14ac:dyDescent="0.25">
      <c r="K5946" s="128"/>
      <c r="X5946" s="234">
        <v>2022</v>
      </c>
      <c r="Y5946" s="234">
        <v>9</v>
      </c>
      <c r="Z5946" s="234">
        <v>5</v>
      </c>
      <c r="AA5946" s="235">
        <v>0.6666666666678793</v>
      </c>
      <c r="AB5946" s="236">
        <v>18.9</v>
      </c>
      <c r="AC5946" s="127">
        <f t="shared" si="107"/>
        <v>19</v>
      </c>
    </row>
    <row r="5947" ht="14.5" customHeight="1" spans="11:29" x14ac:dyDescent="0.25">
      <c r="K5947" s="128"/>
      <c r="X5947" s="234">
        <v>2022</v>
      </c>
      <c r="Y5947" s="234">
        <v>9</v>
      </c>
      <c r="Z5947" s="234">
        <v>5</v>
      </c>
      <c r="AA5947" s="235">
        <v>0.7083333333321207</v>
      </c>
      <c r="AB5947" s="236">
        <v>18.5</v>
      </c>
      <c r="AC5947" s="127">
        <f t="shared" si="107"/>
        <v>19</v>
      </c>
    </row>
    <row r="5948" ht="14.5" customHeight="1" spans="11:29" x14ac:dyDescent="0.25">
      <c r="K5948" s="128"/>
      <c r="X5948" s="234">
        <v>2022</v>
      </c>
      <c r="Y5948" s="234">
        <v>9</v>
      </c>
      <c r="Z5948" s="234">
        <v>5</v>
      </c>
      <c r="AA5948" s="235">
        <v>0.75</v>
      </c>
      <c r="AB5948" s="236">
        <v>17.8</v>
      </c>
      <c r="AC5948" s="127">
        <f t="shared" si="107"/>
        <v>18</v>
      </c>
    </row>
    <row r="5949" ht="14.5" customHeight="1" spans="11:29" x14ac:dyDescent="0.25">
      <c r="K5949" s="128"/>
      <c r="X5949" s="234">
        <v>2022</v>
      </c>
      <c r="Y5949" s="234">
        <v>9</v>
      </c>
      <c r="Z5949" s="234">
        <v>5</v>
      </c>
      <c r="AA5949" s="235">
        <v>0.7916666666678793</v>
      </c>
      <c r="AB5949" s="236">
        <v>16.1</v>
      </c>
      <c r="AC5949" s="127">
        <f t="shared" si="107"/>
        <v>16</v>
      </c>
    </row>
    <row r="5950" ht="14.5" customHeight="1" spans="11:29" x14ac:dyDescent="0.25">
      <c r="K5950" s="128"/>
      <c r="X5950" s="234">
        <v>2022</v>
      </c>
      <c r="Y5950" s="234">
        <v>9</v>
      </c>
      <c r="Z5950" s="234">
        <v>5</v>
      </c>
      <c r="AA5950" s="235">
        <v>0.8333333333321207</v>
      </c>
      <c r="AB5950" s="236">
        <v>14.3</v>
      </c>
      <c r="AC5950" s="127">
        <f t="shared" si="107"/>
        <v>14</v>
      </c>
    </row>
    <row r="5951" ht="14.5" customHeight="1" spans="11:29" x14ac:dyDescent="0.25">
      <c r="K5951" s="128"/>
      <c r="X5951" s="234">
        <v>2022</v>
      </c>
      <c r="Y5951" s="234">
        <v>9</v>
      </c>
      <c r="Z5951" s="234">
        <v>5</v>
      </c>
      <c r="AA5951" s="235">
        <v>0.875</v>
      </c>
      <c r="AB5951" s="236">
        <v>13.2</v>
      </c>
      <c r="AC5951" s="127">
        <f t="shared" si="107"/>
        <v>13</v>
      </c>
    </row>
    <row r="5952" ht="14.5" customHeight="1" spans="11:29" x14ac:dyDescent="0.25">
      <c r="K5952" s="128"/>
      <c r="X5952" s="234">
        <v>2022</v>
      </c>
      <c r="Y5952" s="234">
        <v>9</v>
      </c>
      <c r="Z5952" s="234">
        <v>5</v>
      </c>
      <c r="AA5952" s="235">
        <v>0.9166666666678793</v>
      </c>
      <c r="AB5952" s="236">
        <v>11.4</v>
      </c>
      <c r="AC5952" s="127">
        <f t="shared" si="107"/>
        <v>11</v>
      </c>
    </row>
    <row r="5953" ht="14.5" customHeight="1" spans="11:29" x14ac:dyDescent="0.25">
      <c r="K5953" s="128"/>
      <c r="X5953" s="234">
        <v>2022</v>
      </c>
      <c r="Y5953" s="234">
        <v>9</v>
      </c>
      <c r="Z5953" s="234">
        <v>5</v>
      </c>
      <c r="AA5953" s="235">
        <v>0.9583333333321207</v>
      </c>
      <c r="AB5953" s="236">
        <v>9.7</v>
      </c>
      <c r="AC5953" s="127">
        <f t="shared" si="107"/>
        <v>10</v>
      </c>
    </row>
    <row r="5954" ht="14.5" customHeight="1" spans="11:29" x14ac:dyDescent="0.25">
      <c r="K5954" s="128"/>
      <c r="X5954" s="234">
        <v>2022</v>
      </c>
      <c r="Y5954" s="234">
        <v>9</v>
      </c>
      <c r="Z5954" s="234">
        <v>6</v>
      </c>
      <c r="AA5954" s="235">
        <v>0</v>
      </c>
      <c r="AB5954" s="236">
        <v>9.3</v>
      </c>
      <c r="AC5954" s="127">
        <f t="shared" si="107"/>
        <v>9</v>
      </c>
    </row>
    <row r="5955" ht="14.5" customHeight="1" spans="11:29" x14ac:dyDescent="0.25">
      <c r="K5955" s="128"/>
      <c r="X5955" s="234">
        <v>2022</v>
      </c>
      <c r="Y5955" s="234">
        <v>9</v>
      </c>
      <c r="Z5955" s="234">
        <v>6</v>
      </c>
      <c r="AA5955" s="235">
        <v>0.041666666667879326</v>
      </c>
      <c r="AB5955" s="236">
        <v>7.8</v>
      </c>
      <c r="AC5955" s="127">
        <f t="shared" si="107"/>
        <v>8</v>
      </c>
    </row>
    <row r="5956" ht="14.5" customHeight="1" spans="11:29" x14ac:dyDescent="0.25">
      <c r="K5956" s="128"/>
      <c r="X5956" s="234">
        <v>2022</v>
      </c>
      <c r="Y5956" s="234">
        <v>9</v>
      </c>
      <c r="Z5956" s="234">
        <v>6</v>
      </c>
      <c r="AA5956" s="235">
        <v>0.08333333333212067</v>
      </c>
      <c r="AB5956" s="236">
        <v>7.2</v>
      </c>
      <c r="AC5956" s="127">
        <f t="shared" si="107"/>
        <v>7</v>
      </c>
    </row>
    <row r="5957" ht="14.5" customHeight="1" spans="11:29" x14ac:dyDescent="0.25">
      <c r="K5957" s="128"/>
      <c r="X5957" s="234">
        <v>2022</v>
      </c>
      <c r="Y5957" s="234">
        <v>9</v>
      </c>
      <c r="Z5957" s="234">
        <v>6</v>
      </c>
      <c r="AA5957" s="235">
        <v>0.125</v>
      </c>
      <c r="AB5957" s="236">
        <v>6.3</v>
      </c>
      <c r="AC5957" s="127">
        <f t="shared" si="107"/>
        <v>6</v>
      </c>
    </row>
    <row r="5958" ht="14.5" customHeight="1" spans="11:29" x14ac:dyDescent="0.25">
      <c r="K5958" s="128"/>
      <c r="X5958" s="234">
        <v>2022</v>
      </c>
      <c r="Y5958" s="234">
        <v>9</v>
      </c>
      <c r="Z5958" s="234">
        <v>6</v>
      </c>
      <c r="AA5958" s="235">
        <v>0.16666666666787933</v>
      </c>
      <c r="AB5958" s="236">
        <v>6.2</v>
      </c>
      <c r="AC5958" s="127">
        <f t="shared" si="107"/>
        <v>6</v>
      </c>
    </row>
    <row r="5959" ht="14.5" customHeight="1" spans="11:29" x14ac:dyDescent="0.25">
      <c r="K5959" s="128"/>
      <c r="X5959" s="234">
        <v>2022</v>
      </c>
      <c r="Y5959" s="234">
        <v>9</v>
      </c>
      <c r="Z5959" s="234">
        <v>6</v>
      </c>
      <c r="AA5959" s="235">
        <v>0.20833333333212067</v>
      </c>
      <c r="AB5959" s="236">
        <v>4.7</v>
      </c>
      <c r="AC5959" s="127">
        <f t="shared" si="107"/>
        <v>5</v>
      </c>
    </row>
    <row r="5960" ht="14.5" customHeight="1" spans="11:29" x14ac:dyDescent="0.25">
      <c r="K5960" s="128"/>
      <c r="X5960" s="234">
        <v>2022</v>
      </c>
      <c r="Y5960" s="234">
        <v>9</v>
      </c>
      <c r="Z5960" s="234">
        <v>6</v>
      </c>
      <c r="AA5960" s="235">
        <v>0.25</v>
      </c>
      <c r="AB5960" s="236">
        <v>4.5</v>
      </c>
      <c r="AC5960" s="127">
        <f t="shared" si="107"/>
        <v>5</v>
      </c>
    </row>
    <row r="5961" ht="14.5" customHeight="1" spans="11:29" x14ac:dyDescent="0.25">
      <c r="K5961" s="128"/>
      <c r="X5961" s="234">
        <v>2022</v>
      </c>
      <c r="Y5961" s="234">
        <v>9</v>
      </c>
      <c r="Z5961" s="234">
        <v>6</v>
      </c>
      <c r="AA5961" s="235">
        <v>0.2916666666678793</v>
      </c>
      <c r="AB5961" s="236">
        <v>6.9</v>
      </c>
      <c r="AC5961" s="127">
        <f t="shared" si="107"/>
        <v>7</v>
      </c>
    </row>
    <row r="5962" ht="14.5" customHeight="1" spans="11:29" x14ac:dyDescent="0.25">
      <c r="K5962" s="128"/>
      <c r="X5962" s="234">
        <v>2022</v>
      </c>
      <c r="Y5962" s="234">
        <v>9</v>
      </c>
      <c r="Z5962" s="234">
        <v>6</v>
      </c>
      <c r="AA5962" s="235">
        <v>0.3333333333321207</v>
      </c>
      <c r="AB5962" s="236">
        <v>12.3</v>
      </c>
      <c r="AC5962" s="127">
        <f t="shared" si="107"/>
        <v>12</v>
      </c>
    </row>
    <row r="5963" ht="14.5" customHeight="1" spans="11:29" x14ac:dyDescent="0.25">
      <c r="K5963" s="128"/>
      <c r="X5963" s="234">
        <v>2022</v>
      </c>
      <c r="Y5963" s="234">
        <v>9</v>
      </c>
      <c r="Z5963" s="234">
        <v>6</v>
      </c>
      <c r="AA5963" s="235">
        <v>0.375</v>
      </c>
      <c r="AB5963" s="236">
        <v>13.8</v>
      </c>
      <c r="AC5963" s="127">
        <f t="shared" ref="AC5963:AC6026" si="108">ROUND(AB5963,0)</f>
        <v>14</v>
      </c>
    </row>
    <row r="5964" ht="14.5" customHeight="1" spans="11:29" x14ac:dyDescent="0.25">
      <c r="K5964" s="128"/>
      <c r="X5964" s="234">
        <v>2022</v>
      </c>
      <c r="Y5964" s="234">
        <v>9</v>
      </c>
      <c r="Z5964" s="234">
        <v>6</v>
      </c>
      <c r="AA5964" s="235">
        <v>0.4166666666678793</v>
      </c>
      <c r="AB5964" s="236">
        <v>15.7</v>
      </c>
      <c r="AC5964" s="127">
        <f t="shared" si="108"/>
        <v>16</v>
      </c>
    </row>
    <row r="5965" ht="14.5" customHeight="1" spans="11:29" x14ac:dyDescent="0.25">
      <c r="K5965" s="128"/>
      <c r="X5965" s="234">
        <v>2022</v>
      </c>
      <c r="Y5965" s="234">
        <v>9</v>
      </c>
      <c r="Z5965" s="234">
        <v>6</v>
      </c>
      <c r="AA5965" s="235">
        <v>0.4583333333321207</v>
      </c>
      <c r="AB5965" s="236">
        <v>17</v>
      </c>
      <c r="AC5965" s="127">
        <f t="shared" si="108"/>
        <v>17</v>
      </c>
    </row>
    <row r="5966" ht="14.5" customHeight="1" spans="11:29" x14ac:dyDescent="0.25">
      <c r="K5966" s="128"/>
      <c r="X5966" s="234">
        <v>2022</v>
      </c>
      <c r="Y5966" s="234">
        <v>9</v>
      </c>
      <c r="Z5966" s="234">
        <v>6</v>
      </c>
      <c r="AA5966" s="235">
        <v>0.5</v>
      </c>
      <c r="AB5966" s="236">
        <v>19.1</v>
      </c>
      <c r="AC5966" s="127">
        <f t="shared" si="108"/>
        <v>19</v>
      </c>
    </row>
    <row r="5967" ht="14.5" customHeight="1" spans="11:29" x14ac:dyDescent="0.25">
      <c r="K5967" s="128"/>
      <c r="X5967" s="234">
        <v>2022</v>
      </c>
      <c r="Y5967" s="234">
        <v>9</v>
      </c>
      <c r="Z5967" s="234">
        <v>6</v>
      </c>
      <c r="AA5967" s="235">
        <v>0.5416666666678793</v>
      </c>
      <c r="AB5967" s="236">
        <v>20.1</v>
      </c>
      <c r="AC5967" s="127">
        <f t="shared" si="108"/>
        <v>20</v>
      </c>
    </row>
    <row r="5968" ht="14.5" customHeight="1" spans="11:29" x14ac:dyDescent="0.25">
      <c r="K5968" s="128"/>
      <c r="X5968" s="234">
        <v>2022</v>
      </c>
      <c r="Y5968" s="234">
        <v>9</v>
      </c>
      <c r="Z5968" s="234">
        <v>6</v>
      </c>
      <c r="AA5968" s="235">
        <v>0.5833333333321207</v>
      </c>
      <c r="AB5968" s="236">
        <v>21</v>
      </c>
      <c r="AC5968" s="127">
        <f t="shared" si="108"/>
        <v>21</v>
      </c>
    </row>
    <row r="5969" ht="14.5" customHeight="1" spans="11:29" x14ac:dyDescent="0.25">
      <c r="K5969" s="128"/>
      <c r="X5969" s="234">
        <v>2022</v>
      </c>
      <c r="Y5969" s="234">
        <v>9</v>
      </c>
      <c r="Z5969" s="234">
        <v>6</v>
      </c>
      <c r="AA5969" s="235">
        <v>0.625</v>
      </c>
      <c r="AB5969" s="236">
        <v>21.9</v>
      </c>
      <c r="AC5969" s="127">
        <f t="shared" si="108"/>
        <v>22</v>
      </c>
    </row>
    <row r="5970" ht="14.5" customHeight="1" spans="11:29" x14ac:dyDescent="0.25">
      <c r="K5970" s="128"/>
      <c r="X5970" s="234">
        <v>2022</v>
      </c>
      <c r="Y5970" s="234">
        <v>9</v>
      </c>
      <c r="Z5970" s="234">
        <v>6</v>
      </c>
      <c r="AA5970" s="235">
        <v>0.6666666666678793</v>
      </c>
      <c r="AB5970" s="236">
        <v>22.4</v>
      </c>
      <c r="AC5970" s="127">
        <f t="shared" si="108"/>
        <v>22</v>
      </c>
    </row>
    <row r="5971" ht="14.5" customHeight="1" spans="11:29" x14ac:dyDescent="0.25">
      <c r="K5971" s="128"/>
      <c r="X5971" s="234">
        <v>2022</v>
      </c>
      <c r="Y5971" s="234">
        <v>9</v>
      </c>
      <c r="Z5971" s="234">
        <v>6</v>
      </c>
      <c r="AA5971" s="235">
        <v>0.7083333333321207</v>
      </c>
      <c r="AB5971" s="236">
        <v>22.3</v>
      </c>
      <c r="AC5971" s="127">
        <f t="shared" si="108"/>
        <v>22</v>
      </c>
    </row>
    <row r="5972" ht="14.5" customHeight="1" spans="11:29" x14ac:dyDescent="0.25">
      <c r="K5972" s="128"/>
      <c r="X5972" s="234">
        <v>2022</v>
      </c>
      <c r="Y5972" s="234">
        <v>9</v>
      </c>
      <c r="Z5972" s="234">
        <v>6</v>
      </c>
      <c r="AA5972" s="235">
        <v>0.75</v>
      </c>
      <c r="AB5972" s="236">
        <v>21.4</v>
      </c>
      <c r="AC5972" s="127">
        <f t="shared" si="108"/>
        <v>21</v>
      </c>
    </row>
    <row r="5973" ht="14.5" customHeight="1" spans="11:29" x14ac:dyDescent="0.25">
      <c r="K5973" s="128"/>
      <c r="X5973" s="234">
        <v>2022</v>
      </c>
      <c r="Y5973" s="234">
        <v>9</v>
      </c>
      <c r="Z5973" s="234">
        <v>6</v>
      </c>
      <c r="AA5973" s="235">
        <v>0.7916666666678793</v>
      </c>
      <c r="AB5973" s="236">
        <v>19.7</v>
      </c>
      <c r="AC5973" s="127">
        <f t="shared" si="108"/>
        <v>20</v>
      </c>
    </row>
    <row r="5974" ht="14.5" customHeight="1" spans="11:29" x14ac:dyDescent="0.25">
      <c r="K5974" s="128"/>
      <c r="X5974" s="234">
        <v>2022</v>
      </c>
      <c r="Y5974" s="234">
        <v>9</v>
      </c>
      <c r="Z5974" s="234">
        <v>6</v>
      </c>
      <c r="AA5974" s="235">
        <v>0.8333333333321207</v>
      </c>
      <c r="AB5974" s="236">
        <v>17.3</v>
      </c>
      <c r="AC5974" s="127">
        <f t="shared" si="108"/>
        <v>17</v>
      </c>
    </row>
    <row r="5975" ht="14.5" customHeight="1" spans="11:29" x14ac:dyDescent="0.25">
      <c r="K5975" s="128"/>
      <c r="X5975" s="234">
        <v>2022</v>
      </c>
      <c r="Y5975" s="234">
        <v>9</v>
      </c>
      <c r="Z5975" s="234">
        <v>6</v>
      </c>
      <c r="AA5975" s="235">
        <v>0.875</v>
      </c>
      <c r="AB5975" s="236">
        <v>15.6</v>
      </c>
      <c r="AC5975" s="127">
        <f t="shared" si="108"/>
        <v>16</v>
      </c>
    </row>
    <row r="5976" ht="14.5" customHeight="1" spans="11:29" x14ac:dyDescent="0.25">
      <c r="K5976" s="128"/>
      <c r="X5976" s="234">
        <v>2022</v>
      </c>
      <c r="Y5976" s="234">
        <v>9</v>
      </c>
      <c r="Z5976" s="234">
        <v>6</v>
      </c>
      <c r="AA5976" s="235">
        <v>0.9166666666678793</v>
      </c>
      <c r="AB5976" s="236">
        <v>14.3</v>
      </c>
      <c r="AC5976" s="127">
        <f t="shared" si="108"/>
        <v>14</v>
      </c>
    </row>
    <row r="5977" ht="14.5" customHeight="1" spans="11:29" x14ac:dyDescent="0.25">
      <c r="K5977" s="128"/>
      <c r="X5977" s="234">
        <v>2022</v>
      </c>
      <c r="Y5977" s="234">
        <v>9</v>
      </c>
      <c r="Z5977" s="234">
        <v>6</v>
      </c>
      <c r="AA5977" s="235">
        <v>0.9583333333321207</v>
      </c>
      <c r="AB5977" s="236">
        <v>13.3</v>
      </c>
      <c r="AC5977" s="127">
        <f t="shared" si="108"/>
        <v>13</v>
      </c>
    </row>
    <row r="5978" ht="14.5" customHeight="1" spans="11:29" x14ac:dyDescent="0.25">
      <c r="K5978" s="128"/>
      <c r="X5978" s="234">
        <v>2022</v>
      </c>
      <c r="Y5978" s="234">
        <v>9</v>
      </c>
      <c r="Z5978" s="234">
        <v>7</v>
      </c>
      <c r="AA5978" s="235">
        <v>0</v>
      </c>
      <c r="AB5978" s="236">
        <v>12.8</v>
      </c>
      <c r="AC5978" s="127">
        <f t="shared" si="108"/>
        <v>13</v>
      </c>
    </row>
    <row r="5979" ht="14.5" customHeight="1" spans="11:29" x14ac:dyDescent="0.25">
      <c r="K5979" s="128"/>
      <c r="X5979" s="234">
        <v>2022</v>
      </c>
      <c r="Y5979" s="234">
        <v>9</v>
      </c>
      <c r="Z5979" s="234">
        <v>7</v>
      </c>
      <c r="AA5979" s="235">
        <v>0.041666666667879326</v>
      </c>
      <c r="AB5979" s="236">
        <v>12.9</v>
      </c>
      <c r="AC5979" s="127">
        <f t="shared" si="108"/>
        <v>13</v>
      </c>
    </row>
    <row r="5980" ht="14.5" customHeight="1" spans="11:29" x14ac:dyDescent="0.25">
      <c r="K5980" s="128"/>
      <c r="X5980" s="234">
        <v>2022</v>
      </c>
      <c r="Y5980" s="234">
        <v>9</v>
      </c>
      <c r="Z5980" s="234">
        <v>7</v>
      </c>
      <c r="AA5980" s="235">
        <v>0.08333333333212067</v>
      </c>
      <c r="AB5980" s="236">
        <v>10.4</v>
      </c>
      <c r="AC5980" s="127">
        <f t="shared" si="108"/>
        <v>10</v>
      </c>
    </row>
    <row r="5981" ht="14.5" customHeight="1" spans="11:29" x14ac:dyDescent="0.25">
      <c r="K5981" s="128"/>
      <c r="X5981" s="234">
        <v>2022</v>
      </c>
      <c r="Y5981" s="234">
        <v>9</v>
      </c>
      <c r="Z5981" s="234">
        <v>7</v>
      </c>
      <c r="AA5981" s="235">
        <v>0.125</v>
      </c>
      <c r="AB5981" s="236">
        <v>10</v>
      </c>
      <c r="AC5981" s="127">
        <f t="shared" si="108"/>
        <v>10</v>
      </c>
    </row>
    <row r="5982" ht="14.5" customHeight="1" spans="11:29" x14ac:dyDescent="0.25">
      <c r="K5982" s="128"/>
      <c r="X5982" s="234">
        <v>2022</v>
      </c>
      <c r="Y5982" s="234">
        <v>9</v>
      </c>
      <c r="Z5982" s="234">
        <v>7</v>
      </c>
      <c r="AA5982" s="235">
        <v>0.16666666666787933</v>
      </c>
      <c r="AB5982" s="236">
        <v>9.2</v>
      </c>
      <c r="AC5982" s="127">
        <f t="shared" si="108"/>
        <v>9</v>
      </c>
    </row>
    <row r="5983" ht="14.5" customHeight="1" spans="11:29" x14ac:dyDescent="0.25">
      <c r="K5983" s="128"/>
      <c r="X5983" s="234">
        <v>2022</v>
      </c>
      <c r="Y5983" s="234">
        <v>9</v>
      </c>
      <c r="Z5983" s="234">
        <v>7</v>
      </c>
      <c r="AA5983" s="235">
        <v>0.20833333333212067</v>
      </c>
      <c r="AB5983" s="236">
        <v>9.3</v>
      </c>
      <c r="AC5983" s="127">
        <f t="shared" si="108"/>
        <v>9</v>
      </c>
    </row>
    <row r="5984" ht="14.5" customHeight="1" spans="11:29" x14ac:dyDescent="0.25">
      <c r="K5984" s="128"/>
      <c r="X5984" s="234">
        <v>2022</v>
      </c>
      <c r="Y5984" s="234">
        <v>9</v>
      </c>
      <c r="Z5984" s="234">
        <v>7</v>
      </c>
      <c r="AA5984" s="235">
        <v>0.25</v>
      </c>
      <c r="AB5984" s="236">
        <v>8.9</v>
      </c>
      <c r="AC5984" s="127">
        <f t="shared" si="108"/>
        <v>9</v>
      </c>
    </row>
    <row r="5985" ht="14.5" customHeight="1" spans="11:29" x14ac:dyDescent="0.25">
      <c r="K5985" s="128"/>
      <c r="X5985" s="234">
        <v>2022</v>
      </c>
      <c r="Y5985" s="234">
        <v>9</v>
      </c>
      <c r="Z5985" s="234">
        <v>7</v>
      </c>
      <c r="AA5985" s="235">
        <v>0.2916666666678793</v>
      </c>
      <c r="AB5985" s="236">
        <v>10.8</v>
      </c>
      <c r="AC5985" s="127">
        <f t="shared" si="108"/>
        <v>11</v>
      </c>
    </row>
    <row r="5986" ht="14.5" customHeight="1" spans="11:29" x14ac:dyDescent="0.25">
      <c r="K5986" s="128"/>
      <c r="X5986" s="234">
        <v>2022</v>
      </c>
      <c r="Y5986" s="234">
        <v>9</v>
      </c>
      <c r="Z5986" s="234">
        <v>7</v>
      </c>
      <c r="AA5986" s="235">
        <v>0.3333333333321207</v>
      </c>
      <c r="AB5986" s="236">
        <v>15.1</v>
      </c>
      <c r="AC5986" s="127">
        <f t="shared" si="108"/>
        <v>15</v>
      </c>
    </row>
    <row r="5987" ht="14.5" customHeight="1" spans="11:29" x14ac:dyDescent="0.25">
      <c r="K5987" s="128"/>
      <c r="X5987" s="234">
        <v>2022</v>
      </c>
      <c r="Y5987" s="234">
        <v>9</v>
      </c>
      <c r="Z5987" s="234">
        <v>7</v>
      </c>
      <c r="AA5987" s="235">
        <v>0.375</v>
      </c>
      <c r="AB5987" s="236">
        <v>19.1</v>
      </c>
      <c r="AC5987" s="127">
        <f t="shared" si="108"/>
        <v>19</v>
      </c>
    </row>
    <row r="5988" ht="14.5" customHeight="1" spans="11:29" x14ac:dyDescent="0.25">
      <c r="K5988" s="128"/>
      <c r="X5988" s="234">
        <v>2022</v>
      </c>
      <c r="Y5988" s="234">
        <v>9</v>
      </c>
      <c r="Z5988" s="234">
        <v>7</v>
      </c>
      <c r="AA5988" s="235">
        <v>0.4166666666678793</v>
      </c>
      <c r="AB5988" s="236">
        <v>21.7</v>
      </c>
      <c r="AC5988" s="127">
        <f t="shared" si="108"/>
        <v>22</v>
      </c>
    </row>
    <row r="5989" ht="14.5" customHeight="1" spans="11:29" x14ac:dyDescent="0.25">
      <c r="K5989" s="128"/>
      <c r="X5989" s="234">
        <v>2022</v>
      </c>
      <c r="Y5989" s="234">
        <v>9</v>
      </c>
      <c r="Z5989" s="234">
        <v>7</v>
      </c>
      <c r="AA5989" s="235">
        <v>0.4583333333321207</v>
      </c>
      <c r="AB5989" s="236">
        <v>23.1</v>
      </c>
      <c r="AC5989" s="127">
        <f t="shared" si="108"/>
        <v>23</v>
      </c>
    </row>
    <row r="5990" ht="14.5" customHeight="1" spans="11:29" x14ac:dyDescent="0.25">
      <c r="K5990" s="128"/>
      <c r="X5990" s="234">
        <v>2022</v>
      </c>
      <c r="Y5990" s="234">
        <v>9</v>
      </c>
      <c r="Z5990" s="234">
        <v>7</v>
      </c>
      <c r="AA5990" s="235">
        <v>0.5</v>
      </c>
      <c r="AB5990" s="236">
        <v>25.5</v>
      </c>
      <c r="AC5990" s="127">
        <f t="shared" si="108"/>
        <v>26</v>
      </c>
    </row>
    <row r="5991" ht="14.5" customHeight="1" spans="11:29" x14ac:dyDescent="0.25">
      <c r="K5991" s="128"/>
      <c r="X5991" s="234">
        <v>2022</v>
      </c>
      <c r="Y5991" s="234">
        <v>9</v>
      </c>
      <c r="Z5991" s="234">
        <v>7</v>
      </c>
      <c r="AA5991" s="235">
        <v>0.5416666666678793</v>
      </c>
      <c r="AB5991" s="236">
        <v>27.3</v>
      </c>
      <c r="AC5991" s="127">
        <f t="shared" si="108"/>
        <v>27</v>
      </c>
    </row>
    <row r="5992" ht="14.5" customHeight="1" spans="11:29" x14ac:dyDescent="0.25">
      <c r="K5992" s="128"/>
      <c r="X5992" s="234">
        <v>2022</v>
      </c>
      <c r="Y5992" s="234">
        <v>9</v>
      </c>
      <c r="Z5992" s="234">
        <v>7</v>
      </c>
      <c r="AA5992" s="235">
        <v>0.5833333333321207</v>
      </c>
      <c r="AB5992" s="236">
        <v>23.7</v>
      </c>
      <c r="AC5992" s="127">
        <f t="shared" si="108"/>
        <v>24</v>
      </c>
    </row>
    <row r="5993" ht="14.5" customHeight="1" spans="11:29" x14ac:dyDescent="0.25">
      <c r="K5993" s="128"/>
      <c r="X5993" s="234">
        <v>2022</v>
      </c>
      <c r="Y5993" s="234">
        <v>9</v>
      </c>
      <c r="Z5993" s="234">
        <v>7</v>
      </c>
      <c r="AA5993" s="235">
        <v>0.625</v>
      </c>
      <c r="AB5993" s="236">
        <v>24.2</v>
      </c>
      <c r="AC5993" s="127">
        <f t="shared" si="108"/>
        <v>24</v>
      </c>
    </row>
    <row r="5994" ht="14.5" customHeight="1" spans="11:29" x14ac:dyDescent="0.25">
      <c r="K5994" s="128"/>
      <c r="X5994" s="234">
        <v>2022</v>
      </c>
      <c r="Y5994" s="234">
        <v>9</v>
      </c>
      <c r="Z5994" s="234">
        <v>7</v>
      </c>
      <c r="AA5994" s="235">
        <v>0.6666666666678793</v>
      </c>
      <c r="AB5994" s="236">
        <v>23.7</v>
      </c>
      <c r="AC5994" s="127">
        <f t="shared" si="108"/>
        <v>24</v>
      </c>
    </row>
    <row r="5995" ht="14.5" customHeight="1" spans="11:29" x14ac:dyDescent="0.25">
      <c r="K5995" s="128"/>
      <c r="X5995" s="234">
        <v>2022</v>
      </c>
      <c r="Y5995" s="234">
        <v>9</v>
      </c>
      <c r="Z5995" s="234">
        <v>7</v>
      </c>
      <c r="AA5995" s="235">
        <v>0.7083333333321207</v>
      </c>
      <c r="AB5995" s="236">
        <v>21.2</v>
      </c>
      <c r="AC5995" s="127">
        <f t="shared" si="108"/>
        <v>21</v>
      </c>
    </row>
    <row r="5996" ht="14.5" customHeight="1" spans="11:29" x14ac:dyDescent="0.25">
      <c r="K5996" s="128"/>
      <c r="X5996" s="234">
        <v>2022</v>
      </c>
      <c r="Y5996" s="234">
        <v>9</v>
      </c>
      <c r="Z5996" s="234">
        <v>7</v>
      </c>
      <c r="AA5996" s="235">
        <v>0.75</v>
      </c>
      <c r="AB5996" s="236">
        <v>19.1</v>
      </c>
      <c r="AC5996" s="127">
        <f t="shared" si="108"/>
        <v>19</v>
      </c>
    </row>
    <row r="5997" ht="14.5" customHeight="1" spans="11:29" x14ac:dyDescent="0.25">
      <c r="K5997" s="128"/>
      <c r="X5997" s="234">
        <v>2022</v>
      </c>
      <c r="Y5997" s="234">
        <v>9</v>
      </c>
      <c r="Z5997" s="234">
        <v>7</v>
      </c>
      <c r="AA5997" s="235">
        <v>0.7916666666678793</v>
      </c>
      <c r="AB5997" s="236">
        <v>16.7</v>
      </c>
      <c r="AC5997" s="127">
        <f t="shared" si="108"/>
        <v>17</v>
      </c>
    </row>
    <row r="5998" ht="14.5" customHeight="1" spans="11:29" x14ac:dyDescent="0.25">
      <c r="K5998" s="128"/>
      <c r="X5998" s="234">
        <v>2022</v>
      </c>
      <c r="Y5998" s="234">
        <v>9</v>
      </c>
      <c r="Z5998" s="234">
        <v>7</v>
      </c>
      <c r="AA5998" s="235">
        <v>0.8333333333321207</v>
      </c>
      <c r="AB5998" s="236">
        <v>14.7</v>
      </c>
      <c r="AC5998" s="127">
        <f t="shared" si="108"/>
        <v>15</v>
      </c>
    </row>
    <row r="5999" ht="14.5" customHeight="1" spans="11:29" x14ac:dyDescent="0.25">
      <c r="K5999" s="128"/>
      <c r="X5999" s="234">
        <v>2022</v>
      </c>
      <c r="Y5999" s="234">
        <v>9</v>
      </c>
      <c r="Z5999" s="234">
        <v>7</v>
      </c>
      <c r="AA5999" s="235">
        <v>0.875</v>
      </c>
      <c r="AB5999" s="236">
        <v>13.6</v>
      </c>
      <c r="AC5999" s="127">
        <f t="shared" si="108"/>
        <v>14</v>
      </c>
    </row>
    <row r="6000" ht="14.5" customHeight="1" spans="11:29" x14ac:dyDescent="0.25">
      <c r="K6000" s="128"/>
      <c r="X6000" s="234">
        <v>2022</v>
      </c>
      <c r="Y6000" s="234">
        <v>9</v>
      </c>
      <c r="Z6000" s="234">
        <v>7</v>
      </c>
      <c r="AA6000" s="235">
        <v>0.9166666666678793</v>
      </c>
      <c r="AB6000" s="236">
        <v>12.8</v>
      </c>
      <c r="AC6000" s="127">
        <f t="shared" si="108"/>
        <v>13</v>
      </c>
    </row>
    <row r="6001" ht="14.5" customHeight="1" spans="11:29" x14ac:dyDescent="0.25">
      <c r="K6001" s="128"/>
      <c r="X6001" s="234">
        <v>2022</v>
      </c>
      <c r="Y6001" s="234">
        <v>9</v>
      </c>
      <c r="Z6001" s="234">
        <v>7</v>
      </c>
      <c r="AA6001" s="235">
        <v>0.9583333333321207</v>
      </c>
      <c r="AB6001" s="236">
        <v>9.6</v>
      </c>
      <c r="AC6001" s="127">
        <f t="shared" si="108"/>
        <v>10</v>
      </c>
    </row>
    <row r="6002" ht="14.5" customHeight="1" spans="11:29" x14ac:dyDescent="0.25">
      <c r="K6002" s="128"/>
      <c r="X6002" s="234">
        <v>2022</v>
      </c>
      <c r="Y6002" s="234">
        <v>9</v>
      </c>
      <c r="Z6002" s="234">
        <v>8</v>
      </c>
      <c r="AA6002" s="235">
        <v>0</v>
      </c>
      <c r="AB6002" s="236">
        <v>8.6</v>
      </c>
      <c r="AC6002" s="127">
        <f t="shared" si="108"/>
        <v>9</v>
      </c>
    </row>
    <row r="6003" ht="14.5" customHeight="1" spans="11:29" x14ac:dyDescent="0.25">
      <c r="K6003" s="128"/>
      <c r="X6003" s="234">
        <v>2022</v>
      </c>
      <c r="Y6003" s="234">
        <v>9</v>
      </c>
      <c r="Z6003" s="234">
        <v>8</v>
      </c>
      <c r="AA6003" s="235">
        <v>0.041666666667879326</v>
      </c>
      <c r="AB6003" s="236">
        <v>9.3</v>
      </c>
      <c r="AC6003" s="127">
        <f t="shared" si="108"/>
        <v>9</v>
      </c>
    </row>
    <row r="6004" ht="14.5" customHeight="1" spans="11:29" x14ac:dyDescent="0.25">
      <c r="K6004" s="128"/>
      <c r="X6004" s="234">
        <v>2022</v>
      </c>
      <c r="Y6004" s="234">
        <v>9</v>
      </c>
      <c r="Z6004" s="234">
        <v>8</v>
      </c>
      <c r="AA6004" s="235">
        <v>0.08333333333212067</v>
      </c>
      <c r="AB6004" s="236">
        <v>9.8</v>
      </c>
      <c r="AC6004" s="127">
        <f t="shared" si="108"/>
        <v>10</v>
      </c>
    </row>
    <row r="6005" ht="14.5" customHeight="1" spans="11:29" x14ac:dyDescent="0.25">
      <c r="K6005" s="128"/>
      <c r="X6005" s="234">
        <v>2022</v>
      </c>
      <c r="Y6005" s="234">
        <v>9</v>
      </c>
      <c r="Z6005" s="234">
        <v>8</v>
      </c>
      <c r="AA6005" s="235">
        <v>0.125</v>
      </c>
      <c r="AB6005" s="236">
        <v>12</v>
      </c>
      <c r="AC6005" s="127">
        <f t="shared" si="108"/>
        <v>12</v>
      </c>
    </row>
    <row r="6006" ht="14.5" customHeight="1" spans="11:29" x14ac:dyDescent="0.25">
      <c r="K6006" s="128"/>
      <c r="X6006" s="234">
        <v>2022</v>
      </c>
      <c r="Y6006" s="234">
        <v>9</v>
      </c>
      <c r="Z6006" s="234">
        <v>8</v>
      </c>
      <c r="AA6006" s="235">
        <v>0.16666666666787933</v>
      </c>
      <c r="AB6006" s="236">
        <v>10.8</v>
      </c>
      <c r="AC6006" s="127">
        <f t="shared" si="108"/>
        <v>11</v>
      </c>
    </row>
    <row r="6007" ht="14.5" customHeight="1" spans="11:29" x14ac:dyDescent="0.25">
      <c r="K6007" s="128"/>
      <c r="X6007" s="234">
        <v>2022</v>
      </c>
      <c r="Y6007" s="234">
        <v>9</v>
      </c>
      <c r="Z6007" s="234">
        <v>8</v>
      </c>
      <c r="AA6007" s="235">
        <v>0.20833333333212067</v>
      </c>
      <c r="AB6007" s="236">
        <v>10.4</v>
      </c>
      <c r="AC6007" s="127">
        <f t="shared" si="108"/>
        <v>10</v>
      </c>
    </row>
    <row r="6008" ht="14.5" customHeight="1" spans="11:29" x14ac:dyDescent="0.25">
      <c r="K6008" s="128"/>
      <c r="X6008" s="234">
        <v>2022</v>
      </c>
      <c r="Y6008" s="234">
        <v>9</v>
      </c>
      <c r="Z6008" s="234">
        <v>8</v>
      </c>
      <c r="AA6008" s="235">
        <v>0.25</v>
      </c>
      <c r="AB6008" s="236">
        <v>9.7</v>
      </c>
      <c r="AC6008" s="127">
        <f t="shared" si="108"/>
        <v>10</v>
      </c>
    </row>
    <row r="6009" ht="14.5" customHeight="1" spans="11:29" x14ac:dyDescent="0.25">
      <c r="K6009" s="128"/>
      <c r="X6009" s="234">
        <v>2022</v>
      </c>
      <c r="Y6009" s="234">
        <v>9</v>
      </c>
      <c r="Z6009" s="234">
        <v>8</v>
      </c>
      <c r="AA6009" s="235">
        <v>0.2916666666678793</v>
      </c>
      <c r="AB6009" s="236">
        <v>9.8</v>
      </c>
      <c r="AC6009" s="127">
        <f t="shared" si="108"/>
        <v>10</v>
      </c>
    </row>
    <row r="6010" ht="14.5" customHeight="1" spans="11:29" x14ac:dyDescent="0.25">
      <c r="K6010" s="128"/>
      <c r="X6010" s="234">
        <v>2022</v>
      </c>
      <c r="Y6010" s="234">
        <v>9</v>
      </c>
      <c r="Z6010" s="234">
        <v>8</v>
      </c>
      <c r="AA6010" s="235">
        <v>0.3333333333321207</v>
      </c>
      <c r="AB6010" s="236">
        <v>10.5</v>
      </c>
      <c r="AC6010" s="127">
        <f t="shared" si="108"/>
        <v>11</v>
      </c>
    </row>
    <row r="6011" ht="14.5" customHeight="1" spans="11:29" x14ac:dyDescent="0.25">
      <c r="K6011" s="128"/>
      <c r="X6011" s="234">
        <v>2022</v>
      </c>
      <c r="Y6011" s="234">
        <v>9</v>
      </c>
      <c r="Z6011" s="234">
        <v>8</v>
      </c>
      <c r="AA6011" s="235">
        <v>0.375</v>
      </c>
      <c r="AB6011" s="236">
        <v>11.1</v>
      </c>
      <c r="AC6011" s="127">
        <f t="shared" si="108"/>
        <v>11</v>
      </c>
    </row>
    <row r="6012" ht="14.5" customHeight="1" spans="11:29" x14ac:dyDescent="0.25">
      <c r="K6012" s="128"/>
      <c r="X6012" s="234">
        <v>2022</v>
      </c>
      <c r="Y6012" s="234">
        <v>9</v>
      </c>
      <c r="Z6012" s="234">
        <v>8</v>
      </c>
      <c r="AA6012" s="235">
        <v>0.4166666666678793</v>
      </c>
      <c r="AB6012" s="236">
        <v>11.8</v>
      </c>
      <c r="AC6012" s="127">
        <f t="shared" si="108"/>
        <v>12</v>
      </c>
    </row>
    <row r="6013" ht="14.5" customHeight="1" spans="11:29" x14ac:dyDescent="0.25">
      <c r="K6013" s="128"/>
      <c r="X6013" s="234">
        <v>2022</v>
      </c>
      <c r="Y6013" s="234">
        <v>9</v>
      </c>
      <c r="Z6013" s="234">
        <v>8</v>
      </c>
      <c r="AA6013" s="235">
        <v>0.4583333333321207</v>
      </c>
      <c r="AB6013" s="236">
        <v>12.7</v>
      </c>
      <c r="AC6013" s="127">
        <f t="shared" si="108"/>
        <v>13</v>
      </c>
    </row>
    <row r="6014" ht="14.5" customHeight="1" spans="11:29" x14ac:dyDescent="0.25">
      <c r="K6014" s="128"/>
      <c r="X6014" s="234">
        <v>2022</v>
      </c>
      <c r="Y6014" s="234">
        <v>9</v>
      </c>
      <c r="Z6014" s="234">
        <v>8</v>
      </c>
      <c r="AA6014" s="235">
        <v>0.5</v>
      </c>
      <c r="AB6014" s="236">
        <v>13.1</v>
      </c>
      <c r="AC6014" s="127">
        <f t="shared" si="108"/>
        <v>13</v>
      </c>
    </row>
    <row r="6015" ht="14.5" customHeight="1" spans="11:29" x14ac:dyDescent="0.25">
      <c r="K6015" s="128"/>
      <c r="X6015" s="234">
        <v>2022</v>
      </c>
      <c r="Y6015" s="234">
        <v>9</v>
      </c>
      <c r="Z6015" s="234">
        <v>8</v>
      </c>
      <c r="AA6015" s="235">
        <v>0.5416666666678793</v>
      </c>
      <c r="AB6015" s="236">
        <v>14</v>
      </c>
      <c r="AC6015" s="127">
        <f t="shared" si="108"/>
        <v>14</v>
      </c>
    </row>
    <row r="6016" ht="14.5" customHeight="1" spans="11:29" x14ac:dyDescent="0.25">
      <c r="K6016" s="128"/>
      <c r="X6016" s="234">
        <v>2022</v>
      </c>
      <c r="Y6016" s="234">
        <v>9</v>
      </c>
      <c r="Z6016" s="234">
        <v>8</v>
      </c>
      <c r="AA6016" s="235">
        <v>0.5833333333321207</v>
      </c>
      <c r="AB6016" s="236">
        <v>13.9</v>
      </c>
      <c r="AC6016" s="127">
        <f t="shared" si="108"/>
        <v>14</v>
      </c>
    </row>
    <row r="6017" ht="14.5" customHeight="1" spans="11:29" x14ac:dyDescent="0.25">
      <c r="K6017" s="128"/>
      <c r="X6017" s="234">
        <v>2022</v>
      </c>
      <c r="Y6017" s="234">
        <v>9</v>
      </c>
      <c r="Z6017" s="234">
        <v>8</v>
      </c>
      <c r="AA6017" s="235">
        <v>0.625</v>
      </c>
      <c r="AB6017" s="236">
        <v>14.4</v>
      </c>
      <c r="AC6017" s="127">
        <f t="shared" si="108"/>
        <v>14</v>
      </c>
    </row>
    <row r="6018" ht="14.5" customHeight="1" spans="11:29" x14ac:dyDescent="0.25">
      <c r="K6018" s="128"/>
      <c r="X6018" s="234">
        <v>2022</v>
      </c>
      <c r="Y6018" s="234">
        <v>9</v>
      </c>
      <c r="Z6018" s="234">
        <v>8</v>
      </c>
      <c r="AA6018" s="235">
        <v>0.6666666666678793</v>
      </c>
      <c r="AB6018" s="236">
        <v>12.8</v>
      </c>
      <c r="AC6018" s="127">
        <f t="shared" si="108"/>
        <v>13</v>
      </c>
    </row>
    <row r="6019" ht="14.5" customHeight="1" spans="11:29" x14ac:dyDescent="0.25">
      <c r="K6019" s="128"/>
      <c r="X6019" s="234">
        <v>2022</v>
      </c>
      <c r="Y6019" s="234">
        <v>9</v>
      </c>
      <c r="Z6019" s="234">
        <v>8</v>
      </c>
      <c r="AA6019" s="235">
        <v>0.7083333333321207</v>
      </c>
      <c r="AB6019" s="236">
        <v>14.6</v>
      </c>
      <c r="AC6019" s="127">
        <f t="shared" si="108"/>
        <v>15</v>
      </c>
    </row>
    <row r="6020" ht="14.5" customHeight="1" spans="11:29" x14ac:dyDescent="0.25">
      <c r="K6020" s="128"/>
      <c r="X6020" s="234">
        <v>2022</v>
      </c>
      <c r="Y6020" s="234">
        <v>9</v>
      </c>
      <c r="Z6020" s="234">
        <v>8</v>
      </c>
      <c r="AA6020" s="235">
        <v>0.75</v>
      </c>
      <c r="AB6020" s="236">
        <v>13.5</v>
      </c>
      <c r="AC6020" s="127">
        <f t="shared" si="108"/>
        <v>14</v>
      </c>
    </row>
    <row r="6021" ht="14.5" customHeight="1" spans="11:29" x14ac:dyDescent="0.25">
      <c r="K6021" s="128"/>
      <c r="X6021" s="234">
        <v>2022</v>
      </c>
      <c r="Y6021" s="234">
        <v>9</v>
      </c>
      <c r="Z6021" s="234">
        <v>8</v>
      </c>
      <c r="AA6021" s="235">
        <v>0.7916666666678793</v>
      </c>
      <c r="AB6021" s="236">
        <v>12.3</v>
      </c>
      <c r="AC6021" s="127">
        <f t="shared" si="108"/>
        <v>12</v>
      </c>
    </row>
    <row r="6022" ht="14.5" customHeight="1" spans="11:29" x14ac:dyDescent="0.25">
      <c r="K6022" s="128"/>
      <c r="X6022" s="234">
        <v>2022</v>
      </c>
      <c r="Y6022" s="234">
        <v>9</v>
      </c>
      <c r="Z6022" s="234">
        <v>8</v>
      </c>
      <c r="AA6022" s="235">
        <v>0.8333333333321207</v>
      </c>
      <c r="AB6022" s="236">
        <v>10.2</v>
      </c>
      <c r="AC6022" s="127">
        <f t="shared" si="108"/>
        <v>10</v>
      </c>
    </row>
    <row r="6023" ht="14.5" customHeight="1" spans="11:29" x14ac:dyDescent="0.25">
      <c r="K6023" s="128"/>
      <c r="X6023" s="234">
        <v>2022</v>
      </c>
      <c r="Y6023" s="234">
        <v>9</v>
      </c>
      <c r="Z6023" s="234">
        <v>8</v>
      </c>
      <c r="AA6023" s="235">
        <v>0.875</v>
      </c>
      <c r="AB6023" s="236">
        <v>8.8</v>
      </c>
      <c r="AC6023" s="127">
        <f t="shared" si="108"/>
        <v>9</v>
      </c>
    </row>
    <row r="6024" ht="14.5" customHeight="1" spans="11:29" x14ac:dyDescent="0.25">
      <c r="K6024" s="128"/>
      <c r="X6024" s="234">
        <v>2022</v>
      </c>
      <c r="Y6024" s="234">
        <v>9</v>
      </c>
      <c r="Z6024" s="234">
        <v>8</v>
      </c>
      <c r="AA6024" s="235">
        <v>0.9166666666678793</v>
      </c>
      <c r="AB6024" s="236">
        <v>9.6</v>
      </c>
      <c r="AC6024" s="127">
        <f t="shared" si="108"/>
        <v>10</v>
      </c>
    </row>
    <row r="6025" ht="14.5" customHeight="1" spans="11:29" x14ac:dyDescent="0.25">
      <c r="K6025" s="128"/>
      <c r="X6025" s="234">
        <v>2022</v>
      </c>
      <c r="Y6025" s="234">
        <v>9</v>
      </c>
      <c r="Z6025" s="234">
        <v>8</v>
      </c>
      <c r="AA6025" s="235">
        <v>0.9583333333321207</v>
      </c>
      <c r="AB6025" s="236">
        <v>8.9</v>
      </c>
      <c r="AC6025" s="127">
        <f t="shared" si="108"/>
        <v>9</v>
      </c>
    </row>
    <row r="6026" ht="14.5" customHeight="1" spans="11:29" x14ac:dyDescent="0.25">
      <c r="K6026" s="128"/>
      <c r="X6026" s="234">
        <v>2022</v>
      </c>
      <c r="Y6026" s="234">
        <v>9</v>
      </c>
      <c r="Z6026" s="234">
        <v>9</v>
      </c>
      <c r="AA6026" s="235">
        <v>0</v>
      </c>
      <c r="AB6026" s="236">
        <v>7.8</v>
      </c>
      <c r="AC6026" s="127">
        <f t="shared" si="108"/>
        <v>8</v>
      </c>
    </row>
    <row r="6027" ht="14.5" customHeight="1" spans="11:29" x14ac:dyDescent="0.25">
      <c r="K6027" s="128"/>
      <c r="X6027" s="234">
        <v>2022</v>
      </c>
      <c r="Y6027" s="234">
        <v>9</v>
      </c>
      <c r="Z6027" s="234">
        <v>9</v>
      </c>
      <c r="AA6027" s="235">
        <v>0.041666666667879326</v>
      </c>
      <c r="AB6027" s="236">
        <v>7.6</v>
      </c>
      <c r="AC6027" s="127">
        <f t="shared" ref="AC6027:AC6090" si="109">ROUND(AB6027,0)</f>
        <v>8</v>
      </c>
    </row>
    <row r="6028" ht="14.5" customHeight="1" spans="11:29" x14ac:dyDescent="0.25">
      <c r="K6028" s="128"/>
      <c r="X6028" s="234">
        <v>2022</v>
      </c>
      <c r="Y6028" s="234">
        <v>9</v>
      </c>
      <c r="Z6028" s="234">
        <v>9</v>
      </c>
      <c r="AA6028" s="235">
        <v>0.08333333333212067</v>
      </c>
      <c r="AB6028" s="236">
        <v>7</v>
      </c>
      <c r="AC6028" s="127">
        <f t="shared" si="109"/>
        <v>7</v>
      </c>
    </row>
    <row r="6029" ht="14.5" customHeight="1" spans="11:29" x14ac:dyDescent="0.25">
      <c r="K6029" s="128"/>
      <c r="X6029" s="234">
        <v>2022</v>
      </c>
      <c r="Y6029" s="234">
        <v>9</v>
      </c>
      <c r="Z6029" s="234">
        <v>9</v>
      </c>
      <c r="AA6029" s="235">
        <v>0.125</v>
      </c>
      <c r="AB6029" s="236">
        <v>7.5</v>
      </c>
      <c r="AC6029" s="127">
        <f t="shared" si="109"/>
        <v>8</v>
      </c>
    </row>
    <row r="6030" ht="14.5" customHeight="1" spans="11:29" x14ac:dyDescent="0.25">
      <c r="K6030" s="128"/>
      <c r="X6030" s="234">
        <v>2022</v>
      </c>
      <c r="Y6030" s="234">
        <v>9</v>
      </c>
      <c r="Z6030" s="234">
        <v>9</v>
      </c>
      <c r="AA6030" s="235">
        <v>0.16666666666787933</v>
      </c>
      <c r="AB6030" s="236">
        <v>7.5</v>
      </c>
      <c r="AC6030" s="127">
        <f t="shared" si="109"/>
        <v>8</v>
      </c>
    </row>
    <row r="6031" ht="14.5" customHeight="1" spans="11:29" x14ac:dyDescent="0.25">
      <c r="K6031" s="128"/>
      <c r="X6031" s="234">
        <v>2022</v>
      </c>
      <c r="Y6031" s="234">
        <v>9</v>
      </c>
      <c r="Z6031" s="234">
        <v>9</v>
      </c>
      <c r="AA6031" s="235">
        <v>0.20833333333212067</v>
      </c>
      <c r="AB6031" s="236">
        <v>7.1</v>
      </c>
      <c r="AC6031" s="127">
        <f t="shared" si="109"/>
        <v>7</v>
      </c>
    </row>
    <row r="6032" ht="14.5" customHeight="1" spans="11:29" x14ac:dyDescent="0.25">
      <c r="K6032" s="128"/>
      <c r="X6032" s="234">
        <v>2022</v>
      </c>
      <c r="Y6032" s="234">
        <v>9</v>
      </c>
      <c r="Z6032" s="234">
        <v>9</v>
      </c>
      <c r="AA6032" s="235">
        <v>0.25</v>
      </c>
      <c r="AB6032" s="236">
        <v>6.2</v>
      </c>
      <c r="AC6032" s="127">
        <f t="shared" si="109"/>
        <v>6</v>
      </c>
    </row>
    <row r="6033" ht="14.5" customHeight="1" spans="11:29" x14ac:dyDescent="0.25">
      <c r="K6033" s="128"/>
      <c r="X6033" s="234">
        <v>2022</v>
      </c>
      <c r="Y6033" s="234">
        <v>9</v>
      </c>
      <c r="Z6033" s="234">
        <v>9</v>
      </c>
      <c r="AA6033" s="235">
        <v>0.2916666666678793</v>
      </c>
      <c r="AB6033" s="236">
        <v>6.8</v>
      </c>
      <c r="AC6033" s="127">
        <f t="shared" si="109"/>
        <v>7</v>
      </c>
    </row>
    <row r="6034" ht="14.5" customHeight="1" spans="11:29" x14ac:dyDescent="0.25">
      <c r="K6034" s="128"/>
      <c r="X6034" s="234">
        <v>2022</v>
      </c>
      <c r="Y6034" s="234">
        <v>9</v>
      </c>
      <c r="Z6034" s="234">
        <v>9</v>
      </c>
      <c r="AA6034" s="235">
        <v>0.3333333333321207</v>
      </c>
      <c r="AB6034" s="236">
        <v>8.9</v>
      </c>
      <c r="AC6034" s="127">
        <f t="shared" si="109"/>
        <v>9</v>
      </c>
    </row>
    <row r="6035" ht="14.5" customHeight="1" spans="11:29" x14ac:dyDescent="0.25">
      <c r="K6035" s="128"/>
      <c r="X6035" s="234">
        <v>2022</v>
      </c>
      <c r="Y6035" s="234">
        <v>9</v>
      </c>
      <c r="Z6035" s="234">
        <v>9</v>
      </c>
      <c r="AA6035" s="235">
        <v>0.375</v>
      </c>
      <c r="AB6035" s="236">
        <v>10.5</v>
      </c>
      <c r="AC6035" s="127">
        <f t="shared" si="109"/>
        <v>11</v>
      </c>
    </row>
    <row r="6036" ht="14.5" customHeight="1" spans="11:29" x14ac:dyDescent="0.25">
      <c r="K6036" s="128"/>
      <c r="X6036" s="234">
        <v>2022</v>
      </c>
      <c r="Y6036" s="234">
        <v>9</v>
      </c>
      <c r="Z6036" s="234">
        <v>9</v>
      </c>
      <c r="AA6036" s="235">
        <v>0.4166666666678793</v>
      </c>
      <c r="AB6036" s="236">
        <v>11.9</v>
      </c>
      <c r="AC6036" s="127">
        <f t="shared" si="109"/>
        <v>12</v>
      </c>
    </row>
    <row r="6037" ht="14.5" customHeight="1" spans="11:29" x14ac:dyDescent="0.25">
      <c r="K6037" s="128"/>
      <c r="X6037" s="234">
        <v>2022</v>
      </c>
      <c r="Y6037" s="234">
        <v>9</v>
      </c>
      <c r="Z6037" s="234">
        <v>9</v>
      </c>
      <c r="AA6037" s="235">
        <v>0.4583333333321207</v>
      </c>
      <c r="AB6037" s="236">
        <v>12.6</v>
      </c>
      <c r="AC6037" s="127">
        <f t="shared" si="109"/>
        <v>13</v>
      </c>
    </row>
    <row r="6038" ht="14.5" customHeight="1" spans="11:29" x14ac:dyDescent="0.25">
      <c r="K6038" s="128"/>
      <c r="X6038" s="234">
        <v>2022</v>
      </c>
      <c r="Y6038" s="234">
        <v>9</v>
      </c>
      <c r="Z6038" s="234">
        <v>9</v>
      </c>
      <c r="AA6038" s="235">
        <v>0.5</v>
      </c>
      <c r="AB6038" s="236">
        <v>13</v>
      </c>
      <c r="AC6038" s="127">
        <f t="shared" si="109"/>
        <v>13</v>
      </c>
    </row>
    <row r="6039" ht="14.5" customHeight="1" spans="11:29" x14ac:dyDescent="0.25">
      <c r="K6039" s="128"/>
      <c r="X6039" s="234">
        <v>2022</v>
      </c>
      <c r="Y6039" s="234">
        <v>9</v>
      </c>
      <c r="Z6039" s="234">
        <v>9</v>
      </c>
      <c r="AA6039" s="235">
        <v>0.5416666666678793</v>
      </c>
      <c r="AB6039" s="236">
        <v>13.9</v>
      </c>
      <c r="AC6039" s="127">
        <f t="shared" si="109"/>
        <v>14</v>
      </c>
    </row>
    <row r="6040" ht="14.5" customHeight="1" spans="11:29" x14ac:dyDescent="0.25">
      <c r="K6040" s="128"/>
      <c r="X6040" s="234">
        <v>2022</v>
      </c>
      <c r="Y6040" s="234">
        <v>9</v>
      </c>
      <c r="Z6040" s="234">
        <v>9</v>
      </c>
      <c r="AA6040" s="235">
        <v>0.5833333333321207</v>
      </c>
      <c r="AB6040" s="236">
        <v>15.6</v>
      </c>
      <c r="AC6040" s="127">
        <f t="shared" si="109"/>
        <v>16</v>
      </c>
    </row>
    <row r="6041" ht="14.5" customHeight="1" spans="11:29" x14ac:dyDescent="0.25">
      <c r="K6041" s="128"/>
      <c r="X6041" s="234">
        <v>2022</v>
      </c>
      <c r="Y6041" s="234">
        <v>9</v>
      </c>
      <c r="Z6041" s="234">
        <v>9</v>
      </c>
      <c r="AA6041" s="235">
        <v>0.625</v>
      </c>
      <c r="AB6041" s="236">
        <v>16.3</v>
      </c>
      <c r="AC6041" s="127">
        <f t="shared" si="109"/>
        <v>16</v>
      </c>
    </row>
    <row r="6042" ht="14.5" customHeight="1" spans="11:29" x14ac:dyDescent="0.25">
      <c r="K6042" s="128"/>
      <c r="X6042" s="234">
        <v>2022</v>
      </c>
      <c r="Y6042" s="234">
        <v>9</v>
      </c>
      <c r="Z6042" s="234">
        <v>9</v>
      </c>
      <c r="AA6042" s="235">
        <v>0.6666666666678793</v>
      </c>
      <c r="AB6042" s="236">
        <v>15.8</v>
      </c>
      <c r="AC6042" s="127">
        <f t="shared" si="109"/>
        <v>16</v>
      </c>
    </row>
    <row r="6043" ht="14.5" customHeight="1" spans="11:29" x14ac:dyDescent="0.25">
      <c r="K6043" s="128"/>
      <c r="X6043" s="234">
        <v>2022</v>
      </c>
      <c r="Y6043" s="234">
        <v>9</v>
      </c>
      <c r="Z6043" s="234">
        <v>9</v>
      </c>
      <c r="AA6043" s="235">
        <v>0.7083333333321207</v>
      </c>
      <c r="AB6043" s="236">
        <v>15.8</v>
      </c>
      <c r="AC6043" s="127">
        <f t="shared" si="109"/>
        <v>16</v>
      </c>
    </row>
    <row r="6044" ht="14.5" customHeight="1" spans="11:29" x14ac:dyDescent="0.25">
      <c r="K6044" s="128"/>
      <c r="X6044" s="234">
        <v>2022</v>
      </c>
      <c r="Y6044" s="234">
        <v>9</v>
      </c>
      <c r="Z6044" s="234">
        <v>9</v>
      </c>
      <c r="AA6044" s="235">
        <v>0.75</v>
      </c>
      <c r="AB6044" s="236">
        <v>15.6</v>
      </c>
      <c r="AC6044" s="127">
        <f t="shared" si="109"/>
        <v>16</v>
      </c>
    </row>
    <row r="6045" ht="14.5" customHeight="1" spans="11:29" x14ac:dyDescent="0.25">
      <c r="K6045" s="128"/>
      <c r="X6045" s="234">
        <v>2022</v>
      </c>
      <c r="Y6045" s="234">
        <v>9</v>
      </c>
      <c r="Z6045" s="234">
        <v>9</v>
      </c>
      <c r="AA6045" s="235">
        <v>0.7916666666678793</v>
      </c>
      <c r="AB6045" s="236">
        <v>12.1</v>
      </c>
      <c r="AC6045" s="127">
        <f t="shared" si="109"/>
        <v>12</v>
      </c>
    </row>
    <row r="6046" ht="14.5" customHeight="1" spans="11:29" x14ac:dyDescent="0.25">
      <c r="K6046" s="128"/>
      <c r="X6046" s="234">
        <v>2022</v>
      </c>
      <c r="Y6046" s="234">
        <v>9</v>
      </c>
      <c r="Z6046" s="234">
        <v>9</v>
      </c>
      <c r="AA6046" s="235">
        <v>0.8333333333321207</v>
      </c>
      <c r="AB6046" s="236">
        <v>9.7</v>
      </c>
      <c r="AC6046" s="127">
        <f t="shared" si="109"/>
        <v>10</v>
      </c>
    </row>
    <row r="6047" ht="14.5" customHeight="1" spans="11:29" x14ac:dyDescent="0.25">
      <c r="K6047" s="128"/>
      <c r="X6047" s="234">
        <v>2022</v>
      </c>
      <c r="Y6047" s="234">
        <v>9</v>
      </c>
      <c r="Z6047" s="234">
        <v>9</v>
      </c>
      <c r="AA6047" s="235">
        <v>0.875</v>
      </c>
      <c r="AB6047" s="236">
        <v>8.8</v>
      </c>
      <c r="AC6047" s="127">
        <f t="shared" si="109"/>
        <v>9</v>
      </c>
    </row>
    <row r="6048" ht="14.5" customHeight="1" spans="11:29" x14ac:dyDescent="0.25">
      <c r="K6048" s="128"/>
      <c r="X6048" s="234">
        <v>2022</v>
      </c>
      <c r="Y6048" s="234">
        <v>9</v>
      </c>
      <c r="Z6048" s="234">
        <v>9</v>
      </c>
      <c r="AA6048" s="235">
        <v>0.9166666666678793</v>
      </c>
      <c r="AB6048" s="236">
        <v>9</v>
      </c>
      <c r="AC6048" s="127">
        <f t="shared" si="109"/>
        <v>9</v>
      </c>
    </row>
    <row r="6049" ht="14.5" customHeight="1" spans="11:29" x14ac:dyDescent="0.25">
      <c r="K6049" s="128"/>
      <c r="X6049" s="234">
        <v>2022</v>
      </c>
      <c r="Y6049" s="234">
        <v>9</v>
      </c>
      <c r="Z6049" s="234">
        <v>9</v>
      </c>
      <c r="AA6049" s="235">
        <v>0.9583333333321207</v>
      </c>
      <c r="AB6049" s="236">
        <v>7.9</v>
      </c>
      <c r="AC6049" s="127">
        <f t="shared" si="109"/>
        <v>8</v>
      </c>
    </row>
    <row r="6050" ht="14.5" customHeight="1" spans="11:29" x14ac:dyDescent="0.25">
      <c r="K6050" s="128"/>
      <c r="X6050" s="234">
        <v>2022</v>
      </c>
      <c r="Y6050" s="234">
        <v>9</v>
      </c>
      <c r="Z6050" s="234">
        <v>10</v>
      </c>
      <c r="AA6050" s="235">
        <v>0</v>
      </c>
      <c r="AB6050" s="236">
        <v>7.7</v>
      </c>
      <c r="AC6050" s="127">
        <f t="shared" si="109"/>
        <v>8</v>
      </c>
    </row>
    <row r="6051" ht="14.5" customHeight="1" spans="11:29" x14ac:dyDescent="0.25">
      <c r="K6051" s="128"/>
      <c r="X6051" s="234">
        <v>2022</v>
      </c>
      <c r="Y6051" s="234">
        <v>9</v>
      </c>
      <c r="Z6051" s="234">
        <v>10</v>
      </c>
      <c r="AA6051" s="235">
        <v>0.041666666667879326</v>
      </c>
      <c r="AB6051" s="236">
        <v>6.5</v>
      </c>
      <c r="AC6051" s="127">
        <f t="shared" si="109"/>
        <v>7</v>
      </c>
    </row>
    <row r="6052" ht="14.5" customHeight="1" spans="11:29" x14ac:dyDescent="0.25">
      <c r="K6052" s="128"/>
      <c r="X6052" s="234">
        <v>2022</v>
      </c>
      <c r="Y6052" s="234">
        <v>9</v>
      </c>
      <c r="Z6052" s="234">
        <v>10</v>
      </c>
      <c r="AA6052" s="235">
        <v>0.08333333333212067</v>
      </c>
      <c r="AB6052" s="236">
        <v>5.2</v>
      </c>
      <c r="AC6052" s="127">
        <f t="shared" si="109"/>
        <v>5</v>
      </c>
    </row>
    <row r="6053" ht="14.5" customHeight="1" spans="11:29" x14ac:dyDescent="0.25">
      <c r="K6053" s="128"/>
      <c r="X6053" s="234">
        <v>2022</v>
      </c>
      <c r="Y6053" s="234">
        <v>9</v>
      </c>
      <c r="Z6053" s="234">
        <v>10</v>
      </c>
      <c r="AA6053" s="235">
        <v>0.125</v>
      </c>
      <c r="AB6053" s="236">
        <v>4.6</v>
      </c>
      <c r="AC6053" s="127">
        <f t="shared" si="109"/>
        <v>5</v>
      </c>
    </row>
    <row r="6054" ht="14.5" customHeight="1" spans="11:29" x14ac:dyDescent="0.25">
      <c r="K6054" s="128"/>
      <c r="X6054" s="234">
        <v>2022</v>
      </c>
      <c r="Y6054" s="234">
        <v>9</v>
      </c>
      <c r="Z6054" s="234">
        <v>10</v>
      </c>
      <c r="AA6054" s="235">
        <v>0.16666666666787933</v>
      </c>
      <c r="AB6054" s="236">
        <v>3.6</v>
      </c>
      <c r="AC6054" s="127">
        <f t="shared" si="109"/>
        <v>4</v>
      </c>
    </row>
    <row r="6055" ht="14.5" customHeight="1" spans="11:29" x14ac:dyDescent="0.25">
      <c r="K6055" s="128"/>
      <c r="X6055" s="234">
        <v>2022</v>
      </c>
      <c r="Y6055" s="234">
        <v>9</v>
      </c>
      <c r="Z6055" s="234">
        <v>10</v>
      </c>
      <c r="AA6055" s="235">
        <v>0.20833333333212067</v>
      </c>
      <c r="AB6055" s="236">
        <v>3.4</v>
      </c>
      <c r="AC6055" s="127">
        <f t="shared" si="109"/>
        <v>3</v>
      </c>
    </row>
    <row r="6056" ht="14.5" customHeight="1" spans="11:29" x14ac:dyDescent="0.25">
      <c r="K6056" s="128"/>
      <c r="X6056" s="234">
        <v>2022</v>
      </c>
      <c r="Y6056" s="234">
        <v>9</v>
      </c>
      <c r="Z6056" s="234">
        <v>10</v>
      </c>
      <c r="AA6056" s="235">
        <v>0.25</v>
      </c>
      <c r="AB6056" s="236">
        <v>3.4</v>
      </c>
      <c r="AC6056" s="127">
        <f t="shared" si="109"/>
        <v>3</v>
      </c>
    </row>
    <row r="6057" ht="14.5" customHeight="1" spans="11:29" x14ac:dyDescent="0.25">
      <c r="K6057" s="128"/>
      <c r="X6057" s="234">
        <v>2022</v>
      </c>
      <c r="Y6057" s="234">
        <v>9</v>
      </c>
      <c r="Z6057" s="234">
        <v>10</v>
      </c>
      <c r="AA6057" s="235">
        <v>0.2916666666678793</v>
      </c>
      <c r="AB6057" s="236">
        <v>5.9</v>
      </c>
      <c r="AC6057" s="127">
        <f t="shared" si="109"/>
        <v>6</v>
      </c>
    </row>
    <row r="6058" ht="14.5" customHeight="1" spans="11:29" x14ac:dyDescent="0.25">
      <c r="K6058" s="128"/>
      <c r="X6058" s="234">
        <v>2022</v>
      </c>
      <c r="Y6058" s="234">
        <v>9</v>
      </c>
      <c r="Z6058" s="234">
        <v>10</v>
      </c>
      <c r="AA6058" s="235">
        <v>0.3333333333321207</v>
      </c>
      <c r="AB6058" s="236">
        <v>10.3</v>
      </c>
      <c r="AC6058" s="127">
        <f t="shared" si="109"/>
        <v>10</v>
      </c>
    </row>
    <row r="6059" ht="14.5" customHeight="1" spans="11:29" x14ac:dyDescent="0.25">
      <c r="K6059" s="128"/>
      <c r="X6059" s="234">
        <v>2022</v>
      </c>
      <c r="Y6059" s="234">
        <v>9</v>
      </c>
      <c r="Z6059" s="234">
        <v>10</v>
      </c>
      <c r="AA6059" s="235">
        <v>0.375</v>
      </c>
      <c r="AB6059" s="236">
        <v>15.2</v>
      </c>
      <c r="AC6059" s="127">
        <f t="shared" si="109"/>
        <v>15</v>
      </c>
    </row>
    <row r="6060" ht="14.5" customHeight="1" spans="11:29" x14ac:dyDescent="0.25">
      <c r="K6060" s="128"/>
      <c r="X6060" s="234">
        <v>2022</v>
      </c>
      <c r="Y6060" s="234">
        <v>9</v>
      </c>
      <c r="Z6060" s="234">
        <v>10</v>
      </c>
      <c r="AA6060" s="235">
        <v>0.4166666666678793</v>
      </c>
      <c r="AB6060" s="236">
        <v>16.6</v>
      </c>
      <c r="AC6060" s="127">
        <f t="shared" si="109"/>
        <v>17</v>
      </c>
    </row>
    <row r="6061" ht="14.5" customHeight="1" spans="11:29" x14ac:dyDescent="0.25">
      <c r="K6061" s="128"/>
      <c r="X6061" s="234">
        <v>2022</v>
      </c>
      <c r="Y6061" s="234">
        <v>9</v>
      </c>
      <c r="Z6061" s="234">
        <v>10</v>
      </c>
      <c r="AA6061" s="235">
        <v>0.4583333333321207</v>
      </c>
      <c r="AB6061" s="236">
        <v>18.3</v>
      </c>
      <c r="AC6061" s="127">
        <f t="shared" si="109"/>
        <v>18</v>
      </c>
    </row>
    <row r="6062" ht="14.5" customHeight="1" spans="11:29" x14ac:dyDescent="0.25">
      <c r="K6062" s="128"/>
      <c r="X6062" s="234">
        <v>2022</v>
      </c>
      <c r="Y6062" s="234">
        <v>9</v>
      </c>
      <c r="Z6062" s="234">
        <v>10</v>
      </c>
      <c r="AA6062" s="235">
        <v>0.5</v>
      </c>
      <c r="AB6062" s="236">
        <v>20.5</v>
      </c>
      <c r="AC6062" s="127">
        <f t="shared" si="109"/>
        <v>21</v>
      </c>
    </row>
    <row r="6063" ht="14.5" customHeight="1" spans="11:29" x14ac:dyDescent="0.25">
      <c r="K6063" s="128"/>
      <c r="X6063" s="234">
        <v>2022</v>
      </c>
      <c r="Y6063" s="234">
        <v>9</v>
      </c>
      <c r="Z6063" s="234">
        <v>10</v>
      </c>
      <c r="AA6063" s="235">
        <v>0.5416666666678793</v>
      </c>
      <c r="AB6063" s="236">
        <v>22.6</v>
      </c>
      <c r="AC6063" s="127">
        <f t="shared" si="109"/>
        <v>23</v>
      </c>
    </row>
    <row r="6064" ht="14.5" customHeight="1" spans="11:29" x14ac:dyDescent="0.25">
      <c r="K6064" s="128"/>
      <c r="X6064" s="234">
        <v>2022</v>
      </c>
      <c r="Y6064" s="234">
        <v>9</v>
      </c>
      <c r="Z6064" s="234">
        <v>10</v>
      </c>
      <c r="AA6064" s="235">
        <v>0.5833333333321207</v>
      </c>
      <c r="AB6064" s="236">
        <v>23.9</v>
      </c>
      <c r="AC6064" s="127">
        <f t="shared" si="109"/>
        <v>24</v>
      </c>
    </row>
    <row r="6065" ht="14.5" customHeight="1" spans="11:29" x14ac:dyDescent="0.25">
      <c r="K6065" s="128"/>
      <c r="X6065" s="234">
        <v>2022</v>
      </c>
      <c r="Y6065" s="234">
        <v>9</v>
      </c>
      <c r="Z6065" s="234">
        <v>10</v>
      </c>
      <c r="AA6065" s="235">
        <v>0.625</v>
      </c>
      <c r="AB6065" s="236">
        <v>25.1</v>
      </c>
      <c r="AC6065" s="127">
        <f t="shared" si="109"/>
        <v>25</v>
      </c>
    </row>
    <row r="6066" ht="14.5" customHeight="1" spans="11:29" x14ac:dyDescent="0.25">
      <c r="K6066" s="128"/>
      <c r="X6066" s="234">
        <v>2022</v>
      </c>
      <c r="Y6066" s="234">
        <v>9</v>
      </c>
      <c r="Z6066" s="234">
        <v>10</v>
      </c>
      <c r="AA6066" s="235">
        <v>0.6666666666678793</v>
      </c>
      <c r="AB6066" s="236">
        <v>25.7</v>
      </c>
      <c r="AC6066" s="127">
        <f t="shared" si="109"/>
        <v>26</v>
      </c>
    </row>
    <row r="6067" ht="14.5" customHeight="1" spans="11:29" x14ac:dyDescent="0.25">
      <c r="K6067" s="128"/>
      <c r="X6067" s="234">
        <v>2022</v>
      </c>
      <c r="Y6067" s="234">
        <v>9</v>
      </c>
      <c r="Z6067" s="234">
        <v>10</v>
      </c>
      <c r="AA6067" s="235">
        <v>0.7083333333321207</v>
      </c>
      <c r="AB6067" s="236">
        <v>25.6</v>
      </c>
      <c r="AC6067" s="127">
        <f t="shared" si="109"/>
        <v>26</v>
      </c>
    </row>
    <row r="6068" ht="14.5" customHeight="1" spans="11:29" x14ac:dyDescent="0.25">
      <c r="K6068" s="128"/>
      <c r="X6068" s="234">
        <v>2022</v>
      </c>
      <c r="Y6068" s="234">
        <v>9</v>
      </c>
      <c r="Z6068" s="234">
        <v>10</v>
      </c>
      <c r="AA6068" s="235">
        <v>0.75</v>
      </c>
      <c r="AB6068" s="236">
        <v>23</v>
      </c>
      <c r="AC6068" s="127">
        <f t="shared" si="109"/>
        <v>23</v>
      </c>
    </row>
    <row r="6069" ht="14.5" customHeight="1" spans="11:29" x14ac:dyDescent="0.25">
      <c r="K6069" s="128"/>
      <c r="X6069" s="234">
        <v>2022</v>
      </c>
      <c r="Y6069" s="234">
        <v>9</v>
      </c>
      <c r="Z6069" s="234">
        <v>10</v>
      </c>
      <c r="AA6069" s="235">
        <v>0.7916666666678793</v>
      </c>
      <c r="AB6069" s="236">
        <v>18.7</v>
      </c>
      <c r="AC6069" s="127">
        <f t="shared" si="109"/>
        <v>19</v>
      </c>
    </row>
    <row r="6070" ht="14.5" customHeight="1" spans="11:29" x14ac:dyDescent="0.25">
      <c r="K6070" s="128"/>
      <c r="X6070" s="234">
        <v>2022</v>
      </c>
      <c r="Y6070" s="234">
        <v>9</v>
      </c>
      <c r="Z6070" s="234">
        <v>10</v>
      </c>
      <c r="AA6070" s="235">
        <v>0.8333333333321207</v>
      </c>
      <c r="AB6070" s="236">
        <v>17.1</v>
      </c>
      <c r="AC6070" s="127">
        <f t="shared" si="109"/>
        <v>17</v>
      </c>
    </row>
    <row r="6071" ht="14.5" customHeight="1" spans="11:29" x14ac:dyDescent="0.25">
      <c r="K6071" s="128"/>
      <c r="X6071" s="234">
        <v>2022</v>
      </c>
      <c r="Y6071" s="234">
        <v>9</v>
      </c>
      <c r="Z6071" s="234">
        <v>10</v>
      </c>
      <c r="AA6071" s="235">
        <v>0.875</v>
      </c>
      <c r="AB6071" s="236">
        <v>17</v>
      </c>
      <c r="AC6071" s="127">
        <f t="shared" si="109"/>
        <v>17</v>
      </c>
    </row>
    <row r="6072" ht="14.5" customHeight="1" spans="11:29" x14ac:dyDescent="0.25">
      <c r="K6072" s="128"/>
      <c r="X6072" s="234">
        <v>2022</v>
      </c>
      <c r="Y6072" s="234">
        <v>9</v>
      </c>
      <c r="Z6072" s="234">
        <v>10</v>
      </c>
      <c r="AA6072" s="235">
        <v>0.9166666666678793</v>
      </c>
      <c r="AB6072" s="236">
        <v>13.6</v>
      </c>
      <c r="AC6072" s="127">
        <f t="shared" si="109"/>
        <v>14</v>
      </c>
    </row>
    <row r="6073" ht="14.5" customHeight="1" spans="11:29" x14ac:dyDescent="0.25">
      <c r="K6073" s="128"/>
      <c r="X6073" s="234">
        <v>2022</v>
      </c>
      <c r="Y6073" s="234">
        <v>9</v>
      </c>
      <c r="Z6073" s="234">
        <v>10</v>
      </c>
      <c r="AA6073" s="235">
        <v>0.9583333333321207</v>
      </c>
      <c r="AB6073" s="236">
        <v>14.7</v>
      </c>
      <c r="AC6073" s="127">
        <f t="shared" si="109"/>
        <v>15</v>
      </c>
    </row>
    <row r="6074" ht="14.5" customHeight="1" spans="11:29" x14ac:dyDescent="0.25">
      <c r="K6074" s="128"/>
      <c r="X6074" s="234">
        <v>2022</v>
      </c>
      <c r="Y6074" s="234">
        <v>9</v>
      </c>
      <c r="Z6074" s="234">
        <v>11</v>
      </c>
      <c r="AA6074" s="235">
        <v>0</v>
      </c>
      <c r="AB6074" s="236">
        <v>12.7</v>
      </c>
      <c r="AC6074" s="127">
        <f t="shared" si="109"/>
        <v>13</v>
      </c>
    </row>
    <row r="6075" ht="14.5" customHeight="1" spans="11:29" x14ac:dyDescent="0.25">
      <c r="K6075" s="128"/>
      <c r="X6075" s="234">
        <v>2022</v>
      </c>
      <c r="Y6075" s="234">
        <v>9</v>
      </c>
      <c r="Z6075" s="234">
        <v>11</v>
      </c>
      <c r="AA6075" s="235">
        <v>0.041666666667879326</v>
      </c>
      <c r="AB6075" s="236">
        <v>11.5</v>
      </c>
      <c r="AC6075" s="127">
        <f t="shared" si="109"/>
        <v>12</v>
      </c>
    </row>
    <row r="6076" ht="14.5" customHeight="1" spans="11:29" x14ac:dyDescent="0.25">
      <c r="K6076" s="128"/>
      <c r="X6076" s="234">
        <v>2022</v>
      </c>
      <c r="Y6076" s="234">
        <v>9</v>
      </c>
      <c r="Z6076" s="234">
        <v>11</v>
      </c>
      <c r="AA6076" s="235">
        <v>0.08333333333212067</v>
      </c>
      <c r="AB6076" s="236">
        <v>11.3</v>
      </c>
      <c r="AC6076" s="127">
        <f t="shared" si="109"/>
        <v>11</v>
      </c>
    </row>
    <row r="6077" ht="14.5" customHeight="1" spans="11:29" x14ac:dyDescent="0.25">
      <c r="K6077" s="128"/>
      <c r="X6077" s="234">
        <v>2022</v>
      </c>
      <c r="Y6077" s="234">
        <v>9</v>
      </c>
      <c r="Z6077" s="234">
        <v>11</v>
      </c>
      <c r="AA6077" s="235">
        <v>0.125</v>
      </c>
      <c r="AB6077" s="236">
        <v>11.3</v>
      </c>
      <c r="AC6077" s="127">
        <f t="shared" si="109"/>
        <v>11</v>
      </c>
    </row>
    <row r="6078" ht="14.5" customHeight="1" spans="11:29" x14ac:dyDescent="0.25">
      <c r="K6078" s="128"/>
      <c r="X6078" s="234">
        <v>2022</v>
      </c>
      <c r="Y6078" s="234">
        <v>9</v>
      </c>
      <c r="Z6078" s="234">
        <v>11</v>
      </c>
      <c r="AA6078" s="235">
        <v>0.16666666666787933</v>
      </c>
      <c r="AB6078" s="236">
        <v>10.7</v>
      </c>
      <c r="AC6078" s="127">
        <f t="shared" si="109"/>
        <v>11</v>
      </c>
    </row>
    <row r="6079" ht="14.5" customHeight="1" spans="11:29" x14ac:dyDescent="0.25">
      <c r="K6079" s="128"/>
      <c r="X6079" s="234">
        <v>2022</v>
      </c>
      <c r="Y6079" s="234">
        <v>9</v>
      </c>
      <c r="Z6079" s="234">
        <v>11</v>
      </c>
      <c r="AA6079" s="235">
        <v>0.20833333333212067</v>
      </c>
      <c r="AB6079" s="236">
        <v>10.6</v>
      </c>
      <c r="AC6079" s="127">
        <f t="shared" si="109"/>
        <v>11</v>
      </c>
    </row>
    <row r="6080" ht="14.5" customHeight="1" spans="11:29" x14ac:dyDescent="0.25">
      <c r="K6080" s="128"/>
      <c r="X6080" s="234">
        <v>2022</v>
      </c>
      <c r="Y6080" s="234">
        <v>9</v>
      </c>
      <c r="Z6080" s="234">
        <v>11</v>
      </c>
      <c r="AA6080" s="235">
        <v>0.25</v>
      </c>
      <c r="AB6080" s="236">
        <v>8.1</v>
      </c>
      <c r="AC6080" s="127">
        <f t="shared" si="109"/>
        <v>8</v>
      </c>
    </row>
    <row r="6081" ht="14.5" customHeight="1" spans="11:29" x14ac:dyDescent="0.25">
      <c r="K6081" s="128"/>
      <c r="X6081" s="234">
        <v>2022</v>
      </c>
      <c r="Y6081" s="234">
        <v>9</v>
      </c>
      <c r="Z6081" s="234">
        <v>11</v>
      </c>
      <c r="AA6081" s="235">
        <v>0.2916666666678793</v>
      </c>
      <c r="AB6081" s="236">
        <v>9.5</v>
      </c>
      <c r="AC6081" s="127">
        <f t="shared" si="109"/>
        <v>10</v>
      </c>
    </row>
    <row r="6082" ht="14.5" customHeight="1" spans="11:29" x14ac:dyDescent="0.25">
      <c r="K6082" s="128"/>
      <c r="X6082" s="234">
        <v>2022</v>
      </c>
      <c r="Y6082" s="234">
        <v>9</v>
      </c>
      <c r="Z6082" s="234">
        <v>11</v>
      </c>
      <c r="AA6082" s="235">
        <v>0.3333333333321207</v>
      </c>
      <c r="AB6082" s="236">
        <v>14.7</v>
      </c>
      <c r="AC6082" s="127">
        <f t="shared" si="109"/>
        <v>15</v>
      </c>
    </row>
    <row r="6083" ht="14.5" customHeight="1" spans="11:29" x14ac:dyDescent="0.25">
      <c r="K6083" s="128"/>
      <c r="X6083" s="234">
        <v>2022</v>
      </c>
      <c r="Y6083" s="234">
        <v>9</v>
      </c>
      <c r="Z6083" s="234">
        <v>11</v>
      </c>
      <c r="AA6083" s="235">
        <v>0.375</v>
      </c>
      <c r="AB6083" s="236">
        <v>19</v>
      </c>
      <c r="AC6083" s="127">
        <f t="shared" si="109"/>
        <v>19</v>
      </c>
    </row>
    <row r="6084" ht="14.5" customHeight="1" spans="11:29" x14ac:dyDescent="0.25">
      <c r="K6084" s="128"/>
      <c r="X6084" s="234">
        <v>2022</v>
      </c>
      <c r="Y6084" s="234">
        <v>9</v>
      </c>
      <c r="Z6084" s="234">
        <v>11</v>
      </c>
      <c r="AA6084" s="235">
        <v>0.4166666666678793</v>
      </c>
      <c r="AB6084" s="236">
        <v>22.7</v>
      </c>
      <c r="AC6084" s="127">
        <f t="shared" si="109"/>
        <v>23</v>
      </c>
    </row>
    <row r="6085" ht="14.5" customHeight="1" spans="11:29" x14ac:dyDescent="0.25">
      <c r="K6085" s="128"/>
      <c r="X6085" s="234">
        <v>2022</v>
      </c>
      <c r="Y6085" s="234">
        <v>9</v>
      </c>
      <c r="Z6085" s="234">
        <v>11</v>
      </c>
      <c r="AA6085" s="235">
        <v>0.4583333333321207</v>
      </c>
      <c r="AB6085" s="236">
        <v>25.9</v>
      </c>
      <c r="AC6085" s="127">
        <f t="shared" si="109"/>
        <v>26</v>
      </c>
    </row>
    <row r="6086" ht="14.5" customHeight="1" spans="11:29" x14ac:dyDescent="0.25">
      <c r="K6086" s="128"/>
      <c r="X6086" s="234">
        <v>2022</v>
      </c>
      <c r="Y6086" s="234">
        <v>9</v>
      </c>
      <c r="Z6086" s="234">
        <v>11</v>
      </c>
      <c r="AA6086" s="235">
        <v>0.5</v>
      </c>
      <c r="AB6086" s="236">
        <v>27.7</v>
      </c>
      <c r="AC6086" s="127">
        <f t="shared" si="109"/>
        <v>28</v>
      </c>
    </row>
    <row r="6087" ht="14.5" customHeight="1" spans="11:29" x14ac:dyDescent="0.25">
      <c r="K6087" s="128"/>
      <c r="X6087" s="234">
        <v>2022</v>
      </c>
      <c r="Y6087" s="234">
        <v>9</v>
      </c>
      <c r="Z6087" s="234">
        <v>11</v>
      </c>
      <c r="AA6087" s="235">
        <v>0.5416666666678793</v>
      </c>
      <c r="AB6087" s="236">
        <v>28.5</v>
      </c>
      <c r="AC6087" s="127">
        <f t="shared" si="109"/>
        <v>29</v>
      </c>
    </row>
    <row r="6088" ht="14.5" customHeight="1" spans="11:29" x14ac:dyDescent="0.25">
      <c r="K6088" s="128"/>
      <c r="X6088" s="234">
        <v>2022</v>
      </c>
      <c r="Y6088" s="234">
        <v>9</v>
      </c>
      <c r="Z6088" s="234">
        <v>11</v>
      </c>
      <c r="AA6088" s="235">
        <v>0.5833333333321207</v>
      </c>
      <c r="AB6088" s="236">
        <v>28</v>
      </c>
      <c r="AC6088" s="127">
        <f t="shared" si="109"/>
        <v>28</v>
      </c>
    </row>
    <row r="6089" ht="14.5" customHeight="1" spans="11:29" x14ac:dyDescent="0.25">
      <c r="K6089" s="128"/>
      <c r="X6089" s="234">
        <v>2022</v>
      </c>
      <c r="Y6089" s="234">
        <v>9</v>
      </c>
      <c r="Z6089" s="234">
        <v>11</v>
      </c>
      <c r="AA6089" s="235">
        <v>0.625</v>
      </c>
      <c r="AB6089" s="236">
        <v>27.2</v>
      </c>
      <c r="AC6089" s="127">
        <f t="shared" si="109"/>
        <v>27</v>
      </c>
    </row>
    <row r="6090" ht="14.5" customHeight="1" spans="11:29" x14ac:dyDescent="0.25">
      <c r="K6090" s="128"/>
      <c r="X6090" s="234">
        <v>2022</v>
      </c>
      <c r="Y6090" s="234">
        <v>9</v>
      </c>
      <c r="Z6090" s="234">
        <v>11</v>
      </c>
      <c r="AA6090" s="235">
        <v>0.6666666666678793</v>
      </c>
      <c r="AB6090" s="236">
        <v>26.1</v>
      </c>
      <c r="AC6090" s="127">
        <f t="shared" si="109"/>
        <v>26</v>
      </c>
    </row>
    <row r="6091" ht="14.5" customHeight="1" spans="11:29" x14ac:dyDescent="0.25">
      <c r="K6091" s="128"/>
      <c r="X6091" s="234">
        <v>2022</v>
      </c>
      <c r="Y6091" s="234">
        <v>9</v>
      </c>
      <c r="Z6091" s="234">
        <v>11</v>
      </c>
      <c r="AA6091" s="235">
        <v>0.7083333333321207</v>
      </c>
      <c r="AB6091" s="236">
        <v>25.2</v>
      </c>
      <c r="AC6091" s="127">
        <f t="shared" ref="AC6091:AC6154" si="110">ROUND(AB6091,0)</f>
        <v>25</v>
      </c>
    </row>
    <row r="6092" ht="14.5" customHeight="1" spans="11:29" x14ac:dyDescent="0.25">
      <c r="K6092" s="128"/>
      <c r="X6092" s="234">
        <v>2022</v>
      </c>
      <c r="Y6092" s="234">
        <v>9</v>
      </c>
      <c r="Z6092" s="234">
        <v>11</v>
      </c>
      <c r="AA6092" s="235">
        <v>0.75</v>
      </c>
      <c r="AB6092" s="236">
        <v>23.8</v>
      </c>
      <c r="AC6092" s="127">
        <f t="shared" si="110"/>
        <v>24</v>
      </c>
    </row>
    <row r="6093" ht="14.5" customHeight="1" spans="11:29" x14ac:dyDescent="0.25">
      <c r="K6093" s="128"/>
      <c r="X6093" s="234">
        <v>2022</v>
      </c>
      <c r="Y6093" s="234">
        <v>9</v>
      </c>
      <c r="Z6093" s="234">
        <v>11</v>
      </c>
      <c r="AA6093" s="235">
        <v>0.7916666666678793</v>
      </c>
      <c r="AB6093" s="236">
        <v>22.6</v>
      </c>
      <c r="AC6093" s="127">
        <f t="shared" si="110"/>
        <v>23</v>
      </c>
    </row>
    <row r="6094" ht="14.5" customHeight="1" spans="11:29" x14ac:dyDescent="0.25">
      <c r="K6094" s="128"/>
      <c r="X6094" s="234">
        <v>2022</v>
      </c>
      <c r="Y6094" s="234">
        <v>9</v>
      </c>
      <c r="Z6094" s="234">
        <v>11</v>
      </c>
      <c r="AA6094" s="235">
        <v>0.8333333333321207</v>
      </c>
      <c r="AB6094" s="236">
        <v>22.1</v>
      </c>
      <c r="AC6094" s="127">
        <f t="shared" si="110"/>
        <v>22</v>
      </c>
    </row>
    <row r="6095" ht="14.5" customHeight="1" spans="11:29" x14ac:dyDescent="0.25">
      <c r="K6095" s="128"/>
      <c r="X6095" s="234">
        <v>2022</v>
      </c>
      <c r="Y6095" s="234">
        <v>9</v>
      </c>
      <c r="Z6095" s="234">
        <v>11</v>
      </c>
      <c r="AA6095" s="235">
        <v>0.875</v>
      </c>
      <c r="AB6095" s="236">
        <v>19.1</v>
      </c>
      <c r="AC6095" s="127">
        <f t="shared" si="110"/>
        <v>19</v>
      </c>
    </row>
    <row r="6096" ht="14.5" customHeight="1" spans="11:29" x14ac:dyDescent="0.25">
      <c r="K6096" s="128"/>
      <c r="X6096" s="234">
        <v>2022</v>
      </c>
      <c r="Y6096" s="234">
        <v>9</v>
      </c>
      <c r="Z6096" s="234">
        <v>11</v>
      </c>
      <c r="AA6096" s="235">
        <v>0.9166666666678793</v>
      </c>
      <c r="AB6096" s="236">
        <v>17.8</v>
      </c>
      <c r="AC6096" s="127">
        <f t="shared" si="110"/>
        <v>18</v>
      </c>
    </row>
    <row r="6097" ht="14.5" customHeight="1" spans="11:29" x14ac:dyDescent="0.25">
      <c r="K6097" s="128"/>
      <c r="X6097" s="234">
        <v>2022</v>
      </c>
      <c r="Y6097" s="234">
        <v>9</v>
      </c>
      <c r="Z6097" s="234">
        <v>11</v>
      </c>
      <c r="AA6097" s="235">
        <v>0.9583333333321207</v>
      </c>
      <c r="AB6097" s="236">
        <v>13.9</v>
      </c>
      <c r="AC6097" s="127">
        <f t="shared" si="110"/>
        <v>14</v>
      </c>
    </row>
    <row r="6098" ht="14.5" customHeight="1" spans="11:29" x14ac:dyDescent="0.25">
      <c r="K6098" s="128"/>
      <c r="X6098" s="234">
        <v>2022</v>
      </c>
      <c r="Y6098" s="234">
        <v>9</v>
      </c>
      <c r="Z6098" s="234">
        <v>12</v>
      </c>
      <c r="AA6098" s="235">
        <v>0</v>
      </c>
      <c r="AB6098" s="236">
        <v>14.5</v>
      </c>
      <c r="AC6098" s="127">
        <f t="shared" si="110"/>
        <v>15</v>
      </c>
    </row>
    <row r="6099" ht="14.5" customHeight="1" spans="11:29" x14ac:dyDescent="0.25">
      <c r="K6099" s="128"/>
      <c r="X6099" s="234">
        <v>2022</v>
      </c>
      <c r="Y6099" s="234">
        <v>9</v>
      </c>
      <c r="Z6099" s="234">
        <v>12</v>
      </c>
      <c r="AA6099" s="235">
        <v>0.041666666667879326</v>
      </c>
      <c r="AB6099" s="236">
        <v>14.8</v>
      </c>
      <c r="AC6099" s="127">
        <f t="shared" si="110"/>
        <v>15</v>
      </c>
    </row>
    <row r="6100" ht="14.5" customHeight="1" spans="11:29" x14ac:dyDescent="0.25">
      <c r="K6100" s="128"/>
      <c r="X6100" s="234">
        <v>2022</v>
      </c>
      <c r="Y6100" s="234">
        <v>9</v>
      </c>
      <c r="Z6100" s="234">
        <v>12</v>
      </c>
      <c r="AA6100" s="235">
        <v>0.08333333333212067</v>
      </c>
      <c r="AB6100" s="236">
        <v>14.1</v>
      </c>
      <c r="AC6100" s="127">
        <f t="shared" si="110"/>
        <v>14</v>
      </c>
    </row>
    <row r="6101" ht="14.5" customHeight="1" spans="11:29" x14ac:dyDescent="0.25">
      <c r="K6101" s="128"/>
      <c r="X6101" s="234">
        <v>2022</v>
      </c>
      <c r="Y6101" s="234">
        <v>9</v>
      </c>
      <c r="Z6101" s="234">
        <v>12</v>
      </c>
      <c r="AA6101" s="235">
        <v>0.125</v>
      </c>
      <c r="AB6101" s="236">
        <v>13.8</v>
      </c>
      <c r="AC6101" s="127">
        <f t="shared" si="110"/>
        <v>14</v>
      </c>
    </row>
    <row r="6102" ht="14.5" customHeight="1" spans="11:29" x14ac:dyDescent="0.25">
      <c r="K6102" s="128"/>
      <c r="X6102" s="234">
        <v>2022</v>
      </c>
      <c r="Y6102" s="234">
        <v>9</v>
      </c>
      <c r="Z6102" s="234">
        <v>12</v>
      </c>
      <c r="AA6102" s="235">
        <v>0.16666666666787933</v>
      </c>
      <c r="AB6102" s="236">
        <v>13.2</v>
      </c>
      <c r="AC6102" s="127">
        <f t="shared" si="110"/>
        <v>13</v>
      </c>
    </row>
    <row r="6103" ht="14.5" customHeight="1" spans="11:29" x14ac:dyDescent="0.25">
      <c r="K6103" s="128"/>
      <c r="X6103" s="234">
        <v>2022</v>
      </c>
      <c r="Y6103" s="234">
        <v>9</v>
      </c>
      <c r="Z6103" s="234">
        <v>12</v>
      </c>
      <c r="AA6103" s="235">
        <v>0.20833333333212067</v>
      </c>
      <c r="AB6103" s="236">
        <v>12.1</v>
      </c>
      <c r="AC6103" s="127">
        <f t="shared" si="110"/>
        <v>12</v>
      </c>
    </row>
    <row r="6104" ht="14.5" customHeight="1" spans="11:29" x14ac:dyDescent="0.25">
      <c r="K6104" s="128"/>
      <c r="X6104" s="234">
        <v>2022</v>
      </c>
      <c r="Y6104" s="234">
        <v>9</v>
      </c>
      <c r="Z6104" s="234">
        <v>12</v>
      </c>
      <c r="AA6104" s="235">
        <v>0.25</v>
      </c>
      <c r="AB6104" s="236">
        <v>11.2</v>
      </c>
      <c r="AC6104" s="127">
        <f t="shared" si="110"/>
        <v>11</v>
      </c>
    </row>
    <row r="6105" ht="14.5" customHeight="1" spans="11:29" x14ac:dyDescent="0.25">
      <c r="K6105" s="128"/>
      <c r="X6105" s="234">
        <v>2022</v>
      </c>
      <c r="Y6105" s="234">
        <v>9</v>
      </c>
      <c r="Z6105" s="234">
        <v>12</v>
      </c>
      <c r="AA6105" s="235">
        <v>0.2916666666678793</v>
      </c>
      <c r="AB6105" s="236">
        <v>10.9</v>
      </c>
      <c r="AC6105" s="127">
        <f t="shared" si="110"/>
        <v>11</v>
      </c>
    </row>
    <row r="6106" ht="14.5" customHeight="1" spans="11:29" x14ac:dyDescent="0.25">
      <c r="K6106" s="128"/>
      <c r="X6106" s="234">
        <v>2022</v>
      </c>
      <c r="Y6106" s="234">
        <v>9</v>
      </c>
      <c r="Z6106" s="234">
        <v>12</v>
      </c>
      <c r="AA6106" s="235">
        <v>0.3333333333321207</v>
      </c>
      <c r="AB6106" s="236">
        <v>12.5</v>
      </c>
      <c r="AC6106" s="127">
        <f t="shared" si="110"/>
        <v>13</v>
      </c>
    </row>
    <row r="6107" ht="14.5" customHeight="1" spans="11:29" x14ac:dyDescent="0.25">
      <c r="K6107" s="128"/>
      <c r="X6107" s="234">
        <v>2022</v>
      </c>
      <c r="Y6107" s="234">
        <v>9</v>
      </c>
      <c r="Z6107" s="234">
        <v>12</v>
      </c>
      <c r="AA6107" s="235">
        <v>0.375</v>
      </c>
      <c r="AB6107" s="236">
        <v>13.5</v>
      </c>
      <c r="AC6107" s="127">
        <f t="shared" si="110"/>
        <v>14</v>
      </c>
    </row>
    <row r="6108" ht="14.5" customHeight="1" spans="11:29" x14ac:dyDescent="0.25">
      <c r="K6108" s="128"/>
      <c r="X6108" s="234">
        <v>2022</v>
      </c>
      <c r="Y6108" s="234">
        <v>9</v>
      </c>
      <c r="Z6108" s="234">
        <v>12</v>
      </c>
      <c r="AA6108" s="235">
        <v>0.4166666666678793</v>
      </c>
      <c r="AB6108" s="236">
        <v>14.9</v>
      </c>
      <c r="AC6108" s="127">
        <f t="shared" si="110"/>
        <v>15</v>
      </c>
    </row>
    <row r="6109" ht="14.5" customHeight="1" spans="11:29" x14ac:dyDescent="0.25">
      <c r="K6109" s="128"/>
      <c r="X6109" s="234">
        <v>2022</v>
      </c>
      <c r="Y6109" s="234">
        <v>9</v>
      </c>
      <c r="Z6109" s="234">
        <v>12</v>
      </c>
      <c r="AA6109" s="235">
        <v>0.4583333333321207</v>
      </c>
      <c r="AB6109" s="236">
        <v>15.7</v>
      </c>
      <c r="AC6109" s="127">
        <f t="shared" si="110"/>
        <v>16</v>
      </c>
    </row>
    <row r="6110" ht="14.5" customHeight="1" spans="11:29" x14ac:dyDescent="0.25">
      <c r="K6110" s="128"/>
      <c r="X6110" s="234">
        <v>2022</v>
      </c>
      <c r="Y6110" s="234">
        <v>9</v>
      </c>
      <c r="Z6110" s="234">
        <v>12</v>
      </c>
      <c r="AA6110" s="235">
        <v>0.5</v>
      </c>
      <c r="AB6110" s="236">
        <v>16.7</v>
      </c>
      <c r="AC6110" s="127">
        <f t="shared" si="110"/>
        <v>17</v>
      </c>
    </row>
    <row r="6111" ht="14.5" customHeight="1" spans="11:29" x14ac:dyDescent="0.25">
      <c r="K6111" s="128"/>
      <c r="X6111" s="234">
        <v>2022</v>
      </c>
      <c r="Y6111" s="234">
        <v>9</v>
      </c>
      <c r="Z6111" s="234">
        <v>12</v>
      </c>
      <c r="AA6111" s="235">
        <v>0.5416666666678793</v>
      </c>
      <c r="AB6111" s="236">
        <v>17.9</v>
      </c>
      <c r="AC6111" s="127">
        <f t="shared" si="110"/>
        <v>18</v>
      </c>
    </row>
    <row r="6112" ht="14.5" customHeight="1" spans="11:29" x14ac:dyDescent="0.25">
      <c r="K6112" s="128"/>
      <c r="X6112" s="234">
        <v>2022</v>
      </c>
      <c r="Y6112" s="234">
        <v>9</v>
      </c>
      <c r="Z6112" s="234">
        <v>12</v>
      </c>
      <c r="AA6112" s="235">
        <v>0.5833333333321207</v>
      </c>
      <c r="AB6112" s="236">
        <v>19.8</v>
      </c>
      <c r="AC6112" s="127">
        <f t="shared" si="110"/>
        <v>20</v>
      </c>
    </row>
    <row r="6113" ht="14.5" customHeight="1" spans="11:29" x14ac:dyDescent="0.25">
      <c r="K6113" s="128"/>
      <c r="X6113" s="234">
        <v>2022</v>
      </c>
      <c r="Y6113" s="234">
        <v>9</v>
      </c>
      <c r="Z6113" s="234">
        <v>12</v>
      </c>
      <c r="AA6113" s="235">
        <v>0.625</v>
      </c>
      <c r="AB6113" s="236">
        <v>19</v>
      </c>
      <c r="AC6113" s="127">
        <f t="shared" si="110"/>
        <v>19</v>
      </c>
    </row>
    <row r="6114" ht="14.5" customHeight="1" spans="11:29" x14ac:dyDescent="0.25">
      <c r="K6114" s="128"/>
      <c r="X6114" s="234">
        <v>2022</v>
      </c>
      <c r="Y6114" s="234">
        <v>9</v>
      </c>
      <c r="Z6114" s="234">
        <v>12</v>
      </c>
      <c r="AA6114" s="235">
        <v>0.6666666666678793</v>
      </c>
      <c r="AB6114" s="236">
        <v>19.8</v>
      </c>
      <c r="AC6114" s="127">
        <f t="shared" si="110"/>
        <v>20</v>
      </c>
    </row>
    <row r="6115" ht="14.5" customHeight="1" spans="11:29" x14ac:dyDescent="0.25">
      <c r="K6115" s="128"/>
      <c r="X6115" s="234">
        <v>2022</v>
      </c>
      <c r="Y6115" s="234">
        <v>9</v>
      </c>
      <c r="Z6115" s="234">
        <v>12</v>
      </c>
      <c r="AA6115" s="235">
        <v>0.7083333333321207</v>
      </c>
      <c r="AB6115" s="236">
        <v>17.7</v>
      </c>
      <c r="AC6115" s="127">
        <f t="shared" si="110"/>
        <v>18</v>
      </c>
    </row>
    <row r="6116" ht="14.5" customHeight="1" spans="11:29" x14ac:dyDescent="0.25">
      <c r="K6116" s="128"/>
      <c r="X6116" s="234">
        <v>2022</v>
      </c>
      <c r="Y6116" s="234">
        <v>9</v>
      </c>
      <c r="Z6116" s="234">
        <v>12</v>
      </c>
      <c r="AA6116" s="235">
        <v>0.75</v>
      </c>
      <c r="AB6116" s="236">
        <v>15.7</v>
      </c>
      <c r="AC6116" s="127">
        <f t="shared" si="110"/>
        <v>16</v>
      </c>
    </row>
    <row r="6117" ht="14.5" customHeight="1" spans="11:29" x14ac:dyDescent="0.25">
      <c r="K6117" s="128"/>
      <c r="X6117" s="234">
        <v>2022</v>
      </c>
      <c r="Y6117" s="234">
        <v>9</v>
      </c>
      <c r="Z6117" s="234">
        <v>12</v>
      </c>
      <c r="AA6117" s="235">
        <v>0.7916666666678793</v>
      </c>
      <c r="AB6117" s="236">
        <v>15.1</v>
      </c>
      <c r="AC6117" s="127">
        <f t="shared" si="110"/>
        <v>15</v>
      </c>
    </row>
    <row r="6118" ht="14.5" customHeight="1" spans="11:29" x14ac:dyDescent="0.25">
      <c r="K6118" s="128"/>
      <c r="X6118" s="234">
        <v>2022</v>
      </c>
      <c r="Y6118" s="234">
        <v>9</v>
      </c>
      <c r="Z6118" s="234">
        <v>12</v>
      </c>
      <c r="AA6118" s="235">
        <v>0.8333333333321207</v>
      </c>
      <c r="AB6118" s="236">
        <v>15.2</v>
      </c>
      <c r="AC6118" s="127">
        <f t="shared" si="110"/>
        <v>15</v>
      </c>
    </row>
    <row r="6119" ht="14.5" customHeight="1" spans="11:29" x14ac:dyDescent="0.25">
      <c r="K6119" s="128"/>
      <c r="X6119" s="234">
        <v>2022</v>
      </c>
      <c r="Y6119" s="234">
        <v>9</v>
      </c>
      <c r="Z6119" s="234">
        <v>12</v>
      </c>
      <c r="AA6119" s="235">
        <v>0.875</v>
      </c>
      <c r="AB6119" s="236">
        <v>14.8</v>
      </c>
      <c r="AC6119" s="127">
        <f t="shared" si="110"/>
        <v>15</v>
      </c>
    </row>
    <row r="6120" ht="14.5" customHeight="1" spans="11:29" x14ac:dyDescent="0.25">
      <c r="K6120" s="128"/>
      <c r="X6120" s="234">
        <v>2022</v>
      </c>
      <c r="Y6120" s="234">
        <v>9</v>
      </c>
      <c r="Z6120" s="234">
        <v>12</v>
      </c>
      <c r="AA6120" s="235">
        <v>0.9166666666678793</v>
      </c>
      <c r="AB6120" s="236">
        <v>14.7</v>
      </c>
      <c r="AC6120" s="127">
        <f t="shared" si="110"/>
        <v>15</v>
      </c>
    </row>
    <row r="6121" ht="14.5" customHeight="1" spans="11:29" x14ac:dyDescent="0.25">
      <c r="K6121" s="128"/>
      <c r="X6121" s="234">
        <v>2022</v>
      </c>
      <c r="Y6121" s="234">
        <v>9</v>
      </c>
      <c r="Z6121" s="234">
        <v>12</v>
      </c>
      <c r="AA6121" s="235">
        <v>0.9583333333321207</v>
      </c>
      <c r="AB6121" s="236">
        <v>15.2</v>
      </c>
      <c r="AC6121" s="127">
        <f t="shared" si="110"/>
        <v>15</v>
      </c>
    </row>
    <row r="6122" ht="14.5" customHeight="1" spans="11:29" x14ac:dyDescent="0.25">
      <c r="K6122" s="128"/>
      <c r="X6122" s="234">
        <v>2022</v>
      </c>
      <c r="Y6122" s="234">
        <v>9</v>
      </c>
      <c r="Z6122" s="234">
        <v>13</v>
      </c>
      <c r="AA6122" s="235">
        <v>0</v>
      </c>
      <c r="AB6122" s="236">
        <v>15.1</v>
      </c>
      <c r="AC6122" s="127">
        <f t="shared" si="110"/>
        <v>15</v>
      </c>
    </row>
    <row r="6123" ht="14.5" customHeight="1" spans="11:29" x14ac:dyDescent="0.25">
      <c r="K6123" s="128"/>
      <c r="X6123" s="234">
        <v>2022</v>
      </c>
      <c r="Y6123" s="234">
        <v>9</v>
      </c>
      <c r="Z6123" s="234">
        <v>13</v>
      </c>
      <c r="AA6123" s="235">
        <v>0.041666666667879326</v>
      </c>
      <c r="AB6123" s="236">
        <v>14.2</v>
      </c>
      <c r="AC6123" s="127">
        <f t="shared" si="110"/>
        <v>14</v>
      </c>
    </row>
    <row r="6124" ht="14.5" customHeight="1" spans="11:29" x14ac:dyDescent="0.25">
      <c r="K6124" s="128"/>
      <c r="X6124" s="234">
        <v>2022</v>
      </c>
      <c r="Y6124" s="234">
        <v>9</v>
      </c>
      <c r="Z6124" s="234">
        <v>13</v>
      </c>
      <c r="AA6124" s="235">
        <v>0.08333333333212067</v>
      </c>
      <c r="AB6124" s="236">
        <v>14.3</v>
      </c>
      <c r="AC6124" s="127">
        <f t="shared" si="110"/>
        <v>14</v>
      </c>
    </row>
    <row r="6125" ht="14.5" customHeight="1" spans="11:29" x14ac:dyDescent="0.25">
      <c r="K6125" s="128"/>
      <c r="X6125" s="234">
        <v>2022</v>
      </c>
      <c r="Y6125" s="234">
        <v>9</v>
      </c>
      <c r="Z6125" s="234">
        <v>13</v>
      </c>
      <c r="AA6125" s="235">
        <v>0.125</v>
      </c>
      <c r="AB6125" s="236">
        <v>14.5</v>
      </c>
      <c r="AC6125" s="127">
        <f t="shared" si="110"/>
        <v>15</v>
      </c>
    </row>
    <row r="6126" ht="14.5" customHeight="1" spans="11:29" x14ac:dyDescent="0.25">
      <c r="K6126" s="128"/>
      <c r="X6126" s="234">
        <v>2022</v>
      </c>
      <c r="Y6126" s="234">
        <v>9</v>
      </c>
      <c r="Z6126" s="234">
        <v>13</v>
      </c>
      <c r="AA6126" s="235">
        <v>0.16666666666787933</v>
      </c>
      <c r="AB6126" s="236">
        <v>14.5</v>
      </c>
      <c r="AC6126" s="127">
        <f t="shared" si="110"/>
        <v>15</v>
      </c>
    </row>
    <row r="6127" ht="14.5" customHeight="1" spans="11:29" x14ac:dyDescent="0.25">
      <c r="K6127" s="128"/>
      <c r="X6127" s="234">
        <v>2022</v>
      </c>
      <c r="Y6127" s="234">
        <v>9</v>
      </c>
      <c r="Z6127" s="234">
        <v>13</v>
      </c>
      <c r="AA6127" s="235">
        <v>0.20833333333212067</v>
      </c>
      <c r="AB6127" s="236">
        <v>13.5</v>
      </c>
      <c r="AC6127" s="127">
        <f t="shared" si="110"/>
        <v>14</v>
      </c>
    </row>
    <row r="6128" ht="14.5" customHeight="1" spans="11:29" x14ac:dyDescent="0.25">
      <c r="K6128" s="128"/>
      <c r="X6128" s="234">
        <v>2022</v>
      </c>
      <c r="Y6128" s="234">
        <v>9</v>
      </c>
      <c r="Z6128" s="234">
        <v>13</v>
      </c>
      <c r="AA6128" s="235">
        <v>0.25</v>
      </c>
      <c r="AB6128" s="236">
        <v>14</v>
      </c>
      <c r="AC6128" s="127">
        <f t="shared" si="110"/>
        <v>14</v>
      </c>
    </row>
    <row r="6129" ht="14.5" customHeight="1" spans="11:29" x14ac:dyDescent="0.25">
      <c r="K6129" s="128"/>
      <c r="X6129" s="234">
        <v>2022</v>
      </c>
      <c r="Y6129" s="234">
        <v>9</v>
      </c>
      <c r="Z6129" s="234">
        <v>13</v>
      </c>
      <c r="AA6129" s="235">
        <v>0.2916666666678793</v>
      </c>
      <c r="AB6129" s="236">
        <v>13</v>
      </c>
      <c r="AC6129" s="127">
        <f t="shared" si="110"/>
        <v>13</v>
      </c>
    </row>
    <row r="6130" ht="14.5" customHeight="1" spans="11:29" x14ac:dyDescent="0.25">
      <c r="K6130" s="128"/>
      <c r="X6130" s="234">
        <v>2022</v>
      </c>
      <c r="Y6130" s="234">
        <v>9</v>
      </c>
      <c r="Z6130" s="234">
        <v>13</v>
      </c>
      <c r="AA6130" s="235">
        <v>0.3333333333321207</v>
      </c>
      <c r="AB6130" s="236">
        <v>13.3</v>
      </c>
      <c r="AC6130" s="127">
        <f t="shared" si="110"/>
        <v>13</v>
      </c>
    </row>
    <row r="6131" ht="14.5" customHeight="1" spans="11:29" x14ac:dyDescent="0.25">
      <c r="K6131" s="128"/>
      <c r="X6131" s="234">
        <v>2022</v>
      </c>
      <c r="Y6131" s="234">
        <v>9</v>
      </c>
      <c r="Z6131" s="234">
        <v>13</v>
      </c>
      <c r="AA6131" s="235">
        <v>0.375</v>
      </c>
      <c r="AB6131" s="236">
        <v>13.5</v>
      </c>
      <c r="AC6131" s="127">
        <f t="shared" si="110"/>
        <v>14</v>
      </c>
    </row>
    <row r="6132" ht="14.5" customHeight="1" spans="11:29" x14ac:dyDescent="0.25">
      <c r="K6132" s="128"/>
      <c r="X6132" s="234">
        <v>2022</v>
      </c>
      <c r="Y6132" s="234">
        <v>9</v>
      </c>
      <c r="Z6132" s="234">
        <v>13</v>
      </c>
      <c r="AA6132" s="235">
        <v>0.4166666666678793</v>
      </c>
      <c r="AB6132" s="236">
        <v>13.8</v>
      </c>
      <c r="AC6132" s="127">
        <f t="shared" si="110"/>
        <v>14</v>
      </c>
    </row>
    <row r="6133" ht="14.5" customHeight="1" spans="11:29" x14ac:dyDescent="0.25">
      <c r="K6133" s="128"/>
      <c r="X6133" s="234">
        <v>2022</v>
      </c>
      <c r="Y6133" s="234">
        <v>9</v>
      </c>
      <c r="Z6133" s="234">
        <v>13</v>
      </c>
      <c r="AA6133" s="235">
        <v>0.4583333333321207</v>
      </c>
      <c r="AB6133" s="236">
        <v>15.3</v>
      </c>
      <c r="AC6133" s="127">
        <f t="shared" si="110"/>
        <v>15</v>
      </c>
    </row>
    <row r="6134" ht="14.5" customHeight="1" spans="11:29" x14ac:dyDescent="0.25">
      <c r="K6134" s="128"/>
      <c r="X6134" s="234">
        <v>2022</v>
      </c>
      <c r="Y6134" s="234">
        <v>9</v>
      </c>
      <c r="Z6134" s="234">
        <v>13</v>
      </c>
      <c r="AA6134" s="235">
        <v>0.5</v>
      </c>
      <c r="AB6134" s="236">
        <v>17.1</v>
      </c>
      <c r="AC6134" s="127">
        <f t="shared" si="110"/>
        <v>17</v>
      </c>
    </row>
    <row r="6135" ht="14.5" customHeight="1" spans="11:29" x14ac:dyDescent="0.25">
      <c r="K6135" s="128"/>
      <c r="X6135" s="234">
        <v>2022</v>
      </c>
      <c r="Y6135" s="234">
        <v>9</v>
      </c>
      <c r="Z6135" s="234">
        <v>13</v>
      </c>
      <c r="AA6135" s="235">
        <v>0.5416666666678793</v>
      </c>
      <c r="AB6135" s="236">
        <v>18.5</v>
      </c>
      <c r="AC6135" s="127">
        <f t="shared" si="110"/>
        <v>19</v>
      </c>
    </row>
    <row r="6136" ht="14.5" customHeight="1" spans="11:29" x14ac:dyDescent="0.25">
      <c r="K6136" s="128"/>
      <c r="X6136" s="234">
        <v>2022</v>
      </c>
      <c r="Y6136" s="234">
        <v>9</v>
      </c>
      <c r="Z6136" s="234">
        <v>13</v>
      </c>
      <c r="AA6136" s="235">
        <v>0.5833333333321207</v>
      </c>
      <c r="AB6136" s="236">
        <v>18.7</v>
      </c>
      <c r="AC6136" s="127">
        <f t="shared" si="110"/>
        <v>19</v>
      </c>
    </row>
    <row r="6137" ht="14.5" customHeight="1" spans="11:29" x14ac:dyDescent="0.25">
      <c r="K6137" s="128"/>
      <c r="X6137" s="234">
        <v>2022</v>
      </c>
      <c r="Y6137" s="234">
        <v>9</v>
      </c>
      <c r="Z6137" s="234">
        <v>13</v>
      </c>
      <c r="AA6137" s="235">
        <v>0.625</v>
      </c>
      <c r="AB6137" s="236">
        <v>19.2</v>
      </c>
      <c r="AC6137" s="127">
        <f t="shared" si="110"/>
        <v>19</v>
      </c>
    </row>
    <row r="6138" ht="14.5" customHeight="1" spans="11:29" x14ac:dyDescent="0.25">
      <c r="K6138" s="128"/>
      <c r="X6138" s="234">
        <v>2022</v>
      </c>
      <c r="Y6138" s="234">
        <v>9</v>
      </c>
      <c r="Z6138" s="234">
        <v>13</v>
      </c>
      <c r="AA6138" s="235">
        <v>0.6666666666678793</v>
      </c>
      <c r="AB6138" s="236">
        <v>18.3</v>
      </c>
      <c r="AC6138" s="127">
        <f t="shared" si="110"/>
        <v>18</v>
      </c>
    </row>
    <row r="6139" ht="14.5" customHeight="1" spans="11:29" x14ac:dyDescent="0.25">
      <c r="K6139" s="128"/>
      <c r="X6139" s="234">
        <v>2022</v>
      </c>
      <c r="Y6139" s="234">
        <v>9</v>
      </c>
      <c r="Z6139" s="234">
        <v>13</v>
      </c>
      <c r="AA6139" s="235">
        <v>0.7083333333321207</v>
      </c>
      <c r="AB6139" s="236">
        <v>18</v>
      </c>
      <c r="AC6139" s="127">
        <f t="shared" si="110"/>
        <v>18</v>
      </c>
    </row>
    <row r="6140" ht="14.5" customHeight="1" spans="11:29" x14ac:dyDescent="0.25">
      <c r="K6140" s="128"/>
      <c r="X6140" s="234">
        <v>2022</v>
      </c>
      <c r="Y6140" s="234">
        <v>9</v>
      </c>
      <c r="Z6140" s="234">
        <v>13</v>
      </c>
      <c r="AA6140" s="235">
        <v>0.75</v>
      </c>
      <c r="AB6140" s="236">
        <v>18.3</v>
      </c>
      <c r="AC6140" s="127">
        <f t="shared" si="110"/>
        <v>18</v>
      </c>
    </row>
    <row r="6141" ht="14.5" customHeight="1" spans="11:29" x14ac:dyDescent="0.25">
      <c r="K6141" s="128"/>
      <c r="X6141" s="234">
        <v>2022</v>
      </c>
      <c r="Y6141" s="234">
        <v>9</v>
      </c>
      <c r="Z6141" s="234">
        <v>13</v>
      </c>
      <c r="AA6141" s="235">
        <v>0.7916666666678793</v>
      </c>
      <c r="AB6141" s="236">
        <v>15.3</v>
      </c>
      <c r="AC6141" s="127">
        <f t="shared" si="110"/>
        <v>15</v>
      </c>
    </row>
    <row r="6142" ht="14.5" customHeight="1" spans="11:29" x14ac:dyDescent="0.25">
      <c r="K6142" s="128"/>
      <c r="X6142" s="234">
        <v>2022</v>
      </c>
      <c r="Y6142" s="234">
        <v>9</v>
      </c>
      <c r="Z6142" s="234">
        <v>13</v>
      </c>
      <c r="AA6142" s="235">
        <v>0.8333333333321207</v>
      </c>
      <c r="AB6142" s="236">
        <v>13.5</v>
      </c>
      <c r="AC6142" s="127">
        <f t="shared" si="110"/>
        <v>14</v>
      </c>
    </row>
    <row r="6143" ht="14.5" customHeight="1" spans="11:29" x14ac:dyDescent="0.25">
      <c r="K6143" s="128"/>
      <c r="X6143" s="234">
        <v>2022</v>
      </c>
      <c r="Y6143" s="234">
        <v>9</v>
      </c>
      <c r="Z6143" s="234">
        <v>13</v>
      </c>
      <c r="AA6143" s="235">
        <v>0.875</v>
      </c>
      <c r="AB6143" s="236">
        <v>11.8</v>
      </c>
      <c r="AC6143" s="127">
        <f t="shared" si="110"/>
        <v>12</v>
      </c>
    </row>
    <row r="6144" ht="14.5" customHeight="1" spans="11:29" x14ac:dyDescent="0.25">
      <c r="K6144" s="128"/>
      <c r="X6144" s="234">
        <v>2022</v>
      </c>
      <c r="Y6144" s="234">
        <v>9</v>
      </c>
      <c r="Z6144" s="234">
        <v>13</v>
      </c>
      <c r="AA6144" s="235">
        <v>0.9166666666678793</v>
      </c>
      <c r="AB6144" s="236">
        <v>9.8</v>
      </c>
      <c r="AC6144" s="127">
        <f t="shared" si="110"/>
        <v>10</v>
      </c>
    </row>
    <row r="6145" ht="14.5" customHeight="1" spans="11:29" x14ac:dyDescent="0.25">
      <c r="K6145" s="128"/>
      <c r="X6145" s="234">
        <v>2022</v>
      </c>
      <c r="Y6145" s="234">
        <v>9</v>
      </c>
      <c r="Z6145" s="234">
        <v>13</v>
      </c>
      <c r="AA6145" s="235">
        <v>0.9583333333321207</v>
      </c>
      <c r="AB6145" s="236">
        <v>10</v>
      </c>
      <c r="AC6145" s="127">
        <f t="shared" si="110"/>
        <v>10</v>
      </c>
    </row>
    <row r="6146" ht="14.5" customHeight="1" spans="11:29" x14ac:dyDescent="0.25">
      <c r="K6146" s="128"/>
      <c r="X6146" s="234">
        <v>2022</v>
      </c>
      <c r="Y6146" s="234">
        <v>9</v>
      </c>
      <c r="Z6146" s="234">
        <v>14</v>
      </c>
      <c r="AA6146" s="235">
        <v>0</v>
      </c>
      <c r="AB6146" s="236">
        <v>9.4</v>
      </c>
      <c r="AC6146" s="127">
        <f t="shared" si="110"/>
        <v>9</v>
      </c>
    </row>
    <row r="6147" ht="14.5" customHeight="1" spans="11:29" x14ac:dyDescent="0.25">
      <c r="K6147" s="128"/>
      <c r="X6147" s="234">
        <v>2022</v>
      </c>
      <c r="Y6147" s="234">
        <v>9</v>
      </c>
      <c r="Z6147" s="234">
        <v>14</v>
      </c>
      <c r="AA6147" s="235">
        <v>0.041666666667879326</v>
      </c>
      <c r="AB6147" s="236">
        <v>10.1</v>
      </c>
      <c r="AC6147" s="127">
        <f t="shared" si="110"/>
        <v>10</v>
      </c>
    </row>
    <row r="6148" ht="14.5" customHeight="1" spans="11:29" x14ac:dyDescent="0.25">
      <c r="K6148" s="128"/>
      <c r="X6148" s="234">
        <v>2022</v>
      </c>
      <c r="Y6148" s="234">
        <v>9</v>
      </c>
      <c r="Z6148" s="234">
        <v>14</v>
      </c>
      <c r="AA6148" s="235">
        <v>0.08333333333212067</v>
      </c>
      <c r="AB6148" s="236">
        <v>11.5</v>
      </c>
      <c r="AC6148" s="127">
        <f t="shared" si="110"/>
        <v>12</v>
      </c>
    </row>
    <row r="6149" ht="14.5" customHeight="1" spans="11:29" x14ac:dyDescent="0.25">
      <c r="K6149" s="128"/>
      <c r="X6149" s="234">
        <v>2022</v>
      </c>
      <c r="Y6149" s="234">
        <v>9</v>
      </c>
      <c r="Z6149" s="234">
        <v>14</v>
      </c>
      <c r="AA6149" s="235">
        <v>0.125</v>
      </c>
      <c r="AB6149" s="236">
        <v>10.5</v>
      </c>
      <c r="AC6149" s="127">
        <f t="shared" si="110"/>
        <v>11</v>
      </c>
    </row>
    <row r="6150" ht="14.5" customHeight="1" spans="11:29" x14ac:dyDescent="0.25">
      <c r="K6150" s="128"/>
      <c r="X6150" s="234">
        <v>2022</v>
      </c>
      <c r="Y6150" s="234">
        <v>9</v>
      </c>
      <c r="Z6150" s="234">
        <v>14</v>
      </c>
      <c r="AA6150" s="235">
        <v>0.16666666666787933</v>
      </c>
      <c r="AB6150" s="236">
        <v>11</v>
      </c>
      <c r="AC6150" s="127">
        <f t="shared" si="110"/>
        <v>11</v>
      </c>
    </row>
    <row r="6151" ht="14.5" customHeight="1" spans="11:29" x14ac:dyDescent="0.25">
      <c r="K6151" s="128"/>
      <c r="X6151" s="234">
        <v>2022</v>
      </c>
      <c r="Y6151" s="234">
        <v>9</v>
      </c>
      <c r="Z6151" s="234">
        <v>14</v>
      </c>
      <c r="AA6151" s="235">
        <v>0.20833333333212067</v>
      </c>
      <c r="AB6151" s="236">
        <v>12</v>
      </c>
      <c r="AC6151" s="127">
        <f t="shared" si="110"/>
        <v>12</v>
      </c>
    </row>
    <row r="6152" ht="14.5" customHeight="1" spans="11:29" x14ac:dyDescent="0.25">
      <c r="K6152" s="128"/>
      <c r="X6152" s="234">
        <v>2022</v>
      </c>
      <c r="Y6152" s="234">
        <v>9</v>
      </c>
      <c r="Z6152" s="234">
        <v>14</v>
      </c>
      <c r="AA6152" s="235">
        <v>0.25</v>
      </c>
      <c r="AB6152" s="236">
        <v>11.9</v>
      </c>
      <c r="AC6152" s="127">
        <f t="shared" si="110"/>
        <v>12</v>
      </c>
    </row>
    <row r="6153" ht="14.5" customHeight="1" spans="11:29" x14ac:dyDescent="0.25">
      <c r="K6153" s="128"/>
      <c r="X6153" s="234">
        <v>2022</v>
      </c>
      <c r="Y6153" s="234">
        <v>9</v>
      </c>
      <c r="Z6153" s="234">
        <v>14</v>
      </c>
      <c r="AA6153" s="235">
        <v>0.2916666666678793</v>
      </c>
      <c r="AB6153" s="236">
        <v>12.2</v>
      </c>
      <c r="AC6153" s="127">
        <f t="shared" si="110"/>
        <v>12</v>
      </c>
    </row>
    <row r="6154" ht="14.5" customHeight="1" spans="11:29" x14ac:dyDescent="0.25">
      <c r="K6154" s="128"/>
      <c r="X6154" s="234">
        <v>2022</v>
      </c>
      <c r="Y6154" s="234">
        <v>9</v>
      </c>
      <c r="Z6154" s="234">
        <v>14</v>
      </c>
      <c r="AA6154" s="235">
        <v>0.3333333333321207</v>
      </c>
      <c r="AB6154" s="236">
        <v>13.1</v>
      </c>
      <c r="AC6154" s="127">
        <f t="shared" si="110"/>
        <v>13</v>
      </c>
    </row>
    <row r="6155" ht="14.5" customHeight="1" spans="11:29" x14ac:dyDescent="0.25">
      <c r="K6155" s="128"/>
      <c r="X6155" s="234">
        <v>2022</v>
      </c>
      <c r="Y6155" s="234">
        <v>9</v>
      </c>
      <c r="Z6155" s="234">
        <v>14</v>
      </c>
      <c r="AA6155" s="235">
        <v>0.375</v>
      </c>
      <c r="AB6155" s="236">
        <v>14.8</v>
      </c>
      <c r="AC6155" s="127">
        <f t="shared" ref="AC6155:AC6218" si="111">ROUND(AB6155,0)</f>
        <v>15</v>
      </c>
    </row>
    <row r="6156" ht="14.5" customHeight="1" spans="11:29" x14ac:dyDescent="0.25">
      <c r="K6156" s="128"/>
      <c r="X6156" s="234">
        <v>2022</v>
      </c>
      <c r="Y6156" s="234">
        <v>9</v>
      </c>
      <c r="Z6156" s="234">
        <v>14</v>
      </c>
      <c r="AA6156" s="235">
        <v>0.4166666666678793</v>
      </c>
      <c r="AB6156" s="236">
        <v>16</v>
      </c>
      <c r="AC6156" s="127">
        <f t="shared" si="111"/>
        <v>16</v>
      </c>
    </row>
    <row r="6157" ht="14.5" customHeight="1" spans="11:29" x14ac:dyDescent="0.25">
      <c r="K6157" s="128"/>
      <c r="X6157" s="234">
        <v>2022</v>
      </c>
      <c r="Y6157" s="234">
        <v>9</v>
      </c>
      <c r="Z6157" s="234">
        <v>14</v>
      </c>
      <c r="AA6157" s="235">
        <v>0.4583333333321207</v>
      </c>
      <c r="AB6157" s="236">
        <v>17.3</v>
      </c>
      <c r="AC6157" s="127">
        <f t="shared" si="111"/>
        <v>17</v>
      </c>
    </row>
    <row r="6158" ht="14.5" customHeight="1" spans="11:29" x14ac:dyDescent="0.25">
      <c r="K6158" s="128"/>
      <c r="X6158" s="234">
        <v>2022</v>
      </c>
      <c r="Y6158" s="234">
        <v>9</v>
      </c>
      <c r="Z6158" s="234">
        <v>14</v>
      </c>
      <c r="AA6158" s="235">
        <v>0.5</v>
      </c>
      <c r="AB6158" s="236">
        <v>18.6</v>
      </c>
      <c r="AC6158" s="127">
        <f t="shared" si="111"/>
        <v>19</v>
      </c>
    </row>
    <row r="6159" ht="14.5" customHeight="1" spans="11:29" x14ac:dyDescent="0.25">
      <c r="K6159" s="128"/>
      <c r="X6159" s="234">
        <v>2022</v>
      </c>
      <c r="Y6159" s="234">
        <v>9</v>
      </c>
      <c r="Z6159" s="234">
        <v>14</v>
      </c>
      <c r="AA6159" s="235">
        <v>0.5416666666678793</v>
      </c>
      <c r="AB6159" s="236">
        <v>19.7</v>
      </c>
      <c r="AC6159" s="127">
        <f t="shared" si="111"/>
        <v>20</v>
      </c>
    </row>
    <row r="6160" ht="14.5" customHeight="1" spans="11:29" x14ac:dyDescent="0.25">
      <c r="K6160" s="128"/>
      <c r="X6160" s="234">
        <v>2022</v>
      </c>
      <c r="Y6160" s="234">
        <v>9</v>
      </c>
      <c r="Z6160" s="234">
        <v>14</v>
      </c>
      <c r="AA6160" s="235">
        <v>0.5833333333321207</v>
      </c>
      <c r="AB6160" s="236">
        <v>20.4</v>
      </c>
      <c r="AC6160" s="127">
        <f t="shared" si="111"/>
        <v>20</v>
      </c>
    </row>
    <row r="6161" ht="14.5" customHeight="1" spans="11:29" x14ac:dyDescent="0.25">
      <c r="K6161" s="128"/>
      <c r="X6161" s="234">
        <v>2022</v>
      </c>
      <c r="Y6161" s="234">
        <v>9</v>
      </c>
      <c r="Z6161" s="234">
        <v>14</v>
      </c>
      <c r="AA6161" s="235">
        <v>0.625</v>
      </c>
      <c r="AB6161" s="236">
        <v>19.5</v>
      </c>
      <c r="AC6161" s="127">
        <f t="shared" si="111"/>
        <v>20</v>
      </c>
    </row>
    <row r="6162" ht="14.5" customHeight="1" spans="11:29" x14ac:dyDescent="0.25">
      <c r="K6162" s="128"/>
      <c r="X6162" s="234">
        <v>2022</v>
      </c>
      <c r="Y6162" s="234">
        <v>9</v>
      </c>
      <c r="Z6162" s="234">
        <v>14</v>
      </c>
      <c r="AA6162" s="235">
        <v>0.6666666666678793</v>
      </c>
      <c r="AB6162" s="236">
        <v>20.1</v>
      </c>
      <c r="AC6162" s="127">
        <f t="shared" si="111"/>
        <v>20</v>
      </c>
    </row>
    <row r="6163" ht="14.5" customHeight="1" spans="11:29" x14ac:dyDescent="0.25">
      <c r="K6163" s="128"/>
      <c r="X6163" s="234">
        <v>2022</v>
      </c>
      <c r="Y6163" s="234">
        <v>9</v>
      </c>
      <c r="Z6163" s="234">
        <v>14</v>
      </c>
      <c r="AA6163" s="235">
        <v>0.7083333333321207</v>
      </c>
      <c r="AB6163" s="236">
        <v>18.9</v>
      </c>
      <c r="AC6163" s="127">
        <f t="shared" si="111"/>
        <v>19</v>
      </c>
    </row>
    <row r="6164" ht="14.5" customHeight="1" spans="11:29" x14ac:dyDescent="0.25">
      <c r="K6164" s="128"/>
      <c r="X6164" s="234">
        <v>2022</v>
      </c>
      <c r="Y6164" s="234">
        <v>9</v>
      </c>
      <c r="Z6164" s="234">
        <v>14</v>
      </c>
      <c r="AA6164" s="235">
        <v>0.75</v>
      </c>
      <c r="AB6164" s="236">
        <v>18.4</v>
      </c>
      <c r="AC6164" s="127">
        <f t="shared" si="111"/>
        <v>18</v>
      </c>
    </row>
    <row r="6165" ht="14.5" customHeight="1" spans="11:29" x14ac:dyDescent="0.25">
      <c r="K6165" s="128"/>
      <c r="X6165" s="234">
        <v>2022</v>
      </c>
      <c r="Y6165" s="234">
        <v>9</v>
      </c>
      <c r="Z6165" s="234">
        <v>14</v>
      </c>
      <c r="AA6165" s="235">
        <v>0.7916666666678793</v>
      </c>
      <c r="AB6165" s="236">
        <v>16.4</v>
      </c>
      <c r="AC6165" s="127">
        <f t="shared" si="111"/>
        <v>16</v>
      </c>
    </row>
    <row r="6166" ht="14.5" customHeight="1" spans="11:29" x14ac:dyDescent="0.25">
      <c r="K6166" s="128"/>
      <c r="X6166" s="234">
        <v>2022</v>
      </c>
      <c r="Y6166" s="234">
        <v>9</v>
      </c>
      <c r="Z6166" s="234">
        <v>14</v>
      </c>
      <c r="AA6166" s="235">
        <v>0.8333333333321207</v>
      </c>
      <c r="AB6166" s="236">
        <v>15.3</v>
      </c>
      <c r="AC6166" s="127">
        <f t="shared" si="111"/>
        <v>15</v>
      </c>
    </row>
    <row r="6167" ht="14.5" customHeight="1" spans="11:29" x14ac:dyDescent="0.25">
      <c r="K6167" s="128"/>
      <c r="X6167" s="234">
        <v>2022</v>
      </c>
      <c r="Y6167" s="234">
        <v>9</v>
      </c>
      <c r="Z6167" s="234">
        <v>14</v>
      </c>
      <c r="AA6167" s="235">
        <v>0.875</v>
      </c>
      <c r="AB6167" s="236">
        <v>14</v>
      </c>
      <c r="AC6167" s="127">
        <f t="shared" si="111"/>
        <v>14</v>
      </c>
    </row>
    <row r="6168" ht="14.5" customHeight="1" spans="11:29" x14ac:dyDescent="0.25">
      <c r="K6168" s="128"/>
      <c r="X6168" s="234">
        <v>2022</v>
      </c>
      <c r="Y6168" s="234">
        <v>9</v>
      </c>
      <c r="Z6168" s="234">
        <v>14</v>
      </c>
      <c r="AA6168" s="235">
        <v>0.9166666666678793</v>
      </c>
      <c r="AB6168" s="236">
        <v>12.7</v>
      </c>
      <c r="AC6168" s="127">
        <f t="shared" si="111"/>
        <v>13</v>
      </c>
    </row>
    <row r="6169" ht="14.5" customHeight="1" spans="11:29" x14ac:dyDescent="0.25">
      <c r="K6169" s="128"/>
      <c r="X6169" s="234">
        <v>2022</v>
      </c>
      <c r="Y6169" s="234">
        <v>9</v>
      </c>
      <c r="Z6169" s="234">
        <v>14</v>
      </c>
      <c r="AA6169" s="235">
        <v>0.9583333333321207</v>
      </c>
      <c r="AB6169" s="236">
        <v>12.2</v>
      </c>
      <c r="AC6169" s="127">
        <f t="shared" si="111"/>
        <v>12</v>
      </c>
    </row>
    <row r="6170" ht="14.5" customHeight="1" spans="11:29" x14ac:dyDescent="0.25">
      <c r="K6170" s="128"/>
      <c r="X6170" s="234">
        <v>2022</v>
      </c>
      <c r="Y6170" s="234">
        <v>9</v>
      </c>
      <c r="Z6170" s="234">
        <v>15</v>
      </c>
      <c r="AA6170" s="235">
        <v>0</v>
      </c>
      <c r="AB6170" s="236">
        <v>11</v>
      </c>
      <c r="AC6170" s="127">
        <f t="shared" si="111"/>
        <v>11</v>
      </c>
    </row>
    <row r="6171" ht="14.5" customHeight="1" spans="11:29" x14ac:dyDescent="0.25">
      <c r="K6171" s="128"/>
      <c r="X6171" s="234">
        <v>2022</v>
      </c>
      <c r="Y6171" s="234">
        <v>9</v>
      </c>
      <c r="Z6171" s="234">
        <v>15</v>
      </c>
      <c r="AA6171" s="235">
        <v>0.041666666667879326</v>
      </c>
      <c r="AB6171" s="236">
        <v>9.3</v>
      </c>
      <c r="AC6171" s="127">
        <f t="shared" si="111"/>
        <v>9</v>
      </c>
    </row>
    <row r="6172" ht="14.5" customHeight="1" spans="11:29" x14ac:dyDescent="0.25">
      <c r="K6172" s="128"/>
      <c r="X6172" s="234">
        <v>2022</v>
      </c>
      <c r="Y6172" s="234">
        <v>9</v>
      </c>
      <c r="Z6172" s="234">
        <v>15</v>
      </c>
      <c r="AA6172" s="235">
        <v>0.08333333333212067</v>
      </c>
      <c r="AB6172" s="236">
        <v>8.6</v>
      </c>
      <c r="AC6172" s="127">
        <f t="shared" si="111"/>
        <v>9</v>
      </c>
    </row>
    <row r="6173" ht="14.5" customHeight="1" spans="11:29" x14ac:dyDescent="0.25">
      <c r="K6173" s="128"/>
      <c r="X6173" s="234">
        <v>2022</v>
      </c>
      <c r="Y6173" s="234">
        <v>9</v>
      </c>
      <c r="Z6173" s="234">
        <v>15</v>
      </c>
      <c r="AA6173" s="235">
        <v>0.125</v>
      </c>
      <c r="AB6173" s="236">
        <v>7.2</v>
      </c>
      <c r="AC6173" s="127">
        <f t="shared" si="111"/>
        <v>7</v>
      </c>
    </row>
    <row r="6174" ht="14.5" customHeight="1" spans="11:29" x14ac:dyDescent="0.25">
      <c r="K6174" s="128"/>
      <c r="X6174" s="234">
        <v>2022</v>
      </c>
      <c r="Y6174" s="234">
        <v>9</v>
      </c>
      <c r="Z6174" s="234">
        <v>15</v>
      </c>
      <c r="AA6174" s="235">
        <v>0.16666666666787933</v>
      </c>
      <c r="AB6174" s="236">
        <v>7.4</v>
      </c>
      <c r="AC6174" s="127">
        <f t="shared" si="111"/>
        <v>7</v>
      </c>
    </row>
    <row r="6175" ht="14.5" customHeight="1" spans="11:29" x14ac:dyDescent="0.25">
      <c r="K6175" s="128"/>
      <c r="X6175" s="234">
        <v>2022</v>
      </c>
      <c r="Y6175" s="234">
        <v>9</v>
      </c>
      <c r="Z6175" s="234">
        <v>15</v>
      </c>
      <c r="AA6175" s="235">
        <v>0.20833333333212067</v>
      </c>
      <c r="AB6175" s="236">
        <v>6.5</v>
      </c>
      <c r="AC6175" s="127">
        <f t="shared" si="111"/>
        <v>7</v>
      </c>
    </row>
    <row r="6176" ht="14.5" customHeight="1" spans="11:29" x14ac:dyDescent="0.25">
      <c r="K6176" s="128"/>
      <c r="X6176" s="234">
        <v>2022</v>
      </c>
      <c r="Y6176" s="234">
        <v>9</v>
      </c>
      <c r="Z6176" s="234">
        <v>15</v>
      </c>
      <c r="AA6176" s="235">
        <v>0.25</v>
      </c>
      <c r="AB6176" s="236">
        <v>6.4</v>
      </c>
      <c r="AC6176" s="127">
        <f t="shared" si="111"/>
        <v>6</v>
      </c>
    </row>
    <row r="6177" ht="14.5" customHeight="1" spans="11:29" x14ac:dyDescent="0.25">
      <c r="K6177" s="128"/>
      <c r="X6177" s="234">
        <v>2022</v>
      </c>
      <c r="Y6177" s="234">
        <v>9</v>
      </c>
      <c r="Z6177" s="234">
        <v>15</v>
      </c>
      <c r="AA6177" s="235">
        <v>0.2916666666678793</v>
      </c>
      <c r="AB6177" s="236">
        <v>7.8</v>
      </c>
      <c r="AC6177" s="127">
        <f t="shared" si="111"/>
        <v>8</v>
      </c>
    </row>
    <row r="6178" ht="14.5" customHeight="1" spans="11:29" x14ac:dyDescent="0.25">
      <c r="K6178" s="128"/>
      <c r="X6178" s="234">
        <v>2022</v>
      </c>
      <c r="Y6178" s="234">
        <v>9</v>
      </c>
      <c r="Z6178" s="234">
        <v>15</v>
      </c>
      <c r="AA6178" s="235">
        <v>0.3333333333321207</v>
      </c>
      <c r="AB6178" s="236">
        <v>9.8</v>
      </c>
      <c r="AC6178" s="127">
        <f t="shared" si="111"/>
        <v>10</v>
      </c>
    </row>
    <row r="6179" ht="14.5" customHeight="1" spans="11:29" x14ac:dyDescent="0.25">
      <c r="K6179" s="128"/>
      <c r="X6179" s="234">
        <v>2022</v>
      </c>
      <c r="Y6179" s="234">
        <v>9</v>
      </c>
      <c r="Z6179" s="234">
        <v>15</v>
      </c>
      <c r="AA6179" s="235">
        <v>0.375</v>
      </c>
      <c r="AB6179" s="236">
        <v>12.9</v>
      </c>
      <c r="AC6179" s="127">
        <f t="shared" si="111"/>
        <v>13</v>
      </c>
    </row>
    <row r="6180" ht="14.5" customHeight="1" spans="11:29" x14ac:dyDescent="0.25">
      <c r="K6180" s="128"/>
      <c r="X6180" s="234">
        <v>2022</v>
      </c>
      <c r="Y6180" s="234">
        <v>9</v>
      </c>
      <c r="Z6180" s="234">
        <v>15</v>
      </c>
      <c r="AA6180" s="235">
        <v>0.4166666666678793</v>
      </c>
      <c r="AB6180" s="236">
        <v>15.1</v>
      </c>
      <c r="AC6180" s="127">
        <f t="shared" si="111"/>
        <v>15</v>
      </c>
    </row>
    <row r="6181" ht="14.5" customHeight="1" spans="11:29" x14ac:dyDescent="0.25">
      <c r="K6181" s="128"/>
      <c r="X6181" s="234">
        <v>2022</v>
      </c>
      <c r="Y6181" s="234">
        <v>9</v>
      </c>
      <c r="Z6181" s="234">
        <v>15</v>
      </c>
      <c r="AA6181" s="235">
        <v>0.4583333333321207</v>
      </c>
      <c r="AB6181" s="236">
        <v>18.8</v>
      </c>
      <c r="AC6181" s="127">
        <f t="shared" si="111"/>
        <v>19</v>
      </c>
    </row>
    <row r="6182" ht="14.5" customHeight="1" spans="11:29" x14ac:dyDescent="0.25">
      <c r="K6182" s="128"/>
      <c r="X6182" s="234">
        <v>2022</v>
      </c>
      <c r="Y6182" s="234">
        <v>9</v>
      </c>
      <c r="Z6182" s="234">
        <v>15</v>
      </c>
      <c r="AA6182" s="235">
        <v>0.5</v>
      </c>
      <c r="AB6182" s="236">
        <v>21.1</v>
      </c>
      <c r="AC6182" s="127">
        <f t="shared" si="111"/>
        <v>21</v>
      </c>
    </row>
    <row r="6183" ht="14.5" customHeight="1" spans="11:29" x14ac:dyDescent="0.25">
      <c r="K6183" s="128"/>
      <c r="X6183" s="234">
        <v>2022</v>
      </c>
      <c r="Y6183" s="234">
        <v>9</v>
      </c>
      <c r="Z6183" s="234">
        <v>15</v>
      </c>
      <c r="AA6183" s="235">
        <v>0.5416666666678793</v>
      </c>
      <c r="AB6183" s="236">
        <v>21.3</v>
      </c>
      <c r="AC6183" s="127">
        <f t="shared" si="111"/>
        <v>21</v>
      </c>
    </row>
    <row r="6184" ht="14.5" customHeight="1" spans="11:29" x14ac:dyDescent="0.25">
      <c r="K6184" s="128"/>
      <c r="X6184" s="234">
        <v>2022</v>
      </c>
      <c r="Y6184" s="234">
        <v>9</v>
      </c>
      <c r="Z6184" s="234">
        <v>15</v>
      </c>
      <c r="AA6184" s="235">
        <v>0.5833333333321207</v>
      </c>
      <c r="AB6184" s="236">
        <v>22.1</v>
      </c>
      <c r="AC6184" s="127">
        <f t="shared" si="111"/>
        <v>22</v>
      </c>
    </row>
    <row r="6185" ht="14.5" customHeight="1" spans="11:29" x14ac:dyDescent="0.25">
      <c r="K6185" s="128"/>
      <c r="X6185" s="234">
        <v>2022</v>
      </c>
      <c r="Y6185" s="234">
        <v>9</v>
      </c>
      <c r="Z6185" s="234">
        <v>15</v>
      </c>
      <c r="AA6185" s="235">
        <v>0.625</v>
      </c>
      <c r="AB6185" s="236">
        <v>21.5</v>
      </c>
      <c r="AC6185" s="127">
        <f t="shared" si="111"/>
        <v>22</v>
      </c>
    </row>
    <row r="6186" ht="14.5" customHeight="1" spans="11:29" x14ac:dyDescent="0.25">
      <c r="K6186" s="128"/>
      <c r="X6186" s="234">
        <v>2022</v>
      </c>
      <c r="Y6186" s="234">
        <v>9</v>
      </c>
      <c r="Z6186" s="234">
        <v>15</v>
      </c>
      <c r="AA6186" s="235">
        <v>0.6666666666678793</v>
      </c>
      <c r="AB6186" s="236">
        <v>22.4</v>
      </c>
      <c r="AC6186" s="127">
        <f t="shared" si="111"/>
        <v>22</v>
      </c>
    </row>
    <row r="6187" ht="14.5" customHeight="1" spans="11:29" x14ac:dyDescent="0.25">
      <c r="K6187" s="128"/>
      <c r="X6187" s="234">
        <v>2022</v>
      </c>
      <c r="Y6187" s="234">
        <v>9</v>
      </c>
      <c r="Z6187" s="234">
        <v>15</v>
      </c>
      <c r="AA6187" s="235">
        <v>0.7083333333321207</v>
      </c>
      <c r="AB6187" s="236">
        <v>21.5</v>
      </c>
      <c r="AC6187" s="127">
        <f t="shared" si="111"/>
        <v>22</v>
      </c>
    </row>
    <row r="6188" ht="14.5" customHeight="1" spans="11:29" x14ac:dyDescent="0.25">
      <c r="K6188" s="128"/>
      <c r="X6188" s="234">
        <v>2022</v>
      </c>
      <c r="Y6188" s="234">
        <v>9</v>
      </c>
      <c r="Z6188" s="234">
        <v>15</v>
      </c>
      <c r="AA6188" s="235">
        <v>0.75</v>
      </c>
      <c r="AB6188" s="236">
        <v>19.9</v>
      </c>
      <c r="AC6188" s="127">
        <f t="shared" si="111"/>
        <v>20</v>
      </c>
    </row>
    <row r="6189" ht="14.5" customHeight="1" spans="11:29" x14ac:dyDescent="0.25">
      <c r="K6189" s="128"/>
      <c r="X6189" s="234">
        <v>2022</v>
      </c>
      <c r="Y6189" s="234">
        <v>9</v>
      </c>
      <c r="Z6189" s="234">
        <v>15</v>
      </c>
      <c r="AA6189" s="235">
        <v>0.7916666666678793</v>
      </c>
      <c r="AB6189" s="236">
        <v>16.7</v>
      </c>
      <c r="AC6189" s="127">
        <f t="shared" si="111"/>
        <v>17</v>
      </c>
    </row>
    <row r="6190" ht="14.5" customHeight="1" spans="11:29" x14ac:dyDescent="0.25">
      <c r="K6190" s="128"/>
      <c r="X6190" s="234">
        <v>2022</v>
      </c>
      <c r="Y6190" s="234">
        <v>9</v>
      </c>
      <c r="Z6190" s="234">
        <v>15</v>
      </c>
      <c r="AA6190" s="235">
        <v>0.8333333333321207</v>
      </c>
      <c r="AB6190" s="236">
        <v>15.3</v>
      </c>
      <c r="AC6190" s="127">
        <f t="shared" si="111"/>
        <v>15</v>
      </c>
    </row>
    <row r="6191" ht="14.5" customHeight="1" spans="11:29" x14ac:dyDescent="0.25">
      <c r="K6191" s="128"/>
      <c r="X6191" s="234">
        <v>2022</v>
      </c>
      <c r="Y6191" s="234">
        <v>9</v>
      </c>
      <c r="Z6191" s="234">
        <v>15</v>
      </c>
      <c r="AA6191" s="235">
        <v>0.875</v>
      </c>
      <c r="AB6191" s="236">
        <v>13.9</v>
      </c>
      <c r="AC6191" s="127">
        <f t="shared" si="111"/>
        <v>14</v>
      </c>
    </row>
    <row r="6192" ht="14.5" customHeight="1" spans="11:29" x14ac:dyDescent="0.25">
      <c r="K6192" s="128"/>
      <c r="X6192" s="234">
        <v>2022</v>
      </c>
      <c r="Y6192" s="234">
        <v>9</v>
      </c>
      <c r="Z6192" s="234">
        <v>15</v>
      </c>
      <c r="AA6192" s="235">
        <v>0.9166666666678793</v>
      </c>
      <c r="AB6192" s="236">
        <v>12.9</v>
      </c>
      <c r="AC6192" s="127">
        <f t="shared" si="111"/>
        <v>13</v>
      </c>
    </row>
    <row r="6193" ht="14.5" customHeight="1" spans="11:29" x14ac:dyDescent="0.25">
      <c r="K6193" s="128"/>
      <c r="X6193" s="234">
        <v>2022</v>
      </c>
      <c r="Y6193" s="234">
        <v>9</v>
      </c>
      <c r="Z6193" s="234">
        <v>15</v>
      </c>
      <c r="AA6193" s="235">
        <v>0.9583333333321207</v>
      </c>
      <c r="AB6193" s="236">
        <v>11.3</v>
      </c>
      <c r="AC6193" s="127">
        <f t="shared" si="111"/>
        <v>11</v>
      </c>
    </row>
    <row r="6194" ht="14.5" customHeight="1" spans="11:29" x14ac:dyDescent="0.25">
      <c r="K6194" s="128"/>
      <c r="X6194" s="234">
        <v>2022</v>
      </c>
      <c r="Y6194" s="234">
        <v>9</v>
      </c>
      <c r="Z6194" s="234">
        <v>16</v>
      </c>
      <c r="AA6194" s="235">
        <v>0</v>
      </c>
      <c r="AB6194" s="236">
        <v>11.7</v>
      </c>
      <c r="AC6194" s="127">
        <f t="shared" si="111"/>
        <v>12</v>
      </c>
    </row>
    <row r="6195" ht="14.5" customHeight="1" spans="11:29" x14ac:dyDescent="0.25">
      <c r="K6195" s="128"/>
      <c r="X6195" s="234">
        <v>2022</v>
      </c>
      <c r="Y6195" s="234">
        <v>9</v>
      </c>
      <c r="Z6195" s="234">
        <v>16</v>
      </c>
      <c r="AA6195" s="235">
        <v>0.041666666667879326</v>
      </c>
      <c r="AB6195" s="236">
        <v>11</v>
      </c>
      <c r="AC6195" s="127">
        <f t="shared" si="111"/>
        <v>11</v>
      </c>
    </row>
    <row r="6196" ht="14.5" customHeight="1" spans="11:29" x14ac:dyDescent="0.25">
      <c r="K6196" s="128"/>
      <c r="X6196" s="234">
        <v>2022</v>
      </c>
      <c r="Y6196" s="234">
        <v>9</v>
      </c>
      <c r="Z6196" s="234">
        <v>16</v>
      </c>
      <c r="AA6196" s="235">
        <v>0.08333333333212067</v>
      </c>
      <c r="AB6196" s="236">
        <v>10.4</v>
      </c>
      <c r="AC6196" s="127">
        <f t="shared" si="111"/>
        <v>10</v>
      </c>
    </row>
    <row r="6197" ht="14.5" customHeight="1" spans="11:29" x14ac:dyDescent="0.25">
      <c r="K6197" s="128"/>
      <c r="X6197" s="234">
        <v>2022</v>
      </c>
      <c r="Y6197" s="234">
        <v>9</v>
      </c>
      <c r="Z6197" s="234">
        <v>16</v>
      </c>
      <c r="AA6197" s="235">
        <v>0.125</v>
      </c>
      <c r="AB6197" s="236">
        <v>10.3</v>
      </c>
      <c r="AC6197" s="127">
        <f t="shared" si="111"/>
        <v>10</v>
      </c>
    </row>
    <row r="6198" ht="14.5" customHeight="1" spans="11:29" x14ac:dyDescent="0.25">
      <c r="K6198" s="128"/>
      <c r="X6198" s="234">
        <v>2022</v>
      </c>
      <c r="Y6198" s="234">
        <v>9</v>
      </c>
      <c r="Z6198" s="234">
        <v>16</v>
      </c>
      <c r="AA6198" s="235">
        <v>0.16666666666787933</v>
      </c>
      <c r="AB6198" s="236">
        <v>9.4</v>
      </c>
      <c r="AC6198" s="127">
        <f t="shared" si="111"/>
        <v>9</v>
      </c>
    </row>
    <row r="6199" ht="14.5" customHeight="1" spans="11:29" x14ac:dyDescent="0.25">
      <c r="K6199" s="128"/>
      <c r="X6199" s="234">
        <v>2022</v>
      </c>
      <c r="Y6199" s="234">
        <v>9</v>
      </c>
      <c r="Z6199" s="234">
        <v>16</v>
      </c>
      <c r="AA6199" s="235">
        <v>0.20833333333212067</v>
      </c>
      <c r="AB6199" s="236">
        <v>8</v>
      </c>
      <c r="AC6199" s="127">
        <f t="shared" si="111"/>
        <v>8</v>
      </c>
    </row>
    <row r="6200" ht="14.5" customHeight="1" spans="11:29" x14ac:dyDescent="0.25">
      <c r="K6200" s="128"/>
      <c r="X6200" s="234">
        <v>2022</v>
      </c>
      <c r="Y6200" s="234">
        <v>9</v>
      </c>
      <c r="Z6200" s="234">
        <v>16</v>
      </c>
      <c r="AA6200" s="235">
        <v>0.25</v>
      </c>
      <c r="AB6200" s="236">
        <v>7.1</v>
      </c>
      <c r="AC6200" s="127">
        <f t="shared" si="111"/>
        <v>7</v>
      </c>
    </row>
    <row r="6201" ht="14.5" customHeight="1" spans="11:29" x14ac:dyDescent="0.25">
      <c r="K6201" s="128"/>
      <c r="X6201" s="234">
        <v>2022</v>
      </c>
      <c r="Y6201" s="234">
        <v>9</v>
      </c>
      <c r="Z6201" s="234">
        <v>16</v>
      </c>
      <c r="AA6201" s="235">
        <v>0.2916666666678793</v>
      </c>
      <c r="AB6201" s="236">
        <v>7.4</v>
      </c>
      <c r="AC6201" s="127">
        <f t="shared" si="111"/>
        <v>7</v>
      </c>
    </row>
    <row r="6202" ht="14.5" customHeight="1" spans="11:29" x14ac:dyDescent="0.25">
      <c r="K6202" s="128"/>
      <c r="X6202" s="234">
        <v>2022</v>
      </c>
      <c r="Y6202" s="234">
        <v>9</v>
      </c>
      <c r="Z6202" s="234">
        <v>16</v>
      </c>
      <c r="AA6202" s="235">
        <v>0.3333333333321207</v>
      </c>
      <c r="AB6202" s="236">
        <v>10.2</v>
      </c>
      <c r="AC6202" s="127">
        <f t="shared" si="111"/>
        <v>10</v>
      </c>
    </row>
    <row r="6203" ht="14.5" customHeight="1" spans="11:29" x14ac:dyDescent="0.25">
      <c r="K6203" s="128"/>
      <c r="X6203" s="234">
        <v>2022</v>
      </c>
      <c r="Y6203" s="234">
        <v>9</v>
      </c>
      <c r="Z6203" s="234">
        <v>16</v>
      </c>
      <c r="AA6203" s="235">
        <v>0.375</v>
      </c>
      <c r="AB6203" s="236">
        <v>12.5</v>
      </c>
      <c r="AC6203" s="127">
        <f t="shared" si="111"/>
        <v>13</v>
      </c>
    </row>
    <row r="6204" ht="14.5" customHeight="1" spans="11:29" x14ac:dyDescent="0.25">
      <c r="K6204" s="128"/>
      <c r="X6204" s="234">
        <v>2022</v>
      </c>
      <c r="Y6204" s="234">
        <v>9</v>
      </c>
      <c r="Z6204" s="234">
        <v>16</v>
      </c>
      <c r="AA6204" s="235">
        <v>0.4166666666678793</v>
      </c>
      <c r="AB6204" s="236">
        <v>15.2</v>
      </c>
      <c r="AC6204" s="127">
        <f t="shared" si="111"/>
        <v>15</v>
      </c>
    </row>
    <row r="6205" ht="14.5" customHeight="1" spans="11:29" x14ac:dyDescent="0.25">
      <c r="K6205" s="128"/>
      <c r="X6205" s="234">
        <v>2022</v>
      </c>
      <c r="Y6205" s="234">
        <v>9</v>
      </c>
      <c r="Z6205" s="234">
        <v>16</v>
      </c>
      <c r="AA6205" s="235">
        <v>0.4583333333321207</v>
      </c>
      <c r="AB6205" s="236">
        <v>18.2</v>
      </c>
      <c r="AC6205" s="127">
        <f t="shared" si="111"/>
        <v>18</v>
      </c>
    </row>
    <row r="6206" ht="14.5" customHeight="1" spans="11:29" x14ac:dyDescent="0.25">
      <c r="K6206" s="128"/>
      <c r="X6206" s="234">
        <v>2022</v>
      </c>
      <c r="Y6206" s="234">
        <v>9</v>
      </c>
      <c r="Z6206" s="234">
        <v>16</v>
      </c>
      <c r="AA6206" s="235">
        <v>0.5</v>
      </c>
      <c r="AB6206" s="236">
        <v>19.4</v>
      </c>
      <c r="AC6206" s="127">
        <f t="shared" si="111"/>
        <v>19</v>
      </c>
    </row>
    <row r="6207" ht="14.5" customHeight="1" spans="11:29" x14ac:dyDescent="0.25">
      <c r="K6207" s="128"/>
      <c r="X6207" s="234">
        <v>2022</v>
      </c>
      <c r="Y6207" s="234">
        <v>9</v>
      </c>
      <c r="Z6207" s="234">
        <v>16</v>
      </c>
      <c r="AA6207" s="235">
        <v>0.5416666666678793</v>
      </c>
      <c r="AB6207" s="236">
        <v>20.1</v>
      </c>
      <c r="AC6207" s="127">
        <f t="shared" si="111"/>
        <v>20</v>
      </c>
    </row>
    <row r="6208" ht="14.5" customHeight="1" spans="11:29" x14ac:dyDescent="0.25">
      <c r="K6208" s="128"/>
      <c r="X6208" s="234">
        <v>2022</v>
      </c>
      <c r="Y6208" s="234">
        <v>9</v>
      </c>
      <c r="Z6208" s="234">
        <v>16</v>
      </c>
      <c r="AA6208" s="235">
        <v>0.5833333333321207</v>
      </c>
      <c r="AB6208" s="236">
        <v>20.6</v>
      </c>
      <c r="AC6208" s="127">
        <f t="shared" si="111"/>
        <v>21</v>
      </c>
    </row>
    <row r="6209" ht="14.5" customHeight="1" spans="11:29" x14ac:dyDescent="0.25">
      <c r="K6209" s="128"/>
      <c r="X6209" s="234">
        <v>2022</v>
      </c>
      <c r="Y6209" s="234">
        <v>9</v>
      </c>
      <c r="Z6209" s="234">
        <v>16</v>
      </c>
      <c r="AA6209" s="235">
        <v>0.625</v>
      </c>
      <c r="AB6209" s="236">
        <v>21.6</v>
      </c>
      <c r="AC6209" s="127">
        <f t="shared" si="111"/>
        <v>22</v>
      </c>
    </row>
    <row r="6210" ht="14.5" customHeight="1" spans="11:29" x14ac:dyDescent="0.25">
      <c r="K6210" s="128"/>
      <c r="X6210" s="234">
        <v>2022</v>
      </c>
      <c r="Y6210" s="234">
        <v>9</v>
      </c>
      <c r="Z6210" s="234">
        <v>16</v>
      </c>
      <c r="AA6210" s="235">
        <v>0.6666666666678793</v>
      </c>
      <c r="AB6210" s="236">
        <v>20.6</v>
      </c>
      <c r="AC6210" s="127">
        <f t="shared" si="111"/>
        <v>21</v>
      </c>
    </row>
    <row r="6211" ht="14.5" customHeight="1" spans="11:29" x14ac:dyDescent="0.25">
      <c r="K6211" s="128"/>
      <c r="X6211" s="234">
        <v>2022</v>
      </c>
      <c r="Y6211" s="234">
        <v>9</v>
      </c>
      <c r="Z6211" s="234">
        <v>16</v>
      </c>
      <c r="AA6211" s="235">
        <v>0.7083333333321207</v>
      </c>
      <c r="AB6211" s="236">
        <v>20.8</v>
      </c>
      <c r="AC6211" s="127">
        <f t="shared" si="111"/>
        <v>21</v>
      </c>
    </row>
    <row r="6212" ht="14.5" customHeight="1" spans="11:29" x14ac:dyDescent="0.25">
      <c r="K6212" s="128"/>
      <c r="X6212" s="234">
        <v>2022</v>
      </c>
      <c r="Y6212" s="234">
        <v>9</v>
      </c>
      <c r="Z6212" s="234">
        <v>16</v>
      </c>
      <c r="AA6212" s="235">
        <v>0.75</v>
      </c>
      <c r="AB6212" s="236">
        <v>18.7</v>
      </c>
      <c r="AC6212" s="127">
        <f t="shared" si="111"/>
        <v>19</v>
      </c>
    </row>
    <row r="6213" ht="14.5" customHeight="1" spans="11:29" x14ac:dyDescent="0.25">
      <c r="K6213" s="128"/>
      <c r="X6213" s="234">
        <v>2022</v>
      </c>
      <c r="Y6213" s="234">
        <v>9</v>
      </c>
      <c r="Z6213" s="234">
        <v>16</v>
      </c>
      <c r="AA6213" s="235">
        <v>0.7916666666678793</v>
      </c>
      <c r="AB6213" s="236">
        <v>18.1</v>
      </c>
      <c r="AC6213" s="127">
        <f t="shared" si="111"/>
        <v>18</v>
      </c>
    </row>
    <row r="6214" ht="14.5" customHeight="1" spans="11:29" x14ac:dyDescent="0.25">
      <c r="K6214" s="128"/>
      <c r="X6214" s="234">
        <v>2022</v>
      </c>
      <c r="Y6214" s="234">
        <v>9</v>
      </c>
      <c r="Z6214" s="234">
        <v>16</v>
      </c>
      <c r="AA6214" s="235">
        <v>0.8333333333321207</v>
      </c>
      <c r="AB6214" s="236">
        <v>14.4</v>
      </c>
      <c r="AC6214" s="127">
        <f t="shared" si="111"/>
        <v>14</v>
      </c>
    </row>
    <row r="6215" ht="14.5" customHeight="1" spans="11:29" x14ac:dyDescent="0.25">
      <c r="K6215" s="128"/>
      <c r="X6215" s="234">
        <v>2022</v>
      </c>
      <c r="Y6215" s="234">
        <v>9</v>
      </c>
      <c r="Z6215" s="234">
        <v>16</v>
      </c>
      <c r="AA6215" s="235">
        <v>0.875</v>
      </c>
      <c r="AB6215" s="236">
        <v>13.3</v>
      </c>
      <c r="AC6215" s="127">
        <f t="shared" si="111"/>
        <v>13</v>
      </c>
    </row>
    <row r="6216" ht="14.5" customHeight="1" spans="11:29" x14ac:dyDescent="0.25">
      <c r="K6216" s="128"/>
      <c r="X6216" s="234">
        <v>2022</v>
      </c>
      <c r="Y6216" s="234">
        <v>9</v>
      </c>
      <c r="Z6216" s="234">
        <v>16</v>
      </c>
      <c r="AA6216" s="235">
        <v>0.9166666666678793</v>
      </c>
      <c r="AB6216" s="236">
        <v>9.7</v>
      </c>
      <c r="AC6216" s="127">
        <f t="shared" si="111"/>
        <v>10</v>
      </c>
    </row>
    <row r="6217" ht="14.5" customHeight="1" spans="11:29" x14ac:dyDescent="0.25">
      <c r="K6217" s="128"/>
      <c r="X6217" s="234">
        <v>2022</v>
      </c>
      <c r="Y6217" s="234">
        <v>9</v>
      </c>
      <c r="Z6217" s="234">
        <v>16</v>
      </c>
      <c r="AA6217" s="235">
        <v>0.9583333333321207</v>
      </c>
      <c r="AB6217" s="236">
        <v>10.1</v>
      </c>
      <c r="AC6217" s="127">
        <f t="shared" si="111"/>
        <v>10</v>
      </c>
    </row>
    <row r="6218" ht="14.5" customHeight="1" spans="11:29" x14ac:dyDescent="0.25">
      <c r="K6218" s="128"/>
      <c r="X6218" s="234">
        <v>2022</v>
      </c>
      <c r="Y6218" s="234">
        <v>9</v>
      </c>
      <c r="Z6218" s="234">
        <v>17</v>
      </c>
      <c r="AA6218" s="235">
        <v>0</v>
      </c>
      <c r="AB6218" s="236">
        <v>8.9</v>
      </c>
      <c r="AC6218" s="127">
        <f t="shared" si="111"/>
        <v>9</v>
      </c>
    </row>
    <row r="6219" ht="14.5" customHeight="1" spans="11:29" x14ac:dyDescent="0.25">
      <c r="K6219" s="128"/>
      <c r="X6219" s="234">
        <v>2022</v>
      </c>
      <c r="Y6219" s="234">
        <v>9</v>
      </c>
      <c r="Z6219" s="234">
        <v>17</v>
      </c>
      <c r="AA6219" s="235">
        <v>0.041666666667879326</v>
      </c>
      <c r="AB6219" s="236">
        <v>10.2</v>
      </c>
      <c r="AC6219" s="127">
        <f t="shared" ref="AC6219:AC6282" si="112">ROUND(AB6219,0)</f>
        <v>10</v>
      </c>
    </row>
    <row r="6220" ht="14.5" customHeight="1" spans="11:29" x14ac:dyDescent="0.25">
      <c r="K6220" s="128"/>
      <c r="X6220" s="234">
        <v>2022</v>
      </c>
      <c r="Y6220" s="234">
        <v>9</v>
      </c>
      <c r="Z6220" s="234">
        <v>17</v>
      </c>
      <c r="AA6220" s="235">
        <v>0.08333333333212067</v>
      </c>
      <c r="AB6220" s="236">
        <v>11.2</v>
      </c>
      <c r="AC6220" s="127">
        <f t="shared" si="112"/>
        <v>11</v>
      </c>
    </row>
    <row r="6221" ht="14.5" customHeight="1" spans="11:29" x14ac:dyDescent="0.25">
      <c r="K6221" s="128"/>
      <c r="X6221" s="234">
        <v>2022</v>
      </c>
      <c r="Y6221" s="234">
        <v>9</v>
      </c>
      <c r="Z6221" s="234">
        <v>17</v>
      </c>
      <c r="AA6221" s="235">
        <v>0.125</v>
      </c>
      <c r="AB6221" s="236">
        <v>11.9</v>
      </c>
      <c r="AC6221" s="127">
        <f t="shared" si="112"/>
        <v>12</v>
      </c>
    </row>
    <row r="6222" ht="14.5" customHeight="1" spans="11:29" x14ac:dyDescent="0.25">
      <c r="K6222" s="128"/>
      <c r="X6222" s="234">
        <v>2022</v>
      </c>
      <c r="Y6222" s="234">
        <v>9</v>
      </c>
      <c r="Z6222" s="234">
        <v>17</v>
      </c>
      <c r="AA6222" s="235">
        <v>0.16666666666787933</v>
      </c>
      <c r="AB6222" s="236">
        <v>12.4</v>
      </c>
      <c r="AC6222" s="127">
        <f t="shared" si="112"/>
        <v>12</v>
      </c>
    </row>
    <row r="6223" ht="14.5" customHeight="1" spans="11:29" x14ac:dyDescent="0.25">
      <c r="K6223" s="128"/>
      <c r="X6223" s="234">
        <v>2022</v>
      </c>
      <c r="Y6223" s="234">
        <v>9</v>
      </c>
      <c r="Z6223" s="234">
        <v>17</v>
      </c>
      <c r="AA6223" s="235">
        <v>0.20833333333212067</v>
      </c>
      <c r="AB6223" s="236">
        <v>9.4</v>
      </c>
      <c r="AC6223" s="127">
        <f t="shared" si="112"/>
        <v>9</v>
      </c>
    </row>
    <row r="6224" ht="14.5" customHeight="1" spans="11:29" x14ac:dyDescent="0.25">
      <c r="K6224" s="128"/>
      <c r="X6224" s="234">
        <v>2022</v>
      </c>
      <c r="Y6224" s="234">
        <v>9</v>
      </c>
      <c r="Z6224" s="234">
        <v>17</v>
      </c>
      <c r="AA6224" s="235">
        <v>0.25</v>
      </c>
      <c r="AB6224" s="236">
        <v>7.4</v>
      </c>
      <c r="AC6224" s="127">
        <f t="shared" si="112"/>
        <v>7</v>
      </c>
    </row>
    <row r="6225" ht="14.5" customHeight="1" spans="11:29" x14ac:dyDescent="0.25">
      <c r="K6225" s="128"/>
      <c r="X6225" s="234">
        <v>2022</v>
      </c>
      <c r="Y6225" s="234">
        <v>9</v>
      </c>
      <c r="Z6225" s="234">
        <v>17</v>
      </c>
      <c r="AA6225" s="235">
        <v>0.2916666666678793</v>
      </c>
      <c r="AB6225" s="236">
        <v>6.9</v>
      </c>
      <c r="AC6225" s="127">
        <f t="shared" si="112"/>
        <v>7</v>
      </c>
    </row>
    <row r="6226" ht="14.5" customHeight="1" spans="11:29" x14ac:dyDescent="0.25">
      <c r="K6226" s="128"/>
      <c r="X6226" s="234">
        <v>2022</v>
      </c>
      <c r="Y6226" s="234">
        <v>9</v>
      </c>
      <c r="Z6226" s="234">
        <v>17</v>
      </c>
      <c r="AA6226" s="235">
        <v>0.3333333333321207</v>
      </c>
      <c r="AB6226" s="236">
        <v>8.6</v>
      </c>
      <c r="AC6226" s="127">
        <f t="shared" si="112"/>
        <v>9</v>
      </c>
    </row>
    <row r="6227" ht="14.5" customHeight="1" spans="11:29" x14ac:dyDescent="0.25">
      <c r="K6227" s="128"/>
      <c r="X6227" s="234">
        <v>2022</v>
      </c>
      <c r="Y6227" s="234">
        <v>9</v>
      </c>
      <c r="Z6227" s="234">
        <v>17</v>
      </c>
      <c r="AA6227" s="235">
        <v>0.375</v>
      </c>
      <c r="AB6227" s="236">
        <v>10.2</v>
      </c>
      <c r="AC6227" s="127">
        <f t="shared" si="112"/>
        <v>10</v>
      </c>
    </row>
    <row r="6228" ht="14.5" customHeight="1" spans="11:29" x14ac:dyDescent="0.25">
      <c r="K6228" s="128"/>
      <c r="X6228" s="234">
        <v>2022</v>
      </c>
      <c r="Y6228" s="234">
        <v>9</v>
      </c>
      <c r="Z6228" s="234">
        <v>17</v>
      </c>
      <c r="AA6228" s="235">
        <v>0.4166666666678793</v>
      </c>
      <c r="AB6228" s="236">
        <v>11.6</v>
      </c>
      <c r="AC6228" s="127">
        <f t="shared" si="112"/>
        <v>12</v>
      </c>
    </row>
    <row r="6229" ht="14.5" customHeight="1" spans="11:29" x14ac:dyDescent="0.25">
      <c r="K6229" s="128"/>
      <c r="X6229" s="234">
        <v>2022</v>
      </c>
      <c r="Y6229" s="234">
        <v>9</v>
      </c>
      <c r="Z6229" s="234">
        <v>17</v>
      </c>
      <c r="AA6229" s="235">
        <v>0.4583333333321207</v>
      </c>
      <c r="AB6229" s="236">
        <v>12.3</v>
      </c>
      <c r="AC6229" s="127">
        <f t="shared" si="112"/>
        <v>12</v>
      </c>
    </row>
    <row r="6230" ht="14.5" customHeight="1" spans="11:29" x14ac:dyDescent="0.25">
      <c r="K6230" s="128"/>
      <c r="X6230" s="234">
        <v>2022</v>
      </c>
      <c r="Y6230" s="234">
        <v>9</v>
      </c>
      <c r="Z6230" s="234">
        <v>17</v>
      </c>
      <c r="AA6230" s="235">
        <v>0.5</v>
      </c>
      <c r="AB6230" s="236">
        <v>13.9</v>
      </c>
      <c r="AC6230" s="127">
        <f t="shared" si="112"/>
        <v>14</v>
      </c>
    </row>
    <row r="6231" ht="14.5" customHeight="1" spans="11:29" x14ac:dyDescent="0.25">
      <c r="K6231" s="128"/>
      <c r="X6231" s="234">
        <v>2022</v>
      </c>
      <c r="Y6231" s="234">
        <v>9</v>
      </c>
      <c r="Z6231" s="234">
        <v>17</v>
      </c>
      <c r="AA6231" s="235">
        <v>0.5416666666678793</v>
      </c>
      <c r="AB6231" s="236">
        <v>15.1</v>
      </c>
      <c r="AC6231" s="127">
        <f t="shared" si="112"/>
        <v>15</v>
      </c>
    </row>
    <row r="6232" ht="14.5" customHeight="1" spans="11:29" x14ac:dyDescent="0.25">
      <c r="K6232" s="128"/>
      <c r="X6232" s="234">
        <v>2022</v>
      </c>
      <c r="Y6232" s="234">
        <v>9</v>
      </c>
      <c r="Z6232" s="234">
        <v>17</v>
      </c>
      <c r="AA6232" s="235">
        <v>0.5833333333321207</v>
      </c>
      <c r="AB6232" s="236">
        <v>16.8</v>
      </c>
      <c r="AC6232" s="127">
        <f t="shared" si="112"/>
        <v>17</v>
      </c>
    </row>
    <row r="6233" ht="14.5" customHeight="1" spans="11:29" x14ac:dyDescent="0.25">
      <c r="K6233" s="128"/>
      <c r="X6233" s="234">
        <v>2022</v>
      </c>
      <c r="Y6233" s="234">
        <v>9</v>
      </c>
      <c r="Z6233" s="234">
        <v>17</v>
      </c>
      <c r="AA6233" s="235">
        <v>0.625</v>
      </c>
      <c r="AB6233" s="236">
        <v>17.3</v>
      </c>
      <c r="AC6233" s="127">
        <f t="shared" si="112"/>
        <v>17</v>
      </c>
    </row>
    <row r="6234" ht="14.5" customHeight="1" spans="11:29" x14ac:dyDescent="0.25">
      <c r="K6234" s="128"/>
      <c r="X6234" s="234">
        <v>2022</v>
      </c>
      <c r="Y6234" s="234">
        <v>9</v>
      </c>
      <c r="Z6234" s="234">
        <v>17</v>
      </c>
      <c r="AA6234" s="235">
        <v>0.6666666666678793</v>
      </c>
      <c r="AB6234" s="236">
        <v>16.9</v>
      </c>
      <c r="AC6234" s="127">
        <f t="shared" si="112"/>
        <v>17</v>
      </c>
    </row>
    <row r="6235" ht="14.5" customHeight="1" spans="11:29" x14ac:dyDescent="0.25">
      <c r="K6235" s="128"/>
      <c r="X6235" s="234">
        <v>2022</v>
      </c>
      <c r="Y6235" s="234">
        <v>9</v>
      </c>
      <c r="Z6235" s="234">
        <v>17</v>
      </c>
      <c r="AA6235" s="235">
        <v>0.7083333333321207</v>
      </c>
      <c r="AB6235" s="236">
        <v>16.8</v>
      </c>
      <c r="AC6235" s="127">
        <f t="shared" si="112"/>
        <v>17</v>
      </c>
    </row>
    <row r="6236" ht="14.5" customHeight="1" spans="11:29" x14ac:dyDescent="0.25">
      <c r="K6236" s="128"/>
      <c r="X6236" s="234">
        <v>2022</v>
      </c>
      <c r="Y6236" s="234">
        <v>9</v>
      </c>
      <c r="Z6236" s="234">
        <v>17</v>
      </c>
      <c r="AA6236" s="235">
        <v>0.75</v>
      </c>
      <c r="AB6236" s="236">
        <v>15.1</v>
      </c>
      <c r="AC6236" s="127">
        <f t="shared" si="112"/>
        <v>15</v>
      </c>
    </row>
    <row r="6237" ht="14.5" customHeight="1" spans="11:29" x14ac:dyDescent="0.25">
      <c r="K6237" s="128"/>
      <c r="X6237" s="234">
        <v>2022</v>
      </c>
      <c r="Y6237" s="234">
        <v>9</v>
      </c>
      <c r="Z6237" s="234">
        <v>17</v>
      </c>
      <c r="AA6237" s="235">
        <v>0.7916666666678793</v>
      </c>
      <c r="AB6237" s="236">
        <v>13.2</v>
      </c>
      <c r="AC6237" s="127">
        <f t="shared" si="112"/>
        <v>13</v>
      </c>
    </row>
    <row r="6238" ht="14.5" customHeight="1" spans="11:29" x14ac:dyDescent="0.25">
      <c r="K6238" s="128"/>
      <c r="X6238" s="234">
        <v>2022</v>
      </c>
      <c r="Y6238" s="234">
        <v>9</v>
      </c>
      <c r="Z6238" s="234">
        <v>17</v>
      </c>
      <c r="AA6238" s="235">
        <v>0.8333333333321207</v>
      </c>
      <c r="AB6238" s="236">
        <v>11.4</v>
      </c>
      <c r="AC6238" s="127">
        <f t="shared" si="112"/>
        <v>11</v>
      </c>
    </row>
    <row r="6239" ht="14.5" customHeight="1" spans="11:29" x14ac:dyDescent="0.25">
      <c r="K6239" s="128"/>
      <c r="X6239" s="234">
        <v>2022</v>
      </c>
      <c r="Y6239" s="234">
        <v>9</v>
      </c>
      <c r="Z6239" s="234">
        <v>17</v>
      </c>
      <c r="AA6239" s="235">
        <v>0.875</v>
      </c>
      <c r="AB6239" s="236">
        <v>11</v>
      </c>
      <c r="AC6239" s="127">
        <f t="shared" si="112"/>
        <v>11</v>
      </c>
    </row>
    <row r="6240" ht="14.5" customHeight="1" spans="11:29" x14ac:dyDescent="0.25">
      <c r="K6240" s="128"/>
      <c r="X6240" s="234">
        <v>2022</v>
      </c>
      <c r="Y6240" s="234">
        <v>9</v>
      </c>
      <c r="Z6240" s="234">
        <v>17</v>
      </c>
      <c r="AA6240" s="235">
        <v>0.9166666666678793</v>
      </c>
      <c r="AB6240" s="236">
        <v>9.3</v>
      </c>
      <c r="AC6240" s="127">
        <f t="shared" si="112"/>
        <v>9</v>
      </c>
    </row>
    <row r="6241" ht="14.5" customHeight="1" spans="11:29" x14ac:dyDescent="0.25">
      <c r="K6241" s="128"/>
      <c r="X6241" s="234">
        <v>2022</v>
      </c>
      <c r="Y6241" s="234">
        <v>9</v>
      </c>
      <c r="Z6241" s="234">
        <v>17</v>
      </c>
      <c r="AA6241" s="235">
        <v>0.9583333333321207</v>
      </c>
      <c r="AB6241" s="236">
        <v>8.3</v>
      </c>
      <c r="AC6241" s="127">
        <f t="shared" si="112"/>
        <v>8</v>
      </c>
    </row>
    <row r="6242" ht="14.5" customHeight="1" spans="11:29" x14ac:dyDescent="0.25">
      <c r="K6242" s="128"/>
      <c r="X6242" s="234">
        <v>2022</v>
      </c>
      <c r="Y6242" s="234">
        <v>9</v>
      </c>
      <c r="Z6242" s="234">
        <v>18</v>
      </c>
      <c r="AA6242" s="235">
        <v>0</v>
      </c>
      <c r="AB6242" s="236">
        <v>7.3</v>
      </c>
      <c r="AC6242" s="127">
        <f t="shared" si="112"/>
        <v>7</v>
      </c>
    </row>
    <row r="6243" ht="14.5" customHeight="1" spans="11:29" x14ac:dyDescent="0.25">
      <c r="K6243" s="128"/>
      <c r="X6243" s="234">
        <v>2022</v>
      </c>
      <c r="Y6243" s="234">
        <v>9</v>
      </c>
      <c r="Z6243" s="234">
        <v>18</v>
      </c>
      <c r="AA6243" s="235">
        <v>0.041666666667879326</v>
      </c>
      <c r="AB6243" s="236">
        <v>6.6</v>
      </c>
      <c r="AC6243" s="127">
        <f t="shared" si="112"/>
        <v>7</v>
      </c>
    </row>
    <row r="6244" ht="14.5" customHeight="1" spans="11:29" x14ac:dyDescent="0.25">
      <c r="K6244" s="128"/>
      <c r="X6244" s="234">
        <v>2022</v>
      </c>
      <c r="Y6244" s="234">
        <v>9</v>
      </c>
      <c r="Z6244" s="234">
        <v>18</v>
      </c>
      <c r="AA6244" s="235">
        <v>0.08333333333212067</v>
      </c>
      <c r="AB6244" s="236">
        <v>5.6</v>
      </c>
      <c r="AC6244" s="127">
        <f t="shared" si="112"/>
        <v>6</v>
      </c>
    </row>
    <row r="6245" ht="14.5" customHeight="1" spans="11:29" x14ac:dyDescent="0.25">
      <c r="K6245" s="128"/>
      <c r="X6245" s="234">
        <v>2022</v>
      </c>
      <c r="Y6245" s="234">
        <v>9</v>
      </c>
      <c r="Z6245" s="234">
        <v>18</v>
      </c>
      <c r="AA6245" s="235">
        <v>0.125</v>
      </c>
      <c r="AB6245" s="236">
        <v>4.9</v>
      </c>
      <c r="AC6245" s="127">
        <f t="shared" si="112"/>
        <v>5</v>
      </c>
    </row>
    <row r="6246" ht="14.5" customHeight="1" spans="11:29" x14ac:dyDescent="0.25">
      <c r="K6246" s="128"/>
      <c r="X6246" s="234">
        <v>2022</v>
      </c>
      <c r="Y6246" s="234">
        <v>9</v>
      </c>
      <c r="Z6246" s="234">
        <v>18</v>
      </c>
      <c r="AA6246" s="235">
        <v>0.16666666666787933</v>
      </c>
      <c r="AB6246" s="236">
        <v>3.6</v>
      </c>
      <c r="AC6246" s="127">
        <f t="shared" si="112"/>
        <v>4</v>
      </c>
    </row>
    <row r="6247" ht="14.5" customHeight="1" spans="11:29" x14ac:dyDescent="0.25">
      <c r="K6247" s="128"/>
      <c r="X6247" s="234">
        <v>2022</v>
      </c>
      <c r="Y6247" s="234">
        <v>9</v>
      </c>
      <c r="Z6247" s="234">
        <v>18</v>
      </c>
      <c r="AA6247" s="235">
        <v>0.20833333333212067</v>
      </c>
      <c r="AB6247" s="236">
        <v>3.1</v>
      </c>
      <c r="AC6247" s="127">
        <f t="shared" si="112"/>
        <v>3</v>
      </c>
    </row>
    <row r="6248" ht="14.5" customHeight="1" spans="11:29" x14ac:dyDescent="0.25">
      <c r="K6248" s="128"/>
      <c r="X6248" s="234">
        <v>2022</v>
      </c>
      <c r="Y6248" s="234">
        <v>9</v>
      </c>
      <c r="Z6248" s="234">
        <v>18</v>
      </c>
      <c r="AA6248" s="235">
        <v>0.25</v>
      </c>
      <c r="AB6248" s="236">
        <v>3.3</v>
      </c>
      <c r="AC6248" s="127">
        <f t="shared" si="112"/>
        <v>3</v>
      </c>
    </row>
    <row r="6249" ht="14.5" customHeight="1" spans="11:29" x14ac:dyDescent="0.25">
      <c r="K6249" s="128"/>
      <c r="X6249" s="234">
        <v>2022</v>
      </c>
      <c r="Y6249" s="234">
        <v>9</v>
      </c>
      <c r="Z6249" s="234">
        <v>18</v>
      </c>
      <c r="AA6249" s="235">
        <v>0.2916666666678793</v>
      </c>
      <c r="AB6249" s="236">
        <v>3.1</v>
      </c>
      <c r="AC6249" s="127">
        <f t="shared" si="112"/>
        <v>3</v>
      </c>
    </row>
    <row r="6250" ht="14.5" customHeight="1" spans="11:29" x14ac:dyDescent="0.25">
      <c r="K6250" s="128"/>
      <c r="X6250" s="234">
        <v>2022</v>
      </c>
      <c r="Y6250" s="234">
        <v>9</v>
      </c>
      <c r="Z6250" s="234">
        <v>18</v>
      </c>
      <c r="AA6250" s="235">
        <v>0.3333333333321207</v>
      </c>
      <c r="AB6250" s="236">
        <v>6.4</v>
      </c>
      <c r="AC6250" s="127">
        <f t="shared" si="112"/>
        <v>6</v>
      </c>
    </row>
    <row r="6251" ht="14.5" customHeight="1" spans="11:29" x14ac:dyDescent="0.25">
      <c r="K6251" s="128"/>
      <c r="X6251" s="234">
        <v>2022</v>
      </c>
      <c r="Y6251" s="234">
        <v>9</v>
      </c>
      <c r="Z6251" s="234">
        <v>18</v>
      </c>
      <c r="AA6251" s="235">
        <v>0.375</v>
      </c>
      <c r="AB6251" s="236">
        <v>9.3</v>
      </c>
      <c r="AC6251" s="127">
        <f t="shared" si="112"/>
        <v>9</v>
      </c>
    </row>
    <row r="6252" ht="14.5" customHeight="1" spans="11:29" x14ac:dyDescent="0.25">
      <c r="K6252" s="128"/>
      <c r="X6252" s="234">
        <v>2022</v>
      </c>
      <c r="Y6252" s="234">
        <v>9</v>
      </c>
      <c r="Z6252" s="234">
        <v>18</v>
      </c>
      <c r="AA6252" s="235">
        <v>0.4166666666678793</v>
      </c>
      <c r="AB6252" s="236">
        <v>11.6</v>
      </c>
      <c r="AC6252" s="127">
        <f t="shared" si="112"/>
        <v>12</v>
      </c>
    </row>
    <row r="6253" ht="14.5" customHeight="1" spans="11:29" x14ac:dyDescent="0.25">
      <c r="K6253" s="128"/>
      <c r="X6253" s="234">
        <v>2022</v>
      </c>
      <c r="Y6253" s="234">
        <v>9</v>
      </c>
      <c r="Z6253" s="234">
        <v>18</v>
      </c>
      <c r="AA6253" s="235">
        <v>0.4583333333321207</v>
      </c>
      <c r="AB6253" s="236">
        <v>13.5</v>
      </c>
      <c r="AC6253" s="127">
        <f t="shared" si="112"/>
        <v>14</v>
      </c>
    </row>
    <row r="6254" ht="14.5" customHeight="1" spans="11:29" x14ac:dyDescent="0.25">
      <c r="K6254" s="128"/>
      <c r="X6254" s="234">
        <v>2022</v>
      </c>
      <c r="Y6254" s="234">
        <v>9</v>
      </c>
      <c r="Z6254" s="234">
        <v>18</v>
      </c>
      <c r="AA6254" s="235">
        <v>0.5</v>
      </c>
      <c r="AB6254" s="236">
        <v>15.2</v>
      </c>
      <c r="AC6254" s="127">
        <f t="shared" si="112"/>
        <v>15</v>
      </c>
    </row>
    <row r="6255" ht="14.5" customHeight="1" spans="11:29" x14ac:dyDescent="0.25">
      <c r="K6255" s="128"/>
      <c r="X6255" s="234">
        <v>2022</v>
      </c>
      <c r="Y6255" s="234">
        <v>9</v>
      </c>
      <c r="Z6255" s="234">
        <v>18</v>
      </c>
      <c r="AA6255" s="235">
        <v>0.5416666666678793</v>
      </c>
      <c r="AB6255" s="236">
        <v>16.1</v>
      </c>
      <c r="AC6255" s="127">
        <f t="shared" si="112"/>
        <v>16</v>
      </c>
    </row>
    <row r="6256" ht="14.5" customHeight="1" spans="11:29" x14ac:dyDescent="0.25">
      <c r="K6256" s="128"/>
      <c r="X6256" s="234">
        <v>2022</v>
      </c>
      <c r="Y6256" s="234">
        <v>9</v>
      </c>
      <c r="Z6256" s="234">
        <v>18</v>
      </c>
      <c r="AA6256" s="235">
        <v>0.5833333333321207</v>
      </c>
      <c r="AB6256" s="236">
        <v>17.4</v>
      </c>
      <c r="AC6256" s="127">
        <f t="shared" si="112"/>
        <v>17</v>
      </c>
    </row>
    <row r="6257" ht="14.5" customHeight="1" spans="11:29" x14ac:dyDescent="0.25">
      <c r="K6257" s="128"/>
      <c r="X6257" s="234">
        <v>2022</v>
      </c>
      <c r="Y6257" s="234">
        <v>9</v>
      </c>
      <c r="Z6257" s="234">
        <v>18</v>
      </c>
      <c r="AA6257" s="235">
        <v>0.625</v>
      </c>
      <c r="AB6257" s="236">
        <v>17.8</v>
      </c>
      <c r="AC6257" s="127">
        <f t="shared" si="112"/>
        <v>18</v>
      </c>
    </row>
    <row r="6258" ht="14.5" customHeight="1" spans="11:29" x14ac:dyDescent="0.25">
      <c r="K6258" s="128"/>
      <c r="X6258" s="234">
        <v>2022</v>
      </c>
      <c r="Y6258" s="234">
        <v>9</v>
      </c>
      <c r="Z6258" s="234">
        <v>18</v>
      </c>
      <c r="AA6258" s="235">
        <v>0.6666666666678793</v>
      </c>
      <c r="AB6258" s="236">
        <v>17.1</v>
      </c>
      <c r="AC6258" s="127">
        <f t="shared" si="112"/>
        <v>17</v>
      </c>
    </row>
    <row r="6259" ht="14.5" customHeight="1" spans="11:29" x14ac:dyDescent="0.25">
      <c r="K6259" s="128"/>
      <c r="X6259" s="234">
        <v>2022</v>
      </c>
      <c r="Y6259" s="234">
        <v>9</v>
      </c>
      <c r="Z6259" s="234">
        <v>18</v>
      </c>
      <c r="AA6259" s="235">
        <v>0.7083333333321207</v>
      </c>
      <c r="AB6259" s="236">
        <v>16.3</v>
      </c>
      <c r="AC6259" s="127">
        <f t="shared" si="112"/>
        <v>16</v>
      </c>
    </row>
    <row r="6260" ht="14.5" customHeight="1" spans="11:29" x14ac:dyDescent="0.25">
      <c r="K6260" s="128"/>
      <c r="X6260" s="234">
        <v>2022</v>
      </c>
      <c r="Y6260" s="234">
        <v>9</v>
      </c>
      <c r="Z6260" s="234">
        <v>18</v>
      </c>
      <c r="AA6260" s="235">
        <v>0.75</v>
      </c>
      <c r="AB6260" s="236">
        <v>15.4</v>
      </c>
      <c r="AC6260" s="127">
        <f t="shared" si="112"/>
        <v>15</v>
      </c>
    </row>
    <row r="6261" ht="14.5" customHeight="1" spans="11:29" x14ac:dyDescent="0.25">
      <c r="K6261" s="128"/>
      <c r="X6261" s="234">
        <v>2022</v>
      </c>
      <c r="Y6261" s="234">
        <v>9</v>
      </c>
      <c r="Z6261" s="234">
        <v>18</v>
      </c>
      <c r="AA6261" s="235">
        <v>0.7916666666678793</v>
      </c>
      <c r="AB6261" s="236">
        <v>14.1</v>
      </c>
      <c r="AC6261" s="127">
        <f t="shared" si="112"/>
        <v>14</v>
      </c>
    </row>
    <row r="6262" ht="14.5" customHeight="1" spans="11:29" x14ac:dyDescent="0.25">
      <c r="K6262" s="128"/>
      <c r="X6262" s="234">
        <v>2022</v>
      </c>
      <c r="Y6262" s="234">
        <v>9</v>
      </c>
      <c r="Z6262" s="234">
        <v>18</v>
      </c>
      <c r="AA6262" s="235">
        <v>0.8333333333321207</v>
      </c>
      <c r="AB6262" s="236">
        <v>12.7</v>
      </c>
      <c r="AC6262" s="127">
        <f t="shared" si="112"/>
        <v>13</v>
      </c>
    </row>
    <row r="6263" ht="14.5" customHeight="1" spans="11:29" x14ac:dyDescent="0.25">
      <c r="K6263" s="128"/>
      <c r="X6263" s="234">
        <v>2022</v>
      </c>
      <c r="Y6263" s="234">
        <v>9</v>
      </c>
      <c r="Z6263" s="234">
        <v>18</v>
      </c>
      <c r="AA6263" s="235">
        <v>0.875</v>
      </c>
      <c r="AB6263" s="236">
        <v>12.6</v>
      </c>
      <c r="AC6263" s="127">
        <f t="shared" si="112"/>
        <v>13</v>
      </c>
    </row>
    <row r="6264" ht="14.5" customHeight="1" spans="11:29" x14ac:dyDescent="0.25">
      <c r="K6264" s="128"/>
      <c r="X6264" s="234">
        <v>2022</v>
      </c>
      <c r="Y6264" s="234">
        <v>9</v>
      </c>
      <c r="Z6264" s="234">
        <v>18</v>
      </c>
      <c r="AA6264" s="235">
        <v>0.9166666666678793</v>
      </c>
      <c r="AB6264" s="236">
        <v>12.3</v>
      </c>
      <c r="AC6264" s="127">
        <f t="shared" si="112"/>
        <v>12</v>
      </c>
    </row>
    <row r="6265" ht="14.5" customHeight="1" spans="11:29" x14ac:dyDescent="0.25">
      <c r="K6265" s="128"/>
      <c r="X6265" s="234">
        <v>2022</v>
      </c>
      <c r="Y6265" s="234">
        <v>9</v>
      </c>
      <c r="Z6265" s="234">
        <v>18</v>
      </c>
      <c r="AA6265" s="235">
        <v>0.9583333333321207</v>
      </c>
      <c r="AB6265" s="236">
        <v>11.8</v>
      </c>
      <c r="AC6265" s="127">
        <f t="shared" si="112"/>
        <v>12</v>
      </c>
    </row>
    <row r="6266" ht="14.5" customHeight="1" spans="11:29" x14ac:dyDescent="0.25">
      <c r="K6266" s="128"/>
      <c r="X6266" s="234">
        <v>2022</v>
      </c>
      <c r="Y6266" s="234">
        <v>9</v>
      </c>
      <c r="Z6266" s="234">
        <v>19</v>
      </c>
      <c r="AA6266" s="235">
        <v>0</v>
      </c>
      <c r="AB6266" s="236">
        <v>11</v>
      </c>
      <c r="AC6266" s="127">
        <f t="shared" si="112"/>
        <v>11</v>
      </c>
    </row>
    <row r="6267" ht="14.5" customHeight="1" spans="11:29" x14ac:dyDescent="0.25">
      <c r="K6267" s="128"/>
      <c r="X6267" s="234">
        <v>2022</v>
      </c>
      <c r="Y6267" s="234">
        <v>9</v>
      </c>
      <c r="Z6267" s="234">
        <v>19</v>
      </c>
      <c r="AA6267" s="235">
        <v>0.041666666667879326</v>
      </c>
      <c r="AB6267" s="236">
        <v>9.8</v>
      </c>
      <c r="AC6267" s="127">
        <f t="shared" si="112"/>
        <v>10</v>
      </c>
    </row>
    <row r="6268" ht="14.5" customHeight="1" spans="11:29" x14ac:dyDescent="0.25">
      <c r="K6268" s="128"/>
      <c r="X6268" s="234">
        <v>2022</v>
      </c>
      <c r="Y6268" s="234">
        <v>9</v>
      </c>
      <c r="Z6268" s="234">
        <v>19</v>
      </c>
      <c r="AA6268" s="235">
        <v>0.08333333333212067</v>
      </c>
      <c r="AB6268" s="236">
        <v>8.6</v>
      </c>
      <c r="AC6268" s="127">
        <f t="shared" si="112"/>
        <v>9</v>
      </c>
    </row>
    <row r="6269" ht="14.5" customHeight="1" spans="11:29" x14ac:dyDescent="0.25">
      <c r="K6269" s="128"/>
      <c r="X6269" s="234">
        <v>2022</v>
      </c>
      <c r="Y6269" s="234">
        <v>9</v>
      </c>
      <c r="Z6269" s="234">
        <v>19</v>
      </c>
      <c r="AA6269" s="235">
        <v>0.125</v>
      </c>
      <c r="AB6269" s="236">
        <v>8.1</v>
      </c>
      <c r="AC6269" s="127">
        <f t="shared" si="112"/>
        <v>8</v>
      </c>
    </row>
    <row r="6270" ht="14.5" customHeight="1" spans="11:29" x14ac:dyDescent="0.25">
      <c r="K6270" s="128"/>
      <c r="X6270" s="234">
        <v>2022</v>
      </c>
      <c r="Y6270" s="234">
        <v>9</v>
      </c>
      <c r="Z6270" s="234">
        <v>19</v>
      </c>
      <c r="AA6270" s="235">
        <v>0.16666666666787933</v>
      </c>
      <c r="AB6270" s="236">
        <v>9.2</v>
      </c>
      <c r="AC6270" s="127">
        <f t="shared" si="112"/>
        <v>9</v>
      </c>
    </row>
    <row r="6271" ht="14.5" customHeight="1" spans="11:29" x14ac:dyDescent="0.25">
      <c r="K6271" s="128"/>
      <c r="X6271" s="234">
        <v>2022</v>
      </c>
      <c r="Y6271" s="234">
        <v>9</v>
      </c>
      <c r="Z6271" s="234">
        <v>19</v>
      </c>
      <c r="AA6271" s="235">
        <v>0.20833333333212067</v>
      </c>
      <c r="AB6271" s="236">
        <v>8.9</v>
      </c>
      <c r="AC6271" s="127">
        <f t="shared" si="112"/>
        <v>9</v>
      </c>
    </row>
    <row r="6272" ht="14.5" customHeight="1" spans="11:29" x14ac:dyDescent="0.25">
      <c r="K6272" s="128"/>
      <c r="X6272" s="234">
        <v>2022</v>
      </c>
      <c r="Y6272" s="234">
        <v>9</v>
      </c>
      <c r="Z6272" s="234">
        <v>19</v>
      </c>
      <c r="AA6272" s="235">
        <v>0.25</v>
      </c>
      <c r="AB6272" s="236">
        <v>8.3</v>
      </c>
      <c r="AC6272" s="127">
        <f t="shared" si="112"/>
        <v>8</v>
      </c>
    </row>
    <row r="6273" ht="14.5" customHeight="1" spans="11:29" x14ac:dyDescent="0.25">
      <c r="K6273" s="128"/>
      <c r="X6273" s="234">
        <v>2022</v>
      </c>
      <c r="Y6273" s="234">
        <v>9</v>
      </c>
      <c r="Z6273" s="234">
        <v>19</v>
      </c>
      <c r="AA6273" s="235">
        <v>0.2916666666678793</v>
      </c>
      <c r="AB6273" s="236">
        <v>7.8</v>
      </c>
      <c r="AC6273" s="127">
        <f t="shared" si="112"/>
        <v>8</v>
      </c>
    </row>
    <row r="6274" ht="14.5" customHeight="1" spans="11:29" x14ac:dyDescent="0.25">
      <c r="K6274" s="128"/>
      <c r="X6274" s="234">
        <v>2022</v>
      </c>
      <c r="Y6274" s="234">
        <v>9</v>
      </c>
      <c r="Z6274" s="234">
        <v>19</v>
      </c>
      <c r="AA6274" s="235">
        <v>0.3333333333321207</v>
      </c>
      <c r="AB6274" s="236">
        <v>7.2</v>
      </c>
      <c r="AC6274" s="127">
        <f t="shared" si="112"/>
        <v>7</v>
      </c>
    </row>
    <row r="6275" ht="14.5" customHeight="1" spans="11:29" x14ac:dyDescent="0.25">
      <c r="K6275" s="128"/>
      <c r="X6275" s="234">
        <v>2022</v>
      </c>
      <c r="Y6275" s="234">
        <v>9</v>
      </c>
      <c r="Z6275" s="234">
        <v>19</v>
      </c>
      <c r="AA6275" s="235">
        <v>0.375</v>
      </c>
      <c r="AB6275" s="236">
        <v>7</v>
      </c>
      <c r="AC6275" s="127">
        <f t="shared" si="112"/>
        <v>7</v>
      </c>
    </row>
    <row r="6276" ht="14.5" customHeight="1" spans="11:29" x14ac:dyDescent="0.25">
      <c r="K6276" s="128"/>
      <c r="X6276" s="234">
        <v>2022</v>
      </c>
      <c r="Y6276" s="234">
        <v>9</v>
      </c>
      <c r="Z6276" s="234">
        <v>19</v>
      </c>
      <c r="AA6276" s="235">
        <v>0.4166666666678793</v>
      </c>
      <c r="AB6276" s="236">
        <v>7.6</v>
      </c>
      <c r="AC6276" s="127">
        <f t="shared" si="112"/>
        <v>8</v>
      </c>
    </row>
    <row r="6277" ht="14.5" customHeight="1" spans="11:29" x14ac:dyDescent="0.25">
      <c r="K6277" s="128"/>
      <c r="X6277" s="234">
        <v>2022</v>
      </c>
      <c r="Y6277" s="234">
        <v>9</v>
      </c>
      <c r="Z6277" s="234">
        <v>19</v>
      </c>
      <c r="AA6277" s="235">
        <v>0.4583333333321207</v>
      </c>
      <c r="AB6277" s="236">
        <v>7.5</v>
      </c>
      <c r="AC6277" s="127">
        <f t="shared" si="112"/>
        <v>8</v>
      </c>
    </row>
    <row r="6278" ht="14.5" customHeight="1" spans="11:29" x14ac:dyDescent="0.25">
      <c r="K6278" s="128"/>
      <c r="X6278" s="234">
        <v>2022</v>
      </c>
      <c r="Y6278" s="234">
        <v>9</v>
      </c>
      <c r="Z6278" s="234">
        <v>19</v>
      </c>
      <c r="AA6278" s="235">
        <v>0.5</v>
      </c>
      <c r="AB6278" s="236">
        <v>6.6</v>
      </c>
      <c r="AC6278" s="127">
        <f t="shared" si="112"/>
        <v>7</v>
      </c>
    </row>
    <row r="6279" ht="14.5" customHeight="1" spans="11:29" x14ac:dyDescent="0.25">
      <c r="K6279" s="128"/>
      <c r="X6279" s="234">
        <v>2022</v>
      </c>
      <c r="Y6279" s="234">
        <v>9</v>
      </c>
      <c r="Z6279" s="234">
        <v>19</v>
      </c>
      <c r="AA6279" s="235">
        <v>0.5416666666678793</v>
      </c>
      <c r="AB6279" s="236">
        <v>6.6</v>
      </c>
      <c r="AC6279" s="127">
        <f t="shared" si="112"/>
        <v>7</v>
      </c>
    </row>
    <row r="6280" ht="14.5" customHeight="1" spans="11:29" x14ac:dyDescent="0.25">
      <c r="K6280" s="128"/>
      <c r="X6280" s="234">
        <v>2022</v>
      </c>
      <c r="Y6280" s="234">
        <v>9</v>
      </c>
      <c r="Z6280" s="234">
        <v>19</v>
      </c>
      <c r="AA6280" s="235">
        <v>0.5833333333321207</v>
      </c>
      <c r="AB6280" s="236">
        <v>6.2</v>
      </c>
      <c r="AC6280" s="127">
        <f t="shared" si="112"/>
        <v>6</v>
      </c>
    </row>
    <row r="6281" ht="14.5" customHeight="1" spans="11:29" x14ac:dyDescent="0.25">
      <c r="K6281" s="128"/>
      <c r="X6281" s="234">
        <v>2022</v>
      </c>
      <c r="Y6281" s="234">
        <v>9</v>
      </c>
      <c r="Z6281" s="234">
        <v>19</v>
      </c>
      <c r="AA6281" s="235">
        <v>0.625</v>
      </c>
      <c r="AB6281" s="236">
        <v>7.4</v>
      </c>
      <c r="AC6281" s="127">
        <f t="shared" si="112"/>
        <v>7</v>
      </c>
    </row>
    <row r="6282" ht="14.5" customHeight="1" spans="11:29" x14ac:dyDescent="0.25">
      <c r="K6282" s="128"/>
      <c r="X6282" s="234">
        <v>2022</v>
      </c>
      <c r="Y6282" s="234">
        <v>9</v>
      </c>
      <c r="Z6282" s="234">
        <v>19</v>
      </c>
      <c r="AA6282" s="235">
        <v>0.6666666666678793</v>
      </c>
      <c r="AB6282" s="236">
        <v>8.3</v>
      </c>
      <c r="AC6282" s="127">
        <f t="shared" si="112"/>
        <v>8</v>
      </c>
    </row>
    <row r="6283" ht="14.5" customHeight="1" spans="11:29" x14ac:dyDescent="0.25">
      <c r="K6283" s="128"/>
      <c r="X6283" s="234">
        <v>2022</v>
      </c>
      <c r="Y6283" s="234">
        <v>9</v>
      </c>
      <c r="Z6283" s="234">
        <v>19</v>
      </c>
      <c r="AA6283" s="235">
        <v>0.7083333333321207</v>
      </c>
      <c r="AB6283" s="236">
        <v>8.6</v>
      </c>
      <c r="AC6283" s="127">
        <f t="shared" ref="AC6283:AC6346" si="113">ROUND(AB6283,0)</f>
        <v>9</v>
      </c>
    </row>
    <row r="6284" ht="14.5" customHeight="1" spans="11:29" x14ac:dyDescent="0.25">
      <c r="K6284" s="128"/>
      <c r="X6284" s="234">
        <v>2022</v>
      </c>
      <c r="Y6284" s="234">
        <v>9</v>
      </c>
      <c r="Z6284" s="234">
        <v>19</v>
      </c>
      <c r="AA6284" s="235">
        <v>0.75</v>
      </c>
      <c r="AB6284" s="236">
        <v>7.7</v>
      </c>
      <c r="AC6284" s="127">
        <f t="shared" si="113"/>
        <v>8</v>
      </c>
    </row>
    <row r="6285" ht="14.5" customHeight="1" spans="11:29" x14ac:dyDescent="0.25">
      <c r="K6285" s="128"/>
      <c r="X6285" s="234">
        <v>2022</v>
      </c>
      <c r="Y6285" s="234">
        <v>9</v>
      </c>
      <c r="Z6285" s="234">
        <v>19</v>
      </c>
      <c r="AA6285" s="235">
        <v>0.7916666666678793</v>
      </c>
      <c r="AB6285" s="236">
        <v>6.1</v>
      </c>
      <c r="AC6285" s="127">
        <f t="shared" si="113"/>
        <v>6</v>
      </c>
    </row>
    <row r="6286" ht="14.5" customHeight="1" spans="11:29" x14ac:dyDescent="0.25">
      <c r="K6286" s="128"/>
      <c r="X6286" s="234">
        <v>2022</v>
      </c>
      <c r="Y6286" s="234">
        <v>9</v>
      </c>
      <c r="Z6286" s="234">
        <v>19</v>
      </c>
      <c r="AA6286" s="235">
        <v>0.8333333333321207</v>
      </c>
      <c r="AB6286" s="236">
        <v>6.5</v>
      </c>
      <c r="AC6286" s="127">
        <f t="shared" si="113"/>
        <v>7</v>
      </c>
    </row>
    <row r="6287" ht="14.5" customHeight="1" spans="11:29" x14ac:dyDescent="0.25">
      <c r="K6287" s="128"/>
      <c r="X6287" s="234">
        <v>2022</v>
      </c>
      <c r="Y6287" s="234">
        <v>9</v>
      </c>
      <c r="Z6287" s="234">
        <v>19</v>
      </c>
      <c r="AA6287" s="235">
        <v>0.875</v>
      </c>
      <c r="AB6287" s="236">
        <v>5.6</v>
      </c>
      <c r="AC6287" s="127">
        <f t="shared" si="113"/>
        <v>6</v>
      </c>
    </row>
    <row r="6288" ht="14.5" customHeight="1" spans="11:29" x14ac:dyDescent="0.25">
      <c r="K6288" s="128"/>
      <c r="X6288" s="234">
        <v>2022</v>
      </c>
      <c r="Y6288" s="234">
        <v>9</v>
      </c>
      <c r="Z6288" s="234">
        <v>19</v>
      </c>
      <c r="AA6288" s="235">
        <v>0.9166666666678793</v>
      </c>
      <c r="AB6288" s="236">
        <v>4.5</v>
      </c>
      <c r="AC6288" s="127">
        <f t="shared" si="113"/>
        <v>5</v>
      </c>
    </row>
    <row r="6289" ht="14.5" customHeight="1" spans="11:29" x14ac:dyDescent="0.25">
      <c r="K6289" s="128"/>
      <c r="X6289" s="234">
        <v>2022</v>
      </c>
      <c r="Y6289" s="234">
        <v>9</v>
      </c>
      <c r="Z6289" s="234">
        <v>19</v>
      </c>
      <c r="AA6289" s="235">
        <v>0.9583333333321207</v>
      </c>
      <c r="AB6289" s="236">
        <v>4.1</v>
      </c>
      <c r="AC6289" s="127">
        <f t="shared" si="113"/>
        <v>4</v>
      </c>
    </row>
    <row r="6290" ht="14.5" customHeight="1" spans="11:29" x14ac:dyDescent="0.25">
      <c r="K6290" s="128"/>
      <c r="X6290" s="234">
        <v>2022</v>
      </c>
      <c r="Y6290" s="234">
        <v>9</v>
      </c>
      <c r="Z6290" s="234">
        <v>20</v>
      </c>
      <c r="AA6290" s="235">
        <v>0</v>
      </c>
      <c r="AB6290" s="236">
        <v>3.2</v>
      </c>
      <c r="AC6290" s="127">
        <f t="shared" si="113"/>
        <v>3</v>
      </c>
    </row>
    <row r="6291" ht="14.5" customHeight="1" spans="11:29" x14ac:dyDescent="0.25">
      <c r="K6291" s="128"/>
      <c r="X6291" s="234">
        <v>2022</v>
      </c>
      <c r="Y6291" s="234">
        <v>9</v>
      </c>
      <c r="Z6291" s="234">
        <v>20</v>
      </c>
      <c r="AA6291" s="235">
        <v>0.041666666667879326</v>
      </c>
      <c r="AB6291" s="236">
        <v>2.7</v>
      </c>
      <c r="AC6291" s="127">
        <f t="shared" si="113"/>
        <v>3</v>
      </c>
    </row>
    <row r="6292" ht="14.5" customHeight="1" spans="11:29" x14ac:dyDescent="0.25">
      <c r="K6292" s="128"/>
      <c r="X6292" s="234">
        <v>2022</v>
      </c>
      <c r="Y6292" s="234">
        <v>9</v>
      </c>
      <c r="Z6292" s="234">
        <v>20</v>
      </c>
      <c r="AA6292" s="235">
        <v>0.08333333333212067</v>
      </c>
      <c r="AB6292" s="236">
        <v>3.2</v>
      </c>
      <c r="AC6292" s="127">
        <f t="shared" si="113"/>
        <v>3</v>
      </c>
    </row>
    <row r="6293" ht="14.5" customHeight="1" spans="11:29" x14ac:dyDescent="0.25">
      <c r="K6293" s="128"/>
      <c r="X6293" s="234">
        <v>2022</v>
      </c>
      <c r="Y6293" s="234">
        <v>9</v>
      </c>
      <c r="Z6293" s="234">
        <v>20</v>
      </c>
      <c r="AA6293" s="235">
        <v>0.125</v>
      </c>
      <c r="AB6293" s="236">
        <v>2.3</v>
      </c>
      <c r="AC6293" s="127">
        <f t="shared" si="113"/>
        <v>2</v>
      </c>
    </row>
    <row r="6294" ht="14.5" customHeight="1" spans="11:29" x14ac:dyDescent="0.25">
      <c r="K6294" s="128"/>
      <c r="X6294" s="234">
        <v>2022</v>
      </c>
      <c r="Y6294" s="234">
        <v>9</v>
      </c>
      <c r="Z6294" s="234">
        <v>20</v>
      </c>
      <c r="AA6294" s="235">
        <v>0.16666666666787933</v>
      </c>
      <c r="AB6294" s="236">
        <v>1.9</v>
      </c>
      <c r="AC6294" s="127">
        <f t="shared" si="113"/>
        <v>2</v>
      </c>
    </row>
    <row r="6295" ht="14.5" customHeight="1" spans="11:29" x14ac:dyDescent="0.25">
      <c r="K6295" s="128"/>
      <c r="X6295" s="234">
        <v>2022</v>
      </c>
      <c r="Y6295" s="234">
        <v>9</v>
      </c>
      <c r="Z6295" s="234">
        <v>20</v>
      </c>
      <c r="AA6295" s="235">
        <v>0.20833333333212067</v>
      </c>
      <c r="AB6295" s="236">
        <v>2</v>
      </c>
      <c r="AC6295" s="127">
        <f t="shared" si="113"/>
        <v>2</v>
      </c>
    </row>
    <row r="6296" ht="14.5" customHeight="1" spans="11:29" x14ac:dyDescent="0.25">
      <c r="K6296" s="128"/>
      <c r="X6296" s="234">
        <v>2022</v>
      </c>
      <c r="Y6296" s="234">
        <v>9</v>
      </c>
      <c r="Z6296" s="234">
        <v>20</v>
      </c>
      <c r="AA6296" s="235">
        <v>0.25</v>
      </c>
      <c r="AB6296" s="236">
        <v>1.1</v>
      </c>
      <c r="AC6296" s="127">
        <f t="shared" si="113"/>
        <v>1</v>
      </c>
    </row>
    <row r="6297" ht="14.5" customHeight="1" spans="11:29" x14ac:dyDescent="0.25">
      <c r="K6297" s="128"/>
      <c r="X6297" s="234">
        <v>2022</v>
      </c>
      <c r="Y6297" s="234">
        <v>9</v>
      </c>
      <c r="Z6297" s="234">
        <v>20</v>
      </c>
      <c r="AA6297" s="235">
        <v>0.2916666666678793</v>
      </c>
      <c r="AB6297" s="236">
        <v>2.2</v>
      </c>
      <c r="AC6297" s="127">
        <f t="shared" si="113"/>
        <v>2</v>
      </c>
    </row>
    <row r="6298" ht="14.5" customHeight="1" spans="11:29" x14ac:dyDescent="0.25">
      <c r="K6298" s="128"/>
      <c r="X6298" s="234">
        <v>2022</v>
      </c>
      <c r="Y6298" s="234">
        <v>9</v>
      </c>
      <c r="Z6298" s="234">
        <v>20</v>
      </c>
      <c r="AA6298" s="235">
        <v>0.3333333333321207</v>
      </c>
      <c r="AB6298" s="236">
        <v>4.8</v>
      </c>
      <c r="AC6298" s="127">
        <f t="shared" si="113"/>
        <v>5</v>
      </c>
    </row>
    <row r="6299" ht="14.5" customHeight="1" spans="11:29" x14ac:dyDescent="0.25">
      <c r="K6299" s="128"/>
      <c r="X6299" s="234">
        <v>2022</v>
      </c>
      <c r="Y6299" s="234">
        <v>9</v>
      </c>
      <c r="Z6299" s="234">
        <v>20</v>
      </c>
      <c r="AA6299" s="235">
        <v>0.375</v>
      </c>
      <c r="AB6299" s="236">
        <v>6.9</v>
      </c>
      <c r="AC6299" s="127">
        <f t="shared" si="113"/>
        <v>7</v>
      </c>
    </row>
    <row r="6300" ht="14.5" customHeight="1" spans="11:29" x14ac:dyDescent="0.25">
      <c r="K6300" s="128"/>
      <c r="X6300" s="234">
        <v>2022</v>
      </c>
      <c r="Y6300" s="234">
        <v>9</v>
      </c>
      <c r="Z6300" s="234">
        <v>20</v>
      </c>
      <c r="AA6300" s="235">
        <v>0.4166666666678793</v>
      </c>
      <c r="AB6300" s="236">
        <v>8.6</v>
      </c>
      <c r="AC6300" s="127">
        <f t="shared" si="113"/>
        <v>9</v>
      </c>
    </row>
    <row r="6301" ht="14.5" customHeight="1" spans="11:29" x14ac:dyDescent="0.25">
      <c r="K6301" s="128"/>
      <c r="X6301" s="234">
        <v>2022</v>
      </c>
      <c r="Y6301" s="234">
        <v>9</v>
      </c>
      <c r="Z6301" s="234">
        <v>20</v>
      </c>
      <c r="AA6301" s="235">
        <v>0.4583333333321207</v>
      </c>
      <c r="AB6301" s="236">
        <v>10</v>
      </c>
      <c r="AC6301" s="127">
        <f t="shared" si="113"/>
        <v>10</v>
      </c>
    </row>
    <row r="6302" ht="14.5" customHeight="1" spans="11:29" x14ac:dyDescent="0.25">
      <c r="K6302" s="128"/>
      <c r="X6302" s="234">
        <v>2022</v>
      </c>
      <c r="Y6302" s="234">
        <v>9</v>
      </c>
      <c r="Z6302" s="234">
        <v>20</v>
      </c>
      <c r="AA6302" s="235">
        <v>0.5</v>
      </c>
      <c r="AB6302" s="236">
        <v>10.5</v>
      </c>
      <c r="AC6302" s="127">
        <f t="shared" si="113"/>
        <v>11</v>
      </c>
    </row>
    <row r="6303" ht="14.5" customHeight="1" spans="11:29" x14ac:dyDescent="0.25">
      <c r="K6303" s="128"/>
      <c r="X6303" s="234">
        <v>2022</v>
      </c>
      <c r="Y6303" s="234">
        <v>9</v>
      </c>
      <c r="Z6303" s="234">
        <v>20</v>
      </c>
      <c r="AA6303" s="235">
        <v>0.5416666666678793</v>
      </c>
      <c r="AB6303" s="236">
        <v>11.7</v>
      </c>
      <c r="AC6303" s="127">
        <f t="shared" si="113"/>
        <v>12</v>
      </c>
    </row>
    <row r="6304" ht="14.5" customHeight="1" spans="11:29" x14ac:dyDescent="0.25">
      <c r="K6304" s="128"/>
      <c r="X6304" s="234">
        <v>2022</v>
      </c>
      <c r="Y6304" s="234">
        <v>9</v>
      </c>
      <c r="Z6304" s="234">
        <v>20</v>
      </c>
      <c r="AA6304" s="235">
        <v>0.5833333333321207</v>
      </c>
      <c r="AB6304" s="236">
        <v>12.9</v>
      </c>
      <c r="AC6304" s="127">
        <f t="shared" si="113"/>
        <v>13</v>
      </c>
    </row>
    <row r="6305" ht="14.5" customHeight="1" spans="11:29" x14ac:dyDescent="0.25">
      <c r="K6305" s="128"/>
      <c r="X6305" s="234">
        <v>2022</v>
      </c>
      <c r="Y6305" s="234">
        <v>9</v>
      </c>
      <c r="Z6305" s="234">
        <v>20</v>
      </c>
      <c r="AA6305" s="235">
        <v>0.625</v>
      </c>
      <c r="AB6305" s="236">
        <v>13</v>
      </c>
      <c r="AC6305" s="127">
        <f t="shared" si="113"/>
        <v>13</v>
      </c>
    </row>
    <row r="6306" ht="14.5" customHeight="1" spans="11:29" x14ac:dyDescent="0.25">
      <c r="K6306" s="128"/>
      <c r="X6306" s="234">
        <v>2022</v>
      </c>
      <c r="Y6306" s="234">
        <v>9</v>
      </c>
      <c r="Z6306" s="234">
        <v>20</v>
      </c>
      <c r="AA6306" s="235">
        <v>0.6666666666678793</v>
      </c>
      <c r="AB6306" s="236">
        <v>13.3</v>
      </c>
      <c r="AC6306" s="127">
        <f t="shared" si="113"/>
        <v>13</v>
      </c>
    </row>
    <row r="6307" ht="14.5" customHeight="1" spans="11:29" x14ac:dyDescent="0.25">
      <c r="K6307" s="128"/>
      <c r="X6307" s="234">
        <v>2022</v>
      </c>
      <c r="Y6307" s="234">
        <v>9</v>
      </c>
      <c r="Z6307" s="234">
        <v>20</v>
      </c>
      <c r="AA6307" s="235">
        <v>0.7083333333321207</v>
      </c>
      <c r="AB6307" s="236">
        <v>13.2</v>
      </c>
      <c r="AC6307" s="127">
        <f t="shared" si="113"/>
        <v>13</v>
      </c>
    </row>
    <row r="6308" ht="14.5" customHeight="1" spans="11:29" x14ac:dyDescent="0.25">
      <c r="K6308" s="128"/>
      <c r="X6308" s="234">
        <v>2022</v>
      </c>
      <c r="Y6308" s="234">
        <v>9</v>
      </c>
      <c r="Z6308" s="234">
        <v>20</v>
      </c>
      <c r="AA6308" s="235">
        <v>0.75</v>
      </c>
      <c r="AB6308" s="236">
        <v>12.2</v>
      </c>
      <c r="AC6308" s="127">
        <f t="shared" si="113"/>
        <v>12</v>
      </c>
    </row>
    <row r="6309" ht="14.5" customHeight="1" spans="11:29" x14ac:dyDescent="0.25">
      <c r="K6309" s="128"/>
      <c r="X6309" s="234">
        <v>2022</v>
      </c>
      <c r="Y6309" s="234">
        <v>9</v>
      </c>
      <c r="Z6309" s="234">
        <v>20</v>
      </c>
      <c r="AA6309" s="235">
        <v>0.7916666666678793</v>
      </c>
      <c r="AB6309" s="236">
        <v>8.2</v>
      </c>
      <c r="AC6309" s="127">
        <f t="shared" si="113"/>
        <v>8</v>
      </c>
    </row>
    <row r="6310" ht="14.5" customHeight="1" spans="11:29" x14ac:dyDescent="0.25">
      <c r="K6310" s="128"/>
      <c r="X6310" s="234">
        <v>2022</v>
      </c>
      <c r="Y6310" s="234">
        <v>9</v>
      </c>
      <c r="Z6310" s="234">
        <v>20</v>
      </c>
      <c r="AA6310" s="235">
        <v>0.8333333333321207</v>
      </c>
      <c r="AB6310" s="236">
        <v>6.9</v>
      </c>
      <c r="AC6310" s="127">
        <f t="shared" si="113"/>
        <v>7</v>
      </c>
    </row>
    <row r="6311" ht="14.5" customHeight="1" spans="11:29" x14ac:dyDescent="0.25">
      <c r="K6311" s="128"/>
      <c r="X6311" s="234">
        <v>2022</v>
      </c>
      <c r="Y6311" s="234">
        <v>9</v>
      </c>
      <c r="Z6311" s="234">
        <v>20</v>
      </c>
      <c r="AA6311" s="235">
        <v>0.875</v>
      </c>
      <c r="AB6311" s="236">
        <v>5.2</v>
      </c>
      <c r="AC6311" s="127">
        <f t="shared" si="113"/>
        <v>5</v>
      </c>
    </row>
    <row r="6312" ht="14.5" customHeight="1" spans="11:29" x14ac:dyDescent="0.25">
      <c r="K6312" s="128"/>
      <c r="X6312" s="234">
        <v>2022</v>
      </c>
      <c r="Y6312" s="234">
        <v>9</v>
      </c>
      <c r="Z6312" s="234">
        <v>20</v>
      </c>
      <c r="AA6312" s="235">
        <v>0.9166666666678793</v>
      </c>
      <c r="AB6312" s="236">
        <v>4.7</v>
      </c>
      <c r="AC6312" s="127">
        <f t="shared" si="113"/>
        <v>5</v>
      </c>
    </row>
    <row r="6313" ht="14.5" customHeight="1" spans="11:29" x14ac:dyDescent="0.25">
      <c r="K6313" s="128"/>
      <c r="X6313" s="234">
        <v>2022</v>
      </c>
      <c r="Y6313" s="234">
        <v>9</v>
      </c>
      <c r="Z6313" s="234">
        <v>20</v>
      </c>
      <c r="AA6313" s="235">
        <v>0.9583333333321207</v>
      </c>
      <c r="AB6313" s="236">
        <v>3.7</v>
      </c>
      <c r="AC6313" s="127">
        <f t="shared" si="113"/>
        <v>4</v>
      </c>
    </row>
    <row r="6314" ht="14.5" customHeight="1" spans="11:29" x14ac:dyDescent="0.25">
      <c r="K6314" s="128"/>
      <c r="X6314" s="234">
        <v>2022</v>
      </c>
      <c r="Y6314" s="234">
        <v>9</v>
      </c>
      <c r="Z6314" s="234">
        <v>21</v>
      </c>
      <c r="AA6314" s="235">
        <v>0</v>
      </c>
      <c r="AB6314" s="236">
        <v>3.2</v>
      </c>
      <c r="AC6314" s="127">
        <f t="shared" si="113"/>
        <v>3</v>
      </c>
    </row>
    <row r="6315" ht="14.5" customHeight="1" spans="11:29" x14ac:dyDescent="0.25">
      <c r="K6315" s="128"/>
      <c r="X6315" s="234">
        <v>2022</v>
      </c>
      <c r="Y6315" s="234">
        <v>9</v>
      </c>
      <c r="Z6315" s="234">
        <v>21</v>
      </c>
      <c r="AA6315" s="235">
        <v>0.041666666667879326</v>
      </c>
      <c r="AB6315" s="236">
        <v>2.1</v>
      </c>
      <c r="AC6315" s="127">
        <f t="shared" si="113"/>
        <v>2</v>
      </c>
    </row>
    <row r="6316" ht="14.5" customHeight="1" spans="11:29" x14ac:dyDescent="0.25">
      <c r="K6316" s="128"/>
      <c r="X6316" s="234">
        <v>2022</v>
      </c>
      <c r="Y6316" s="234">
        <v>9</v>
      </c>
      <c r="Z6316" s="234">
        <v>21</v>
      </c>
      <c r="AA6316" s="235">
        <v>0.08333333333212067</v>
      </c>
      <c r="AB6316" s="236">
        <v>2.5</v>
      </c>
      <c r="AC6316" s="127">
        <f t="shared" si="113"/>
        <v>3</v>
      </c>
    </row>
    <row r="6317" ht="14.5" customHeight="1" spans="11:29" x14ac:dyDescent="0.25">
      <c r="K6317" s="128"/>
      <c r="X6317" s="234">
        <v>2022</v>
      </c>
      <c r="Y6317" s="234">
        <v>9</v>
      </c>
      <c r="Z6317" s="234">
        <v>21</v>
      </c>
      <c r="AA6317" s="235">
        <v>0.125</v>
      </c>
      <c r="AB6317" s="236">
        <v>2.1</v>
      </c>
      <c r="AC6317" s="127">
        <f t="shared" si="113"/>
        <v>2</v>
      </c>
    </row>
    <row r="6318" ht="14.5" customHeight="1" spans="11:29" x14ac:dyDescent="0.25">
      <c r="K6318" s="128"/>
      <c r="X6318" s="234">
        <v>2022</v>
      </c>
      <c r="Y6318" s="234">
        <v>9</v>
      </c>
      <c r="Z6318" s="234">
        <v>21</v>
      </c>
      <c r="AA6318" s="235">
        <v>0.16666666666787933</v>
      </c>
      <c r="AB6318" s="236">
        <v>1.1</v>
      </c>
      <c r="AC6318" s="127">
        <f t="shared" si="113"/>
        <v>1</v>
      </c>
    </row>
    <row r="6319" ht="14.5" customHeight="1" spans="11:29" x14ac:dyDescent="0.25">
      <c r="K6319" s="128"/>
      <c r="X6319" s="234">
        <v>2022</v>
      </c>
      <c r="Y6319" s="234">
        <v>9</v>
      </c>
      <c r="Z6319" s="234">
        <v>21</v>
      </c>
      <c r="AA6319" s="235">
        <v>0.20833333333212067</v>
      </c>
      <c r="AB6319" s="236">
        <v>-0.2</v>
      </c>
      <c r="AC6319" s="127">
        <f t="shared" si="113"/>
        <v>0</v>
      </c>
    </row>
    <row r="6320" ht="14.5" customHeight="1" spans="11:29" x14ac:dyDescent="0.25">
      <c r="K6320" s="128"/>
      <c r="X6320" s="234">
        <v>2022</v>
      </c>
      <c r="Y6320" s="234">
        <v>9</v>
      </c>
      <c r="Z6320" s="234">
        <v>21</v>
      </c>
      <c r="AA6320" s="235">
        <v>0.25</v>
      </c>
      <c r="AB6320" s="236">
        <v>0.2</v>
      </c>
      <c r="AC6320" s="127">
        <f t="shared" si="113"/>
        <v>0</v>
      </c>
    </row>
    <row r="6321" ht="14.5" customHeight="1" spans="11:29" x14ac:dyDescent="0.25">
      <c r="K6321" s="128"/>
      <c r="X6321" s="234">
        <v>2022</v>
      </c>
      <c r="Y6321" s="234">
        <v>9</v>
      </c>
      <c r="Z6321" s="234">
        <v>21</v>
      </c>
      <c r="AA6321" s="235">
        <v>0.2916666666678793</v>
      </c>
      <c r="AB6321" s="236">
        <v>0.6</v>
      </c>
      <c r="AC6321" s="127">
        <f t="shared" si="113"/>
        <v>1</v>
      </c>
    </row>
    <row r="6322" ht="14.5" customHeight="1" spans="11:29" x14ac:dyDescent="0.25">
      <c r="K6322" s="128"/>
      <c r="X6322" s="234">
        <v>2022</v>
      </c>
      <c r="Y6322" s="234">
        <v>9</v>
      </c>
      <c r="Z6322" s="234">
        <v>21</v>
      </c>
      <c r="AA6322" s="235">
        <v>0.3333333333321207</v>
      </c>
      <c r="AB6322" s="236">
        <v>3.7</v>
      </c>
      <c r="AC6322" s="127">
        <f t="shared" si="113"/>
        <v>4</v>
      </c>
    </row>
    <row r="6323" ht="14.5" customHeight="1" spans="11:29" x14ac:dyDescent="0.25">
      <c r="K6323" s="128"/>
      <c r="X6323" s="234">
        <v>2022</v>
      </c>
      <c r="Y6323" s="234">
        <v>9</v>
      </c>
      <c r="Z6323" s="234">
        <v>21</v>
      </c>
      <c r="AA6323" s="235">
        <v>0.375</v>
      </c>
      <c r="AB6323" s="236">
        <v>7.2</v>
      </c>
      <c r="AC6323" s="127">
        <f t="shared" si="113"/>
        <v>7</v>
      </c>
    </row>
    <row r="6324" ht="14.5" customHeight="1" spans="11:29" x14ac:dyDescent="0.25">
      <c r="K6324" s="128"/>
      <c r="X6324" s="234">
        <v>2022</v>
      </c>
      <c r="Y6324" s="234">
        <v>9</v>
      </c>
      <c r="Z6324" s="234">
        <v>21</v>
      </c>
      <c r="AA6324" s="235">
        <v>0.4166666666678793</v>
      </c>
      <c r="AB6324" s="236">
        <v>10.3</v>
      </c>
      <c r="AC6324" s="127">
        <f t="shared" si="113"/>
        <v>10</v>
      </c>
    </row>
    <row r="6325" ht="14.5" customHeight="1" spans="11:29" x14ac:dyDescent="0.25">
      <c r="K6325" s="128"/>
      <c r="X6325" s="234">
        <v>2022</v>
      </c>
      <c r="Y6325" s="234">
        <v>9</v>
      </c>
      <c r="Z6325" s="234">
        <v>21</v>
      </c>
      <c r="AA6325" s="235">
        <v>0.4583333333321207</v>
      </c>
      <c r="AB6325" s="236">
        <v>12.6</v>
      </c>
      <c r="AC6325" s="127">
        <f t="shared" si="113"/>
        <v>13</v>
      </c>
    </row>
    <row r="6326" ht="14.5" customHeight="1" spans="11:29" x14ac:dyDescent="0.25">
      <c r="K6326" s="128"/>
      <c r="X6326" s="234">
        <v>2022</v>
      </c>
      <c r="Y6326" s="234">
        <v>9</v>
      </c>
      <c r="Z6326" s="234">
        <v>21</v>
      </c>
      <c r="AA6326" s="235">
        <v>0.5</v>
      </c>
      <c r="AB6326" s="236">
        <v>14.6</v>
      </c>
      <c r="AC6326" s="127">
        <f t="shared" si="113"/>
        <v>15</v>
      </c>
    </row>
    <row r="6327" ht="14.5" customHeight="1" spans="11:29" x14ac:dyDescent="0.25">
      <c r="K6327" s="128"/>
      <c r="X6327" s="234">
        <v>2022</v>
      </c>
      <c r="Y6327" s="234">
        <v>9</v>
      </c>
      <c r="Z6327" s="234">
        <v>21</v>
      </c>
      <c r="AA6327" s="235">
        <v>0.5416666666678793</v>
      </c>
      <c r="AB6327" s="236">
        <v>15.2</v>
      </c>
      <c r="AC6327" s="127">
        <f t="shared" si="113"/>
        <v>15</v>
      </c>
    </row>
    <row r="6328" ht="14.5" customHeight="1" spans="11:29" x14ac:dyDescent="0.25">
      <c r="K6328" s="128"/>
      <c r="X6328" s="234">
        <v>2022</v>
      </c>
      <c r="Y6328" s="234">
        <v>9</v>
      </c>
      <c r="Z6328" s="234">
        <v>21</v>
      </c>
      <c r="AA6328" s="235">
        <v>0.5833333333321207</v>
      </c>
      <c r="AB6328" s="236">
        <v>15.7</v>
      </c>
      <c r="AC6328" s="127">
        <f t="shared" si="113"/>
        <v>16</v>
      </c>
    </row>
    <row r="6329" ht="14.5" customHeight="1" spans="11:29" x14ac:dyDescent="0.25">
      <c r="K6329" s="128"/>
      <c r="X6329" s="234">
        <v>2022</v>
      </c>
      <c r="Y6329" s="234">
        <v>9</v>
      </c>
      <c r="Z6329" s="234">
        <v>21</v>
      </c>
      <c r="AA6329" s="235">
        <v>0.625</v>
      </c>
      <c r="AB6329" s="236">
        <v>16</v>
      </c>
      <c r="AC6329" s="127">
        <f t="shared" si="113"/>
        <v>16</v>
      </c>
    </row>
    <row r="6330" ht="14.5" customHeight="1" spans="11:29" x14ac:dyDescent="0.25">
      <c r="K6330" s="128"/>
      <c r="X6330" s="234">
        <v>2022</v>
      </c>
      <c r="Y6330" s="234">
        <v>9</v>
      </c>
      <c r="Z6330" s="234">
        <v>21</v>
      </c>
      <c r="AA6330" s="235">
        <v>0.6666666666678793</v>
      </c>
      <c r="AB6330" s="236">
        <v>15.6</v>
      </c>
      <c r="AC6330" s="127">
        <f t="shared" si="113"/>
        <v>16</v>
      </c>
    </row>
    <row r="6331" ht="14.5" customHeight="1" spans="11:29" x14ac:dyDescent="0.25">
      <c r="K6331" s="128"/>
      <c r="X6331" s="234">
        <v>2022</v>
      </c>
      <c r="Y6331" s="234">
        <v>9</v>
      </c>
      <c r="Z6331" s="234">
        <v>21</v>
      </c>
      <c r="AA6331" s="235">
        <v>0.7083333333321207</v>
      </c>
      <c r="AB6331" s="236">
        <v>15.5</v>
      </c>
      <c r="AC6331" s="127">
        <f t="shared" si="113"/>
        <v>16</v>
      </c>
    </row>
    <row r="6332" ht="14.5" customHeight="1" spans="11:29" x14ac:dyDescent="0.25">
      <c r="K6332" s="128"/>
      <c r="X6332" s="234">
        <v>2022</v>
      </c>
      <c r="Y6332" s="234">
        <v>9</v>
      </c>
      <c r="Z6332" s="234">
        <v>21</v>
      </c>
      <c r="AA6332" s="235">
        <v>0.75</v>
      </c>
      <c r="AB6332" s="236">
        <v>14.4</v>
      </c>
      <c r="AC6332" s="127">
        <f t="shared" si="113"/>
        <v>14</v>
      </c>
    </row>
    <row r="6333" ht="14.5" customHeight="1" spans="11:29" x14ac:dyDescent="0.25">
      <c r="K6333" s="128"/>
      <c r="X6333" s="234">
        <v>2022</v>
      </c>
      <c r="Y6333" s="234">
        <v>9</v>
      </c>
      <c r="Z6333" s="234">
        <v>21</v>
      </c>
      <c r="AA6333" s="235">
        <v>0.7916666666678793</v>
      </c>
      <c r="AB6333" s="236">
        <v>12.2</v>
      </c>
      <c r="AC6333" s="127">
        <f t="shared" si="113"/>
        <v>12</v>
      </c>
    </row>
    <row r="6334" ht="14.5" customHeight="1" spans="11:29" x14ac:dyDescent="0.25">
      <c r="K6334" s="128"/>
      <c r="X6334" s="234">
        <v>2022</v>
      </c>
      <c r="Y6334" s="234">
        <v>9</v>
      </c>
      <c r="Z6334" s="234">
        <v>21</v>
      </c>
      <c r="AA6334" s="235">
        <v>0.8333333333321207</v>
      </c>
      <c r="AB6334" s="236">
        <v>10.6</v>
      </c>
      <c r="AC6334" s="127">
        <f t="shared" si="113"/>
        <v>11</v>
      </c>
    </row>
    <row r="6335" ht="14.5" customHeight="1" spans="11:29" x14ac:dyDescent="0.25">
      <c r="K6335" s="128"/>
      <c r="X6335" s="234">
        <v>2022</v>
      </c>
      <c r="Y6335" s="234">
        <v>9</v>
      </c>
      <c r="Z6335" s="234">
        <v>21</v>
      </c>
      <c r="AA6335" s="235">
        <v>0.875</v>
      </c>
      <c r="AB6335" s="236">
        <v>9.7</v>
      </c>
      <c r="AC6335" s="127">
        <f t="shared" si="113"/>
        <v>10</v>
      </c>
    </row>
    <row r="6336" ht="14.5" customHeight="1" spans="11:29" x14ac:dyDescent="0.25">
      <c r="K6336" s="128"/>
      <c r="X6336" s="234">
        <v>2022</v>
      </c>
      <c r="Y6336" s="234">
        <v>9</v>
      </c>
      <c r="Z6336" s="234">
        <v>21</v>
      </c>
      <c r="AA6336" s="235">
        <v>0.9166666666678793</v>
      </c>
      <c r="AB6336" s="236">
        <v>8.9</v>
      </c>
      <c r="AC6336" s="127">
        <f t="shared" si="113"/>
        <v>9</v>
      </c>
    </row>
    <row r="6337" ht="14.5" customHeight="1" spans="11:29" x14ac:dyDescent="0.25">
      <c r="K6337" s="128"/>
      <c r="X6337" s="234">
        <v>2022</v>
      </c>
      <c r="Y6337" s="234">
        <v>9</v>
      </c>
      <c r="Z6337" s="234">
        <v>21</v>
      </c>
      <c r="AA6337" s="235">
        <v>0.9583333333321207</v>
      </c>
      <c r="AB6337" s="236">
        <v>8.4</v>
      </c>
      <c r="AC6337" s="127">
        <f t="shared" si="113"/>
        <v>8</v>
      </c>
    </row>
    <row r="6338" ht="14.5" customHeight="1" spans="11:29" x14ac:dyDescent="0.25">
      <c r="K6338" s="128"/>
      <c r="X6338" s="234">
        <v>2022</v>
      </c>
      <c r="Y6338" s="234">
        <v>9</v>
      </c>
      <c r="Z6338" s="234">
        <v>22</v>
      </c>
      <c r="AA6338" s="235">
        <v>0</v>
      </c>
      <c r="AB6338" s="236">
        <v>9</v>
      </c>
      <c r="AC6338" s="127">
        <f t="shared" si="113"/>
        <v>9</v>
      </c>
    </row>
    <row r="6339" ht="14.5" customHeight="1" spans="11:29" x14ac:dyDescent="0.25">
      <c r="K6339" s="128"/>
      <c r="X6339" s="234">
        <v>2022</v>
      </c>
      <c r="Y6339" s="234">
        <v>9</v>
      </c>
      <c r="Z6339" s="234">
        <v>22</v>
      </c>
      <c r="AA6339" s="235">
        <v>0.041666666667879326</v>
      </c>
      <c r="AB6339" s="236">
        <v>7.5</v>
      </c>
      <c r="AC6339" s="127">
        <f t="shared" si="113"/>
        <v>8</v>
      </c>
    </row>
    <row r="6340" ht="14.5" customHeight="1" spans="11:29" x14ac:dyDescent="0.25">
      <c r="K6340" s="128"/>
      <c r="X6340" s="234">
        <v>2022</v>
      </c>
      <c r="Y6340" s="234">
        <v>9</v>
      </c>
      <c r="Z6340" s="234">
        <v>22</v>
      </c>
      <c r="AA6340" s="235">
        <v>0.08333333333212067</v>
      </c>
      <c r="AB6340" s="236">
        <v>6.5</v>
      </c>
      <c r="AC6340" s="127">
        <f t="shared" si="113"/>
        <v>7</v>
      </c>
    </row>
    <row r="6341" ht="14.5" customHeight="1" spans="11:29" x14ac:dyDescent="0.25">
      <c r="K6341" s="128"/>
      <c r="X6341" s="234">
        <v>2022</v>
      </c>
      <c r="Y6341" s="234">
        <v>9</v>
      </c>
      <c r="Z6341" s="234">
        <v>22</v>
      </c>
      <c r="AA6341" s="235">
        <v>0.125</v>
      </c>
      <c r="AB6341" s="236">
        <v>5</v>
      </c>
      <c r="AC6341" s="127">
        <f t="shared" si="113"/>
        <v>5</v>
      </c>
    </row>
    <row r="6342" ht="14.5" customHeight="1" spans="11:29" x14ac:dyDescent="0.25">
      <c r="K6342" s="128"/>
      <c r="X6342" s="234">
        <v>2022</v>
      </c>
      <c r="Y6342" s="234">
        <v>9</v>
      </c>
      <c r="Z6342" s="234">
        <v>22</v>
      </c>
      <c r="AA6342" s="235">
        <v>0.16666666666787933</v>
      </c>
      <c r="AB6342" s="236">
        <v>3.8</v>
      </c>
      <c r="AC6342" s="127">
        <f t="shared" si="113"/>
        <v>4</v>
      </c>
    </row>
    <row r="6343" ht="14.5" customHeight="1" spans="11:29" x14ac:dyDescent="0.25">
      <c r="K6343" s="128"/>
      <c r="X6343" s="234">
        <v>2022</v>
      </c>
      <c r="Y6343" s="234">
        <v>9</v>
      </c>
      <c r="Z6343" s="234">
        <v>22</v>
      </c>
      <c r="AA6343" s="235">
        <v>0.20833333333212067</v>
      </c>
      <c r="AB6343" s="236">
        <v>4.4</v>
      </c>
      <c r="AC6343" s="127">
        <f t="shared" si="113"/>
        <v>4</v>
      </c>
    </row>
    <row r="6344" ht="14.5" customHeight="1" spans="11:29" x14ac:dyDescent="0.25">
      <c r="K6344" s="128"/>
      <c r="X6344" s="234">
        <v>2022</v>
      </c>
      <c r="Y6344" s="234">
        <v>9</v>
      </c>
      <c r="Z6344" s="234">
        <v>22</v>
      </c>
      <c r="AA6344" s="235">
        <v>0.25</v>
      </c>
      <c r="AB6344" s="236">
        <v>3.7</v>
      </c>
      <c r="AC6344" s="127">
        <f t="shared" si="113"/>
        <v>4</v>
      </c>
    </row>
    <row r="6345" ht="14.5" customHeight="1" spans="11:29" x14ac:dyDescent="0.25">
      <c r="K6345" s="128"/>
      <c r="X6345" s="234">
        <v>2022</v>
      </c>
      <c r="Y6345" s="234">
        <v>9</v>
      </c>
      <c r="Z6345" s="234">
        <v>22</v>
      </c>
      <c r="AA6345" s="235">
        <v>0.2916666666678793</v>
      </c>
      <c r="AB6345" s="236">
        <v>4.1</v>
      </c>
      <c r="AC6345" s="127">
        <f t="shared" si="113"/>
        <v>4</v>
      </c>
    </row>
    <row r="6346" ht="14.5" customHeight="1" spans="11:29" x14ac:dyDescent="0.25">
      <c r="K6346" s="128"/>
      <c r="X6346" s="234">
        <v>2022</v>
      </c>
      <c r="Y6346" s="234">
        <v>9</v>
      </c>
      <c r="Z6346" s="234">
        <v>22</v>
      </c>
      <c r="AA6346" s="235">
        <v>0.3333333333321207</v>
      </c>
      <c r="AB6346" s="236">
        <v>6.3</v>
      </c>
      <c r="AC6346" s="127">
        <f t="shared" si="113"/>
        <v>6</v>
      </c>
    </row>
    <row r="6347" ht="14.5" customHeight="1" spans="11:29" x14ac:dyDescent="0.25">
      <c r="K6347" s="128"/>
      <c r="X6347" s="234">
        <v>2022</v>
      </c>
      <c r="Y6347" s="234">
        <v>9</v>
      </c>
      <c r="Z6347" s="234">
        <v>22</v>
      </c>
      <c r="AA6347" s="235">
        <v>0.375</v>
      </c>
      <c r="AB6347" s="236">
        <v>8</v>
      </c>
      <c r="AC6347" s="127">
        <f t="shared" ref="AC6347:AC6410" si="114">ROUND(AB6347,0)</f>
        <v>8</v>
      </c>
    </row>
    <row r="6348" ht="14.5" customHeight="1" spans="11:29" x14ac:dyDescent="0.25">
      <c r="K6348" s="128"/>
      <c r="X6348" s="234">
        <v>2022</v>
      </c>
      <c r="Y6348" s="234">
        <v>9</v>
      </c>
      <c r="Z6348" s="234">
        <v>22</v>
      </c>
      <c r="AA6348" s="235">
        <v>0.4166666666678793</v>
      </c>
      <c r="AB6348" s="236">
        <v>9.3</v>
      </c>
      <c r="AC6348" s="127">
        <f t="shared" si="114"/>
        <v>9</v>
      </c>
    </row>
    <row r="6349" ht="14.5" customHeight="1" spans="11:29" x14ac:dyDescent="0.25">
      <c r="K6349" s="128"/>
      <c r="X6349" s="234">
        <v>2022</v>
      </c>
      <c r="Y6349" s="234">
        <v>9</v>
      </c>
      <c r="Z6349" s="234">
        <v>22</v>
      </c>
      <c r="AA6349" s="235">
        <v>0.4583333333321207</v>
      </c>
      <c r="AB6349" s="236">
        <v>11.2</v>
      </c>
      <c r="AC6349" s="127">
        <f t="shared" si="114"/>
        <v>11</v>
      </c>
    </row>
    <row r="6350" ht="14.5" customHeight="1" spans="11:29" x14ac:dyDescent="0.25">
      <c r="K6350" s="128"/>
      <c r="X6350" s="234">
        <v>2022</v>
      </c>
      <c r="Y6350" s="234">
        <v>9</v>
      </c>
      <c r="Z6350" s="234">
        <v>22</v>
      </c>
      <c r="AA6350" s="235">
        <v>0.5</v>
      </c>
      <c r="AB6350" s="236">
        <v>14.5</v>
      </c>
      <c r="AC6350" s="127">
        <f t="shared" si="114"/>
        <v>15</v>
      </c>
    </row>
    <row r="6351" ht="14.5" customHeight="1" spans="11:29" x14ac:dyDescent="0.25">
      <c r="K6351" s="128"/>
      <c r="X6351" s="234">
        <v>2022</v>
      </c>
      <c r="Y6351" s="234">
        <v>9</v>
      </c>
      <c r="Z6351" s="234">
        <v>22</v>
      </c>
      <c r="AA6351" s="235">
        <v>0.5416666666678793</v>
      </c>
      <c r="AB6351" s="236">
        <v>15.4</v>
      </c>
      <c r="AC6351" s="127">
        <f t="shared" si="114"/>
        <v>15</v>
      </c>
    </row>
    <row r="6352" ht="14.5" customHeight="1" spans="11:29" x14ac:dyDescent="0.25">
      <c r="K6352" s="128"/>
      <c r="X6352" s="234">
        <v>2022</v>
      </c>
      <c r="Y6352" s="234">
        <v>9</v>
      </c>
      <c r="Z6352" s="234">
        <v>22</v>
      </c>
      <c r="AA6352" s="235">
        <v>0.5833333333321207</v>
      </c>
      <c r="AB6352" s="236">
        <v>15.4</v>
      </c>
      <c r="AC6352" s="127">
        <f t="shared" si="114"/>
        <v>15</v>
      </c>
    </row>
    <row r="6353" ht="14.5" customHeight="1" spans="11:29" x14ac:dyDescent="0.25">
      <c r="K6353" s="128"/>
      <c r="X6353" s="234">
        <v>2022</v>
      </c>
      <c r="Y6353" s="234">
        <v>9</v>
      </c>
      <c r="Z6353" s="234">
        <v>22</v>
      </c>
      <c r="AA6353" s="235">
        <v>0.625</v>
      </c>
      <c r="AB6353" s="236">
        <v>16.6</v>
      </c>
      <c r="AC6353" s="127">
        <f t="shared" si="114"/>
        <v>17</v>
      </c>
    </row>
    <row r="6354" ht="14.5" customHeight="1" spans="11:29" x14ac:dyDescent="0.25">
      <c r="K6354" s="128"/>
      <c r="X6354" s="234">
        <v>2022</v>
      </c>
      <c r="Y6354" s="234">
        <v>9</v>
      </c>
      <c r="Z6354" s="234">
        <v>22</v>
      </c>
      <c r="AA6354" s="235">
        <v>0.6666666666678793</v>
      </c>
      <c r="AB6354" s="236">
        <v>16.4</v>
      </c>
      <c r="AC6354" s="127">
        <f t="shared" si="114"/>
        <v>16</v>
      </c>
    </row>
    <row r="6355" ht="14.5" customHeight="1" spans="11:29" x14ac:dyDescent="0.25">
      <c r="K6355" s="128"/>
      <c r="X6355" s="234">
        <v>2022</v>
      </c>
      <c r="Y6355" s="234">
        <v>9</v>
      </c>
      <c r="Z6355" s="234">
        <v>22</v>
      </c>
      <c r="AA6355" s="235">
        <v>0.7083333333321207</v>
      </c>
      <c r="AB6355" s="236">
        <v>14.8</v>
      </c>
      <c r="AC6355" s="127">
        <f t="shared" si="114"/>
        <v>15</v>
      </c>
    </row>
    <row r="6356" ht="14.5" customHeight="1" spans="11:29" x14ac:dyDescent="0.25">
      <c r="K6356" s="128"/>
      <c r="X6356" s="234">
        <v>2022</v>
      </c>
      <c r="Y6356" s="234">
        <v>9</v>
      </c>
      <c r="Z6356" s="234">
        <v>22</v>
      </c>
      <c r="AA6356" s="235">
        <v>0.75</v>
      </c>
      <c r="AB6356" s="236">
        <v>13.1</v>
      </c>
      <c r="AC6356" s="127">
        <f t="shared" si="114"/>
        <v>13</v>
      </c>
    </row>
    <row r="6357" ht="14.5" customHeight="1" spans="11:29" x14ac:dyDescent="0.25">
      <c r="K6357" s="128"/>
      <c r="X6357" s="234">
        <v>2022</v>
      </c>
      <c r="Y6357" s="234">
        <v>9</v>
      </c>
      <c r="Z6357" s="234">
        <v>22</v>
      </c>
      <c r="AA6357" s="235">
        <v>0.7916666666678793</v>
      </c>
      <c r="AB6357" s="236">
        <v>11.5</v>
      </c>
      <c r="AC6357" s="127">
        <f t="shared" si="114"/>
        <v>12</v>
      </c>
    </row>
    <row r="6358" ht="14.5" customHeight="1" spans="11:29" x14ac:dyDescent="0.25">
      <c r="K6358" s="128"/>
      <c r="X6358" s="234">
        <v>2022</v>
      </c>
      <c r="Y6358" s="234">
        <v>9</v>
      </c>
      <c r="Z6358" s="234">
        <v>22</v>
      </c>
      <c r="AA6358" s="235">
        <v>0.8333333333321207</v>
      </c>
      <c r="AB6358" s="236">
        <v>10</v>
      </c>
      <c r="AC6358" s="127">
        <f t="shared" si="114"/>
        <v>10</v>
      </c>
    </row>
    <row r="6359" ht="14.5" customHeight="1" spans="11:29" x14ac:dyDescent="0.25">
      <c r="K6359" s="128"/>
      <c r="X6359" s="234">
        <v>2022</v>
      </c>
      <c r="Y6359" s="234">
        <v>9</v>
      </c>
      <c r="Z6359" s="234">
        <v>22</v>
      </c>
      <c r="AA6359" s="235">
        <v>0.875</v>
      </c>
      <c r="AB6359" s="236">
        <v>7.6</v>
      </c>
      <c r="AC6359" s="127">
        <f t="shared" si="114"/>
        <v>8</v>
      </c>
    </row>
    <row r="6360" ht="14.5" customHeight="1" spans="11:29" x14ac:dyDescent="0.25">
      <c r="K6360" s="128"/>
      <c r="X6360" s="234">
        <v>2022</v>
      </c>
      <c r="Y6360" s="234">
        <v>9</v>
      </c>
      <c r="Z6360" s="234">
        <v>22</v>
      </c>
      <c r="AA6360" s="235">
        <v>0.9166666666678793</v>
      </c>
      <c r="AB6360" s="236">
        <v>6.5</v>
      </c>
      <c r="AC6360" s="127">
        <f t="shared" si="114"/>
        <v>7</v>
      </c>
    </row>
    <row r="6361" ht="14.5" customHeight="1" spans="11:29" x14ac:dyDescent="0.25">
      <c r="K6361" s="128"/>
      <c r="X6361" s="234">
        <v>2022</v>
      </c>
      <c r="Y6361" s="234">
        <v>9</v>
      </c>
      <c r="Z6361" s="234">
        <v>22</v>
      </c>
      <c r="AA6361" s="235">
        <v>0.9583333333321207</v>
      </c>
      <c r="AB6361" s="236">
        <v>6.4</v>
      </c>
      <c r="AC6361" s="127">
        <f t="shared" si="114"/>
        <v>6</v>
      </c>
    </row>
    <row r="6362" ht="14.5" customHeight="1" spans="11:29" x14ac:dyDescent="0.25">
      <c r="K6362" s="128"/>
      <c r="X6362" s="234">
        <v>2022</v>
      </c>
      <c r="Y6362" s="234">
        <v>9</v>
      </c>
      <c r="Z6362" s="234">
        <v>23</v>
      </c>
      <c r="AA6362" s="235">
        <v>0</v>
      </c>
      <c r="AB6362" s="236">
        <v>5.1</v>
      </c>
      <c r="AC6362" s="127">
        <f t="shared" si="114"/>
        <v>5</v>
      </c>
    </row>
    <row r="6363" ht="14.5" customHeight="1" spans="11:29" x14ac:dyDescent="0.25">
      <c r="K6363" s="128"/>
      <c r="X6363" s="234">
        <v>2022</v>
      </c>
      <c r="Y6363" s="234">
        <v>9</v>
      </c>
      <c r="Z6363" s="234">
        <v>23</v>
      </c>
      <c r="AA6363" s="235">
        <v>0.041666666667879326</v>
      </c>
      <c r="AB6363" s="236">
        <v>4.7</v>
      </c>
      <c r="AC6363" s="127">
        <f t="shared" si="114"/>
        <v>5</v>
      </c>
    </row>
    <row r="6364" ht="14.5" customHeight="1" spans="11:29" x14ac:dyDescent="0.25">
      <c r="K6364" s="128"/>
      <c r="X6364" s="234">
        <v>2022</v>
      </c>
      <c r="Y6364" s="234">
        <v>9</v>
      </c>
      <c r="Z6364" s="234">
        <v>23</v>
      </c>
      <c r="AA6364" s="235">
        <v>0.08333333333212067</v>
      </c>
      <c r="AB6364" s="236">
        <v>5.8</v>
      </c>
      <c r="AC6364" s="127">
        <f t="shared" si="114"/>
        <v>6</v>
      </c>
    </row>
    <row r="6365" ht="14.5" customHeight="1" spans="11:29" x14ac:dyDescent="0.25">
      <c r="K6365" s="128"/>
      <c r="X6365" s="234">
        <v>2022</v>
      </c>
      <c r="Y6365" s="234">
        <v>9</v>
      </c>
      <c r="Z6365" s="234">
        <v>23</v>
      </c>
      <c r="AA6365" s="235">
        <v>0.125</v>
      </c>
      <c r="AB6365" s="236">
        <v>9.8</v>
      </c>
      <c r="AC6365" s="127">
        <f t="shared" si="114"/>
        <v>10</v>
      </c>
    </row>
    <row r="6366" ht="14.5" customHeight="1" spans="11:29" x14ac:dyDescent="0.25">
      <c r="K6366" s="128"/>
      <c r="X6366" s="234">
        <v>2022</v>
      </c>
      <c r="Y6366" s="234">
        <v>9</v>
      </c>
      <c r="Z6366" s="234">
        <v>23</v>
      </c>
      <c r="AA6366" s="235">
        <v>0.16666666666787933</v>
      </c>
      <c r="AB6366" s="236">
        <v>10.4</v>
      </c>
      <c r="AC6366" s="127">
        <f t="shared" si="114"/>
        <v>10</v>
      </c>
    </row>
    <row r="6367" ht="14.5" customHeight="1" spans="11:29" x14ac:dyDescent="0.25">
      <c r="K6367" s="128"/>
      <c r="X6367" s="234">
        <v>2022</v>
      </c>
      <c r="Y6367" s="234">
        <v>9</v>
      </c>
      <c r="Z6367" s="234">
        <v>23</v>
      </c>
      <c r="AA6367" s="235">
        <v>0.20833333333212067</v>
      </c>
      <c r="AB6367" s="236">
        <v>12.1</v>
      </c>
      <c r="AC6367" s="127">
        <f t="shared" si="114"/>
        <v>12</v>
      </c>
    </row>
    <row r="6368" ht="14.5" customHeight="1" spans="11:29" x14ac:dyDescent="0.25">
      <c r="K6368" s="128"/>
      <c r="X6368" s="234">
        <v>2022</v>
      </c>
      <c r="Y6368" s="234">
        <v>9</v>
      </c>
      <c r="Z6368" s="234">
        <v>23</v>
      </c>
      <c r="AA6368" s="235">
        <v>0.25</v>
      </c>
      <c r="AB6368" s="236">
        <v>11.1</v>
      </c>
      <c r="AC6368" s="127">
        <f t="shared" si="114"/>
        <v>11</v>
      </c>
    </row>
    <row r="6369" ht="14.5" customHeight="1" spans="11:29" x14ac:dyDescent="0.25">
      <c r="K6369" s="128"/>
      <c r="X6369" s="234">
        <v>2022</v>
      </c>
      <c r="Y6369" s="234">
        <v>9</v>
      </c>
      <c r="Z6369" s="234">
        <v>23</v>
      </c>
      <c r="AA6369" s="235">
        <v>0.2916666666678793</v>
      </c>
      <c r="AB6369" s="236">
        <v>11.1</v>
      </c>
      <c r="AC6369" s="127">
        <f t="shared" si="114"/>
        <v>11</v>
      </c>
    </row>
    <row r="6370" ht="14.5" customHeight="1" spans="11:29" x14ac:dyDescent="0.25">
      <c r="K6370" s="128"/>
      <c r="X6370" s="234">
        <v>2022</v>
      </c>
      <c r="Y6370" s="234">
        <v>9</v>
      </c>
      <c r="Z6370" s="234">
        <v>23</v>
      </c>
      <c r="AA6370" s="235">
        <v>0.3333333333321207</v>
      </c>
      <c r="AB6370" s="236">
        <v>14.8</v>
      </c>
      <c r="AC6370" s="127">
        <f t="shared" si="114"/>
        <v>15</v>
      </c>
    </row>
    <row r="6371" ht="14.5" customHeight="1" spans="11:29" x14ac:dyDescent="0.25">
      <c r="K6371" s="128"/>
      <c r="X6371" s="234">
        <v>2022</v>
      </c>
      <c r="Y6371" s="234">
        <v>9</v>
      </c>
      <c r="Z6371" s="234">
        <v>23</v>
      </c>
      <c r="AA6371" s="235">
        <v>0.375</v>
      </c>
      <c r="AB6371" s="236">
        <v>18.2</v>
      </c>
      <c r="AC6371" s="127">
        <f t="shared" si="114"/>
        <v>18</v>
      </c>
    </row>
    <row r="6372" ht="14.5" customHeight="1" spans="11:29" x14ac:dyDescent="0.25">
      <c r="K6372" s="128"/>
      <c r="X6372" s="234">
        <v>2022</v>
      </c>
      <c r="Y6372" s="234">
        <v>9</v>
      </c>
      <c r="Z6372" s="234">
        <v>23</v>
      </c>
      <c r="AA6372" s="235">
        <v>0.4166666666678793</v>
      </c>
      <c r="AB6372" s="236">
        <v>19.3</v>
      </c>
      <c r="AC6372" s="127">
        <f t="shared" si="114"/>
        <v>19</v>
      </c>
    </row>
    <row r="6373" ht="14.5" customHeight="1" spans="11:29" x14ac:dyDescent="0.25">
      <c r="K6373" s="128"/>
      <c r="X6373" s="234">
        <v>2022</v>
      </c>
      <c r="Y6373" s="234">
        <v>9</v>
      </c>
      <c r="Z6373" s="234">
        <v>23</v>
      </c>
      <c r="AA6373" s="235">
        <v>0.4583333333321207</v>
      </c>
      <c r="AB6373" s="236">
        <v>18.5</v>
      </c>
      <c r="AC6373" s="127">
        <f t="shared" si="114"/>
        <v>19</v>
      </c>
    </row>
    <row r="6374" ht="14.5" customHeight="1" spans="11:29" x14ac:dyDescent="0.25">
      <c r="K6374" s="128"/>
      <c r="X6374" s="234">
        <v>2022</v>
      </c>
      <c r="Y6374" s="234">
        <v>9</v>
      </c>
      <c r="Z6374" s="234">
        <v>23</v>
      </c>
      <c r="AA6374" s="235">
        <v>0.5</v>
      </c>
      <c r="AB6374" s="236">
        <v>19.1</v>
      </c>
      <c r="AC6374" s="127">
        <f t="shared" si="114"/>
        <v>19</v>
      </c>
    </row>
    <row r="6375" ht="14.5" customHeight="1" spans="11:29" x14ac:dyDescent="0.25">
      <c r="K6375" s="128"/>
      <c r="X6375" s="234">
        <v>2022</v>
      </c>
      <c r="Y6375" s="234">
        <v>9</v>
      </c>
      <c r="Z6375" s="234">
        <v>23</v>
      </c>
      <c r="AA6375" s="235">
        <v>0.5416666666678793</v>
      </c>
      <c r="AB6375" s="236">
        <v>18</v>
      </c>
      <c r="AC6375" s="127">
        <f t="shared" si="114"/>
        <v>18</v>
      </c>
    </row>
    <row r="6376" ht="14.5" customHeight="1" spans="11:29" x14ac:dyDescent="0.25">
      <c r="K6376" s="128"/>
      <c r="X6376" s="234">
        <v>2022</v>
      </c>
      <c r="Y6376" s="234">
        <v>9</v>
      </c>
      <c r="Z6376" s="234">
        <v>23</v>
      </c>
      <c r="AA6376" s="235">
        <v>0.5833333333321207</v>
      </c>
      <c r="AB6376" s="236">
        <v>18.5</v>
      </c>
      <c r="AC6376" s="127">
        <f t="shared" si="114"/>
        <v>19</v>
      </c>
    </row>
    <row r="6377" ht="14.5" customHeight="1" spans="11:29" x14ac:dyDescent="0.25">
      <c r="K6377" s="128"/>
      <c r="X6377" s="234">
        <v>2022</v>
      </c>
      <c r="Y6377" s="234">
        <v>9</v>
      </c>
      <c r="Z6377" s="234">
        <v>23</v>
      </c>
      <c r="AA6377" s="235">
        <v>0.625</v>
      </c>
      <c r="AB6377" s="236">
        <v>19.3</v>
      </c>
      <c r="AC6377" s="127">
        <f t="shared" si="114"/>
        <v>19</v>
      </c>
    </row>
    <row r="6378" ht="14.5" customHeight="1" spans="11:29" x14ac:dyDescent="0.25">
      <c r="K6378" s="128"/>
      <c r="X6378" s="234">
        <v>2022</v>
      </c>
      <c r="Y6378" s="234">
        <v>9</v>
      </c>
      <c r="Z6378" s="234">
        <v>23</v>
      </c>
      <c r="AA6378" s="235">
        <v>0.6666666666678793</v>
      </c>
      <c r="AB6378" s="236">
        <v>18.6</v>
      </c>
      <c r="AC6378" s="127">
        <f t="shared" si="114"/>
        <v>19</v>
      </c>
    </row>
    <row r="6379" ht="14.5" customHeight="1" spans="11:29" x14ac:dyDescent="0.25">
      <c r="K6379" s="128"/>
      <c r="X6379" s="234">
        <v>2022</v>
      </c>
      <c r="Y6379" s="234">
        <v>9</v>
      </c>
      <c r="Z6379" s="234">
        <v>23</v>
      </c>
      <c r="AA6379" s="235">
        <v>0.7083333333321207</v>
      </c>
      <c r="AB6379" s="236">
        <v>17.7</v>
      </c>
      <c r="AC6379" s="127">
        <f t="shared" si="114"/>
        <v>18</v>
      </c>
    </row>
    <row r="6380" ht="14.5" customHeight="1" spans="11:29" x14ac:dyDescent="0.25">
      <c r="K6380" s="128"/>
      <c r="X6380" s="234">
        <v>2022</v>
      </c>
      <c r="Y6380" s="234">
        <v>9</v>
      </c>
      <c r="Z6380" s="234">
        <v>23</v>
      </c>
      <c r="AA6380" s="235">
        <v>0.75</v>
      </c>
      <c r="AB6380" s="236">
        <v>15.5</v>
      </c>
      <c r="AC6380" s="127">
        <f t="shared" si="114"/>
        <v>16</v>
      </c>
    </row>
    <row r="6381" ht="14.5" customHeight="1" spans="11:29" x14ac:dyDescent="0.25">
      <c r="K6381" s="128"/>
      <c r="X6381" s="234">
        <v>2022</v>
      </c>
      <c r="Y6381" s="234">
        <v>9</v>
      </c>
      <c r="Z6381" s="234">
        <v>23</v>
      </c>
      <c r="AA6381" s="235">
        <v>0.7916666666678793</v>
      </c>
      <c r="AB6381" s="236">
        <v>13.6</v>
      </c>
      <c r="AC6381" s="127">
        <f t="shared" si="114"/>
        <v>14</v>
      </c>
    </row>
    <row r="6382" ht="14.5" customHeight="1" spans="11:29" x14ac:dyDescent="0.25">
      <c r="K6382" s="128"/>
      <c r="X6382" s="234">
        <v>2022</v>
      </c>
      <c r="Y6382" s="234">
        <v>9</v>
      </c>
      <c r="Z6382" s="234">
        <v>23</v>
      </c>
      <c r="AA6382" s="235">
        <v>0.8333333333321207</v>
      </c>
      <c r="AB6382" s="236">
        <v>13.4</v>
      </c>
      <c r="AC6382" s="127">
        <f t="shared" si="114"/>
        <v>13</v>
      </c>
    </row>
    <row r="6383" ht="14.5" customHeight="1" spans="11:29" x14ac:dyDescent="0.25">
      <c r="K6383" s="128"/>
      <c r="X6383" s="234">
        <v>2022</v>
      </c>
      <c r="Y6383" s="234">
        <v>9</v>
      </c>
      <c r="Z6383" s="234">
        <v>23</v>
      </c>
      <c r="AA6383" s="235">
        <v>0.875</v>
      </c>
      <c r="AB6383" s="236">
        <v>13.2</v>
      </c>
      <c r="AC6383" s="127">
        <f t="shared" si="114"/>
        <v>13</v>
      </c>
    </row>
    <row r="6384" ht="14.5" customHeight="1" spans="11:29" x14ac:dyDescent="0.25">
      <c r="K6384" s="128"/>
      <c r="X6384" s="234">
        <v>2022</v>
      </c>
      <c r="Y6384" s="234">
        <v>9</v>
      </c>
      <c r="Z6384" s="234">
        <v>23</v>
      </c>
      <c r="AA6384" s="235">
        <v>0.9166666666678793</v>
      </c>
      <c r="AB6384" s="236">
        <v>12.4</v>
      </c>
      <c r="AC6384" s="127">
        <f t="shared" si="114"/>
        <v>12</v>
      </c>
    </row>
    <row r="6385" ht="14.5" customHeight="1" spans="11:29" x14ac:dyDescent="0.25">
      <c r="K6385" s="128"/>
      <c r="X6385" s="234">
        <v>2022</v>
      </c>
      <c r="Y6385" s="234">
        <v>9</v>
      </c>
      <c r="Z6385" s="234">
        <v>23</v>
      </c>
      <c r="AA6385" s="235">
        <v>0.9583333333321207</v>
      </c>
      <c r="AB6385" s="236">
        <v>12</v>
      </c>
      <c r="AC6385" s="127">
        <f t="shared" si="114"/>
        <v>12</v>
      </c>
    </row>
    <row r="6386" ht="14.5" customHeight="1" spans="11:29" x14ac:dyDescent="0.25">
      <c r="K6386" s="128"/>
      <c r="X6386" s="234">
        <v>2022</v>
      </c>
      <c r="Y6386" s="234">
        <v>9</v>
      </c>
      <c r="Z6386" s="234">
        <v>24</v>
      </c>
      <c r="AA6386" s="235">
        <v>0</v>
      </c>
      <c r="AB6386" s="236">
        <v>13.8</v>
      </c>
      <c r="AC6386" s="127">
        <f t="shared" si="114"/>
        <v>14</v>
      </c>
    </row>
    <row r="6387" ht="14.5" customHeight="1" spans="11:29" x14ac:dyDescent="0.25">
      <c r="K6387" s="128"/>
      <c r="X6387" s="234">
        <v>2022</v>
      </c>
      <c r="Y6387" s="234">
        <v>9</v>
      </c>
      <c r="Z6387" s="234">
        <v>24</v>
      </c>
      <c r="AA6387" s="235">
        <v>0.041666666667879326</v>
      </c>
      <c r="AB6387" s="236">
        <v>12.3</v>
      </c>
      <c r="AC6387" s="127">
        <f t="shared" si="114"/>
        <v>12</v>
      </c>
    </row>
    <row r="6388" ht="14.5" customHeight="1" spans="11:29" x14ac:dyDescent="0.25">
      <c r="K6388" s="128"/>
      <c r="X6388" s="234">
        <v>2022</v>
      </c>
      <c r="Y6388" s="234">
        <v>9</v>
      </c>
      <c r="Z6388" s="234">
        <v>24</v>
      </c>
      <c r="AA6388" s="235">
        <v>0.08333333333212067</v>
      </c>
      <c r="AB6388" s="236">
        <v>10.4</v>
      </c>
      <c r="AC6388" s="127">
        <f t="shared" si="114"/>
        <v>10</v>
      </c>
    </row>
    <row r="6389" ht="14.5" customHeight="1" spans="11:29" x14ac:dyDescent="0.25">
      <c r="K6389" s="128"/>
      <c r="X6389" s="234">
        <v>2022</v>
      </c>
      <c r="Y6389" s="234">
        <v>9</v>
      </c>
      <c r="Z6389" s="234">
        <v>24</v>
      </c>
      <c r="AA6389" s="235">
        <v>0.125</v>
      </c>
      <c r="AB6389" s="236">
        <v>13.5</v>
      </c>
      <c r="AC6389" s="127">
        <f t="shared" si="114"/>
        <v>14</v>
      </c>
    </row>
    <row r="6390" ht="14.5" customHeight="1" spans="11:29" x14ac:dyDescent="0.25">
      <c r="K6390" s="128"/>
      <c r="X6390" s="234">
        <v>2022</v>
      </c>
      <c r="Y6390" s="234">
        <v>9</v>
      </c>
      <c r="Z6390" s="234">
        <v>24</v>
      </c>
      <c r="AA6390" s="235">
        <v>0.16666666666787933</v>
      </c>
      <c r="AB6390" s="236">
        <v>13.1</v>
      </c>
      <c r="AC6390" s="127">
        <f t="shared" si="114"/>
        <v>13</v>
      </c>
    </row>
    <row r="6391" ht="14.5" customHeight="1" spans="11:29" x14ac:dyDescent="0.25">
      <c r="K6391" s="128"/>
      <c r="X6391" s="234">
        <v>2022</v>
      </c>
      <c r="Y6391" s="234">
        <v>9</v>
      </c>
      <c r="Z6391" s="234">
        <v>24</v>
      </c>
      <c r="AA6391" s="235">
        <v>0.20833333333212067</v>
      </c>
      <c r="AB6391" s="236">
        <v>12.1</v>
      </c>
      <c r="AC6391" s="127">
        <f t="shared" si="114"/>
        <v>12</v>
      </c>
    </row>
    <row r="6392" ht="14.5" customHeight="1" spans="11:29" x14ac:dyDescent="0.25">
      <c r="K6392" s="128"/>
      <c r="X6392" s="234">
        <v>2022</v>
      </c>
      <c r="Y6392" s="234">
        <v>9</v>
      </c>
      <c r="Z6392" s="234">
        <v>24</v>
      </c>
      <c r="AA6392" s="235">
        <v>0.25</v>
      </c>
      <c r="AB6392" s="236">
        <v>12.1</v>
      </c>
      <c r="AC6392" s="127">
        <f t="shared" si="114"/>
        <v>12</v>
      </c>
    </row>
    <row r="6393" ht="14.5" customHeight="1" spans="11:29" x14ac:dyDescent="0.25">
      <c r="K6393" s="128"/>
      <c r="X6393" s="234">
        <v>2022</v>
      </c>
      <c r="Y6393" s="234">
        <v>9</v>
      </c>
      <c r="Z6393" s="234">
        <v>24</v>
      </c>
      <c r="AA6393" s="235">
        <v>0.2916666666678793</v>
      </c>
      <c r="AB6393" s="236">
        <v>8.2</v>
      </c>
      <c r="AC6393" s="127">
        <f t="shared" si="114"/>
        <v>8</v>
      </c>
    </row>
    <row r="6394" ht="14.5" customHeight="1" spans="11:29" x14ac:dyDescent="0.25">
      <c r="K6394" s="128"/>
      <c r="X6394" s="234">
        <v>2022</v>
      </c>
      <c r="Y6394" s="234">
        <v>9</v>
      </c>
      <c r="Z6394" s="234">
        <v>24</v>
      </c>
      <c r="AA6394" s="235">
        <v>0.3333333333321207</v>
      </c>
      <c r="AB6394" s="236">
        <v>14.3</v>
      </c>
      <c r="AC6394" s="127">
        <f t="shared" si="114"/>
        <v>14</v>
      </c>
    </row>
    <row r="6395" ht="14.5" customHeight="1" spans="11:29" x14ac:dyDescent="0.25">
      <c r="K6395" s="128"/>
      <c r="X6395" s="234">
        <v>2022</v>
      </c>
      <c r="Y6395" s="234">
        <v>9</v>
      </c>
      <c r="Z6395" s="234">
        <v>24</v>
      </c>
      <c r="AA6395" s="235">
        <v>0.375</v>
      </c>
      <c r="AB6395" s="236">
        <v>16.5</v>
      </c>
      <c r="AC6395" s="127">
        <f t="shared" si="114"/>
        <v>17</v>
      </c>
    </row>
    <row r="6396" ht="14.5" customHeight="1" spans="11:29" x14ac:dyDescent="0.25">
      <c r="K6396" s="128"/>
      <c r="X6396" s="234">
        <v>2022</v>
      </c>
      <c r="Y6396" s="234">
        <v>9</v>
      </c>
      <c r="Z6396" s="234">
        <v>24</v>
      </c>
      <c r="AA6396" s="235">
        <v>0.4166666666678793</v>
      </c>
      <c r="AB6396" s="236">
        <v>17.7</v>
      </c>
      <c r="AC6396" s="127">
        <f t="shared" si="114"/>
        <v>18</v>
      </c>
    </row>
    <row r="6397" ht="14.5" customHeight="1" spans="11:29" x14ac:dyDescent="0.25">
      <c r="K6397" s="128"/>
      <c r="X6397" s="234">
        <v>2022</v>
      </c>
      <c r="Y6397" s="234">
        <v>9</v>
      </c>
      <c r="Z6397" s="234">
        <v>24</v>
      </c>
      <c r="AA6397" s="235">
        <v>0.4583333333321207</v>
      </c>
      <c r="AB6397" s="236">
        <v>18.7</v>
      </c>
      <c r="AC6397" s="127">
        <f t="shared" si="114"/>
        <v>19</v>
      </c>
    </row>
    <row r="6398" ht="14.5" customHeight="1" spans="11:29" x14ac:dyDescent="0.25">
      <c r="K6398" s="128"/>
      <c r="X6398" s="234">
        <v>2022</v>
      </c>
      <c r="Y6398" s="234">
        <v>9</v>
      </c>
      <c r="Z6398" s="234">
        <v>24</v>
      </c>
      <c r="AA6398" s="235">
        <v>0.5</v>
      </c>
      <c r="AB6398" s="236">
        <v>19.3</v>
      </c>
      <c r="AC6398" s="127">
        <f t="shared" si="114"/>
        <v>19</v>
      </c>
    </row>
    <row r="6399" ht="14.5" customHeight="1" spans="11:29" x14ac:dyDescent="0.25">
      <c r="K6399" s="128"/>
      <c r="X6399" s="234">
        <v>2022</v>
      </c>
      <c r="Y6399" s="234">
        <v>9</v>
      </c>
      <c r="Z6399" s="234">
        <v>24</v>
      </c>
      <c r="AA6399" s="235">
        <v>0.5416666666678793</v>
      </c>
      <c r="AB6399" s="236">
        <v>20.2</v>
      </c>
      <c r="AC6399" s="127">
        <f t="shared" si="114"/>
        <v>20</v>
      </c>
    </row>
    <row r="6400" ht="14.5" customHeight="1" spans="11:29" x14ac:dyDescent="0.25">
      <c r="K6400" s="128"/>
      <c r="X6400" s="234">
        <v>2022</v>
      </c>
      <c r="Y6400" s="234">
        <v>9</v>
      </c>
      <c r="Z6400" s="234">
        <v>24</v>
      </c>
      <c r="AA6400" s="235">
        <v>0.5833333333321207</v>
      </c>
      <c r="AB6400" s="236">
        <v>20.9</v>
      </c>
      <c r="AC6400" s="127">
        <f t="shared" si="114"/>
        <v>21</v>
      </c>
    </row>
    <row r="6401" ht="14.5" customHeight="1" spans="11:29" x14ac:dyDescent="0.25">
      <c r="K6401" s="128"/>
      <c r="X6401" s="234">
        <v>2022</v>
      </c>
      <c r="Y6401" s="234">
        <v>9</v>
      </c>
      <c r="Z6401" s="234">
        <v>24</v>
      </c>
      <c r="AA6401" s="235">
        <v>0.625</v>
      </c>
      <c r="AB6401" s="236">
        <v>21.2</v>
      </c>
      <c r="AC6401" s="127">
        <f t="shared" si="114"/>
        <v>21</v>
      </c>
    </row>
    <row r="6402" ht="14.5" customHeight="1" spans="11:29" x14ac:dyDescent="0.25">
      <c r="K6402" s="128"/>
      <c r="X6402" s="234">
        <v>2022</v>
      </c>
      <c r="Y6402" s="234">
        <v>9</v>
      </c>
      <c r="Z6402" s="234">
        <v>24</v>
      </c>
      <c r="AA6402" s="235">
        <v>0.6666666666678793</v>
      </c>
      <c r="AB6402" s="236">
        <v>21.1</v>
      </c>
      <c r="AC6402" s="127">
        <f t="shared" si="114"/>
        <v>21</v>
      </c>
    </row>
    <row r="6403" ht="14.5" customHeight="1" spans="11:29" x14ac:dyDescent="0.25">
      <c r="K6403" s="128"/>
      <c r="X6403" s="234">
        <v>2022</v>
      </c>
      <c r="Y6403" s="234">
        <v>9</v>
      </c>
      <c r="Z6403" s="234">
        <v>24</v>
      </c>
      <c r="AA6403" s="235">
        <v>0.7083333333321207</v>
      </c>
      <c r="AB6403" s="236">
        <v>20.5</v>
      </c>
      <c r="AC6403" s="127">
        <f t="shared" si="114"/>
        <v>21</v>
      </c>
    </row>
    <row r="6404" ht="14.5" customHeight="1" spans="11:29" x14ac:dyDescent="0.25">
      <c r="K6404" s="128"/>
      <c r="X6404" s="234">
        <v>2022</v>
      </c>
      <c r="Y6404" s="234">
        <v>9</v>
      </c>
      <c r="Z6404" s="234">
        <v>24</v>
      </c>
      <c r="AA6404" s="235">
        <v>0.75</v>
      </c>
      <c r="AB6404" s="236">
        <v>18.7</v>
      </c>
      <c r="AC6404" s="127">
        <f t="shared" si="114"/>
        <v>19</v>
      </c>
    </row>
    <row r="6405" ht="14.5" customHeight="1" spans="11:29" x14ac:dyDescent="0.25">
      <c r="K6405" s="128"/>
      <c r="X6405" s="234">
        <v>2022</v>
      </c>
      <c r="Y6405" s="234">
        <v>9</v>
      </c>
      <c r="Z6405" s="234">
        <v>24</v>
      </c>
      <c r="AA6405" s="235">
        <v>0.7916666666678793</v>
      </c>
      <c r="AB6405" s="236">
        <v>15.3</v>
      </c>
      <c r="AC6405" s="127">
        <f t="shared" si="114"/>
        <v>15</v>
      </c>
    </row>
    <row r="6406" ht="14.5" customHeight="1" spans="11:29" x14ac:dyDescent="0.25">
      <c r="K6406" s="128"/>
      <c r="X6406" s="234">
        <v>2022</v>
      </c>
      <c r="Y6406" s="234">
        <v>9</v>
      </c>
      <c r="Z6406" s="234">
        <v>24</v>
      </c>
      <c r="AA6406" s="235">
        <v>0.8333333333321207</v>
      </c>
      <c r="AB6406" s="236">
        <v>14.6</v>
      </c>
      <c r="AC6406" s="127">
        <f t="shared" si="114"/>
        <v>15</v>
      </c>
    </row>
    <row r="6407" ht="14.5" customHeight="1" spans="11:29" x14ac:dyDescent="0.25">
      <c r="K6407" s="128"/>
      <c r="X6407" s="234">
        <v>2022</v>
      </c>
      <c r="Y6407" s="234">
        <v>9</v>
      </c>
      <c r="Z6407" s="234">
        <v>24</v>
      </c>
      <c r="AA6407" s="235">
        <v>0.875</v>
      </c>
      <c r="AB6407" s="236">
        <v>12.5</v>
      </c>
      <c r="AC6407" s="127">
        <f t="shared" si="114"/>
        <v>13</v>
      </c>
    </row>
    <row r="6408" ht="14.5" customHeight="1" spans="11:29" x14ac:dyDescent="0.25">
      <c r="K6408" s="128"/>
      <c r="X6408" s="234">
        <v>2022</v>
      </c>
      <c r="Y6408" s="234">
        <v>9</v>
      </c>
      <c r="Z6408" s="234">
        <v>24</v>
      </c>
      <c r="AA6408" s="235">
        <v>0.9166666666678793</v>
      </c>
      <c r="AB6408" s="236">
        <v>10.9</v>
      </c>
      <c r="AC6408" s="127">
        <f t="shared" si="114"/>
        <v>11</v>
      </c>
    </row>
    <row r="6409" ht="14.5" customHeight="1" spans="11:29" x14ac:dyDescent="0.25">
      <c r="K6409" s="128"/>
      <c r="X6409" s="234">
        <v>2022</v>
      </c>
      <c r="Y6409" s="234">
        <v>9</v>
      </c>
      <c r="Z6409" s="234">
        <v>24</v>
      </c>
      <c r="AA6409" s="235">
        <v>0.9583333333321207</v>
      </c>
      <c r="AB6409" s="236">
        <v>10.1</v>
      </c>
      <c r="AC6409" s="127">
        <f t="shared" si="114"/>
        <v>10</v>
      </c>
    </row>
    <row r="6410" ht="14.5" customHeight="1" spans="11:29" x14ac:dyDescent="0.25">
      <c r="K6410" s="128"/>
      <c r="X6410" s="234">
        <v>2022</v>
      </c>
      <c r="Y6410" s="234">
        <v>9</v>
      </c>
      <c r="Z6410" s="234">
        <v>25</v>
      </c>
      <c r="AA6410" s="235">
        <v>0</v>
      </c>
      <c r="AB6410" s="236">
        <v>7.8</v>
      </c>
      <c r="AC6410" s="127">
        <f t="shared" si="114"/>
        <v>8</v>
      </c>
    </row>
    <row r="6411" ht="14.5" customHeight="1" spans="11:29" x14ac:dyDescent="0.25">
      <c r="K6411" s="128"/>
      <c r="X6411" s="234">
        <v>2022</v>
      </c>
      <c r="Y6411" s="234">
        <v>9</v>
      </c>
      <c r="Z6411" s="234">
        <v>25</v>
      </c>
      <c r="AA6411" s="235">
        <v>0.041666666667879326</v>
      </c>
      <c r="AB6411" s="236">
        <v>6.9</v>
      </c>
      <c r="AC6411" s="127">
        <f t="shared" ref="AC6411:AC6474" si="115">ROUND(AB6411,0)</f>
        <v>7</v>
      </c>
    </row>
    <row r="6412" ht="14.5" customHeight="1" spans="11:29" x14ac:dyDescent="0.25">
      <c r="K6412" s="128"/>
      <c r="X6412" s="234">
        <v>2022</v>
      </c>
      <c r="Y6412" s="234">
        <v>9</v>
      </c>
      <c r="Z6412" s="234">
        <v>25</v>
      </c>
      <c r="AA6412" s="235">
        <v>0.08333333333212067</v>
      </c>
      <c r="AB6412" s="236">
        <v>5.9</v>
      </c>
      <c r="AC6412" s="127">
        <f t="shared" si="115"/>
        <v>6</v>
      </c>
    </row>
    <row r="6413" ht="14.5" customHeight="1" spans="11:29" x14ac:dyDescent="0.25">
      <c r="K6413" s="128"/>
      <c r="X6413" s="234">
        <v>2022</v>
      </c>
      <c r="Y6413" s="234">
        <v>9</v>
      </c>
      <c r="Z6413" s="234">
        <v>25</v>
      </c>
      <c r="AA6413" s="235">
        <v>0.125</v>
      </c>
      <c r="AB6413" s="236">
        <v>5.5</v>
      </c>
      <c r="AC6413" s="127">
        <f t="shared" si="115"/>
        <v>6</v>
      </c>
    </row>
    <row r="6414" ht="14.5" customHeight="1" spans="11:29" x14ac:dyDescent="0.25">
      <c r="K6414" s="128"/>
      <c r="X6414" s="234">
        <v>2022</v>
      </c>
      <c r="Y6414" s="234">
        <v>9</v>
      </c>
      <c r="Z6414" s="234">
        <v>25</v>
      </c>
      <c r="AA6414" s="235">
        <v>0.16666666666787933</v>
      </c>
      <c r="AB6414" s="236">
        <v>4.9</v>
      </c>
      <c r="AC6414" s="127">
        <f t="shared" si="115"/>
        <v>5</v>
      </c>
    </row>
    <row r="6415" ht="14.5" customHeight="1" spans="11:29" x14ac:dyDescent="0.25">
      <c r="K6415" s="128"/>
      <c r="X6415" s="234">
        <v>2022</v>
      </c>
      <c r="Y6415" s="234">
        <v>9</v>
      </c>
      <c r="Z6415" s="234">
        <v>25</v>
      </c>
      <c r="AA6415" s="235">
        <v>0.20833333333212067</v>
      </c>
      <c r="AB6415" s="236">
        <v>2.9</v>
      </c>
      <c r="AC6415" s="127">
        <f t="shared" si="115"/>
        <v>3</v>
      </c>
    </row>
    <row r="6416" ht="14.5" customHeight="1" spans="11:29" x14ac:dyDescent="0.25">
      <c r="K6416" s="128"/>
      <c r="X6416" s="234">
        <v>2022</v>
      </c>
      <c r="Y6416" s="234">
        <v>9</v>
      </c>
      <c r="Z6416" s="234">
        <v>25</v>
      </c>
      <c r="AA6416" s="235">
        <v>0.25</v>
      </c>
      <c r="AB6416" s="236">
        <v>3</v>
      </c>
      <c r="AC6416" s="127">
        <f t="shared" si="115"/>
        <v>3</v>
      </c>
    </row>
    <row r="6417" ht="14.5" customHeight="1" spans="11:29" x14ac:dyDescent="0.25">
      <c r="K6417" s="128"/>
      <c r="X6417" s="234">
        <v>2022</v>
      </c>
      <c r="Y6417" s="234">
        <v>9</v>
      </c>
      <c r="Z6417" s="234">
        <v>25</v>
      </c>
      <c r="AA6417" s="235">
        <v>0.2916666666678793</v>
      </c>
      <c r="AB6417" s="236">
        <v>4.9</v>
      </c>
      <c r="AC6417" s="127">
        <f t="shared" si="115"/>
        <v>5</v>
      </c>
    </row>
    <row r="6418" ht="14.5" customHeight="1" spans="11:29" x14ac:dyDescent="0.25">
      <c r="K6418" s="128"/>
      <c r="X6418" s="234">
        <v>2022</v>
      </c>
      <c r="Y6418" s="234">
        <v>9</v>
      </c>
      <c r="Z6418" s="234">
        <v>25</v>
      </c>
      <c r="AA6418" s="235">
        <v>0.3333333333321207</v>
      </c>
      <c r="AB6418" s="236">
        <v>8.7</v>
      </c>
      <c r="AC6418" s="127">
        <f t="shared" si="115"/>
        <v>9</v>
      </c>
    </row>
    <row r="6419" ht="14.5" customHeight="1" spans="11:29" x14ac:dyDescent="0.25">
      <c r="K6419" s="128"/>
      <c r="X6419" s="234">
        <v>2022</v>
      </c>
      <c r="Y6419" s="234">
        <v>9</v>
      </c>
      <c r="Z6419" s="234">
        <v>25</v>
      </c>
      <c r="AA6419" s="235">
        <v>0.375</v>
      </c>
      <c r="AB6419" s="236">
        <v>13.2</v>
      </c>
      <c r="AC6419" s="127">
        <f t="shared" si="115"/>
        <v>13</v>
      </c>
    </row>
    <row r="6420" ht="14.5" customHeight="1" spans="11:29" x14ac:dyDescent="0.25">
      <c r="K6420" s="128"/>
      <c r="X6420" s="234">
        <v>2022</v>
      </c>
      <c r="Y6420" s="234">
        <v>9</v>
      </c>
      <c r="Z6420" s="234">
        <v>25</v>
      </c>
      <c r="AA6420" s="235">
        <v>0.4166666666678793</v>
      </c>
      <c r="AB6420" s="236">
        <v>15.2</v>
      </c>
      <c r="AC6420" s="127">
        <f t="shared" si="115"/>
        <v>15</v>
      </c>
    </row>
    <row r="6421" ht="14.5" customHeight="1" spans="11:29" x14ac:dyDescent="0.25">
      <c r="K6421" s="128"/>
      <c r="X6421" s="234">
        <v>2022</v>
      </c>
      <c r="Y6421" s="234">
        <v>9</v>
      </c>
      <c r="Z6421" s="234">
        <v>25</v>
      </c>
      <c r="AA6421" s="235">
        <v>0.4583333333321207</v>
      </c>
      <c r="AB6421" s="236">
        <v>16.9</v>
      </c>
      <c r="AC6421" s="127">
        <f t="shared" si="115"/>
        <v>17</v>
      </c>
    </row>
    <row r="6422" ht="14.5" customHeight="1" spans="11:29" x14ac:dyDescent="0.25">
      <c r="K6422" s="128"/>
      <c r="X6422" s="234">
        <v>2022</v>
      </c>
      <c r="Y6422" s="234">
        <v>9</v>
      </c>
      <c r="Z6422" s="234">
        <v>25</v>
      </c>
      <c r="AA6422" s="235">
        <v>0.5</v>
      </c>
      <c r="AB6422" s="236">
        <v>18.9</v>
      </c>
      <c r="AC6422" s="127">
        <f t="shared" si="115"/>
        <v>19</v>
      </c>
    </row>
    <row r="6423" ht="14.5" customHeight="1" spans="11:29" x14ac:dyDescent="0.25">
      <c r="K6423" s="128"/>
      <c r="X6423" s="234">
        <v>2022</v>
      </c>
      <c r="Y6423" s="234">
        <v>9</v>
      </c>
      <c r="Z6423" s="234">
        <v>25</v>
      </c>
      <c r="AA6423" s="235">
        <v>0.5416666666678793</v>
      </c>
      <c r="AB6423" s="236">
        <v>20.2</v>
      </c>
      <c r="AC6423" s="127">
        <f t="shared" si="115"/>
        <v>20</v>
      </c>
    </row>
    <row r="6424" ht="14.5" customHeight="1" spans="11:29" x14ac:dyDescent="0.25">
      <c r="K6424" s="128"/>
      <c r="X6424" s="234">
        <v>2022</v>
      </c>
      <c r="Y6424" s="234">
        <v>9</v>
      </c>
      <c r="Z6424" s="234">
        <v>25</v>
      </c>
      <c r="AA6424" s="235">
        <v>0.5833333333321207</v>
      </c>
      <c r="AB6424" s="236">
        <v>21.5</v>
      </c>
      <c r="AC6424" s="127">
        <f t="shared" si="115"/>
        <v>22</v>
      </c>
    </row>
    <row r="6425" ht="14.5" customHeight="1" spans="11:29" x14ac:dyDescent="0.25">
      <c r="K6425" s="128"/>
      <c r="X6425" s="234">
        <v>2022</v>
      </c>
      <c r="Y6425" s="234">
        <v>9</v>
      </c>
      <c r="Z6425" s="234">
        <v>25</v>
      </c>
      <c r="AA6425" s="235">
        <v>0.625</v>
      </c>
      <c r="AB6425" s="236">
        <v>21.7</v>
      </c>
      <c r="AC6425" s="127">
        <f t="shared" si="115"/>
        <v>22</v>
      </c>
    </row>
    <row r="6426" ht="14.5" customHeight="1" spans="11:29" x14ac:dyDescent="0.25">
      <c r="K6426" s="128"/>
      <c r="X6426" s="234">
        <v>2022</v>
      </c>
      <c r="Y6426" s="234">
        <v>9</v>
      </c>
      <c r="Z6426" s="234">
        <v>25</v>
      </c>
      <c r="AA6426" s="235">
        <v>0.6666666666678793</v>
      </c>
      <c r="AB6426" s="236">
        <v>22.8</v>
      </c>
      <c r="AC6426" s="127">
        <f t="shared" si="115"/>
        <v>23</v>
      </c>
    </row>
    <row r="6427" ht="14.5" customHeight="1" spans="11:29" x14ac:dyDescent="0.25">
      <c r="K6427" s="128"/>
      <c r="X6427" s="234">
        <v>2022</v>
      </c>
      <c r="Y6427" s="234">
        <v>9</v>
      </c>
      <c r="Z6427" s="234">
        <v>25</v>
      </c>
      <c r="AA6427" s="235">
        <v>0.7083333333321207</v>
      </c>
      <c r="AB6427" s="236">
        <v>22.3</v>
      </c>
      <c r="AC6427" s="127">
        <f t="shared" si="115"/>
        <v>22</v>
      </c>
    </row>
    <row r="6428" ht="14.5" customHeight="1" spans="11:29" x14ac:dyDescent="0.25">
      <c r="K6428" s="128"/>
      <c r="X6428" s="234">
        <v>2022</v>
      </c>
      <c r="Y6428" s="234">
        <v>9</v>
      </c>
      <c r="Z6428" s="234">
        <v>25</v>
      </c>
      <c r="AA6428" s="235">
        <v>0.75</v>
      </c>
      <c r="AB6428" s="236">
        <v>18.3</v>
      </c>
      <c r="AC6428" s="127">
        <f t="shared" si="115"/>
        <v>18</v>
      </c>
    </row>
    <row r="6429" ht="14.5" customHeight="1" spans="11:29" x14ac:dyDescent="0.25">
      <c r="K6429" s="128"/>
      <c r="X6429" s="234">
        <v>2022</v>
      </c>
      <c r="Y6429" s="234">
        <v>9</v>
      </c>
      <c r="Z6429" s="234">
        <v>25</v>
      </c>
      <c r="AA6429" s="235">
        <v>0.7916666666678793</v>
      </c>
      <c r="AB6429" s="236">
        <v>14.7</v>
      </c>
      <c r="AC6429" s="127">
        <f t="shared" si="115"/>
        <v>15</v>
      </c>
    </row>
    <row r="6430" ht="14.5" customHeight="1" spans="11:29" x14ac:dyDescent="0.25">
      <c r="K6430" s="128"/>
      <c r="X6430" s="234">
        <v>2022</v>
      </c>
      <c r="Y6430" s="234">
        <v>9</v>
      </c>
      <c r="Z6430" s="234">
        <v>25</v>
      </c>
      <c r="AA6430" s="235">
        <v>0.8333333333321207</v>
      </c>
      <c r="AB6430" s="236">
        <v>14.4</v>
      </c>
      <c r="AC6430" s="127">
        <f t="shared" si="115"/>
        <v>14</v>
      </c>
    </row>
    <row r="6431" ht="14.5" customHeight="1" spans="11:29" x14ac:dyDescent="0.25">
      <c r="K6431" s="128"/>
      <c r="X6431" s="234">
        <v>2022</v>
      </c>
      <c r="Y6431" s="234">
        <v>9</v>
      </c>
      <c r="Z6431" s="234">
        <v>25</v>
      </c>
      <c r="AA6431" s="235">
        <v>0.875</v>
      </c>
      <c r="AB6431" s="236">
        <v>12.1</v>
      </c>
      <c r="AC6431" s="127">
        <f t="shared" si="115"/>
        <v>12</v>
      </c>
    </row>
    <row r="6432" ht="14.5" customHeight="1" spans="11:29" x14ac:dyDescent="0.25">
      <c r="K6432" s="128"/>
      <c r="X6432" s="234">
        <v>2022</v>
      </c>
      <c r="Y6432" s="234">
        <v>9</v>
      </c>
      <c r="Z6432" s="234">
        <v>25</v>
      </c>
      <c r="AA6432" s="235">
        <v>0.9166666666678793</v>
      </c>
      <c r="AB6432" s="236">
        <v>11.1</v>
      </c>
      <c r="AC6432" s="127">
        <f t="shared" si="115"/>
        <v>11</v>
      </c>
    </row>
    <row r="6433" ht="14.5" customHeight="1" spans="11:29" x14ac:dyDescent="0.25">
      <c r="K6433" s="128"/>
      <c r="X6433" s="234">
        <v>2022</v>
      </c>
      <c r="Y6433" s="234">
        <v>9</v>
      </c>
      <c r="Z6433" s="234">
        <v>25</v>
      </c>
      <c r="AA6433" s="235">
        <v>0.9583333333321207</v>
      </c>
      <c r="AB6433" s="236">
        <v>9.9</v>
      </c>
      <c r="AC6433" s="127">
        <f t="shared" si="115"/>
        <v>10</v>
      </c>
    </row>
    <row r="6434" ht="14.5" customHeight="1" spans="11:29" x14ac:dyDescent="0.25">
      <c r="K6434" s="128"/>
      <c r="X6434" s="234">
        <v>2022</v>
      </c>
      <c r="Y6434" s="234">
        <v>9</v>
      </c>
      <c r="Z6434" s="234">
        <v>26</v>
      </c>
      <c r="AA6434" s="235">
        <v>0</v>
      </c>
      <c r="AB6434" s="236">
        <v>7.9</v>
      </c>
      <c r="AC6434" s="127">
        <f t="shared" si="115"/>
        <v>8</v>
      </c>
    </row>
    <row r="6435" ht="14.5" customHeight="1" spans="11:29" x14ac:dyDescent="0.25">
      <c r="K6435" s="128"/>
      <c r="X6435" s="234">
        <v>2022</v>
      </c>
      <c r="Y6435" s="234">
        <v>9</v>
      </c>
      <c r="Z6435" s="234">
        <v>26</v>
      </c>
      <c r="AA6435" s="235">
        <v>0.041666666667879326</v>
      </c>
      <c r="AB6435" s="236">
        <v>6.6</v>
      </c>
      <c r="AC6435" s="127">
        <f t="shared" si="115"/>
        <v>7</v>
      </c>
    </row>
    <row r="6436" ht="14.5" customHeight="1" spans="11:29" x14ac:dyDescent="0.25">
      <c r="K6436" s="128"/>
      <c r="X6436" s="234">
        <v>2022</v>
      </c>
      <c r="Y6436" s="234">
        <v>9</v>
      </c>
      <c r="Z6436" s="234">
        <v>26</v>
      </c>
      <c r="AA6436" s="235">
        <v>0.08333333333212067</v>
      </c>
      <c r="AB6436" s="236">
        <v>6.9</v>
      </c>
      <c r="AC6436" s="127">
        <f t="shared" si="115"/>
        <v>7</v>
      </c>
    </row>
    <row r="6437" ht="14.5" customHeight="1" spans="11:29" x14ac:dyDescent="0.25">
      <c r="K6437" s="128"/>
      <c r="X6437" s="234">
        <v>2022</v>
      </c>
      <c r="Y6437" s="234">
        <v>9</v>
      </c>
      <c r="Z6437" s="234">
        <v>26</v>
      </c>
      <c r="AA6437" s="235">
        <v>0.125</v>
      </c>
      <c r="AB6437" s="236">
        <v>7.1</v>
      </c>
      <c r="AC6437" s="127">
        <f t="shared" si="115"/>
        <v>7</v>
      </c>
    </row>
    <row r="6438" ht="14.5" customHeight="1" spans="11:29" x14ac:dyDescent="0.25">
      <c r="K6438" s="128"/>
      <c r="X6438" s="234">
        <v>2022</v>
      </c>
      <c r="Y6438" s="234">
        <v>9</v>
      </c>
      <c r="Z6438" s="234">
        <v>26</v>
      </c>
      <c r="AA6438" s="235">
        <v>0.16666666666787933</v>
      </c>
      <c r="AB6438" s="236">
        <v>7.5</v>
      </c>
      <c r="AC6438" s="127">
        <f t="shared" si="115"/>
        <v>8</v>
      </c>
    </row>
    <row r="6439" ht="14.5" customHeight="1" spans="11:29" x14ac:dyDescent="0.25">
      <c r="K6439" s="128"/>
      <c r="X6439" s="234">
        <v>2022</v>
      </c>
      <c r="Y6439" s="234">
        <v>9</v>
      </c>
      <c r="Z6439" s="234">
        <v>26</v>
      </c>
      <c r="AA6439" s="235">
        <v>0.20833333333212067</v>
      </c>
      <c r="AB6439" s="236">
        <v>6</v>
      </c>
      <c r="AC6439" s="127">
        <f t="shared" si="115"/>
        <v>6</v>
      </c>
    </row>
    <row r="6440" ht="14.5" customHeight="1" spans="11:29" x14ac:dyDescent="0.25">
      <c r="K6440" s="128"/>
      <c r="X6440" s="234">
        <v>2022</v>
      </c>
      <c r="Y6440" s="234">
        <v>9</v>
      </c>
      <c r="Z6440" s="234">
        <v>26</v>
      </c>
      <c r="AA6440" s="235">
        <v>0.25</v>
      </c>
      <c r="AB6440" s="236">
        <v>6.4</v>
      </c>
      <c r="AC6440" s="127">
        <f t="shared" si="115"/>
        <v>6</v>
      </c>
    </row>
    <row r="6441" ht="14.5" customHeight="1" spans="11:29" x14ac:dyDescent="0.25">
      <c r="K6441" s="128"/>
      <c r="X6441" s="234">
        <v>2022</v>
      </c>
      <c r="Y6441" s="234">
        <v>9</v>
      </c>
      <c r="Z6441" s="234">
        <v>26</v>
      </c>
      <c r="AA6441" s="235">
        <v>0.2916666666678793</v>
      </c>
      <c r="AB6441" s="236">
        <v>6.9</v>
      </c>
      <c r="AC6441" s="127">
        <f t="shared" si="115"/>
        <v>7</v>
      </c>
    </row>
    <row r="6442" ht="14.5" customHeight="1" spans="11:29" x14ac:dyDescent="0.25">
      <c r="K6442" s="128"/>
      <c r="X6442" s="234">
        <v>2022</v>
      </c>
      <c r="Y6442" s="234">
        <v>9</v>
      </c>
      <c r="Z6442" s="234">
        <v>26</v>
      </c>
      <c r="AA6442" s="235">
        <v>0.3333333333321207</v>
      </c>
      <c r="AB6442" s="236">
        <v>12</v>
      </c>
      <c r="AC6442" s="127">
        <f t="shared" si="115"/>
        <v>12</v>
      </c>
    </row>
    <row r="6443" ht="14.5" customHeight="1" spans="11:29" x14ac:dyDescent="0.25">
      <c r="K6443" s="128"/>
      <c r="X6443" s="234">
        <v>2022</v>
      </c>
      <c r="Y6443" s="234">
        <v>9</v>
      </c>
      <c r="Z6443" s="234">
        <v>26</v>
      </c>
      <c r="AA6443" s="235">
        <v>0.375</v>
      </c>
      <c r="AB6443" s="236">
        <v>14.6</v>
      </c>
      <c r="AC6443" s="127">
        <f t="shared" si="115"/>
        <v>15</v>
      </c>
    </row>
    <row r="6444" ht="14.5" customHeight="1" spans="11:29" x14ac:dyDescent="0.25">
      <c r="K6444" s="128"/>
      <c r="X6444" s="234">
        <v>2022</v>
      </c>
      <c r="Y6444" s="234">
        <v>9</v>
      </c>
      <c r="Z6444" s="234">
        <v>26</v>
      </c>
      <c r="AA6444" s="235">
        <v>0.4166666666678793</v>
      </c>
      <c r="AB6444" s="236">
        <v>18.1</v>
      </c>
      <c r="AC6444" s="127">
        <f t="shared" si="115"/>
        <v>18</v>
      </c>
    </row>
    <row r="6445" ht="14.5" customHeight="1" spans="11:29" x14ac:dyDescent="0.25">
      <c r="K6445" s="128"/>
      <c r="X6445" s="234">
        <v>2022</v>
      </c>
      <c r="Y6445" s="234">
        <v>9</v>
      </c>
      <c r="Z6445" s="234">
        <v>26</v>
      </c>
      <c r="AA6445" s="235">
        <v>0.4583333333321207</v>
      </c>
      <c r="AB6445" s="236">
        <v>20.1</v>
      </c>
      <c r="AC6445" s="127">
        <f t="shared" si="115"/>
        <v>20</v>
      </c>
    </row>
    <row r="6446" ht="14.5" customHeight="1" spans="11:29" x14ac:dyDescent="0.25">
      <c r="K6446" s="128"/>
      <c r="X6446" s="234">
        <v>2022</v>
      </c>
      <c r="Y6446" s="234">
        <v>9</v>
      </c>
      <c r="Z6446" s="234">
        <v>26</v>
      </c>
      <c r="AA6446" s="235">
        <v>0.5</v>
      </c>
      <c r="AB6446" s="236">
        <v>22</v>
      </c>
      <c r="AC6446" s="127">
        <f t="shared" si="115"/>
        <v>22</v>
      </c>
    </row>
    <row r="6447" ht="14.5" customHeight="1" spans="11:29" x14ac:dyDescent="0.25">
      <c r="K6447" s="128"/>
      <c r="X6447" s="234">
        <v>2022</v>
      </c>
      <c r="Y6447" s="234">
        <v>9</v>
      </c>
      <c r="Z6447" s="234">
        <v>26</v>
      </c>
      <c r="AA6447" s="235">
        <v>0.5416666666678793</v>
      </c>
      <c r="AB6447" s="236">
        <v>23.4</v>
      </c>
      <c r="AC6447" s="127">
        <f t="shared" si="115"/>
        <v>23</v>
      </c>
    </row>
    <row r="6448" ht="14.5" customHeight="1" spans="11:29" x14ac:dyDescent="0.25">
      <c r="K6448" s="128"/>
      <c r="X6448" s="234">
        <v>2022</v>
      </c>
      <c r="Y6448" s="234">
        <v>9</v>
      </c>
      <c r="Z6448" s="234">
        <v>26</v>
      </c>
      <c r="AA6448" s="235">
        <v>0.5833333333321207</v>
      </c>
      <c r="AB6448" s="236">
        <v>24.3</v>
      </c>
      <c r="AC6448" s="127">
        <f t="shared" si="115"/>
        <v>24</v>
      </c>
    </row>
    <row r="6449" ht="14.5" customHeight="1" spans="11:29" x14ac:dyDescent="0.25">
      <c r="K6449" s="128"/>
      <c r="X6449" s="234">
        <v>2022</v>
      </c>
      <c r="Y6449" s="234">
        <v>9</v>
      </c>
      <c r="Z6449" s="234">
        <v>26</v>
      </c>
      <c r="AA6449" s="235">
        <v>0.625</v>
      </c>
      <c r="AB6449" s="236">
        <v>24.7</v>
      </c>
      <c r="AC6449" s="127">
        <f t="shared" si="115"/>
        <v>25</v>
      </c>
    </row>
    <row r="6450" ht="14.5" customHeight="1" spans="11:29" x14ac:dyDescent="0.25">
      <c r="K6450" s="128"/>
      <c r="X6450" s="234">
        <v>2022</v>
      </c>
      <c r="Y6450" s="234">
        <v>9</v>
      </c>
      <c r="Z6450" s="234">
        <v>26</v>
      </c>
      <c r="AA6450" s="235">
        <v>0.6666666666678793</v>
      </c>
      <c r="AB6450" s="236">
        <v>25</v>
      </c>
      <c r="AC6450" s="127">
        <f t="shared" si="115"/>
        <v>25</v>
      </c>
    </row>
    <row r="6451" ht="14.5" customHeight="1" spans="11:29" x14ac:dyDescent="0.25">
      <c r="K6451" s="128"/>
      <c r="X6451" s="234">
        <v>2022</v>
      </c>
      <c r="Y6451" s="234">
        <v>9</v>
      </c>
      <c r="Z6451" s="234">
        <v>26</v>
      </c>
      <c r="AA6451" s="235">
        <v>0.7083333333321207</v>
      </c>
      <c r="AB6451" s="236">
        <v>24</v>
      </c>
      <c r="AC6451" s="127">
        <f t="shared" si="115"/>
        <v>24</v>
      </c>
    </row>
    <row r="6452" ht="14.5" customHeight="1" spans="11:29" x14ac:dyDescent="0.25">
      <c r="K6452" s="128"/>
      <c r="X6452" s="234">
        <v>2022</v>
      </c>
      <c r="Y6452" s="234">
        <v>9</v>
      </c>
      <c r="Z6452" s="234">
        <v>26</v>
      </c>
      <c r="AA6452" s="235">
        <v>0.75</v>
      </c>
      <c r="AB6452" s="236">
        <v>21.6</v>
      </c>
      <c r="AC6452" s="127">
        <f t="shared" si="115"/>
        <v>22</v>
      </c>
    </row>
    <row r="6453" ht="14.5" customHeight="1" spans="11:29" x14ac:dyDescent="0.25">
      <c r="K6453" s="128"/>
      <c r="X6453" s="234">
        <v>2022</v>
      </c>
      <c r="Y6453" s="234">
        <v>9</v>
      </c>
      <c r="Z6453" s="234">
        <v>26</v>
      </c>
      <c r="AA6453" s="235">
        <v>0.7916666666678793</v>
      </c>
      <c r="AB6453" s="236">
        <v>17.5</v>
      </c>
      <c r="AC6453" s="127">
        <f t="shared" si="115"/>
        <v>18</v>
      </c>
    </row>
    <row r="6454" ht="14.5" customHeight="1" spans="11:29" x14ac:dyDescent="0.25">
      <c r="K6454" s="128"/>
      <c r="X6454" s="234">
        <v>2022</v>
      </c>
      <c r="Y6454" s="234">
        <v>9</v>
      </c>
      <c r="Z6454" s="234">
        <v>26</v>
      </c>
      <c r="AA6454" s="235">
        <v>0.8333333333321207</v>
      </c>
      <c r="AB6454" s="236">
        <v>15.8</v>
      </c>
      <c r="AC6454" s="127">
        <f t="shared" si="115"/>
        <v>16</v>
      </c>
    </row>
    <row r="6455" ht="14.5" customHeight="1" spans="11:29" x14ac:dyDescent="0.25">
      <c r="K6455" s="128"/>
      <c r="X6455" s="234">
        <v>2022</v>
      </c>
      <c r="Y6455" s="234">
        <v>9</v>
      </c>
      <c r="Z6455" s="234">
        <v>26</v>
      </c>
      <c r="AA6455" s="235">
        <v>0.875</v>
      </c>
      <c r="AB6455" s="236">
        <v>15.5</v>
      </c>
      <c r="AC6455" s="127">
        <f t="shared" si="115"/>
        <v>16</v>
      </c>
    </row>
    <row r="6456" ht="14.5" customHeight="1" spans="11:29" x14ac:dyDescent="0.25">
      <c r="K6456" s="128"/>
      <c r="X6456" s="234">
        <v>2022</v>
      </c>
      <c r="Y6456" s="234">
        <v>9</v>
      </c>
      <c r="Z6456" s="234">
        <v>26</v>
      </c>
      <c r="AA6456" s="235">
        <v>0.9166666666678793</v>
      </c>
      <c r="AB6456" s="236">
        <v>15.2</v>
      </c>
      <c r="AC6456" s="127">
        <f t="shared" si="115"/>
        <v>15</v>
      </c>
    </row>
    <row r="6457" ht="14.5" customHeight="1" spans="11:29" x14ac:dyDescent="0.25">
      <c r="K6457" s="128"/>
      <c r="X6457" s="234">
        <v>2022</v>
      </c>
      <c r="Y6457" s="234">
        <v>9</v>
      </c>
      <c r="Z6457" s="234">
        <v>26</v>
      </c>
      <c r="AA6457" s="235">
        <v>0.9583333333321207</v>
      </c>
      <c r="AB6457" s="236">
        <v>15.1</v>
      </c>
      <c r="AC6457" s="127">
        <f t="shared" si="115"/>
        <v>15</v>
      </c>
    </row>
    <row r="6458" ht="14.5" customHeight="1" spans="11:29" x14ac:dyDescent="0.25">
      <c r="K6458" s="128"/>
      <c r="X6458" s="234">
        <v>2022</v>
      </c>
      <c r="Y6458" s="234">
        <v>9</v>
      </c>
      <c r="Z6458" s="234">
        <v>27</v>
      </c>
      <c r="AA6458" s="235">
        <v>0</v>
      </c>
      <c r="AB6458" s="236">
        <v>14.1</v>
      </c>
      <c r="AC6458" s="127">
        <f t="shared" si="115"/>
        <v>14</v>
      </c>
    </row>
    <row r="6459" ht="14.5" customHeight="1" spans="11:29" x14ac:dyDescent="0.25">
      <c r="K6459" s="128"/>
      <c r="X6459" s="234">
        <v>2022</v>
      </c>
      <c r="Y6459" s="234">
        <v>9</v>
      </c>
      <c r="Z6459" s="234">
        <v>27</v>
      </c>
      <c r="AA6459" s="235">
        <v>0.041666666667879326</v>
      </c>
      <c r="AB6459" s="236">
        <v>11.7</v>
      </c>
      <c r="AC6459" s="127">
        <f t="shared" si="115"/>
        <v>12</v>
      </c>
    </row>
    <row r="6460" ht="14.5" customHeight="1" spans="11:29" x14ac:dyDescent="0.25">
      <c r="K6460" s="128"/>
      <c r="X6460" s="234">
        <v>2022</v>
      </c>
      <c r="Y6460" s="234">
        <v>9</v>
      </c>
      <c r="Z6460" s="234">
        <v>27</v>
      </c>
      <c r="AA6460" s="235">
        <v>0.08333333333212067</v>
      </c>
      <c r="AB6460" s="236">
        <v>8.3</v>
      </c>
      <c r="AC6460" s="127">
        <f t="shared" si="115"/>
        <v>8</v>
      </c>
    </row>
    <row r="6461" ht="14.5" customHeight="1" spans="11:29" x14ac:dyDescent="0.25">
      <c r="K6461" s="128"/>
      <c r="X6461" s="234">
        <v>2022</v>
      </c>
      <c r="Y6461" s="234">
        <v>9</v>
      </c>
      <c r="Z6461" s="234">
        <v>27</v>
      </c>
      <c r="AA6461" s="235">
        <v>0.125</v>
      </c>
      <c r="AB6461" s="236">
        <v>8.5</v>
      </c>
      <c r="AC6461" s="127">
        <f t="shared" si="115"/>
        <v>9</v>
      </c>
    </row>
    <row r="6462" ht="14.5" customHeight="1" spans="11:29" x14ac:dyDescent="0.25">
      <c r="K6462" s="128"/>
      <c r="X6462" s="234">
        <v>2022</v>
      </c>
      <c r="Y6462" s="234">
        <v>9</v>
      </c>
      <c r="Z6462" s="234">
        <v>27</v>
      </c>
      <c r="AA6462" s="235">
        <v>0.16666666666787933</v>
      </c>
      <c r="AB6462" s="236">
        <v>7.3</v>
      </c>
      <c r="AC6462" s="127">
        <f t="shared" si="115"/>
        <v>7</v>
      </c>
    </row>
    <row r="6463" ht="14.5" customHeight="1" spans="11:29" x14ac:dyDescent="0.25">
      <c r="K6463" s="128"/>
      <c r="X6463" s="234">
        <v>2022</v>
      </c>
      <c r="Y6463" s="234">
        <v>9</v>
      </c>
      <c r="Z6463" s="234">
        <v>27</v>
      </c>
      <c r="AA6463" s="235">
        <v>0.20833333333212067</v>
      </c>
      <c r="AB6463" s="236">
        <v>10.8</v>
      </c>
      <c r="AC6463" s="127">
        <f t="shared" si="115"/>
        <v>11</v>
      </c>
    </row>
    <row r="6464" ht="14.5" customHeight="1" spans="11:29" x14ac:dyDescent="0.25">
      <c r="K6464" s="128"/>
      <c r="X6464" s="234">
        <v>2022</v>
      </c>
      <c r="Y6464" s="234">
        <v>9</v>
      </c>
      <c r="Z6464" s="234">
        <v>27</v>
      </c>
      <c r="AA6464" s="235">
        <v>0.25</v>
      </c>
      <c r="AB6464" s="236">
        <v>11.4</v>
      </c>
      <c r="AC6464" s="127">
        <f t="shared" si="115"/>
        <v>11</v>
      </c>
    </row>
    <row r="6465" ht="14.5" customHeight="1" spans="11:29" x14ac:dyDescent="0.25">
      <c r="K6465" s="128"/>
      <c r="X6465" s="234">
        <v>2022</v>
      </c>
      <c r="Y6465" s="234">
        <v>9</v>
      </c>
      <c r="Z6465" s="234">
        <v>27</v>
      </c>
      <c r="AA6465" s="235">
        <v>0.2916666666678793</v>
      </c>
      <c r="AB6465" s="236">
        <v>10.8</v>
      </c>
      <c r="AC6465" s="127">
        <f t="shared" si="115"/>
        <v>11</v>
      </c>
    </row>
    <row r="6466" ht="14.5" customHeight="1" spans="11:29" x14ac:dyDescent="0.25">
      <c r="K6466" s="128"/>
      <c r="X6466" s="234">
        <v>2022</v>
      </c>
      <c r="Y6466" s="234">
        <v>9</v>
      </c>
      <c r="Z6466" s="234">
        <v>27</v>
      </c>
      <c r="AA6466" s="235">
        <v>0.3333333333321207</v>
      </c>
      <c r="AB6466" s="236">
        <v>16.6</v>
      </c>
      <c r="AC6466" s="127">
        <f t="shared" si="115"/>
        <v>17</v>
      </c>
    </row>
    <row r="6467" ht="14.5" customHeight="1" spans="11:29" x14ac:dyDescent="0.25">
      <c r="K6467" s="128"/>
      <c r="X6467" s="234">
        <v>2022</v>
      </c>
      <c r="Y6467" s="234">
        <v>9</v>
      </c>
      <c r="Z6467" s="234">
        <v>27</v>
      </c>
      <c r="AA6467" s="235">
        <v>0.375</v>
      </c>
      <c r="AB6467" s="236">
        <v>19.8</v>
      </c>
      <c r="AC6467" s="127">
        <f t="shared" si="115"/>
        <v>20</v>
      </c>
    </row>
    <row r="6468" ht="14.5" customHeight="1" spans="11:29" x14ac:dyDescent="0.25">
      <c r="K6468" s="128"/>
      <c r="X6468" s="234">
        <v>2022</v>
      </c>
      <c r="Y6468" s="234">
        <v>9</v>
      </c>
      <c r="Z6468" s="234">
        <v>27</v>
      </c>
      <c r="AA6468" s="235">
        <v>0.4166666666678793</v>
      </c>
      <c r="AB6468" s="236">
        <v>22.8</v>
      </c>
      <c r="AC6468" s="127">
        <f t="shared" si="115"/>
        <v>23</v>
      </c>
    </row>
    <row r="6469" ht="14.5" customHeight="1" spans="11:29" x14ac:dyDescent="0.25">
      <c r="K6469" s="128"/>
      <c r="X6469" s="234">
        <v>2022</v>
      </c>
      <c r="Y6469" s="234">
        <v>9</v>
      </c>
      <c r="Z6469" s="234">
        <v>27</v>
      </c>
      <c r="AA6469" s="235">
        <v>0.4583333333321207</v>
      </c>
      <c r="AB6469" s="236">
        <v>24.7</v>
      </c>
      <c r="AC6469" s="127">
        <f t="shared" si="115"/>
        <v>25</v>
      </c>
    </row>
    <row r="6470" ht="14.5" customHeight="1" spans="11:29" x14ac:dyDescent="0.25">
      <c r="K6470" s="128"/>
      <c r="X6470" s="234">
        <v>2022</v>
      </c>
      <c r="Y6470" s="234">
        <v>9</v>
      </c>
      <c r="Z6470" s="234">
        <v>27</v>
      </c>
      <c r="AA6470" s="235">
        <v>0.5</v>
      </c>
      <c r="AB6470" s="236">
        <v>25.8</v>
      </c>
      <c r="AC6470" s="127">
        <f t="shared" si="115"/>
        <v>26</v>
      </c>
    </row>
    <row r="6471" ht="14.5" customHeight="1" spans="11:29" x14ac:dyDescent="0.25">
      <c r="K6471" s="128"/>
      <c r="X6471" s="234">
        <v>2022</v>
      </c>
      <c r="Y6471" s="234">
        <v>9</v>
      </c>
      <c r="Z6471" s="234">
        <v>27</v>
      </c>
      <c r="AA6471" s="235">
        <v>0.5416666666678793</v>
      </c>
      <c r="AB6471" s="236">
        <v>26.4</v>
      </c>
      <c r="AC6471" s="127">
        <f t="shared" si="115"/>
        <v>26</v>
      </c>
    </row>
    <row r="6472" ht="14.5" customHeight="1" spans="11:29" x14ac:dyDescent="0.25">
      <c r="K6472" s="128"/>
      <c r="X6472" s="234">
        <v>2022</v>
      </c>
      <c r="Y6472" s="234">
        <v>9</v>
      </c>
      <c r="Z6472" s="234">
        <v>27</v>
      </c>
      <c r="AA6472" s="235">
        <v>0.5833333333321207</v>
      </c>
      <c r="AB6472" s="236">
        <v>27</v>
      </c>
      <c r="AC6472" s="127">
        <f t="shared" si="115"/>
        <v>27</v>
      </c>
    </row>
    <row r="6473" ht="14.5" customHeight="1" spans="11:29" x14ac:dyDescent="0.25">
      <c r="K6473" s="128"/>
      <c r="X6473" s="234">
        <v>2022</v>
      </c>
      <c r="Y6473" s="234">
        <v>9</v>
      </c>
      <c r="Z6473" s="234">
        <v>27</v>
      </c>
      <c r="AA6473" s="235">
        <v>0.625</v>
      </c>
      <c r="AB6473" s="236">
        <v>27</v>
      </c>
      <c r="AC6473" s="127">
        <f t="shared" si="115"/>
        <v>27</v>
      </c>
    </row>
    <row r="6474" ht="14.5" customHeight="1" spans="11:29" x14ac:dyDescent="0.25">
      <c r="K6474" s="128"/>
      <c r="X6474" s="234">
        <v>2022</v>
      </c>
      <c r="Y6474" s="234">
        <v>9</v>
      </c>
      <c r="Z6474" s="234">
        <v>27</v>
      </c>
      <c r="AA6474" s="235">
        <v>0.6666666666678793</v>
      </c>
      <c r="AB6474" s="236">
        <v>27</v>
      </c>
      <c r="AC6474" s="127">
        <f t="shared" si="115"/>
        <v>27</v>
      </c>
    </row>
    <row r="6475" ht="14.5" customHeight="1" spans="11:29" x14ac:dyDescent="0.25">
      <c r="K6475" s="128"/>
      <c r="X6475" s="234">
        <v>2022</v>
      </c>
      <c r="Y6475" s="234">
        <v>9</v>
      </c>
      <c r="Z6475" s="234">
        <v>27</v>
      </c>
      <c r="AA6475" s="235">
        <v>0.7083333333321207</v>
      </c>
      <c r="AB6475" s="236">
        <v>26</v>
      </c>
      <c r="AC6475" s="127">
        <f t="shared" ref="AC6475:AC6538" si="116">ROUND(AB6475,0)</f>
        <v>26</v>
      </c>
    </row>
    <row r="6476" ht="14.5" customHeight="1" spans="11:29" x14ac:dyDescent="0.25">
      <c r="K6476" s="128"/>
      <c r="X6476" s="234">
        <v>2022</v>
      </c>
      <c r="Y6476" s="234">
        <v>9</v>
      </c>
      <c r="Z6476" s="234">
        <v>27</v>
      </c>
      <c r="AA6476" s="235">
        <v>0.75</v>
      </c>
      <c r="AB6476" s="236">
        <v>23.2</v>
      </c>
      <c r="AC6476" s="127">
        <f t="shared" si="116"/>
        <v>23</v>
      </c>
    </row>
    <row r="6477" ht="14.5" customHeight="1" spans="11:29" x14ac:dyDescent="0.25">
      <c r="K6477" s="128"/>
      <c r="X6477" s="234">
        <v>2022</v>
      </c>
      <c r="Y6477" s="234">
        <v>9</v>
      </c>
      <c r="Z6477" s="234">
        <v>27</v>
      </c>
      <c r="AA6477" s="235">
        <v>0.7916666666678793</v>
      </c>
      <c r="AB6477" s="236">
        <v>21</v>
      </c>
      <c r="AC6477" s="127">
        <f t="shared" si="116"/>
        <v>21</v>
      </c>
    </row>
    <row r="6478" ht="14.5" customHeight="1" spans="11:29" x14ac:dyDescent="0.25">
      <c r="K6478" s="128"/>
      <c r="X6478" s="234">
        <v>2022</v>
      </c>
      <c r="Y6478" s="234">
        <v>9</v>
      </c>
      <c r="Z6478" s="234">
        <v>27</v>
      </c>
      <c r="AA6478" s="235">
        <v>0.8333333333321207</v>
      </c>
      <c r="AB6478" s="236">
        <v>16</v>
      </c>
      <c r="AC6478" s="127">
        <f t="shared" si="116"/>
        <v>16</v>
      </c>
    </row>
    <row r="6479" ht="14.5" customHeight="1" spans="11:29" x14ac:dyDescent="0.25">
      <c r="K6479" s="128"/>
      <c r="X6479" s="234">
        <v>2022</v>
      </c>
      <c r="Y6479" s="234">
        <v>9</v>
      </c>
      <c r="Z6479" s="234">
        <v>27</v>
      </c>
      <c r="AA6479" s="235">
        <v>0.875</v>
      </c>
      <c r="AB6479" s="236">
        <v>15.3</v>
      </c>
      <c r="AC6479" s="127">
        <f t="shared" si="116"/>
        <v>15</v>
      </c>
    </row>
    <row r="6480" ht="14.5" customHeight="1" spans="11:29" x14ac:dyDescent="0.25">
      <c r="K6480" s="128"/>
      <c r="X6480" s="234">
        <v>2022</v>
      </c>
      <c r="Y6480" s="234">
        <v>9</v>
      </c>
      <c r="Z6480" s="234">
        <v>27</v>
      </c>
      <c r="AA6480" s="235">
        <v>0.9166666666678793</v>
      </c>
      <c r="AB6480" s="236">
        <v>14.7</v>
      </c>
      <c r="AC6480" s="127">
        <f t="shared" si="116"/>
        <v>15</v>
      </c>
    </row>
    <row r="6481" ht="14.5" customHeight="1" spans="11:29" x14ac:dyDescent="0.25">
      <c r="K6481" s="128"/>
      <c r="X6481" s="234">
        <v>2022</v>
      </c>
      <c r="Y6481" s="234">
        <v>9</v>
      </c>
      <c r="Z6481" s="234">
        <v>27</v>
      </c>
      <c r="AA6481" s="235">
        <v>0.9583333333321207</v>
      </c>
      <c r="AB6481" s="236">
        <v>12.1</v>
      </c>
      <c r="AC6481" s="127">
        <f t="shared" si="116"/>
        <v>12</v>
      </c>
    </row>
    <row r="6482" ht="14.5" customHeight="1" spans="11:29" x14ac:dyDescent="0.25">
      <c r="K6482" s="128"/>
      <c r="X6482" s="234">
        <v>2022</v>
      </c>
      <c r="Y6482" s="234">
        <v>9</v>
      </c>
      <c r="Z6482" s="234">
        <v>28</v>
      </c>
      <c r="AA6482" s="235">
        <v>0</v>
      </c>
      <c r="AB6482" s="236">
        <v>11.5</v>
      </c>
      <c r="AC6482" s="127">
        <f t="shared" si="116"/>
        <v>12</v>
      </c>
    </row>
    <row r="6483" ht="14.5" customHeight="1" spans="11:29" x14ac:dyDescent="0.25">
      <c r="K6483" s="128"/>
      <c r="X6483" s="234">
        <v>2022</v>
      </c>
      <c r="Y6483" s="234">
        <v>9</v>
      </c>
      <c r="Z6483" s="234">
        <v>28</v>
      </c>
      <c r="AA6483" s="235">
        <v>0.041666666667879326</v>
      </c>
      <c r="AB6483" s="236">
        <v>9.9</v>
      </c>
      <c r="AC6483" s="127">
        <f t="shared" si="116"/>
        <v>10</v>
      </c>
    </row>
    <row r="6484" ht="14.5" customHeight="1" spans="11:29" x14ac:dyDescent="0.25">
      <c r="K6484" s="128"/>
      <c r="X6484" s="234">
        <v>2022</v>
      </c>
      <c r="Y6484" s="234">
        <v>9</v>
      </c>
      <c r="Z6484" s="234">
        <v>28</v>
      </c>
      <c r="AA6484" s="235">
        <v>0.08333333333212067</v>
      </c>
      <c r="AB6484" s="236">
        <v>9</v>
      </c>
      <c r="AC6484" s="127">
        <f t="shared" si="116"/>
        <v>9</v>
      </c>
    </row>
    <row r="6485" ht="14.5" customHeight="1" spans="11:29" x14ac:dyDescent="0.25">
      <c r="K6485" s="128"/>
      <c r="X6485" s="234">
        <v>2022</v>
      </c>
      <c r="Y6485" s="234">
        <v>9</v>
      </c>
      <c r="Z6485" s="234">
        <v>28</v>
      </c>
      <c r="AA6485" s="235">
        <v>0.125</v>
      </c>
      <c r="AB6485" s="236">
        <v>8.7</v>
      </c>
      <c r="AC6485" s="127">
        <f t="shared" si="116"/>
        <v>9</v>
      </c>
    </row>
    <row r="6486" ht="14.5" customHeight="1" spans="11:29" x14ac:dyDescent="0.25">
      <c r="K6486" s="128"/>
      <c r="X6486" s="234">
        <v>2022</v>
      </c>
      <c r="Y6486" s="234">
        <v>9</v>
      </c>
      <c r="Z6486" s="234">
        <v>28</v>
      </c>
      <c r="AA6486" s="235">
        <v>0.16666666666787933</v>
      </c>
      <c r="AB6486" s="236">
        <v>10</v>
      </c>
      <c r="AC6486" s="127">
        <f t="shared" si="116"/>
        <v>10</v>
      </c>
    </row>
    <row r="6487" ht="14.5" customHeight="1" spans="11:29" x14ac:dyDescent="0.25">
      <c r="K6487" s="128"/>
      <c r="X6487" s="234">
        <v>2022</v>
      </c>
      <c r="Y6487" s="234">
        <v>9</v>
      </c>
      <c r="Z6487" s="234">
        <v>28</v>
      </c>
      <c r="AA6487" s="235">
        <v>0.20833333333212067</v>
      </c>
      <c r="AB6487" s="236">
        <v>9.5</v>
      </c>
      <c r="AC6487" s="127">
        <f t="shared" si="116"/>
        <v>10</v>
      </c>
    </row>
    <row r="6488" ht="14.5" customHeight="1" spans="11:29" x14ac:dyDescent="0.25">
      <c r="K6488" s="128"/>
      <c r="X6488" s="234">
        <v>2022</v>
      </c>
      <c r="Y6488" s="234">
        <v>9</v>
      </c>
      <c r="Z6488" s="234">
        <v>28</v>
      </c>
      <c r="AA6488" s="235">
        <v>0.25</v>
      </c>
      <c r="AB6488" s="236">
        <v>7.9</v>
      </c>
      <c r="AC6488" s="127">
        <f t="shared" si="116"/>
        <v>8</v>
      </c>
    </row>
    <row r="6489" ht="14.5" customHeight="1" spans="11:29" x14ac:dyDescent="0.25">
      <c r="K6489" s="128"/>
      <c r="X6489" s="234">
        <v>2022</v>
      </c>
      <c r="Y6489" s="234">
        <v>9</v>
      </c>
      <c r="Z6489" s="234">
        <v>28</v>
      </c>
      <c r="AA6489" s="235">
        <v>0.2916666666678793</v>
      </c>
      <c r="AB6489" s="236">
        <v>7.1</v>
      </c>
      <c r="AC6489" s="127">
        <f t="shared" si="116"/>
        <v>7</v>
      </c>
    </row>
    <row r="6490" ht="14.5" customHeight="1" spans="11:29" x14ac:dyDescent="0.25">
      <c r="K6490" s="128"/>
      <c r="X6490" s="234">
        <v>2022</v>
      </c>
      <c r="Y6490" s="234">
        <v>9</v>
      </c>
      <c r="Z6490" s="234">
        <v>28</v>
      </c>
      <c r="AA6490" s="235">
        <v>0.3333333333321207</v>
      </c>
      <c r="AB6490" s="236">
        <v>12.2</v>
      </c>
      <c r="AC6490" s="127">
        <f t="shared" si="116"/>
        <v>12</v>
      </c>
    </row>
    <row r="6491" ht="14.5" customHeight="1" spans="11:29" x14ac:dyDescent="0.25">
      <c r="K6491" s="128"/>
      <c r="X6491" s="234">
        <v>2022</v>
      </c>
      <c r="Y6491" s="234">
        <v>9</v>
      </c>
      <c r="Z6491" s="234">
        <v>28</v>
      </c>
      <c r="AA6491" s="235">
        <v>0.375</v>
      </c>
      <c r="AB6491" s="236">
        <v>15.9</v>
      </c>
      <c r="AC6491" s="127">
        <f t="shared" si="116"/>
        <v>16</v>
      </c>
    </row>
    <row r="6492" ht="14.5" customHeight="1" spans="11:29" x14ac:dyDescent="0.25">
      <c r="K6492" s="128"/>
      <c r="X6492" s="234">
        <v>2022</v>
      </c>
      <c r="Y6492" s="234">
        <v>9</v>
      </c>
      <c r="Z6492" s="234">
        <v>28</v>
      </c>
      <c r="AA6492" s="235">
        <v>0.4166666666678793</v>
      </c>
      <c r="AB6492" s="236">
        <v>20.5</v>
      </c>
      <c r="AC6492" s="127">
        <f t="shared" si="116"/>
        <v>21</v>
      </c>
    </row>
    <row r="6493" ht="14.5" customHeight="1" spans="11:29" x14ac:dyDescent="0.25">
      <c r="K6493" s="128"/>
      <c r="X6493" s="234">
        <v>2022</v>
      </c>
      <c r="Y6493" s="234">
        <v>9</v>
      </c>
      <c r="Z6493" s="234">
        <v>28</v>
      </c>
      <c r="AA6493" s="235">
        <v>0.4583333333321207</v>
      </c>
      <c r="AB6493" s="236">
        <v>22.8</v>
      </c>
      <c r="AC6493" s="127">
        <f t="shared" si="116"/>
        <v>23</v>
      </c>
    </row>
    <row r="6494" ht="14.5" customHeight="1" spans="11:29" x14ac:dyDescent="0.25">
      <c r="K6494" s="128"/>
      <c r="X6494" s="234">
        <v>2022</v>
      </c>
      <c r="Y6494" s="234">
        <v>9</v>
      </c>
      <c r="Z6494" s="234">
        <v>28</v>
      </c>
      <c r="AA6494" s="235">
        <v>0.5</v>
      </c>
      <c r="AB6494" s="236">
        <v>24.5</v>
      </c>
      <c r="AC6494" s="127">
        <f t="shared" si="116"/>
        <v>25</v>
      </c>
    </row>
    <row r="6495" ht="14.5" customHeight="1" spans="11:29" x14ac:dyDescent="0.25">
      <c r="K6495" s="128"/>
      <c r="X6495" s="234">
        <v>2022</v>
      </c>
      <c r="Y6495" s="234">
        <v>9</v>
      </c>
      <c r="Z6495" s="234">
        <v>28</v>
      </c>
      <c r="AA6495" s="235">
        <v>0.5416666666678793</v>
      </c>
      <c r="AB6495" s="236">
        <v>26</v>
      </c>
      <c r="AC6495" s="127">
        <f t="shared" si="116"/>
        <v>26</v>
      </c>
    </row>
    <row r="6496" ht="14.5" customHeight="1" spans="11:29" x14ac:dyDescent="0.25">
      <c r="K6496" s="128"/>
      <c r="X6496" s="234">
        <v>2022</v>
      </c>
      <c r="Y6496" s="234">
        <v>9</v>
      </c>
      <c r="Z6496" s="234">
        <v>28</v>
      </c>
      <c r="AA6496" s="235">
        <v>0.5833333333321207</v>
      </c>
      <c r="AB6496" s="236">
        <v>27.2</v>
      </c>
      <c r="AC6496" s="127">
        <f t="shared" si="116"/>
        <v>27</v>
      </c>
    </row>
    <row r="6497" ht="14.5" customHeight="1" spans="11:29" x14ac:dyDescent="0.25">
      <c r="K6497" s="128"/>
      <c r="X6497" s="234">
        <v>2022</v>
      </c>
      <c r="Y6497" s="234">
        <v>9</v>
      </c>
      <c r="Z6497" s="234">
        <v>28</v>
      </c>
      <c r="AA6497" s="235">
        <v>0.625</v>
      </c>
      <c r="AB6497" s="236">
        <v>27.8</v>
      </c>
      <c r="AC6497" s="127">
        <f t="shared" si="116"/>
        <v>28</v>
      </c>
    </row>
    <row r="6498" ht="14.5" customHeight="1" spans="11:29" x14ac:dyDescent="0.25">
      <c r="K6498" s="128"/>
      <c r="X6498" s="234">
        <v>2022</v>
      </c>
      <c r="Y6498" s="234">
        <v>9</v>
      </c>
      <c r="Z6498" s="234">
        <v>28</v>
      </c>
      <c r="AA6498" s="235">
        <v>0.6666666666678793</v>
      </c>
      <c r="AB6498" s="236">
        <v>25.7</v>
      </c>
      <c r="AC6498" s="127">
        <f t="shared" si="116"/>
        <v>26</v>
      </c>
    </row>
    <row r="6499" ht="14.5" customHeight="1" spans="11:29" x14ac:dyDescent="0.25">
      <c r="K6499" s="128"/>
      <c r="X6499" s="234">
        <v>2022</v>
      </c>
      <c r="Y6499" s="234">
        <v>9</v>
      </c>
      <c r="Z6499" s="234">
        <v>28</v>
      </c>
      <c r="AA6499" s="235">
        <v>0.7083333333321207</v>
      </c>
      <c r="AB6499" s="236">
        <v>26.4</v>
      </c>
      <c r="AC6499" s="127">
        <f t="shared" si="116"/>
        <v>26</v>
      </c>
    </row>
    <row r="6500" ht="14.5" customHeight="1" spans="11:29" x14ac:dyDescent="0.25">
      <c r="K6500" s="128"/>
      <c r="X6500" s="234">
        <v>2022</v>
      </c>
      <c r="Y6500" s="234">
        <v>9</v>
      </c>
      <c r="Z6500" s="234">
        <v>28</v>
      </c>
      <c r="AA6500" s="235">
        <v>0.75</v>
      </c>
      <c r="AB6500" s="236">
        <v>22.2</v>
      </c>
      <c r="AC6500" s="127">
        <f t="shared" si="116"/>
        <v>22</v>
      </c>
    </row>
    <row r="6501" ht="14.5" customHeight="1" spans="11:29" x14ac:dyDescent="0.25">
      <c r="K6501" s="128"/>
      <c r="X6501" s="234">
        <v>2022</v>
      </c>
      <c r="Y6501" s="234">
        <v>9</v>
      </c>
      <c r="Z6501" s="234">
        <v>28</v>
      </c>
      <c r="AA6501" s="235">
        <v>0.7916666666678793</v>
      </c>
      <c r="AB6501" s="236">
        <v>19.6</v>
      </c>
      <c r="AC6501" s="127">
        <f t="shared" si="116"/>
        <v>20</v>
      </c>
    </row>
    <row r="6502" ht="14.5" customHeight="1" spans="11:29" x14ac:dyDescent="0.25">
      <c r="K6502" s="128"/>
      <c r="X6502" s="234">
        <v>2022</v>
      </c>
      <c r="Y6502" s="234">
        <v>9</v>
      </c>
      <c r="Z6502" s="234">
        <v>28</v>
      </c>
      <c r="AA6502" s="235">
        <v>0.8333333333321207</v>
      </c>
      <c r="AB6502" s="236">
        <v>18.1</v>
      </c>
      <c r="AC6502" s="127">
        <f t="shared" si="116"/>
        <v>18</v>
      </c>
    </row>
    <row r="6503" ht="14.5" customHeight="1" spans="11:29" x14ac:dyDescent="0.25">
      <c r="K6503" s="128"/>
      <c r="X6503" s="234">
        <v>2022</v>
      </c>
      <c r="Y6503" s="234">
        <v>9</v>
      </c>
      <c r="Z6503" s="234">
        <v>28</v>
      </c>
      <c r="AA6503" s="235">
        <v>0.875</v>
      </c>
      <c r="AB6503" s="236">
        <v>15.8</v>
      </c>
      <c r="AC6503" s="127">
        <f t="shared" si="116"/>
        <v>16</v>
      </c>
    </row>
    <row r="6504" ht="14.5" customHeight="1" spans="11:29" x14ac:dyDescent="0.25">
      <c r="K6504" s="128"/>
      <c r="X6504" s="234">
        <v>2022</v>
      </c>
      <c r="Y6504" s="234">
        <v>9</v>
      </c>
      <c r="Z6504" s="234">
        <v>28</v>
      </c>
      <c r="AA6504" s="235">
        <v>0.9166666666678793</v>
      </c>
      <c r="AB6504" s="236">
        <v>14.5</v>
      </c>
      <c r="AC6504" s="127">
        <f t="shared" si="116"/>
        <v>15</v>
      </c>
    </row>
    <row r="6505" ht="14.5" customHeight="1" spans="11:29" x14ac:dyDescent="0.25">
      <c r="K6505" s="128"/>
      <c r="X6505" s="234">
        <v>2022</v>
      </c>
      <c r="Y6505" s="234">
        <v>9</v>
      </c>
      <c r="Z6505" s="234">
        <v>28</v>
      </c>
      <c r="AA6505" s="235">
        <v>0.9583333333321207</v>
      </c>
      <c r="AB6505" s="236">
        <v>13.8</v>
      </c>
      <c r="AC6505" s="127">
        <f t="shared" si="116"/>
        <v>14</v>
      </c>
    </row>
    <row r="6506" ht="14.5" customHeight="1" spans="11:29" x14ac:dyDescent="0.25">
      <c r="K6506" s="128"/>
      <c r="X6506" s="234">
        <v>2022</v>
      </c>
      <c r="Y6506" s="234">
        <v>9</v>
      </c>
      <c r="Z6506" s="234">
        <v>29</v>
      </c>
      <c r="AA6506" s="235">
        <v>0</v>
      </c>
      <c r="AB6506" s="236">
        <v>13.3</v>
      </c>
      <c r="AC6506" s="127">
        <f t="shared" si="116"/>
        <v>13</v>
      </c>
    </row>
    <row r="6507" ht="14.5" customHeight="1" spans="11:29" x14ac:dyDescent="0.25">
      <c r="K6507" s="128"/>
      <c r="X6507" s="234">
        <v>2022</v>
      </c>
      <c r="Y6507" s="234">
        <v>9</v>
      </c>
      <c r="Z6507" s="234">
        <v>29</v>
      </c>
      <c r="AA6507" s="235">
        <v>0.041666666667879326</v>
      </c>
      <c r="AB6507" s="236">
        <v>12</v>
      </c>
      <c r="AC6507" s="127">
        <f t="shared" si="116"/>
        <v>12</v>
      </c>
    </row>
    <row r="6508" ht="14.5" customHeight="1" spans="11:29" x14ac:dyDescent="0.25">
      <c r="K6508" s="128"/>
      <c r="X6508" s="234">
        <v>2022</v>
      </c>
      <c r="Y6508" s="234">
        <v>9</v>
      </c>
      <c r="Z6508" s="234">
        <v>29</v>
      </c>
      <c r="AA6508" s="235">
        <v>0.08333333333212067</v>
      </c>
      <c r="AB6508" s="236">
        <v>11.7</v>
      </c>
      <c r="AC6508" s="127">
        <f t="shared" si="116"/>
        <v>12</v>
      </c>
    </row>
    <row r="6509" ht="14.5" customHeight="1" spans="11:29" x14ac:dyDescent="0.25">
      <c r="K6509" s="128"/>
      <c r="X6509" s="234">
        <v>2022</v>
      </c>
      <c r="Y6509" s="234">
        <v>9</v>
      </c>
      <c r="Z6509" s="234">
        <v>29</v>
      </c>
      <c r="AA6509" s="235">
        <v>0.125</v>
      </c>
      <c r="AB6509" s="236">
        <v>9.9</v>
      </c>
      <c r="AC6509" s="127">
        <f t="shared" si="116"/>
        <v>10</v>
      </c>
    </row>
    <row r="6510" ht="14.5" customHeight="1" spans="11:29" x14ac:dyDescent="0.25">
      <c r="K6510" s="128"/>
      <c r="X6510" s="234">
        <v>2022</v>
      </c>
      <c r="Y6510" s="234">
        <v>9</v>
      </c>
      <c r="Z6510" s="234">
        <v>29</v>
      </c>
      <c r="AA6510" s="235">
        <v>0.16666666666787933</v>
      </c>
      <c r="AB6510" s="236">
        <v>11.7</v>
      </c>
      <c r="AC6510" s="127">
        <f t="shared" si="116"/>
        <v>12</v>
      </c>
    </row>
    <row r="6511" ht="14.5" customHeight="1" spans="11:29" x14ac:dyDescent="0.25">
      <c r="K6511" s="128"/>
      <c r="X6511" s="234">
        <v>2022</v>
      </c>
      <c r="Y6511" s="234">
        <v>9</v>
      </c>
      <c r="Z6511" s="234">
        <v>29</v>
      </c>
      <c r="AA6511" s="235">
        <v>0.20833333333212067</v>
      </c>
      <c r="AB6511" s="236">
        <v>15.7</v>
      </c>
      <c r="AC6511" s="127">
        <f t="shared" si="116"/>
        <v>16</v>
      </c>
    </row>
    <row r="6512" ht="14.5" customHeight="1" spans="11:29" x14ac:dyDescent="0.25">
      <c r="K6512" s="128"/>
      <c r="X6512" s="234">
        <v>2022</v>
      </c>
      <c r="Y6512" s="234">
        <v>9</v>
      </c>
      <c r="Z6512" s="234">
        <v>29</v>
      </c>
      <c r="AA6512" s="235">
        <v>0.25</v>
      </c>
      <c r="AB6512" s="236">
        <v>19.4</v>
      </c>
      <c r="AC6512" s="127">
        <f t="shared" si="116"/>
        <v>19</v>
      </c>
    </row>
    <row r="6513" ht="14.5" customHeight="1" spans="11:29" x14ac:dyDescent="0.25">
      <c r="K6513" s="128"/>
      <c r="X6513" s="234">
        <v>2022</v>
      </c>
      <c r="Y6513" s="234">
        <v>9</v>
      </c>
      <c r="Z6513" s="234">
        <v>29</v>
      </c>
      <c r="AA6513" s="235">
        <v>0.2916666666678793</v>
      </c>
      <c r="AB6513" s="236">
        <v>18.2</v>
      </c>
      <c r="AC6513" s="127">
        <f t="shared" si="116"/>
        <v>18</v>
      </c>
    </row>
    <row r="6514" ht="14.5" customHeight="1" spans="11:29" x14ac:dyDescent="0.25">
      <c r="K6514" s="128"/>
      <c r="X6514" s="234">
        <v>2022</v>
      </c>
      <c r="Y6514" s="234">
        <v>9</v>
      </c>
      <c r="Z6514" s="234">
        <v>29</v>
      </c>
      <c r="AA6514" s="235">
        <v>0.3333333333321207</v>
      </c>
      <c r="AB6514" s="236">
        <v>17.8</v>
      </c>
      <c r="AC6514" s="127">
        <f t="shared" si="116"/>
        <v>18</v>
      </c>
    </row>
    <row r="6515" ht="14.5" customHeight="1" spans="11:29" x14ac:dyDescent="0.25">
      <c r="K6515" s="128"/>
      <c r="X6515" s="234">
        <v>2022</v>
      </c>
      <c r="Y6515" s="234">
        <v>9</v>
      </c>
      <c r="Z6515" s="234">
        <v>29</v>
      </c>
      <c r="AA6515" s="235">
        <v>0.375</v>
      </c>
      <c r="AB6515" s="236">
        <v>14.4</v>
      </c>
      <c r="AC6515" s="127">
        <f t="shared" si="116"/>
        <v>14</v>
      </c>
    </row>
    <row r="6516" ht="14.5" customHeight="1" spans="11:29" x14ac:dyDescent="0.25">
      <c r="K6516" s="128"/>
      <c r="X6516" s="234">
        <v>2022</v>
      </c>
      <c r="Y6516" s="234">
        <v>9</v>
      </c>
      <c r="Z6516" s="234">
        <v>29</v>
      </c>
      <c r="AA6516" s="235">
        <v>0.4166666666678793</v>
      </c>
      <c r="AB6516" s="236">
        <v>14</v>
      </c>
      <c r="AC6516" s="127">
        <f t="shared" si="116"/>
        <v>14</v>
      </c>
    </row>
    <row r="6517" ht="14.5" customHeight="1" spans="11:29" x14ac:dyDescent="0.25">
      <c r="K6517" s="128"/>
      <c r="X6517" s="234">
        <v>2022</v>
      </c>
      <c r="Y6517" s="234">
        <v>9</v>
      </c>
      <c r="Z6517" s="234">
        <v>29</v>
      </c>
      <c r="AA6517" s="235">
        <v>0.4583333333321207</v>
      </c>
      <c r="AB6517" s="236">
        <v>15.7</v>
      </c>
      <c r="AC6517" s="127">
        <f t="shared" si="116"/>
        <v>16</v>
      </c>
    </row>
    <row r="6518" ht="14.5" customHeight="1" spans="11:29" x14ac:dyDescent="0.25">
      <c r="K6518" s="128"/>
      <c r="X6518" s="234">
        <v>2022</v>
      </c>
      <c r="Y6518" s="234">
        <v>9</v>
      </c>
      <c r="Z6518" s="234">
        <v>29</v>
      </c>
      <c r="AA6518" s="235">
        <v>0.5</v>
      </c>
      <c r="AB6518" s="236">
        <v>14.1</v>
      </c>
      <c r="AC6518" s="127">
        <f t="shared" si="116"/>
        <v>14</v>
      </c>
    </row>
    <row r="6519" ht="14.5" customHeight="1" spans="11:29" x14ac:dyDescent="0.25">
      <c r="K6519" s="128"/>
      <c r="X6519" s="234">
        <v>2022</v>
      </c>
      <c r="Y6519" s="234">
        <v>9</v>
      </c>
      <c r="Z6519" s="234">
        <v>29</v>
      </c>
      <c r="AA6519" s="235">
        <v>0.5416666666678793</v>
      </c>
      <c r="AB6519" s="236">
        <v>15</v>
      </c>
      <c r="AC6519" s="127">
        <f t="shared" si="116"/>
        <v>15</v>
      </c>
    </row>
    <row r="6520" ht="14.5" customHeight="1" spans="11:29" x14ac:dyDescent="0.25">
      <c r="K6520" s="128"/>
      <c r="X6520" s="234">
        <v>2022</v>
      </c>
      <c r="Y6520" s="234">
        <v>9</v>
      </c>
      <c r="Z6520" s="234">
        <v>29</v>
      </c>
      <c r="AA6520" s="235">
        <v>0.5833333333321207</v>
      </c>
      <c r="AB6520" s="236">
        <v>16.8</v>
      </c>
      <c r="AC6520" s="127">
        <f t="shared" si="116"/>
        <v>17</v>
      </c>
    </row>
    <row r="6521" ht="14.5" customHeight="1" spans="11:29" x14ac:dyDescent="0.25">
      <c r="K6521" s="128"/>
      <c r="X6521" s="234">
        <v>2022</v>
      </c>
      <c r="Y6521" s="234">
        <v>9</v>
      </c>
      <c r="Z6521" s="234">
        <v>29</v>
      </c>
      <c r="AA6521" s="235">
        <v>0.625</v>
      </c>
      <c r="AB6521" s="236">
        <v>16.6</v>
      </c>
      <c r="AC6521" s="127">
        <f t="shared" si="116"/>
        <v>17</v>
      </c>
    </row>
    <row r="6522" ht="14.5" customHeight="1" spans="11:29" x14ac:dyDescent="0.25">
      <c r="K6522" s="128"/>
      <c r="X6522" s="234">
        <v>2022</v>
      </c>
      <c r="Y6522" s="234">
        <v>9</v>
      </c>
      <c r="Z6522" s="234">
        <v>29</v>
      </c>
      <c r="AA6522" s="235">
        <v>0.6666666666678793</v>
      </c>
      <c r="AB6522" s="236">
        <v>14.7</v>
      </c>
      <c r="AC6522" s="127">
        <f t="shared" si="116"/>
        <v>15</v>
      </c>
    </row>
    <row r="6523" ht="14.5" customHeight="1" spans="11:29" x14ac:dyDescent="0.25">
      <c r="K6523" s="128"/>
      <c r="X6523" s="234">
        <v>2022</v>
      </c>
      <c r="Y6523" s="234">
        <v>9</v>
      </c>
      <c r="Z6523" s="234">
        <v>29</v>
      </c>
      <c r="AA6523" s="235">
        <v>0.7083333333321207</v>
      </c>
      <c r="AB6523" s="236">
        <v>14.7</v>
      </c>
      <c r="AC6523" s="127">
        <f t="shared" si="116"/>
        <v>15</v>
      </c>
    </row>
    <row r="6524" ht="14.5" customHeight="1" spans="11:29" x14ac:dyDescent="0.25">
      <c r="K6524" s="128"/>
      <c r="X6524" s="234">
        <v>2022</v>
      </c>
      <c r="Y6524" s="234">
        <v>9</v>
      </c>
      <c r="Z6524" s="234">
        <v>29</v>
      </c>
      <c r="AA6524" s="235">
        <v>0.75</v>
      </c>
      <c r="AB6524" s="236">
        <v>13.6</v>
      </c>
      <c r="AC6524" s="127">
        <f t="shared" si="116"/>
        <v>14</v>
      </c>
    </row>
    <row r="6525" ht="14.5" customHeight="1" spans="11:29" x14ac:dyDescent="0.25">
      <c r="K6525" s="128"/>
      <c r="X6525" s="234">
        <v>2022</v>
      </c>
      <c r="Y6525" s="234">
        <v>9</v>
      </c>
      <c r="Z6525" s="234">
        <v>29</v>
      </c>
      <c r="AA6525" s="235">
        <v>0.7916666666678793</v>
      </c>
      <c r="AB6525" s="236">
        <v>12.7</v>
      </c>
      <c r="AC6525" s="127">
        <f t="shared" si="116"/>
        <v>13</v>
      </c>
    </row>
    <row r="6526" ht="14.5" customHeight="1" spans="11:29" x14ac:dyDescent="0.25">
      <c r="K6526" s="128"/>
      <c r="X6526" s="234">
        <v>2022</v>
      </c>
      <c r="Y6526" s="234">
        <v>9</v>
      </c>
      <c r="Z6526" s="234">
        <v>29</v>
      </c>
      <c r="AA6526" s="235">
        <v>0.8333333333321207</v>
      </c>
      <c r="AB6526" s="236">
        <v>12.5</v>
      </c>
      <c r="AC6526" s="127">
        <f t="shared" si="116"/>
        <v>13</v>
      </c>
    </row>
    <row r="6527" ht="14.5" customHeight="1" spans="11:29" x14ac:dyDescent="0.25">
      <c r="K6527" s="128"/>
      <c r="X6527" s="234">
        <v>2022</v>
      </c>
      <c r="Y6527" s="234">
        <v>9</v>
      </c>
      <c r="Z6527" s="234">
        <v>29</v>
      </c>
      <c r="AA6527" s="235">
        <v>0.875</v>
      </c>
      <c r="AB6527" s="236">
        <v>12</v>
      </c>
      <c r="AC6527" s="127">
        <f t="shared" si="116"/>
        <v>12</v>
      </c>
    </row>
    <row r="6528" ht="14.5" customHeight="1" spans="11:29" x14ac:dyDescent="0.25">
      <c r="K6528" s="128"/>
      <c r="X6528" s="234">
        <v>2022</v>
      </c>
      <c r="Y6528" s="234">
        <v>9</v>
      </c>
      <c r="Z6528" s="234">
        <v>29</v>
      </c>
      <c r="AA6528" s="235">
        <v>0.9166666666678793</v>
      </c>
      <c r="AB6528" s="236">
        <v>12.4</v>
      </c>
      <c r="AC6528" s="127">
        <f t="shared" si="116"/>
        <v>12</v>
      </c>
    </row>
    <row r="6529" ht="14.5" customHeight="1" spans="11:29" x14ac:dyDescent="0.25">
      <c r="K6529" s="128"/>
      <c r="X6529" s="234">
        <v>2022</v>
      </c>
      <c r="Y6529" s="234">
        <v>9</v>
      </c>
      <c r="Z6529" s="234">
        <v>29</v>
      </c>
      <c r="AA6529" s="235">
        <v>0.9583333333321207</v>
      </c>
      <c r="AB6529" s="236">
        <v>12.2</v>
      </c>
      <c r="AC6529" s="127">
        <f t="shared" si="116"/>
        <v>12</v>
      </c>
    </row>
    <row r="6530" ht="14.5" customHeight="1" spans="11:29" x14ac:dyDescent="0.25">
      <c r="K6530" s="128"/>
      <c r="X6530" s="234">
        <v>2022</v>
      </c>
      <c r="Y6530" s="234">
        <v>9</v>
      </c>
      <c r="Z6530" s="234">
        <v>30</v>
      </c>
      <c r="AA6530" s="235">
        <v>0</v>
      </c>
      <c r="AB6530" s="236">
        <v>12.1</v>
      </c>
      <c r="AC6530" s="127">
        <f t="shared" si="116"/>
        <v>12</v>
      </c>
    </row>
    <row r="6531" ht="14.5" customHeight="1" spans="11:29" x14ac:dyDescent="0.25">
      <c r="K6531" s="128"/>
      <c r="X6531" s="234">
        <v>2022</v>
      </c>
      <c r="Y6531" s="234">
        <v>9</v>
      </c>
      <c r="Z6531" s="234">
        <v>30</v>
      </c>
      <c r="AA6531" s="235">
        <v>0.041666666667879326</v>
      </c>
      <c r="AB6531" s="236">
        <v>12.1</v>
      </c>
      <c r="AC6531" s="127">
        <f t="shared" si="116"/>
        <v>12</v>
      </c>
    </row>
    <row r="6532" ht="14.5" customHeight="1" spans="11:29" x14ac:dyDescent="0.25">
      <c r="K6532" s="128"/>
      <c r="X6532" s="234">
        <v>2022</v>
      </c>
      <c r="Y6532" s="234">
        <v>9</v>
      </c>
      <c r="Z6532" s="234">
        <v>30</v>
      </c>
      <c r="AA6532" s="235">
        <v>0.08333333333212067</v>
      </c>
      <c r="AB6532" s="236">
        <v>11.4</v>
      </c>
      <c r="AC6532" s="127">
        <f t="shared" si="116"/>
        <v>11</v>
      </c>
    </row>
    <row r="6533" ht="14.5" customHeight="1" spans="11:29" x14ac:dyDescent="0.25">
      <c r="K6533" s="128"/>
      <c r="X6533" s="234">
        <v>2022</v>
      </c>
      <c r="Y6533" s="234">
        <v>9</v>
      </c>
      <c r="Z6533" s="234">
        <v>30</v>
      </c>
      <c r="AA6533" s="235">
        <v>0.125</v>
      </c>
      <c r="AB6533" s="236">
        <v>11.3</v>
      </c>
      <c r="AC6533" s="127">
        <f t="shared" si="116"/>
        <v>11</v>
      </c>
    </row>
    <row r="6534" ht="14.5" customHeight="1" spans="11:29" x14ac:dyDescent="0.25">
      <c r="K6534" s="128"/>
      <c r="X6534" s="234">
        <v>2022</v>
      </c>
      <c r="Y6534" s="234">
        <v>9</v>
      </c>
      <c r="Z6534" s="234">
        <v>30</v>
      </c>
      <c r="AA6534" s="235">
        <v>0.16666666666787933</v>
      </c>
      <c r="AB6534" s="236">
        <v>11.4</v>
      </c>
      <c r="AC6534" s="127">
        <f t="shared" si="116"/>
        <v>11</v>
      </c>
    </row>
    <row r="6535" ht="14.5" customHeight="1" spans="11:29" x14ac:dyDescent="0.25">
      <c r="K6535" s="128"/>
      <c r="X6535" s="234">
        <v>2022</v>
      </c>
      <c r="Y6535" s="234">
        <v>9</v>
      </c>
      <c r="Z6535" s="234">
        <v>30</v>
      </c>
      <c r="AA6535" s="235">
        <v>0.20833333333212067</v>
      </c>
      <c r="AB6535" s="236">
        <v>11.7</v>
      </c>
      <c r="AC6535" s="127">
        <f t="shared" si="116"/>
        <v>12</v>
      </c>
    </row>
    <row r="6536" ht="14.5" customHeight="1" spans="11:29" x14ac:dyDescent="0.25">
      <c r="K6536" s="128"/>
      <c r="X6536" s="234">
        <v>2022</v>
      </c>
      <c r="Y6536" s="234">
        <v>9</v>
      </c>
      <c r="Z6536" s="234">
        <v>30</v>
      </c>
      <c r="AA6536" s="235">
        <v>0.25</v>
      </c>
      <c r="AB6536" s="236">
        <v>11.9</v>
      </c>
      <c r="AC6536" s="127">
        <f t="shared" si="116"/>
        <v>12</v>
      </c>
    </row>
    <row r="6537" ht="14.5" customHeight="1" spans="11:29" x14ac:dyDescent="0.25">
      <c r="K6537" s="128"/>
      <c r="X6537" s="234">
        <v>2022</v>
      </c>
      <c r="Y6537" s="234">
        <v>9</v>
      </c>
      <c r="Z6537" s="234">
        <v>30</v>
      </c>
      <c r="AA6537" s="235">
        <v>0.2916666666678793</v>
      </c>
      <c r="AB6537" s="236">
        <v>11.6</v>
      </c>
      <c r="AC6537" s="127">
        <f t="shared" si="116"/>
        <v>12</v>
      </c>
    </row>
    <row r="6538" ht="14.5" customHeight="1" spans="11:29" x14ac:dyDescent="0.25">
      <c r="K6538" s="128"/>
      <c r="X6538" s="234">
        <v>2022</v>
      </c>
      <c r="Y6538" s="234">
        <v>9</v>
      </c>
      <c r="Z6538" s="234">
        <v>30</v>
      </c>
      <c r="AA6538" s="235">
        <v>0.3333333333321207</v>
      </c>
      <c r="AB6538" s="236">
        <v>11.7</v>
      </c>
      <c r="AC6538" s="127">
        <f t="shared" si="116"/>
        <v>12</v>
      </c>
    </row>
    <row r="6539" ht="14.5" customHeight="1" spans="11:29" x14ac:dyDescent="0.25">
      <c r="K6539" s="128"/>
      <c r="X6539" s="234">
        <v>2022</v>
      </c>
      <c r="Y6539" s="234">
        <v>9</v>
      </c>
      <c r="Z6539" s="234">
        <v>30</v>
      </c>
      <c r="AA6539" s="235">
        <v>0.375</v>
      </c>
      <c r="AB6539" s="236">
        <v>12.3</v>
      </c>
      <c r="AC6539" s="127">
        <f t="shared" ref="AC6539:AC6602" si="117">ROUND(AB6539,0)</f>
        <v>12</v>
      </c>
    </row>
    <row r="6540" ht="14.5" customHeight="1" spans="11:29" x14ac:dyDescent="0.25">
      <c r="K6540" s="128"/>
      <c r="X6540" s="234">
        <v>2022</v>
      </c>
      <c r="Y6540" s="234">
        <v>9</v>
      </c>
      <c r="Z6540" s="234">
        <v>30</v>
      </c>
      <c r="AA6540" s="235">
        <v>0.4166666666678793</v>
      </c>
      <c r="AB6540" s="236">
        <v>12.9</v>
      </c>
      <c r="AC6540" s="127">
        <f t="shared" si="117"/>
        <v>13</v>
      </c>
    </row>
    <row r="6541" ht="14.5" customHeight="1" spans="11:29" x14ac:dyDescent="0.25">
      <c r="K6541" s="128"/>
      <c r="X6541" s="234">
        <v>2022</v>
      </c>
      <c r="Y6541" s="234">
        <v>9</v>
      </c>
      <c r="Z6541" s="234">
        <v>30</v>
      </c>
      <c r="AA6541" s="235">
        <v>0.4583333333321207</v>
      </c>
      <c r="AB6541" s="236">
        <v>14.2</v>
      </c>
      <c r="AC6541" s="127">
        <f t="shared" si="117"/>
        <v>14</v>
      </c>
    </row>
    <row r="6542" ht="14.5" customHeight="1" spans="11:29" x14ac:dyDescent="0.25">
      <c r="K6542" s="128"/>
      <c r="X6542" s="234">
        <v>2022</v>
      </c>
      <c r="Y6542" s="234">
        <v>9</v>
      </c>
      <c r="Z6542" s="234">
        <v>30</v>
      </c>
      <c r="AA6542" s="235">
        <v>0.5</v>
      </c>
      <c r="AB6542" s="236">
        <v>15</v>
      </c>
      <c r="AC6542" s="127">
        <f t="shared" si="117"/>
        <v>15</v>
      </c>
    </row>
    <row r="6543" ht="14.5" customHeight="1" spans="11:29" x14ac:dyDescent="0.25">
      <c r="K6543" s="128"/>
      <c r="X6543" s="234">
        <v>2022</v>
      </c>
      <c r="Y6543" s="234">
        <v>9</v>
      </c>
      <c r="Z6543" s="234">
        <v>30</v>
      </c>
      <c r="AA6543" s="235">
        <v>0.5416666666678793</v>
      </c>
      <c r="AB6543" s="236">
        <v>15.1</v>
      </c>
      <c r="AC6543" s="127">
        <f t="shared" si="117"/>
        <v>15</v>
      </c>
    </row>
    <row r="6544" ht="14.5" customHeight="1" spans="11:29" x14ac:dyDescent="0.25">
      <c r="K6544" s="128"/>
      <c r="X6544" s="234">
        <v>2022</v>
      </c>
      <c r="Y6544" s="234">
        <v>9</v>
      </c>
      <c r="Z6544" s="234">
        <v>30</v>
      </c>
      <c r="AA6544" s="235">
        <v>0.5833333333321207</v>
      </c>
      <c r="AB6544" s="236">
        <v>14.4</v>
      </c>
      <c r="AC6544" s="127">
        <f t="shared" si="117"/>
        <v>14</v>
      </c>
    </row>
    <row r="6545" ht="14.5" customHeight="1" spans="11:29" x14ac:dyDescent="0.25">
      <c r="K6545" s="128"/>
      <c r="X6545" s="234">
        <v>2022</v>
      </c>
      <c r="Y6545" s="234">
        <v>9</v>
      </c>
      <c r="Z6545" s="234">
        <v>30</v>
      </c>
      <c r="AA6545" s="235">
        <v>0.625</v>
      </c>
      <c r="AB6545" s="236">
        <v>14.5</v>
      </c>
      <c r="AC6545" s="127">
        <f t="shared" si="117"/>
        <v>15</v>
      </c>
    </row>
    <row r="6546" ht="14.5" customHeight="1" spans="11:29" x14ac:dyDescent="0.25">
      <c r="K6546" s="128"/>
      <c r="X6546" s="234">
        <v>2022</v>
      </c>
      <c r="Y6546" s="234">
        <v>9</v>
      </c>
      <c r="Z6546" s="234">
        <v>30</v>
      </c>
      <c r="AA6546" s="235">
        <v>0.6666666666678793</v>
      </c>
      <c r="AB6546" s="236">
        <v>14.9</v>
      </c>
      <c r="AC6546" s="127">
        <f t="shared" si="117"/>
        <v>15</v>
      </c>
    </row>
    <row r="6547" ht="14.5" customHeight="1" spans="11:29" x14ac:dyDescent="0.25">
      <c r="K6547" s="128"/>
      <c r="X6547" s="234">
        <v>2022</v>
      </c>
      <c r="Y6547" s="234">
        <v>9</v>
      </c>
      <c r="Z6547" s="234">
        <v>30</v>
      </c>
      <c r="AA6547" s="235">
        <v>0.7083333333321207</v>
      </c>
      <c r="AB6547" s="236">
        <v>14.2</v>
      </c>
      <c r="AC6547" s="127">
        <f t="shared" si="117"/>
        <v>14</v>
      </c>
    </row>
    <row r="6548" ht="14.5" customHeight="1" spans="11:29" x14ac:dyDescent="0.25">
      <c r="K6548" s="128"/>
      <c r="X6548" s="234">
        <v>2022</v>
      </c>
      <c r="Y6548" s="234">
        <v>9</v>
      </c>
      <c r="Z6548" s="234">
        <v>30</v>
      </c>
      <c r="AA6548" s="235">
        <v>0.75</v>
      </c>
      <c r="AB6548" s="236">
        <v>13.9</v>
      </c>
      <c r="AC6548" s="127">
        <f t="shared" si="117"/>
        <v>14</v>
      </c>
    </row>
    <row r="6549" ht="14.5" customHeight="1" spans="11:29" x14ac:dyDescent="0.25">
      <c r="K6549" s="128"/>
      <c r="X6549" s="234">
        <v>2022</v>
      </c>
      <c r="Y6549" s="234">
        <v>9</v>
      </c>
      <c r="Z6549" s="234">
        <v>30</v>
      </c>
      <c r="AA6549" s="235">
        <v>0.7916666666678793</v>
      </c>
      <c r="AB6549" s="236">
        <v>11.9</v>
      </c>
      <c r="AC6549" s="127">
        <f t="shared" si="117"/>
        <v>12</v>
      </c>
    </row>
    <row r="6550" ht="14.5" customHeight="1" spans="11:29" x14ac:dyDescent="0.25">
      <c r="K6550" s="128"/>
      <c r="X6550" s="234">
        <v>2022</v>
      </c>
      <c r="Y6550" s="234">
        <v>9</v>
      </c>
      <c r="Z6550" s="234">
        <v>30</v>
      </c>
      <c r="AA6550" s="235">
        <v>0.8333333333321207</v>
      </c>
      <c r="AB6550" s="236">
        <v>11.8</v>
      </c>
      <c r="AC6550" s="127">
        <f t="shared" si="117"/>
        <v>12</v>
      </c>
    </row>
    <row r="6551" ht="14.5" customHeight="1" spans="11:29" x14ac:dyDescent="0.25">
      <c r="K6551" s="128"/>
      <c r="X6551" s="234">
        <v>2022</v>
      </c>
      <c r="Y6551" s="234">
        <v>9</v>
      </c>
      <c r="Z6551" s="234">
        <v>30</v>
      </c>
      <c r="AA6551" s="235">
        <v>0.875</v>
      </c>
      <c r="AB6551" s="236">
        <v>10.9</v>
      </c>
      <c r="AC6551" s="127">
        <f t="shared" si="117"/>
        <v>11</v>
      </c>
    </row>
    <row r="6552" ht="14.5" customHeight="1" spans="11:29" x14ac:dyDescent="0.25">
      <c r="K6552" s="128"/>
      <c r="X6552" s="234">
        <v>2022</v>
      </c>
      <c r="Y6552" s="234">
        <v>9</v>
      </c>
      <c r="Z6552" s="234">
        <v>30</v>
      </c>
      <c r="AA6552" s="235">
        <v>0.9166666666678793</v>
      </c>
      <c r="AB6552" s="236">
        <v>8.7</v>
      </c>
      <c r="AC6552" s="127">
        <f t="shared" si="117"/>
        <v>9</v>
      </c>
    </row>
    <row r="6553" ht="14.5" customHeight="1" spans="11:29" x14ac:dyDescent="0.25">
      <c r="K6553" s="128"/>
      <c r="X6553" s="234">
        <v>2022</v>
      </c>
      <c r="Y6553" s="234">
        <v>9</v>
      </c>
      <c r="Z6553" s="234">
        <v>30</v>
      </c>
      <c r="AA6553" s="235">
        <v>0.9583333333321207</v>
      </c>
      <c r="AB6553" s="236">
        <v>8.7</v>
      </c>
      <c r="AC6553" s="127">
        <f t="shared" si="117"/>
        <v>9</v>
      </c>
    </row>
    <row r="6554" ht="14.5" customHeight="1" spans="11:29" x14ac:dyDescent="0.25">
      <c r="K6554" s="128"/>
      <c r="X6554" s="234">
        <v>2022</v>
      </c>
      <c r="Y6554" s="234">
        <v>10</v>
      </c>
      <c r="Z6554" s="234">
        <v>1</v>
      </c>
      <c r="AA6554" s="235">
        <v>0</v>
      </c>
      <c r="AB6554" s="236">
        <v>8</v>
      </c>
      <c r="AC6554" s="127">
        <f t="shared" si="117"/>
        <v>8</v>
      </c>
    </row>
    <row r="6555" ht="14.5" customHeight="1" spans="11:29" x14ac:dyDescent="0.25">
      <c r="K6555" s="128"/>
      <c r="X6555" s="234">
        <v>2022</v>
      </c>
      <c r="Y6555" s="234">
        <v>10</v>
      </c>
      <c r="Z6555" s="234">
        <v>1</v>
      </c>
      <c r="AA6555" s="235">
        <v>0.041666666667879326</v>
      </c>
      <c r="AB6555" s="236">
        <v>7.4</v>
      </c>
      <c r="AC6555" s="127">
        <f t="shared" si="117"/>
        <v>7</v>
      </c>
    </row>
    <row r="6556" ht="14.5" customHeight="1" spans="11:29" x14ac:dyDescent="0.25">
      <c r="K6556" s="128"/>
      <c r="X6556" s="234">
        <v>2022</v>
      </c>
      <c r="Y6556" s="234">
        <v>10</v>
      </c>
      <c r="Z6556" s="234">
        <v>1</v>
      </c>
      <c r="AA6556" s="235">
        <v>0.08333333333212067</v>
      </c>
      <c r="AB6556" s="236">
        <v>6.8</v>
      </c>
      <c r="AC6556" s="127">
        <f t="shared" si="117"/>
        <v>7</v>
      </c>
    </row>
    <row r="6557" ht="14.5" customHeight="1" spans="11:29" x14ac:dyDescent="0.25">
      <c r="K6557" s="128"/>
      <c r="X6557" s="234">
        <v>2022</v>
      </c>
      <c r="Y6557" s="234">
        <v>10</v>
      </c>
      <c r="Z6557" s="234">
        <v>1</v>
      </c>
      <c r="AA6557" s="235">
        <v>0.125</v>
      </c>
      <c r="AB6557" s="236">
        <v>6</v>
      </c>
      <c r="AC6557" s="127">
        <f t="shared" si="117"/>
        <v>6</v>
      </c>
    </row>
    <row r="6558" ht="14.5" customHeight="1" spans="11:29" x14ac:dyDescent="0.25">
      <c r="K6558" s="128"/>
      <c r="X6558" s="234">
        <v>2022</v>
      </c>
      <c r="Y6558" s="234">
        <v>10</v>
      </c>
      <c r="Z6558" s="234">
        <v>1</v>
      </c>
      <c r="AA6558" s="235">
        <v>0.16666666666787933</v>
      </c>
      <c r="AB6558" s="236">
        <v>5.9</v>
      </c>
      <c r="AC6558" s="127">
        <f t="shared" si="117"/>
        <v>6</v>
      </c>
    </row>
    <row r="6559" ht="14.5" customHeight="1" spans="11:29" x14ac:dyDescent="0.25">
      <c r="K6559" s="128"/>
      <c r="X6559" s="234">
        <v>2022</v>
      </c>
      <c r="Y6559" s="234">
        <v>10</v>
      </c>
      <c r="Z6559" s="234">
        <v>1</v>
      </c>
      <c r="AA6559" s="235">
        <v>0.20833333333212067</v>
      </c>
      <c r="AB6559" s="236">
        <v>4.7</v>
      </c>
      <c r="AC6559" s="127">
        <f t="shared" si="117"/>
        <v>5</v>
      </c>
    </row>
    <row r="6560" ht="14.5" customHeight="1" spans="11:29" x14ac:dyDescent="0.25">
      <c r="K6560" s="128"/>
      <c r="X6560" s="234">
        <v>2022</v>
      </c>
      <c r="Y6560" s="234">
        <v>10</v>
      </c>
      <c r="Z6560" s="234">
        <v>1</v>
      </c>
      <c r="AA6560" s="235">
        <v>0.25</v>
      </c>
      <c r="AB6560" s="236">
        <v>4.6</v>
      </c>
      <c r="AC6560" s="127">
        <f t="shared" si="117"/>
        <v>5</v>
      </c>
    </row>
    <row r="6561" ht="14.5" customHeight="1" spans="11:29" x14ac:dyDescent="0.25">
      <c r="K6561" s="128"/>
      <c r="X6561" s="234">
        <v>2022</v>
      </c>
      <c r="Y6561" s="234">
        <v>10</v>
      </c>
      <c r="Z6561" s="234">
        <v>1</v>
      </c>
      <c r="AA6561" s="235">
        <v>0.2916666666678793</v>
      </c>
      <c r="AB6561" s="236">
        <v>3.9</v>
      </c>
      <c r="AC6561" s="127">
        <f t="shared" si="117"/>
        <v>4</v>
      </c>
    </row>
    <row r="6562" ht="14.5" customHeight="1" spans="11:29" x14ac:dyDescent="0.25">
      <c r="K6562" s="128"/>
      <c r="X6562" s="234">
        <v>2022</v>
      </c>
      <c r="Y6562" s="234">
        <v>10</v>
      </c>
      <c r="Z6562" s="234">
        <v>1</v>
      </c>
      <c r="AA6562" s="235">
        <v>0.3333333333321207</v>
      </c>
      <c r="AB6562" s="236">
        <v>7.3</v>
      </c>
      <c r="AC6562" s="127">
        <f t="shared" si="117"/>
        <v>7</v>
      </c>
    </row>
    <row r="6563" ht="14.5" customHeight="1" spans="11:29" x14ac:dyDescent="0.25">
      <c r="K6563" s="128"/>
      <c r="X6563" s="234">
        <v>2022</v>
      </c>
      <c r="Y6563" s="234">
        <v>10</v>
      </c>
      <c r="Z6563" s="234">
        <v>1</v>
      </c>
      <c r="AA6563" s="235">
        <v>0.375</v>
      </c>
      <c r="AB6563" s="236">
        <v>10.8</v>
      </c>
      <c r="AC6563" s="127">
        <f t="shared" si="117"/>
        <v>11</v>
      </c>
    </row>
    <row r="6564" ht="14.5" customHeight="1" spans="11:29" x14ac:dyDescent="0.25">
      <c r="K6564" s="128"/>
      <c r="X6564" s="234">
        <v>2022</v>
      </c>
      <c r="Y6564" s="234">
        <v>10</v>
      </c>
      <c r="Z6564" s="234">
        <v>1</v>
      </c>
      <c r="AA6564" s="235">
        <v>0.4166666666678793</v>
      </c>
      <c r="AB6564" s="236">
        <v>13.6</v>
      </c>
      <c r="AC6564" s="127">
        <f t="shared" si="117"/>
        <v>14</v>
      </c>
    </row>
    <row r="6565" ht="14.5" customHeight="1" spans="11:29" x14ac:dyDescent="0.25">
      <c r="K6565" s="128"/>
      <c r="X6565" s="234">
        <v>2022</v>
      </c>
      <c r="Y6565" s="234">
        <v>10</v>
      </c>
      <c r="Z6565" s="234">
        <v>1</v>
      </c>
      <c r="AA6565" s="235">
        <v>0.4583333333321207</v>
      </c>
      <c r="AB6565" s="236">
        <v>16.1</v>
      </c>
      <c r="AC6565" s="127">
        <f t="shared" si="117"/>
        <v>16</v>
      </c>
    </row>
    <row r="6566" ht="14.5" customHeight="1" spans="11:29" x14ac:dyDescent="0.25">
      <c r="K6566" s="128"/>
      <c r="X6566" s="234">
        <v>2022</v>
      </c>
      <c r="Y6566" s="234">
        <v>10</v>
      </c>
      <c r="Z6566" s="234">
        <v>1</v>
      </c>
      <c r="AA6566" s="235">
        <v>0.5</v>
      </c>
      <c r="AB6566" s="236">
        <v>17.9</v>
      </c>
      <c r="AC6566" s="127">
        <f t="shared" si="117"/>
        <v>18</v>
      </c>
    </row>
    <row r="6567" ht="14.5" customHeight="1" spans="11:29" x14ac:dyDescent="0.25">
      <c r="K6567" s="128"/>
      <c r="X6567" s="234">
        <v>2022</v>
      </c>
      <c r="Y6567" s="234">
        <v>10</v>
      </c>
      <c r="Z6567" s="234">
        <v>1</v>
      </c>
      <c r="AA6567" s="235">
        <v>0.5416666666678793</v>
      </c>
      <c r="AB6567" s="236">
        <v>19.4</v>
      </c>
      <c r="AC6567" s="127">
        <f t="shared" si="117"/>
        <v>19</v>
      </c>
    </row>
    <row r="6568" ht="14.5" customHeight="1" spans="11:29" x14ac:dyDescent="0.25">
      <c r="K6568" s="128"/>
      <c r="X6568" s="234">
        <v>2022</v>
      </c>
      <c r="Y6568" s="234">
        <v>10</v>
      </c>
      <c r="Z6568" s="234">
        <v>1</v>
      </c>
      <c r="AA6568" s="235">
        <v>0.5833333333321207</v>
      </c>
      <c r="AB6568" s="236">
        <v>20.7</v>
      </c>
      <c r="AC6568" s="127">
        <f t="shared" si="117"/>
        <v>21</v>
      </c>
    </row>
    <row r="6569" ht="14.5" customHeight="1" spans="11:29" x14ac:dyDescent="0.25">
      <c r="K6569" s="128"/>
      <c r="X6569" s="234">
        <v>2022</v>
      </c>
      <c r="Y6569" s="234">
        <v>10</v>
      </c>
      <c r="Z6569" s="234">
        <v>1</v>
      </c>
      <c r="AA6569" s="235">
        <v>0.625</v>
      </c>
      <c r="AB6569" s="236">
        <v>21.4</v>
      </c>
      <c r="AC6569" s="127">
        <f t="shared" si="117"/>
        <v>21</v>
      </c>
    </row>
    <row r="6570" ht="14.5" customHeight="1" spans="11:29" x14ac:dyDescent="0.25">
      <c r="K6570" s="128"/>
      <c r="X6570" s="234">
        <v>2022</v>
      </c>
      <c r="Y6570" s="234">
        <v>10</v>
      </c>
      <c r="Z6570" s="234">
        <v>1</v>
      </c>
      <c r="AA6570" s="235">
        <v>0.6666666666678793</v>
      </c>
      <c r="AB6570" s="236">
        <v>21.3</v>
      </c>
      <c r="AC6570" s="127">
        <f t="shared" si="117"/>
        <v>21</v>
      </c>
    </row>
    <row r="6571" ht="14.5" customHeight="1" spans="11:29" x14ac:dyDescent="0.25">
      <c r="K6571" s="128"/>
      <c r="X6571" s="234">
        <v>2022</v>
      </c>
      <c r="Y6571" s="234">
        <v>10</v>
      </c>
      <c r="Z6571" s="234">
        <v>1</v>
      </c>
      <c r="AA6571" s="235">
        <v>0.7083333333321207</v>
      </c>
      <c r="AB6571" s="236">
        <v>20.1</v>
      </c>
      <c r="AC6571" s="127">
        <f t="shared" si="117"/>
        <v>20</v>
      </c>
    </row>
    <row r="6572" ht="14.5" customHeight="1" spans="11:29" x14ac:dyDescent="0.25">
      <c r="K6572" s="128"/>
      <c r="X6572" s="234">
        <v>2022</v>
      </c>
      <c r="Y6572" s="234">
        <v>10</v>
      </c>
      <c r="Z6572" s="234">
        <v>1</v>
      </c>
      <c r="AA6572" s="235">
        <v>0.75</v>
      </c>
      <c r="AB6572" s="236">
        <v>17.9</v>
      </c>
      <c r="AC6572" s="127">
        <f t="shared" si="117"/>
        <v>18</v>
      </c>
    </row>
    <row r="6573" ht="14.5" customHeight="1" spans="11:29" x14ac:dyDescent="0.25">
      <c r="K6573" s="128"/>
      <c r="X6573" s="234">
        <v>2022</v>
      </c>
      <c r="Y6573" s="234">
        <v>10</v>
      </c>
      <c r="Z6573" s="234">
        <v>1</v>
      </c>
      <c r="AA6573" s="235">
        <v>0.7916666666678793</v>
      </c>
      <c r="AB6573" s="236">
        <v>15.1</v>
      </c>
      <c r="AC6573" s="127">
        <f t="shared" si="117"/>
        <v>15</v>
      </c>
    </row>
    <row r="6574" ht="14.5" customHeight="1" spans="11:29" x14ac:dyDescent="0.25">
      <c r="K6574" s="128"/>
      <c r="X6574" s="234">
        <v>2022</v>
      </c>
      <c r="Y6574" s="234">
        <v>10</v>
      </c>
      <c r="Z6574" s="234">
        <v>1</v>
      </c>
      <c r="AA6574" s="235">
        <v>0.8333333333321207</v>
      </c>
      <c r="AB6574" s="236">
        <v>14</v>
      </c>
      <c r="AC6574" s="127">
        <f t="shared" si="117"/>
        <v>14</v>
      </c>
    </row>
    <row r="6575" ht="14.5" customHeight="1" spans="11:29" x14ac:dyDescent="0.25">
      <c r="K6575" s="128"/>
      <c r="X6575" s="234">
        <v>2022</v>
      </c>
      <c r="Y6575" s="234">
        <v>10</v>
      </c>
      <c r="Z6575" s="234">
        <v>1</v>
      </c>
      <c r="AA6575" s="235">
        <v>0.875</v>
      </c>
      <c r="AB6575" s="236">
        <v>12.7</v>
      </c>
      <c r="AC6575" s="127">
        <f t="shared" si="117"/>
        <v>13</v>
      </c>
    </row>
    <row r="6576" ht="14.5" customHeight="1" spans="11:29" x14ac:dyDescent="0.25">
      <c r="K6576" s="128"/>
      <c r="X6576" s="234">
        <v>2022</v>
      </c>
      <c r="Y6576" s="234">
        <v>10</v>
      </c>
      <c r="Z6576" s="234">
        <v>1</v>
      </c>
      <c r="AA6576" s="235">
        <v>0.9166666666678793</v>
      </c>
      <c r="AB6576" s="236">
        <v>11.6</v>
      </c>
      <c r="AC6576" s="127">
        <f t="shared" si="117"/>
        <v>12</v>
      </c>
    </row>
    <row r="6577" ht="14.5" customHeight="1" spans="11:29" x14ac:dyDescent="0.25">
      <c r="K6577" s="128"/>
      <c r="X6577" s="234">
        <v>2022</v>
      </c>
      <c r="Y6577" s="234">
        <v>10</v>
      </c>
      <c r="Z6577" s="234">
        <v>1</v>
      </c>
      <c r="AA6577" s="235">
        <v>0.9583333333321207</v>
      </c>
      <c r="AB6577" s="236">
        <v>11.4</v>
      </c>
      <c r="AC6577" s="127">
        <f t="shared" si="117"/>
        <v>11</v>
      </c>
    </row>
    <row r="6578" ht="14.5" customHeight="1" spans="11:29" x14ac:dyDescent="0.25">
      <c r="K6578" s="128"/>
      <c r="X6578" s="234">
        <v>2022</v>
      </c>
      <c r="Y6578" s="234">
        <v>10</v>
      </c>
      <c r="Z6578" s="234">
        <v>2</v>
      </c>
      <c r="AA6578" s="235">
        <v>0</v>
      </c>
      <c r="AB6578" s="236">
        <v>11</v>
      </c>
      <c r="AC6578" s="127">
        <f t="shared" si="117"/>
        <v>11</v>
      </c>
    </row>
    <row r="6579" ht="14.5" customHeight="1" spans="11:29" x14ac:dyDescent="0.25">
      <c r="K6579" s="128"/>
      <c r="X6579" s="234">
        <v>2022</v>
      </c>
      <c r="Y6579" s="234">
        <v>10</v>
      </c>
      <c r="Z6579" s="234">
        <v>2</v>
      </c>
      <c r="AA6579" s="235">
        <v>0.041666666667879326</v>
      </c>
      <c r="AB6579" s="236">
        <v>10.4</v>
      </c>
      <c r="AC6579" s="127">
        <f t="shared" si="117"/>
        <v>10</v>
      </c>
    </row>
    <row r="6580" ht="14.5" customHeight="1" spans="11:29" x14ac:dyDescent="0.25">
      <c r="K6580" s="128"/>
      <c r="X6580" s="234">
        <v>2022</v>
      </c>
      <c r="Y6580" s="234">
        <v>10</v>
      </c>
      <c r="Z6580" s="234">
        <v>2</v>
      </c>
      <c r="AA6580" s="235">
        <v>0.08333333333212067</v>
      </c>
      <c r="AB6580" s="236">
        <v>8.4</v>
      </c>
      <c r="AC6580" s="127">
        <f t="shared" si="117"/>
        <v>8</v>
      </c>
    </row>
    <row r="6581" ht="14.5" customHeight="1" spans="11:29" x14ac:dyDescent="0.25">
      <c r="K6581" s="128"/>
      <c r="X6581" s="234">
        <v>2022</v>
      </c>
      <c r="Y6581" s="234">
        <v>10</v>
      </c>
      <c r="Z6581" s="234">
        <v>2</v>
      </c>
      <c r="AA6581" s="235">
        <v>0.125</v>
      </c>
      <c r="AB6581" s="236">
        <v>7.4</v>
      </c>
      <c r="AC6581" s="127">
        <f t="shared" si="117"/>
        <v>7</v>
      </c>
    </row>
    <row r="6582" ht="14.5" customHeight="1" spans="11:29" x14ac:dyDescent="0.25">
      <c r="K6582" s="128"/>
      <c r="X6582" s="234">
        <v>2022</v>
      </c>
      <c r="Y6582" s="234">
        <v>10</v>
      </c>
      <c r="Z6582" s="234">
        <v>2</v>
      </c>
      <c r="AA6582" s="235">
        <v>0.16666666666787933</v>
      </c>
      <c r="AB6582" s="236">
        <v>7</v>
      </c>
      <c r="AC6582" s="127">
        <f t="shared" si="117"/>
        <v>7</v>
      </c>
    </row>
    <row r="6583" ht="14.5" customHeight="1" spans="11:29" x14ac:dyDescent="0.25">
      <c r="K6583" s="128"/>
      <c r="X6583" s="234">
        <v>2022</v>
      </c>
      <c r="Y6583" s="234">
        <v>10</v>
      </c>
      <c r="Z6583" s="234">
        <v>2</v>
      </c>
      <c r="AA6583" s="235">
        <v>0.20833333333212067</v>
      </c>
      <c r="AB6583" s="236">
        <v>5.3</v>
      </c>
      <c r="AC6583" s="127">
        <f t="shared" si="117"/>
        <v>5</v>
      </c>
    </row>
    <row r="6584" ht="14.5" customHeight="1" spans="11:29" x14ac:dyDescent="0.25">
      <c r="K6584" s="128"/>
      <c r="X6584" s="234">
        <v>2022</v>
      </c>
      <c r="Y6584" s="234">
        <v>10</v>
      </c>
      <c r="Z6584" s="234">
        <v>2</v>
      </c>
      <c r="AA6584" s="235">
        <v>0.25</v>
      </c>
      <c r="AB6584" s="236">
        <v>4.7</v>
      </c>
      <c r="AC6584" s="127">
        <f t="shared" si="117"/>
        <v>5</v>
      </c>
    </row>
    <row r="6585" ht="14.5" customHeight="1" spans="11:29" x14ac:dyDescent="0.25">
      <c r="K6585" s="128"/>
      <c r="X6585" s="234">
        <v>2022</v>
      </c>
      <c r="Y6585" s="234">
        <v>10</v>
      </c>
      <c r="Z6585" s="234">
        <v>2</v>
      </c>
      <c r="AA6585" s="235">
        <v>0.2916666666678793</v>
      </c>
      <c r="AB6585" s="236">
        <v>3.9</v>
      </c>
      <c r="AC6585" s="127">
        <f t="shared" si="117"/>
        <v>4</v>
      </c>
    </row>
    <row r="6586" ht="14.5" customHeight="1" spans="11:29" x14ac:dyDescent="0.25">
      <c r="K6586" s="128"/>
      <c r="X6586" s="234">
        <v>2022</v>
      </c>
      <c r="Y6586" s="234">
        <v>10</v>
      </c>
      <c r="Z6586" s="234">
        <v>2</v>
      </c>
      <c r="AA6586" s="235">
        <v>0.3333333333321207</v>
      </c>
      <c r="AB6586" s="236">
        <v>7.2</v>
      </c>
      <c r="AC6586" s="127">
        <f t="shared" si="117"/>
        <v>7</v>
      </c>
    </row>
    <row r="6587" ht="14.5" customHeight="1" spans="11:29" x14ac:dyDescent="0.25">
      <c r="K6587" s="128"/>
      <c r="X6587" s="234">
        <v>2022</v>
      </c>
      <c r="Y6587" s="234">
        <v>10</v>
      </c>
      <c r="Z6587" s="234">
        <v>2</v>
      </c>
      <c r="AA6587" s="235">
        <v>0.375</v>
      </c>
      <c r="AB6587" s="236">
        <v>11.2</v>
      </c>
      <c r="AC6587" s="127">
        <f t="shared" si="117"/>
        <v>11</v>
      </c>
    </row>
    <row r="6588" ht="14.5" customHeight="1" spans="11:29" x14ac:dyDescent="0.25">
      <c r="K6588" s="128"/>
      <c r="X6588" s="234">
        <v>2022</v>
      </c>
      <c r="Y6588" s="234">
        <v>10</v>
      </c>
      <c r="Z6588" s="234">
        <v>2</v>
      </c>
      <c r="AA6588" s="235">
        <v>0.4166666666678793</v>
      </c>
      <c r="AB6588" s="236">
        <v>15.8</v>
      </c>
      <c r="AC6588" s="127">
        <f t="shared" si="117"/>
        <v>16</v>
      </c>
    </row>
    <row r="6589" ht="14.5" customHeight="1" spans="11:29" x14ac:dyDescent="0.25">
      <c r="K6589" s="128"/>
      <c r="X6589" s="234">
        <v>2022</v>
      </c>
      <c r="Y6589" s="234">
        <v>10</v>
      </c>
      <c r="Z6589" s="234">
        <v>2</v>
      </c>
      <c r="AA6589" s="235">
        <v>0.4583333333321207</v>
      </c>
      <c r="AB6589" s="236">
        <v>18.2</v>
      </c>
      <c r="AC6589" s="127">
        <f t="shared" si="117"/>
        <v>18</v>
      </c>
    </row>
    <row r="6590" ht="14.5" customHeight="1" spans="11:29" x14ac:dyDescent="0.25">
      <c r="K6590" s="128"/>
      <c r="X6590" s="234">
        <v>2022</v>
      </c>
      <c r="Y6590" s="234">
        <v>10</v>
      </c>
      <c r="Z6590" s="234">
        <v>2</v>
      </c>
      <c r="AA6590" s="235">
        <v>0.5</v>
      </c>
      <c r="AB6590" s="236">
        <v>20</v>
      </c>
      <c r="AC6590" s="127">
        <f t="shared" si="117"/>
        <v>20</v>
      </c>
    </row>
    <row r="6591" ht="14.5" customHeight="1" spans="11:29" x14ac:dyDescent="0.25">
      <c r="K6591" s="128"/>
      <c r="X6591" s="234">
        <v>2022</v>
      </c>
      <c r="Y6591" s="234">
        <v>10</v>
      </c>
      <c r="Z6591" s="234">
        <v>2</v>
      </c>
      <c r="AA6591" s="235">
        <v>0.5416666666678793</v>
      </c>
      <c r="AB6591" s="236">
        <v>21.3</v>
      </c>
      <c r="AC6591" s="127">
        <f t="shared" si="117"/>
        <v>21</v>
      </c>
    </row>
    <row r="6592" ht="14.5" customHeight="1" spans="11:29" x14ac:dyDescent="0.25">
      <c r="K6592" s="128"/>
      <c r="X6592" s="234">
        <v>2022</v>
      </c>
      <c r="Y6592" s="234">
        <v>10</v>
      </c>
      <c r="Z6592" s="234">
        <v>2</v>
      </c>
      <c r="AA6592" s="235">
        <v>0.5833333333321207</v>
      </c>
      <c r="AB6592" s="236">
        <v>22.2</v>
      </c>
      <c r="AC6592" s="127">
        <f t="shared" si="117"/>
        <v>22</v>
      </c>
    </row>
    <row r="6593" ht="14.5" customHeight="1" spans="11:29" x14ac:dyDescent="0.25">
      <c r="K6593" s="128"/>
      <c r="X6593" s="234">
        <v>2022</v>
      </c>
      <c r="Y6593" s="234">
        <v>10</v>
      </c>
      <c r="Z6593" s="234">
        <v>2</v>
      </c>
      <c r="AA6593" s="235">
        <v>0.625</v>
      </c>
      <c r="AB6593" s="236">
        <v>23.1</v>
      </c>
      <c r="AC6593" s="127">
        <f t="shared" si="117"/>
        <v>23</v>
      </c>
    </row>
    <row r="6594" ht="14.5" customHeight="1" spans="11:29" x14ac:dyDescent="0.25">
      <c r="K6594" s="128"/>
      <c r="X6594" s="234">
        <v>2022</v>
      </c>
      <c r="Y6594" s="234">
        <v>10</v>
      </c>
      <c r="Z6594" s="234">
        <v>2</v>
      </c>
      <c r="AA6594" s="235">
        <v>0.6666666666678793</v>
      </c>
      <c r="AB6594" s="236">
        <v>22.7</v>
      </c>
      <c r="AC6594" s="127">
        <f t="shared" si="117"/>
        <v>23</v>
      </c>
    </row>
    <row r="6595" ht="14.5" customHeight="1" spans="11:29" x14ac:dyDescent="0.25">
      <c r="K6595" s="128"/>
      <c r="X6595" s="234">
        <v>2022</v>
      </c>
      <c r="Y6595" s="234">
        <v>10</v>
      </c>
      <c r="Z6595" s="234">
        <v>2</v>
      </c>
      <c r="AA6595" s="235">
        <v>0.7083333333321207</v>
      </c>
      <c r="AB6595" s="236">
        <v>21.5</v>
      </c>
      <c r="AC6595" s="127">
        <f t="shared" si="117"/>
        <v>22</v>
      </c>
    </row>
    <row r="6596" ht="14.5" customHeight="1" spans="11:29" x14ac:dyDescent="0.25">
      <c r="K6596" s="128"/>
      <c r="X6596" s="234">
        <v>2022</v>
      </c>
      <c r="Y6596" s="234">
        <v>10</v>
      </c>
      <c r="Z6596" s="234">
        <v>2</v>
      </c>
      <c r="AA6596" s="235">
        <v>0.75</v>
      </c>
      <c r="AB6596" s="236">
        <v>18.6</v>
      </c>
      <c r="AC6596" s="127">
        <f t="shared" si="117"/>
        <v>19</v>
      </c>
    </row>
    <row r="6597" ht="14.5" customHeight="1" spans="11:29" x14ac:dyDescent="0.25">
      <c r="K6597" s="128"/>
      <c r="X6597" s="234">
        <v>2022</v>
      </c>
      <c r="Y6597" s="234">
        <v>10</v>
      </c>
      <c r="Z6597" s="234">
        <v>2</v>
      </c>
      <c r="AA6597" s="235">
        <v>0.7916666666678793</v>
      </c>
      <c r="AB6597" s="236">
        <v>15.5</v>
      </c>
      <c r="AC6597" s="127">
        <f t="shared" si="117"/>
        <v>16</v>
      </c>
    </row>
    <row r="6598" ht="14.5" customHeight="1" spans="11:29" x14ac:dyDescent="0.25">
      <c r="K6598" s="128"/>
      <c r="X6598" s="234">
        <v>2022</v>
      </c>
      <c r="Y6598" s="234">
        <v>10</v>
      </c>
      <c r="Z6598" s="234">
        <v>2</v>
      </c>
      <c r="AA6598" s="235">
        <v>0.8333333333321207</v>
      </c>
      <c r="AB6598" s="236">
        <v>12.4</v>
      </c>
      <c r="AC6598" s="127">
        <f t="shared" si="117"/>
        <v>12</v>
      </c>
    </row>
    <row r="6599" ht="14.5" customHeight="1" spans="11:29" x14ac:dyDescent="0.25">
      <c r="K6599" s="128"/>
      <c r="X6599" s="234">
        <v>2022</v>
      </c>
      <c r="Y6599" s="234">
        <v>10</v>
      </c>
      <c r="Z6599" s="234">
        <v>2</v>
      </c>
      <c r="AA6599" s="235">
        <v>0.875</v>
      </c>
      <c r="AB6599" s="236">
        <v>11</v>
      </c>
      <c r="AC6599" s="127">
        <f t="shared" si="117"/>
        <v>11</v>
      </c>
    </row>
    <row r="6600" ht="14.5" customHeight="1" spans="11:29" x14ac:dyDescent="0.25">
      <c r="K6600" s="128"/>
      <c r="X6600" s="234">
        <v>2022</v>
      </c>
      <c r="Y6600" s="234">
        <v>10</v>
      </c>
      <c r="Z6600" s="234">
        <v>2</v>
      </c>
      <c r="AA6600" s="235">
        <v>0.9166666666678793</v>
      </c>
      <c r="AB6600" s="236">
        <v>10.9</v>
      </c>
      <c r="AC6600" s="127">
        <f t="shared" si="117"/>
        <v>11</v>
      </c>
    </row>
    <row r="6601" ht="14.5" customHeight="1" spans="11:29" x14ac:dyDescent="0.25">
      <c r="K6601" s="128"/>
      <c r="X6601" s="234">
        <v>2022</v>
      </c>
      <c r="Y6601" s="234">
        <v>10</v>
      </c>
      <c r="Z6601" s="234">
        <v>2</v>
      </c>
      <c r="AA6601" s="235">
        <v>0.9583333333321207</v>
      </c>
      <c r="AB6601" s="236">
        <v>10.3</v>
      </c>
      <c r="AC6601" s="127">
        <f t="shared" si="117"/>
        <v>10</v>
      </c>
    </row>
    <row r="6602" ht="14.5" customHeight="1" spans="11:29" x14ac:dyDescent="0.25">
      <c r="K6602" s="128"/>
      <c r="X6602" s="234">
        <v>2022</v>
      </c>
      <c r="Y6602" s="234">
        <v>10</v>
      </c>
      <c r="Z6602" s="234">
        <v>3</v>
      </c>
      <c r="AA6602" s="235">
        <v>0</v>
      </c>
      <c r="AB6602" s="236">
        <v>8.7</v>
      </c>
      <c r="AC6602" s="127">
        <f t="shared" si="117"/>
        <v>9</v>
      </c>
    </row>
    <row r="6603" ht="14.5" customHeight="1" spans="11:29" x14ac:dyDescent="0.25">
      <c r="K6603" s="128"/>
      <c r="X6603" s="234">
        <v>2022</v>
      </c>
      <c r="Y6603" s="234">
        <v>10</v>
      </c>
      <c r="Z6603" s="234">
        <v>3</v>
      </c>
      <c r="AA6603" s="235">
        <v>0.041666666667879326</v>
      </c>
      <c r="AB6603" s="236">
        <v>8.6</v>
      </c>
      <c r="AC6603" s="127">
        <f t="shared" ref="AC6603:AC6666" si="118">ROUND(AB6603,0)</f>
        <v>9</v>
      </c>
    </row>
    <row r="6604" ht="14.5" customHeight="1" spans="11:29" x14ac:dyDescent="0.25">
      <c r="K6604" s="128"/>
      <c r="X6604" s="234">
        <v>2022</v>
      </c>
      <c r="Y6604" s="234">
        <v>10</v>
      </c>
      <c r="Z6604" s="234">
        <v>3</v>
      </c>
      <c r="AA6604" s="235">
        <v>0.08333333333212067</v>
      </c>
      <c r="AB6604" s="236">
        <v>8.2</v>
      </c>
      <c r="AC6604" s="127">
        <f t="shared" si="118"/>
        <v>8</v>
      </c>
    </row>
    <row r="6605" ht="14.5" customHeight="1" spans="11:29" x14ac:dyDescent="0.25">
      <c r="K6605" s="128"/>
      <c r="X6605" s="234">
        <v>2022</v>
      </c>
      <c r="Y6605" s="234">
        <v>10</v>
      </c>
      <c r="Z6605" s="234">
        <v>3</v>
      </c>
      <c r="AA6605" s="235">
        <v>0.125</v>
      </c>
      <c r="AB6605" s="236">
        <v>7</v>
      </c>
      <c r="AC6605" s="127">
        <f t="shared" si="118"/>
        <v>7</v>
      </c>
    </row>
    <row r="6606" ht="14.5" customHeight="1" spans="11:29" x14ac:dyDescent="0.25">
      <c r="K6606" s="128"/>
      <c r="X6606" s="234">
        <v>2022</v>
      </c>
      <c r="Y6606" s="234">
        <v>10</v>
      </c>
      <c r="Z6606" s="234">
        <v>3</v>
      </c>
      <c r="AA6606" s="235">
        <v>0.16666666666787933</v>
      </c>
      <c r="AB6606" s="236">
        <v>6.7</v>
      </c>
      <c r="AC6606" s="127">
        <f t="shared" si="118"/>
        <v>7</v>
      </c>
    </row>
    <row r="6607" ht="14.5" customHeight="1" spans="11:29" x14ac:dyDescent="0.25">
      <c r="K6607" s="128"/>
      <c r="X6607" s="234">
        <v>2022</v>
      </c>
      <c r="Y6607" s="234">
        <v>10</v>
      </c>
      <c r="Z6607" s="234">
        <v>3</v>
      </c>
      <c r="AA6607" s="235">
        <v>0.20833333333212067</v>
      </c>
      <c r="AB6607" s="236">
        <v>6.2</v>
      </c>
      <c r="AC6607" s="127">
        <f t="shared" si="118"/>
        <v>6</v>
      </c>
    </row>
    <row r="6608" ht="14.5" customHeight="1" spans="11:29" x14ac:dyDescent="0.25">
      <c r="K6608" s="128"/>
      <c r="X6608" s="234">
        <v>2022</v>
      </c>
      <c r="Y6608" s="234">
        <v>10</v>
      </c>
      <c r="Z6608" s="234">
        <v>3</v>
      </c>
      <c r="AA6608" s="235">
        <v>0.25</v>
      </c>
      <c r="AB6608" s="236">
        <v>6.9</v>
      </c>
      <c r="AC6608" s="127">
        <f t="shared" si="118"/>
        <v>7</v>
      </c>
    </row>
    <row r="6609" ht="14.5" customHeight="1" spans="11:29" x14ac:dyDescent="0.25">
      <c r="K6609" s="128"/>
      <c r="X6609" s="234">
        <v>2022</v>
      </c>
      <c r="Y6609" s="234">
        <v>10</v>
      </c>
      <c r="Z6609" s="234">
        <v>3</v>
      </c>
      <c r="AA6609" s="235">
        <v>0.2916666666678793</v>
      </c>
      <c r="AB6609" s="236">
        <v>7.1</v>
      </c>
      <c r="AC6609" s="127">
        <f t="shared" si="118"/>
        <v>7</v>
      </c>
    </row>
    <row r="6610" ht="14.5" customHeight="1" spans="11:29" x14ac:dyDescent="0.25">
      <c r="K6610" s="128"/>
      <c r="X6610" s="234">
        <v>2022</v>
      </c>
      <c r="Y6610" s="234">
        <v>10</v>
      </c>
      <c r="Z6610" s="234">
        <v>3</v>
      </c>
      <c r="AA6610" s="235">
        <v>0.3333333333321207</v>
      </c>
      <c r="AB6610" s="236">
        <v>9.5</v>
      </c>
      <c r="AC6610" s="127">
        <f t="shared" si="118"/>
        <v>10</v>
      </c>
    </row>
    <row r="6611" ht="14.5" customHeight="1" spans="11:29" x14ac:dyDescent="0.25">
      <c r="K6611" s="128"/>
      <c r="X6611" s="234">
        <v>2022</v>
      </c>
      <c r="Y6611" s="234">
        <v>10</v>
      </c>
      <c r="Z6611" s="234">
        <v>3</v>
      </c>
      <c r="AA6611" s="235">
        <v>0.375</v>
      </c>
      <c r="AB6611" s="236">
        <v>12.9</v>
      </c>
      <c r="AC6611" s="127">
        <f t="shared" si="118"/>
        <v>13</v>
      </c>
    </row>
    <row r="6612" ht="14.5" customHeight="1" spans="11:29" x14ac:dyDescent="0.25">
      <c r="K6612" s="128"/>
      <c r="X6612" s="234">
        <v>2022</v>
      </c>
      <c r="Y6612" s="234">
        <v>10</v>
      </c>
      <c r="Z6612" s="234">
        <v>3</v>
      </c>
      <c r="AA6612" s="235">
        <v>0.4166666666678793</v>
      </c>
      <c r="AB6612" s="236">
        <v>16.1</v>
      </c>
      <c r="AC6612" s="127">
        <f t="shared" si="118"/>
        <v>16</v>
      </c>
    </row>
    <row r="6613" ht="14.5" customHeight="1" spans="11:29" x14ac:dyDescent="0.25">
      <c r="K6613" s="128"/>
      <c r="X6613" s="234">
        <v>2022</v>
      </c>
      <c r="Y6613" s="234">
        <v>10</v>
      </c>
      <c r="Z6613" s="234">
        <v>3</v>
      </c>
      <c r="AA6613" s="235">
        <v>0.4583333333321207</v>
      </c>
      <c r="AB6613" s="236">
        <v>18.2</v>
      </c>
      <c r="AC6613" s="127">
        <f t="shared" si="118"/>
        <v>18</v>
      </c>
    </row>
    <row r="6614" ht="14.5" customHeight="1" spans="11:29" x14ac:dyDescent="0.25">
      <c r="K6614" s="128"/>
      <c r="X6614" s="234">
        <v>2022</v>
      </c>
      <c r="Y6614" s="234">
        <v>10</v>
      </c>
      <c r="Z6614" s="234">
        <v>3</v>
      </c>
      <c r="AA6614" s="235">
        <v>0.5</v>
      </c>
      <c r="AB6614" s="236">
        <v>20.1</v>
      </c>
      <c r="AC6614" s="127">
        <f t="shared" si="118"/>
        <v>20</v>
      </c>
    </row>
    <row r="6615" ht="14.5" customHeight="1" spans="11:29" x14ac:dyDescent="0.25">
      <c r="K6615" s="128"/>
      <c r="X6615" s="234">
        <v>2022</v>
      </c>
      <c r="Y6615" s="234">
        <v>10</v>
      </c>
      <c r="Z6615" s="234">
        <v>3</v>
      </c>
      <c r="AA6615" s="235">
        <v>0.5416666666678793</v>
      </c>
      <c r="AB6615" s="236">
        <v>21.1</v>
      </c>
      <c r="AC6615" s="127">
        <f t="shared" si="118"/>
        <v>21</v>
      </c>
    </row>
    <row r="6616" ht="14.5" customHeight="1" spans="11:29" x14ac:dyDescent="0.25">
      <c r="K6616" s="128"/>
      <c r="X6616" s="234">
        <v>2022</v>
      </c>
      <c r="Y6616" s="234">
        <v>10</v>
      </c>
      <c r="Z6616" s="234">
        <v>3</v>
      </c>
      <c r="AA6616" s="235">
        <v>0.5833333333321207</v>
      </c>
      <c r="AB6616" s="236">
        <v>22</v>
      </c>
      <c r="AC6616" s="127">
        <f t="shared" si="118"/>
        <v>22</v>
      </c>
    </row>
    <row r="6617" ht="14.5" customHeight="1" spans="11:29" x14ac:dyDescent="0.25">
      <c r="K6617" s="128"/>
      <c r="X6617" s="234">
        <v>2022</v>
      </c>
      <c r="Y6617" s="234">
        <v>10</v>
      </c>
      <c r="Z6617" s="234">
        <v>3</v>
      </c>
      <c r="AA6617" s="235">
        <v>0.625</v>
      </c>
      <c r="AB6617" s="236">
        <v>22.7</v>
      </c>
      <c r="AC6617" s="127">
        <f t="shared" si="118"/>
        <v>23</v>
      </c>
    </row>
    <row r="6618" ht="14.5" customHeight="1" spans="11:29" x14ac:dyDescent="0.25">
      <c r="K6618" s="128"/>
      <c r="X6618" s="234">
        <v>2022</v>
      </c>
      <c r="Y6618" s="234">
        <v>10</v>
      </c>
      <c r="Z6618" s="234">
        <v>3</v>
      </c>
      <c r="AA6618" s="235">
        <v>0.6666666666678793</v>
      </c>
      <c r="AB6618" s="236">
        <v>23.3</v>
      </c>
      <c r="AC6618" s="127">
        <f t="shared" si="118"/>
        <v>23</v>
      </c>
    </row>
    <row r="6619" ht="14.5" customHeight="1" spans="11:29" x14ac:dyDescent="0.25">
      <c r="K6619" s="128"/>
      <c r="X6619" s="234">
        <v>2022</v>
      </c>
      <c r="Y6619" s="234">
        <v>10</v>
      </c>
      <c r="Z6619" s="234">
        <v>3</v>
      </c>
      <c r="AA6619" s="235">
        <v>0.7083333333321207</v>
      </c>
      <c r="AB6619" s="236">
        <v>22.3</v>
      </c>
      <c r="AC6619" s="127">
        <f t="shared" si="118"/>
        <v>22</v>
      </c>
    </row>
    <row r="6620" ht="14.5" customHeight="1" spans="11:29" x14ac:dyDescent="0.25">
      <c r="K6620" s="128"/>
      <c r="X6620" s="234">
        <v>2022</v>
      </c>
      <c r="Y6620" s="234">
        <v>10</v>
      </c>
      <c r="Z6620" s="234">
        <v>3</v>
      </c>
      <c r="AA6620" s="235">
        <v>0.75</v>
      </c>
      <c r="AB6620" s="236">
        <v>18.4</v>
      </c>
      <c r="AC6620" s="127">
        <f t="shared" si="118"/>
        <v>18</v>
      </c>
    </row>
    <row r="6621" ht="14.5" customHeight="1" spans="11:29" x14ac:dyDescent="0.25">
      <c r="K6621" s="128"/>
      <c r="X6621" s="234">
        <v>2022</v>
      </c>
      <c r="Y6621" s="234">
        <v>10</v>
      </c>
      <c r="Z6621" s="234">
        <v>3</v>
      </c>
      <c r="AA6621" s="235">
        <v>0.7916666666678793</v>
      </c>
      <c r="AB6621" s="236">
        <v>15.8</v>
      </c>
      <c r="AC6621" s="127">
        <f t="shared" si="118"/>
        <v>16</v>
      </c>
    </row>
    <row r="6622" ht="14.5" customHeight="1" spans="11:29" x14ac:dyDescent="0.25">
      <c r="K6622" s="128"/>
      <c r="X6622" s="234">
        <v>2022</v>
      </c>
      <c r="Y6622" s="234">
        <v>10</v>
      </c>
      <c r="Z6622" s="234">
        <v>3</v>
      </c>
      <c r="AA6622" s="235">
        <v>0.8333333333321207</v>
      </c>
      <c r="AB6622" s="236">
        <v>15.3</v>
      </c>
      <c r="AC6622" s="127">
        <f t="shared" si="118"/>
        <v>15</v>
      </c>
    </row>
    <row r="6623" ht="14.5" customHeight="1" spans="11:29" x14ac:dyDescent="0.25">
      <c r="K6623" s="128"/>
      <c r="X6623" s="234">
        <v>2022</v>
      </c>
      <c r="Y6623" s="234">
        <v>10</v>
      </c>
      <c r="Z6623" s="234">
        <v>3</v>
      </c>
      <c r="AA6623" s="235">
        <v>0.875</v>
      </c>
      <c r="AB6623" s="236">
        <v>12.9</v>
      </c>
      <c r="AC6623" s="127">
        <f t="shared" si="118"/>
        <v>13</v>
      </c>
    </row>
    <row r="6624" ht="14.5" customHeight="1" spans="11:29" x14ac:dyDescent="0.25">
      <c r="K6624" s="128"/>
      <c r="X6624" s="234">
        <v>2022</v>
      </c>
      <c r="Y6624" s="234">
        <v>10</v>
      </c>
      <c r="Z6624" s="234">
        <v>3</v>
      </c>
      <c r="AA6624" s="235">
        <v>0.9166666666678793</v>
      </c>
      <c r="AB6624" s="236">
        <v>10.9</v>
      </c>
      <c r="AC6624" s="127">
        <f t="shared" si="118"/>
        <v>11</v>
      </c>
    </row>
    <row r="6625" ht="14.5" customHeight="1" spans="11:29" x14ac:dyDescent="0.25">
      <c r="K6625" s="128"/>
      <c r="X6625" s="234">
        <v>2022</v>
      </c>
      <c r="Y6625" s="234">
        <v>10</v>
      </c>
      <c r="Z6625" s="234">
        <v>3</v>
      </c>
      <c r="AA6625" s="235">
        <v>0.9583333333321207</v>
      </c>
      <c r="AB6625" s="236">
        <v>10.1</v>
      </c>
      <c r="AC6625" s="127">
        <f t="shared" si="118"/>
        <v>10</v>
      </c>
    </row>
    <row r="6626" ht="14.5" customHeight="1" spans="11:29" x14ac:dyDescent="0.25">
      <c r="K6626" s="128"/>
      <c r="X6626" s="234">
        <v>2022</v>
      </c>
      <c r="Y6626" s="234">
        <v>10</v>
      </c>
      <c r="Z6626" s="234">
        <v>4</v>
      </c>
      <c r="AA6626" s="235">
        <v>0</v>
      </c>
      <c r="AB6626" s="236">
        <v>8.3</v>
      </c>
      <c r="AC6626" s="127">
        <f t="shared" si="118"/>
        <v>8</v>
      </c>
    </row>
    <row r="6627" ht="14.5" customHeight="1" spans="11:29" x14ac:dyDescent="0.25">
      <c r="K6627" s="128"/>
      <c r="X6627" s="234">
        <v>2022</v>
      </c>
      <c r="Y6627" s="234">
        <v>10</v>
      </c>
      <c r="Z6627" s="234">
        <v>4</v>
      </c>
      <c r="AA6627" s="235">
        <v>0.041666666667879326</v>
      </c>
      <c r="AB6627" s="236">
        <v>7.2</v>
      </c>
      <c r="AC6627" s="127">
        <f t="shared" si="118"/>
        <v>7</v>
      </c>
    </row>
    <row r="6628" ht="14.5" customHeight="1" spans="11:29" x14ac:dyDescent="0.25">
      <c r="K6628" s="128"/>
      <c r="X6628" s="234">
        <v>2022</v>
      </c>
      <c r="Y6628" s="234">
        <v>10</v>
      </c>
      <c r="Z6628" s="234">
        <v>4</v>
      </c>
      <c r="AA6628" s="235">
        <v>0.08333333333212067</v>
      </c>
      <c r="AB6628" s="236">
        <v>6.6</v>
      </c>
      <c r="AC6628" s="127">
        <f t="shared" si="118"/>
        <v>7</v>
      </c>
    </row>
    <row r="6629" ht="14.5" customHeight="1" spans="11:29" x14ac:dyDescent="0.25">
      <c r="K6629" s="128"/>
      <c r="X6629" s="234">
        <v>2022</v>
      </c>
      <c r="Y6629" s="234">
        <v>10</v>
      </c>
      <c r="Z6629" s="234">
        <v>4</v>
      </c>
      <c r="AA6629" s="235">
        <v>0.125</v>
      </c>
      <c r="AB6629" s="236">
        <v>6.4</v>
      </c>
      <c r="AC6629" s="127">
        <f t="shared" si="118"/>
        <v>6</v>
      </c>
    </row>
    <row r="6630" ht="14.5" customHeight="1" spans="11:29" x14ac:dyDescent="0.25">
      <c r="K6630" s="128"/>
      <c r="X6630" s="234">
        <v>2022</v>
      </c>
      <c r="Y6630" s="234">
        <v>10</v>
      </c>
      <c r="Z6630" s="234">
        <v>4</v>
      </c>
      <c r="AA6630" s="235">
        <v>0.16666666666787933</v>
      </c>
      <c r="AB6630" s="236">
        <v>6.7</v>
      </c>
      <c r="AC6630" s="127">
        <f t="shared" si="118"/>
        <v>7</v>
      </c>
    </row>
    <row r="6631" ht="14.5" customHeight="1" spans="11:29" x14ac:dyDescent="0.25">
      <c r="K6631" s="128"/>
      <c r="X6631" s="234">
        <v>2022</v>
      </c>
      <c r="Y6631" s="234">
        <v>10</v>
      </c>
      <c r="Z6631" s="234">
        <v>4</v>
      </c>
      <c r="AA6631" s="235">
        <v>0.20833333333212067</v>
      </c>
      <c r="AB6631" s="236">
        <v>6.8</v>
      </c>
      <c r="AC6631" s="127">
        <f t="shared" si="118"/>
        <v>7</v>
      </c>
    </row>
    <row r="6632" ht="14.5" customHeight="1" spans="11:29" x14ac:dyDescent="0.25">
      <c r="K6632" s="128"/>
      <c r="X6632" s="234">
        <v>2022</v>
      </c>
      <c r="Y6632" s="234">
        <v>10</v>
      </c>
      <c r="Z6632" s="234">
        <v>4</v>
      </c>
      <c r="AA6632" s="235">
        <v>0.25</v>
      </c>
      <c r="AB6632" s="236">
        <v>7.9</v>
      </c>
      <c r="AC6632" s="127">
        <f t="shared" si="118"/>
        <v>8</v>
      </c>
    </row>
    <row r="6633" ht="14.5" customHeight="1" spans="11:29" x14ac:dyDescent="0.25">
      <c r="K6633" s="128"/>
      <c r="X6633" s="234">
        <v>2022</v>
      </c>
      <c r="Y6633" s="234">
        <v>10</v>
      </c>
      <c r="Z6633" s="234">
        <v>4</v>
      </c>
      <c r="AA6633" s="235">
        <v>0.2916666666678793</v>
      </c>
      <c r="AB6633" s="236">
        <v>7.7</v>
      </c>
      <c r="AC6633" s="127">
        <f t="shared" si="118"/>
        <v>8</v>
      </c>
    </row>
    <row r="6634" ht="14.5" customHeight="1" spans="11:29" x14ac:dyDescent="0.25">
      <c r="K6634" s="128"/>
      <c r="X6634" s="234">
        <v>2022</v>
      </c>
      <c r="Y6634" s="234">
        <v>10</v>
      </c>
      <c r="Z6634" s="234">
        <v>4</v>
      </c>
      <c r="AA6634" s="235">
        <v>0.3333333333321207</v>
      </c>
      <c r="AB6634" s="236">
        <v>11</v>
      </c>
      <c r="AC6634" s="127">
        <f t="shared" si="118"/>
        <v>11</v>
      </c>
    </row>
    <row r="6635" ht="14.5" customHeight="1" spans="11:29" x14ac:dyDescent="0.25">
      <c r="K6635" s="128"/>
      <c r="X6635" s="234">
        <v>2022</v>
      </c>
      <c r="Y6635" s="234">
        <v>10</v>
      </c>
      <c r="Z6635" s="234">
        <v>4</v>
      </c>
      <c r="AA6635" s="235">
        <v>0.375</v>
      </c>
      <c r="AB6635" s="236">
        <v>16.1</v>
      </c>
      <c r="AC6635" s="127">
        <f t="shared" si="118"/>
        <v>16</v>
      </c>
    </row>
    <row r="6636" ht="14.5" customHeight="1" spans="11:29" x14ac:dyDescent="0.25">
      <c r="K6636" s="128"/>
      <c r="X6636" s="234">
        <v>2022</v>
      </c>
      <c r="Y6636" s="234">
        <v>10</v>
      </c>
      <c r="Z6636" s="234">
        <v>4</v>
      </c>
      <c r="AA6636" s="235">
        <v>0.4166666666678793</v>
      </c>
      <c r="AB6636" s="236">
        <v>19.3</v>
      </c>
      <c r="AC6636" s="127">
        <f t="shared" si="118"/>
        <v>19</v>
      </c>
    </row>
    <row r="6637" ht="14.5" customHeight="1" spans="11:29" x14ac:dyDescent="0.25">
      <c r="K6637" s="128"/>
      <c r="X6637" s="234">
        <v>2022</v>
      </c>
      <c r="Y6637" s="234">
        <v>10</v>
      </c>
      <c r="Z6637" s="234">
        <v>4</v>
      </c>
      <c r="AA6637" s="235">
        <v>0.4583333333321207</v>
      </c>
      <c r="AB6637" s="236">
        <v>20.3</v>
      </c>
      <c r="AC6637" s="127">
        <f t="shared" si="118"/>
        <v>20</v>
      </c>
    </row>
    <row r="6638" ht="14.5" customHeight="1" spans="11:29" x14ac:dyDescent="0.25">
      <c r="K6638" s="128"/>
      <c r="X6638" s="234">
        <v>2022</v>
      </c>
      <c r="Y6638" s="234">
        <v>10</v>
      </c>
      <c r="Z6638" s="234">
        <v>4</v>
      </c>
      <c r="AA6638" s="235">
        <v>0.5</v>
      </c>
      <c r="AB6638" s="236">
        <v>21.5</v>
      </c>
      <c r="AC6638" s="127">
        <f t="shared" si="118"/>
        <v>22</v>
      </c>
    </row>
    <row r="6639" ht="14.5" customHeight="1" spans="11:29" x14ac:dyDescent="0.25">
      <c r="K6639" s="128"/>
      <c r="X6639" s="234">
        <v>2022</v>
      </c>
      <c r="Y6639" s="234">
        <v>10</v>
      </c>
      <c r="Z6639" s="234">
        <v>4</v>
      </c>
      <c r="AA6639" s="235">
        <v>0.5416666666678793</v>
      </c>
      <c r="AB6639" s="236">
        <v>22.4</v>
      </c>
      <c r="AC6639" s="127">
        <f t="shared" si="118"/>
        <v>22</v>
      </c>
    </row>
    <row r="6640" ht="14.5" customHeight="1" spans="11:29" x14ac:dyDescent="0.25">
      <c r="K6640" s="128"/>
      <c r="X6640" s="234">
        <v>2022</v>
      </c>
      <c r="Y6640" s="234">
        <v>10</v>
      </c>
      <c r="Z6640" s="234">
        <v>4</v>
      </c>
      <c r="AA6640" s="235">
        <v>0.5833333333321207</v>
      </c>
      <c r="AB6640" s="236">
        <v>22.8</v>
      </c>
      <c r="AC6640" s="127">
        <f t="shared" si="118"/>
        <v>23</v>
      </c>
    </row>
    <row r="6641" ht="14.5" customHeight="1" spans="11:29" x14ac:dyDescent="0.25">
      <c r="K6641" s="128"/>
      <c r="X6641" s="234">
        <v>2022</v>
      </c>
      <c r="Y6641" s="234">
        <v>10</v>
      </c>
      <c r="Z6641" s="234">
        <v>4</v>
      </c>
      <c r="AA6641" s="235">
        <v>0.625</v>
      </c>
      <c r="AB6641" s="236">
        <v>22.5</v>
      </c>
      <c r="AC6641" s="127">
        <f t="shared" si="118"/>
        <v>23</v>
      </c>
    </row>
    <row r="6642" ht="14.5" customHeight="1" spans="11:29" x14ac:dyDescent="0.25">
      <c r="K6642" s="128"/>
      <c r="X6642" s="234">
        <v>2022</v>
      </c>
      <c r="Y6642" s="234">
        <v>10</v>
      </c>
      <c r="Z6642" s="234">
        <v>4</v>
      </c>
      <c r="AA6642" s="235">
        <v>0.6666666666678793</v>
      </c>
      <c r="AB6642" s="236">
        <v>22.1</v>
      </c>
      <c r="AC6642" s="127">
        <f t="shared" si="118"/>
        <v>22</v>
      </c>
    </row>
    <row r="6643" ht="14.5" customHeight="1" spans="11:29" x14ac:dyDescent="0.25">
      <c r="K6643" s="128"/>
      <c r="X6643" s="234">
        <v>2022</v>
      </c>
      <c r="Y6643" s="234">
        <v>10</v>
      </c>
      <c r="Z6643" s="234">
        <v>4</v>
      </c>
      <c r="AA6643" s="235">
        <v>0.7083333333321207</v>
      </c>
      <c r="AB6643" s="236">
        <v>21</v>
      </c>
      <c r="AC6643" s="127">
        <f t="shared" si="118"/>
        <v>21</v>
      </c>
    </row>
    <row r="6644" ht="14.5" customHeight="1" spans="11:29" x14ac:dyDescent="0.25">
      <c r="K6644" s="128"/>
      <c r="X6644" s="234">
        <v>2022</v>
      </c>
      <c r="Y6644" s="234">
        <v>10</v>
      </c>
      <c r="Z6644" s="234">
        <v>4</v>
      </c>
      <c r="AA6644" s="235">
        <v>0.75</v>
      </c>
      <c r="AB6644" s="236">
        <v>18.6</v>
      </c>
      <c r="AC6644" s="127">
        <f t="shared" si="118"/>
        <v>19</v>
      </c>
    </row>
    <row r="6645" ht="14.5" customHeight="1" spans="11:29" x14ac:dyDescent="0.25">
      <c r="K6645" s="128"/>
      <c r="X6645" s="234">
        <v>2022</v>
      </c>
      <c r="Y6645" s="234">
        <v>10</v>
      </c>
      <c r="Z6645" s="234">
        <v>4</v>
      </c>
      <c r="AA6645" s="235">
        <v>0.7916666666678793</v>
      </c>
      <c r="AB6645" s="236">
        <v>17.1</v>
      </c>
      <c r="AC6645" s="127">
        <f t="shared" si="118"/>
        <v>17</v>
      </c>
    </row>
    <row r="6646" ht="14.5" customHeight="1" spans="11:29" x14ac:dyDescent="0.25">
      <c r="K6646" s="128"/>
      <c r="X6646" s="234">
        <v>2022</v>
      </c>
      <c r="Y6646" s="234">
        <v>10</v>
      </c>
      <c r="Z6646" s="234">
        <v>4</v>
      </c>
      <c r="AA6646" s="235">
        <v>0.8333333333321207</v>
      </c>
      <c r="AB6646" s="236">
        <v>15.7</v>
      </c>
      <c r="AC6646" s="127">
        <f t="shared" si="118"/>
        <v>16</v>
      </c>
    </row>
    <row r="6647" ht="14.5" customHeight="1" spans="11:29" x14ac:dyDescent="0.25">
      <c r="K6647" s="128"/>
      <c r="X6647" s="234">
        <v>2022</v>
      </c>
      <c r="Y6647" s="234">
        <v>10</v>
      </c>
      <c r="Z6647" s="234">
        <v>4</v>
      </c>
      <c r="AA6647" s="235">
        <v>0.875</v>
      </c>
      <c r="AB6647" s="236">
        <v>14.4</v>
      </c>
      <c r="AC6647" s="127">
        <f t="shared" si="118"/>
        <v>14</v>
      </c>
    </row>
    <row r="6648" ht="14.5" customHeight="1" spans="11:29" x14ac:dyDescent="0.25">
      <c r="K6648" s="128"/>
      <c r="X6648" s="234">
        <v>2022</v>
      </c>
      <c r="Y6648" s="234">
        <v>10</v>
      </c>
      <c r="Z6648" s="234">
        <v>4</v>
      </c>
      <c r="AA6648" s="235">
        <v>0.9166666666678793</v>
      </c>
      <c r="AB6648" s="236">
        <v>12.1</v>
      </c>
      <c r="AC6648" s="127">
        <f t="shared" si="118"/>
        <v>12</v>
      </c>
    </row>
    <row r="6649" ht="14.5" customHeight="1" spans="11:29" x14ac:dyDescent="0.25">
      <c r="K6649" s="128"/>
      <c r="X6649" s="234">
        <v>2022</v>
      </c>
      <c r="Y6649" s="234">
        <v>10</v>
      </c>
      <c r="Z6649" s="234">
        <v>4</v>
      </c>
      <c r="AA6649" s="235">
        <v>0.9583333333321207</v>
      </c>
      <c r="AB6649" s="236">
        <v>11.5</v>
      </c>
      <c r="AC6649" s="127">
        <f t="shared" si="118"/>
        <v>12</v>
      </c>
    </row>
    <row r="6650" ht="14.5" customHeight="1" spans="11:29" x14ac:dyDescent="0.25">
      <c r="K6650" s="128"/>
      <c r="X6650" s="234">
        <v>2022</v>
      </c>
      <c r="Y6650" s="234">
        <v>10</v>
      </c>
      <c r="Z6650" s="234">
        <v>5</v>
      </c>
      <c r="AA6650" s="235">
        <v>0</v>
      </c>
      <c r="AB6650" s="236">
        <v>8.9</v>
      </c>
      <c r="AC6650" s="127">
        <f t="shared" si="118"/>
        <v>9</v>
      </c>
    </row>
    <row r="6651" ht="14.5" customHeight="1" spans="11:29" x14ac:dyDescent="0.25">
      <c r="K6651" s="128"/>
      <c r="X6651" s="234">
        <v>2022</v>
      </c>
      <c r="Y6651" s="234">
        <v>10</v>
      </c>
      <c r="Z6651" s="234">
        <v>5</v>
      </c>
      <c r="AA6651" s="235">
        <v>0.041666666667879326</v>
      </c>
      <c r="AB6651" s="236">
        <v>8.1</v>
      </c>
      <c r="AC6651" s="127">
        <f t="shared" si="118"/>
        <v>8</v>
      </c>
    </row>
    <row r="6652" ht="14.5" customHeight="1" spans="11:29" x14ac:dyDescent="0.25">
      <c r="K6652" s="128"/>
      <c r="X6652" s="234">
        <v>2022</v>
      </c>
      <c r="Y6652" s="234">
        <v>10</v>
      </c>
      <c r="Z6652" s="234">
        <v>5</v>
      </c>
      <c r="AA6652" s="235">
        <v>0.08333333333212067</v>
      </c>
      <c r="AB6652" s="236">
        <v>7</v>
      </c>
      <c r="AC6652" s="127">
        <f t="shared" si="118"/>
        <v>7</v>
      </c>
    </row>
    <row r="6653" ht="14.5" customHeight="1" spans="11:29" x14ac:dyDescent="0.25">
      <c r="K6653" s="128"/>
      <c r="X6653" s="234">
        <v>2022</v>
      </c>
      <c r="Y6653" s="234">
        <v>10</v>
      </c>
      <c r="Z6653" s="234">
        <v>5</v>
      </c>
      <c r="AA6653" s="235">
        <v>0.125</v>
      </c>
      <c r="AB6653" s="236">
        <v>6.2</v>
      </c>
      <c r="AC6653" s="127">
        <f t="shared" si="118"/>
        <v>6</v>
      </c>
    </row>
    <row r="6654" ht="14.5" customHeight="1" spans="11:29" x14ac:dyDescent="0.25">
      <c r="K6654" s="128"/>
      <c r="X6654" s="234">
        <v>2022</v>
      </c>
      <c r="Y6654" s="234">
        <v>10</v>
      </c>
      <c r="Z6654" s="234">
        <v>5</v>
      </c>
      <c r="AA6654" s="235">
        <v>0.16666666666787933</v>
      </c>
      <c r="AB6654" s="236">
        <v>4.9</v>
      </c>
      <c r="AC6654" s="127">
        <f t="shared" si="118"/>
        <v>5</v>
      </c>
    </row>
    <row r="6655" ht="14.5" customHeight="1" spans="11:29" x14ac:dyDescent="0.25">
      <c r="K6655" s="128"/>
      <c r="X6655" s="234">
        <v>2022</v>
      </c>
      <c r="Y6655" s="234">
        <v>10</v>
      </c>
      <c r="Z6655" s="234">
        <v>5</v>
      </c>
      <c r="AA6655" s="235">
        <v>0.20833333333212067</v>
      </c>
      <c r="AB6655" s="236">
        <v>4.6</v>
      </c>
      <c r="AC6655" s="127">
        <f t="shared" si="118"/>
        <v>5</v>
      </c>
    </row>
    <row r="6656" ht="14.5" customHeight="1" spans="11:29" x14ac:dyDescent="0.25">
      <c r="K6656" s="128"/>
      <c r="X6656" s="234">
        <v>2022</v>
      </c>
      <c r="Y6656" s="234">
        <v>10</v>
      </c>
      <c r="Z6656" s="234">
        <v>5</v>
      </c>
      <c r="AA6656" s="235">
        <v>0.25</v>
      </c>
      <c r="AB6656" s="236">
        <v>4.6</v>
      </c>
      <c r="AC6656" s="127">
        <f t="shared" si="118"/>
        <v>5</v>
      </c>
    </row>
    <row r="6657" ht="14.5" customHeight="1" spans="11:29" x14ac:dyDescent="0.25">
      <c r="K6657" s="128"/>
      <c r="X6657" s="234">
        <v>2022</v>
      </c>
      <c r="Y6657" s="234">
        <v>10</v>
      </c>
      <c r="Z6657" s="234">
        <v>5</v>
      </c>
      <c r="AA6657" s="235">
        <v>0.2916666666678793</v>
      </c>
      <c r="AB6657" s="236">
        <v>4</v>
      </c>
      <c r="AC6657" s="127">
        <f t="shared" si="118"/>
        <v>4</v>
      </c>
    </row>
    <row r="6658" ht="14.5" customHeight="1" spans="11:29" x14ac:dyDescent="0.25">
      <c r="K6658" s="128"/>
      <c r="X6658" s="234">
        <v>2022</v>
      </c>
      <c r="Y6658" s="234">
        <v>10</v>
      </c>
      <c r="Z6658" s="234">
        <v>5</v>
      </c>
      <c r="AA6658" s="235">
        <v>0.3333333333321207</v>
      </c>
      <c r="AB6658" s="236">
        <v>6.7</v>
      </c>
      <c r="AC6658" s="127">
        <f t="shared" si="118"/>
        <v>7</v>
      </c>
    </row>
    <row r="6659" ht="14.5" customHeight="1" spans="11:29" x14ac:dyDescent="0.25">
      <c r="K6659" s="128"/>
      <c r="X6659" s="234">
        <v>2022</v>
      </c>
      <c r="Y6659" s="234">
        <v>10</v>
      </c>
      <c r="Z6659" s="234">
        <v>5</v>
      </c>
      <c r="AA6659" s="235">
        <v>0.375</v>
      </c>
      <c r="AB6659" s="236">
        <v>11.4</v>
      </c>
      <c r="AC6659" s="127">
        <f t="shared" si="118"/>
        <v>11</v>
      </c>
    </row>
    <row r="6660" ht="14.5" customHeight="1" spans="11:29" x14ac:dyDescent="0.25">
      <c r="K6660" s="128"/>
      <c r="X6660" s="234">
        <v>2022</v>
      </c>
      <c r="Y6660" s="234">
        <v>10</v>
      </c>
      <c r="Z6660" s="234">
        <v>5</v>
      </c>
      <c r="AA6660" s="235">
        <v>0.4166666666678793</v>
      </c>
      <c r="AB6660" s="236">
        <v>13.2</v>
      </c>
      <c r="AC6660" s="127">
        <f t="shared" si="118"/>
        <v>13</v>
      </c>
    </row>
    <row r="6661" ht="14.5" customHeight="1" spans="11:29" x14ac:dyDescent="0.25">
      <c r="K6661" s="128"/>
      <c r="X6661" s="234">
        <v>2022</v>
      </c>
      <c r="Y6661" s="234">
        <v>10</v>
      </c>
      <c r="Z6661" s="234">
        <v>5</v>
      </c>
      <c r="AA6661" s="235">
        <v>0.4583333333321207</v>
      </c>
      <c r="AB6661" s="236">
        <v>14.6</v>
      </c>
      <c r="AC6661" s="127">
        <f t="shared" si="118"/>
        <v>15</v>
      </c>
    </row>
    <row r="6662" ht="14.5" customHeight="1" spans="11:29" x14ac:dyDescent="0.25">
      <c r="K6662" s="128"/>
      <c r="X6662" s="234">
        <v>2022</v>
      </c>
      <c r="Y6662" s="234">
        <v>10</v>
      </c>
      <c r="Z6662" s="234">
        <v>5</v>
      </c>
      <c r="AA6662" s="235">
        <v>0.5</v>
      </c>
      <c r="AB6662" s="236">
        <v>15.1</v>
      </c>
      <c r="AC6662" s="127">
        <f t="shared" si="118"/>
        <v>15</v>
      </c>
    </row>
    <row r="6663" ht="14.5" customHeight="1" spans="11:29" x14ac:dyDescent="0.25">
      <c r="K6663" s="128"/>
      <c r="X6663" s="234">
        <v>2022</v>
      </c>
      <c r="Y6663" s="234">
        <v>10</v>
      </c>
      <c r="Z6663" s="234">
        <v>5</v>
      </c>
      <c r="AA6663" s="235">
        <v>0.5416666666678793</v>
      </c>
      <c r="AB6663" s="236">
        <v>16.7</v>
      </c>
      <c r="AC6663" s="127">
        <f t="shared" si="118"/>
        <v>17</v>
      </c>
    </row>
    <row r="6664" ht="14.5" customHeight="1" spans="11:29" x14ac:dyDescent="0.25">
      <c r="K6664" s="128"/>
      <c r="X6664" s="234">
        <v>2022</v>
      </c>
      <c r="Y6664" s="234">
        <v>10</v>
      </c>
      <c r="Z6664" s="234">
        <v>5</v>
      </c>
      <c r="AA6664" s="235">
        <v>0.5833333333321207</v>
      </c>
      <c r="AB6664" s="236">
        <v>17.5</v>
      </c>
      <c r="AC6664" s="127">
        <f t="shared" si="118"/>
        <v>18</v>
      </c>
    </row>
    <row r="6665" ht="14.5" customHeight="1" spans="11:29" x14ac:dyDescent="0.25">
      <c r="K6665" s="128"/>
      <c r="X6665" s="234">
        <v>2022</v>
      </c>
      <c r="Y6665" s="234">
        <v>10</v>
      </c>
      <c r="Z6665" s="234">
        <v>5</v>
      </c>
      <c r="AA6665" s="235">
        <v>0.625</v>
      </c>
      <c r="AB6665" s="236">
        <v>17.5</v>
      </c>
      <c r="AC6665" s="127">
        <f t="shared" si="118"/>
        <v>18</v>
      </c>
    </row>
    <row r="6666" ht="14.5" customHeight="1" spans="11:29" x14ac:dyDescent="0.25">
      <c r="K6666" s="128"/>
      <c r="X6666" s="234">
        <v>2022</v>
      </c>
      <c r="Y6666" s="234">
        <v>10</v>
      </c>
      <c r="Z6666" s="234">
        <v>5</v>
      </c>
      <c r="AA6666" s="235">
        <v>0.6666666666678793</v>
      </c>
      <c r="AB6666" s="236">
        <v>17.1</v>
      </c>
      <c r="AC6666" s="127">
        <f t="shared" si="118"/>
        <v>17</v>
      </c>
    </row>
    <row r="6667" ht="14.5" customHeight="1" spans="11:29" x14ac:dyDescent="0.25">
      <c r="K6667" s="128"/>
      <c r="X6667" s="234">
        <v>2022</v>
      </c>
      <c r="Y6667" s="234">
        <v>10</v>
      </c>
      <c r="Z6667" s="234">
        <v>5</v>
      </c>
      <c r="AA6667" s="235">
        <v>0.7083333333321207</v>
      </c>
      <c r="AB6667" s="236">
        <v>15.5</v>
      </c>
      <c r="AC6667" s="127">
        <f t="shared" ref="AC6667:AC6730" si="119">ROUND(AB6667,0)</f>
        <v>16</v>
      </c>
    </row>
    <row r="6668" ht="14.5" customHeight="1" spans="11:29" x14ac:dyDescent="0.25">
      <c r="K6668" s="128"/>
      <c r="X6668" s="234">
        <v>2022</v>
      </c>
      <c r="Y6668" s="234">
        <v>10</v>
      </c>
      <c r="Z6668" s="234">
        <v>5</v>
      </c>
      <c r="AA6668" s="235">
        <v>0.75</v>
      </c>
      <c r="AB6668" s="236">
        <v>13.1</v>
      </c>
      <c r="AC6668" s="127">
        <f t="shared" si="119"/>
        <v>13</v>
      </c>
    </row>
    <row r="6669" ht="14.5" customHeight="1" spans="11:29" x14ac:dyDescent="0.25">
      <c r="K6669" s="128"/>
      <c r="X6669" s="234">
        <v>2022</v>
      </c>
      <c r="Y6669" s="234">
        <v>10</v>
      </c>
      <c r="Z6669" s="234">
        <v>5</v>
      </c>
      <c r="AA6669" s="235">
        <v>0.7916666666678793</v>
      </c>
      <c r="AB6669" s="236">
        <v>10.9</v>
      </c>
      <c r="AC6669" s="127">
        <f t="shared" si="119"/>
        <v>11</v>
      </c>
    </row>
    <row r="6670" ht="14.5" customHeight="1" spans="11:29" x14ac:dyDescent="0.25">
      <c r="K6670" s="128"/>
      <c r="X6670" s="234">
        <v>2022</v>
      </c>
      <c r="Y6670" s="234">
        <v>10</v>
      </c>
      <c r="Z6670" s="234">
        <v>5</v>
      </c>
      <c r="AA6670" s="235">
        <v>0.8333333333321207</v>
      </c>
      <c r="AB6670" s="236">
        <v>9.5</v>
      </c>
      <c r="AC6670" s="127">
        <f t="shared" si="119"/>
        <v>10</v>
      </c>
    </row>
    <row r="6671" ht="14.5" customHeight="1" spans="11:29" x14ac:dyDescent="0.25">
      <c r="K6671" s="128"/>
      <c r="X6671" s="234">
        <v>2022</v>
      </c>
      <c r="Y6671" s="234">
        <v>10</v>
      </c>
      <c r="Z6671" s="234">
        <v>5</v>
      </c>
      <c r="AA6671" s="235">
        <v>0.875</v>
      </c>
      <c r="AB6671" s="236">
        <v>8.4</v>
      </c>
      <c r="AC6671" s="127">
        <f t="shared" si="119"/>
        <v>8</v>
      </c>
    </row>
    <row r="6672" ht="14.5" customHeight="1" spans="11:29" x14ac:dyDescent="0.25">
      <c r="K6672" s="128"/>
      <c r="X6672" s="234">
        <v>2022</v>
      </c>
      <c r="Y6672" s="234">
        <v>10</v>
      </c>
      <c r="Z6672" s="234">
        <v>5</v>
      </c>
      <c r="AA6672" s="235">
        <v>0.9166666666678793</v>
      </c>
      <c r="AB6672" s="236">
        <v>6.9</v>
      </c>
      <c r="AC6672" s="127">
        <f t="shared" si="119"/>
        <v>7</v>
      </c>
    </row>
    <row r="6673" ht="14.5" customHeight="1" spans="11:29" x14ac:dyDescent="0.25">
      <c r="K6673" s="128"/>
      <c r="X6673" s="234">
        <v>2022</v>
      </c>
      <c r="Y6673" s="234">
        <v>10</v>
      </c>
      <c r="Z6673" s="234">
        <v>5</v>
      </c>
      <c r="AA6673" s="235">
        <v>0.9583333333321207</v>
      </c>
      <c r="AB6673" s="236">
        <v>5.9</v>
      </c>
      <c r="AC6673" s="127">
        <f t="shared" si="119"/>
        <v>6</v>
      </c>
    </row>
    <row r="6674" ht="14.5" customHeight="1" spans="11:29" x14ac:dyDescent="0.25">
      <c r="K6674" s="128"/>
      <c r="X6674" s="234">
        <v>2022</v>
      </c>
      <c r="Y6674" s="234">
        <v>10</v>
      </c>
      <c r="Z6674" s="234">
        <v>6</v>
      </c>
      <c r="AA6674" s="235">
        <v>0</v>
      </c>
      <c r="AB6674" s="236">
        <v>5.2</v>
      </c>
      <c r="AC6674" s="127">
        <f t="shared" si="119"/>
        <v>5</v>
      </c>
    </row>
    <row r="6675" ht="14.5" customHeight="1" spans="11:29" x14ac:dyDescent="0.25">
      <c r="K6675" s="128"/>
      <c r="X6675" s="234">
        <v>2022</v>
      </c>
      <c r="Y6675" s="234">
        <v>10</v>
      </c>
      <c r="Z6675" s="234">
        <v>6</v>
      </c>
      <c r="AA6675" s="235">
        <v>0.041666666667879326</v>
      </c>
      <c r="AB6675" s="236">
        <v>4.8</v>
      </c>
      <c r="AC6675" s="127">
        <f t="shared" si="119"/>
        <v>5</v>
      </c>
    </row>
    <row r="6676" ht="14.5" customHeight="1" spans="11:29" x14ac:dyDescent="0.25">
      <c r="K6676" s="128"/>
      <c r="X6676" s="234">
        <v>2022</v>
      </c>
      <c r="Y6676" s="234">
        <v>10</v>
      </c>
      <c r="Z6676" s="234">
        <v>6</v>
      </c>
      <c r="AA6676" s="235">
        <v>0.08333333333212067</v>
      </c>
      <c r="AB6676" s="236">
        <v>3.9</v>
      </c>
      <c r="AC6676" s="127">
        <f t="shared" si="119"/>
        <v>4</v>
      </c>
    </row>
    <row r="6677" ht="14.5" customHeight="1" spans="11:29" x14ac:dyDescent="0.25">
      <c r="K6677" s="128"/>
      <c r="X6677" s="234">
        <v>2022</v>
      </c>
      <c r="Y6677" s="234">
        <v>10</v>
      </c>
      <c r="Z6677" s="234">
        <v>6</v>
      </c>
      <c r="AA6677" s="235">
        <v>0.125</v>
      </c>
      <c r="AB6677" s="236">
        <v>3</v>
      </c>
      <c r="AC6677" s="127">
        <f t="shared" si="119"/>
        <v>3</v>
      </c>
    </row>
    <row r="6678" ht="14.5" customHeight="1" spans="11:29" x14ac:dyDescent="0.25">
      <c r="K6678" s="128"/>
      <c r="X6678" s="234">
        <v>2022</v>
      </c>
      <c r="Y6678" s="234">
        <v>10</v>
      </c>
      <c r="Z6678" s="234">
        <v>6</v>
      </c>
      <c r="AA6678" s="235">
        <v>0.16666666666787933</v>
      </c>
      <c r="AB6678" s="236">
        <v>2.2</v>
      </c>
      <c r="AC6678" s="127">
        <f t="shared" si="119"/>
        <v>2</v>
      </c>
    </row>
    <row r="6679" ht="14.5" customHeight="1" spans="11:29" x14ac:dyDescent="0.25">
      <c r="K6679" s="128"/>
      <c r="X6679" s="234">
        <v>2022</v>
      </c>
      <c r="Y6679" s="234">
        <v>10</v>
      </c>
      <c r="Z6679" s="234">
        <v>6</v>
      </c>
      <c r="AA6679" s="235">
        <v>0.20833333333212067</v>
      </c>
      <c r="AB6679" s="236">
        <v>2.3</v>
      </c>
      <c r="AC6679" s="127">
        <f t="shared" si="119"/>
        <v>2</v>
      </c>
    </row>
    <row r="6680" ht="14.5" customHeight="1" spans="11:29" x14ac:dyDescent="0.25">
      <c r="K6680" s="128"/>
      <c r="X6680" s="234">
        <v>2022</v>
      </c>
      <c r="Y6680" s="234">
        <v>10</v>
      </c>
      <c r="Z6680" s="234">
        <v>6</v>
      </c>
      <c r="AA6680" s="235">
        <v>0.25</v>
      </c>
      <c r="AB6680" s="236">
        <v>2.6</v>
      </c>
      <c r="AC6680" s="127">
        <f t="shared" si="119"/>
        <v>3</v>
      </c>
    </row>
    <row r="6681" ht="14.5" customHeight="1" spans="11:29" x14ac:dyDescent="0.25">
      <c r="K6681" s="128"/>
      <c r="X6681" s="234">
        <v>2022</v>
      </c>
      <c r="Y6681" s="234">
        <v>10</v>
      </c>
      <c r="Z6681" s="234">
        <v>6</v>
      </c>
      <c r="AA6681" s="235">
        <v>0.2916666666678793</v>
      </c>
      <c r="AB6681" s="236">
        <v>2.4</v>
      </c>
      <c r="AC6681" s="127">
        <f t="shared" si="119"/>
        <v>2</v>
      </c>
    </row>
    <row r="6682" ht="14.5" customHeight="1" spans="11:29" x14ac:dyDescent="0.25">
      <c r="K6682" s="128"/>
      <c r="X6682" s="234">
        <v>2022</v>
      </c>
      <c r="Y6682" s="234">
        <v>10</v>
      </c>
      <c r="Z6682" s="234">
        <v>6</v>
      </c>
      <c r="AA6682" s="235">
        <v>0.3333333333321207</v>
      </c>
      <c r="AB6682" s="236">
        <v>4.1</v>
      </c>
      <c r="AC6682" s="127">
        <f t="shared" si="119"/>
        <v>4</v>
      </c>
    </row>
    <row r="6683" ht="14.5" customHeight="1" spans="11:29" x14ac:dyDescent="0.25">
      <c r="K6683" s="128"/>
      <c r="X6683" s="234">
        <v>2022</v>
      </c>
      <c r="Y6683" s="234">
        <v>10</v>
      </c>
      <c r="Z6683" s="234">
        <v>6</v>
      </c>
      <c r="AA6683" s="235">
        <v>0.375</v>
      </c>
      <c r="AB6683" s="236">
        <v>6.7</v>
      </c>
      <c r="AC6683" s="127">
        <f t="shared" si="119"/>
        <v>7</v>
      </c>
    </row>
    <row r="6684" ht="14.5" customHeight="1" spans="11:29" x14ac:dyDescent="0.25">
      <c r="K6684" s="128"/>
      <c r="X6684" s="234">
        <v>2022</v>
      </c>
      <c r="Y6684" s="234">
        <v>10</v>
      </c>
      <c r="Z6684" s="234">
        <v>6</v>
      </c>
      <c r="AA6684" s="235">
        <v>0.4166666666678793</v>
      </c>
      <c r="AB6684" s="236">
        <v>8.7</v>
      </c>
      <c r="AC6684" s="127">
        <f t="shared" si="119"/>
        <v>9</v>
      </c>
    </row>
    <row r="6685" ht="14.5" customHeight="1" spans="11:29" x14ac:dyDescent="0.25">
      <c r="K6685" s="128"/>
      <c r="X6685" s="234">
        <v>2022</v>
      </c>
      <c r="Y6685" s="234">
        <v>10</v>
      </c>
      <c r="Z6685" s="234">
        <v>6</v>
      </c>
      <c r="AA6685" s="235">
        <v>0.4583333333321207</v>
      </c>
      <c r="AB6685" s="236">
        <v>10.5</v>
      </c>
      <c r="AC6685" s="127">
        <f t="shared" si="119"/>
        <v>11</v>
      </c>
    </row>
    <row r="6686" ht="14.5" customHeight="1" spans="11:29" x14ac:dyDescent="0.25">
      <c r="K6686" s="128"/>
      <c r="X6686" s="234">
        <v>2022</v>
      </c>
      <c r="Y6686" s="234">
        <v>10</v>
      </c>
      <c r="Z6686" s="234">
        <v>6</v>
      </c>
      <c r="AA6686" s="235">
        <v>0.5</v>
      </c>
      <c r="AB6686" s="236">
        <v>11.6</v>
      </c>
      <c r="AC6686" s="127">
        <f t="shared" si="119"/>
        <v>12</v>
      </c>
    </row>
    <row r="6687" ht="14.5" customHeight="1" spans="11:29" x14ac:dyDescent="0.25">
      <c r="K6687" s="128"/>
      <c r="X6687" s="234">
        <v>2022</v>
      </c>
      <c r="Y6687" s="234">
        <v>10</v>
      </c>
      <c r="Z6687" s="234">
        <v>6</v>
      </c>
      <c r="AA6687" s="235">
        <v>0.5416666666678793</v>
      </c>
      <c r="AB6687" s="236">
        <v>13.2</v>
      </c>
      <c r="AC6687" s="127">
        <f t="shared" si="119"/>
        <v>13</v>
      </c>
    </row>
    <row r="6688" ht="14.5" customHeight="1" spans="11:29" x14ac:dyDescent="0.25">
      <c r="K6688" s="128"/>
      <c r="X6688" s="234">
        <v>2022</v>
      </c>
      <c r="Y6688" s="234">
        <v>10</v>
      </c>
      <c r="Z6688" s="234">
        <v>6</v>
      </c>
      <c r="AA6688" s="235">
        <v>0.5833333333321207</v>
      </c>
      <c r="AB6688" s="236">
        <v>15.1</v>
      </c>
      <c r="AC6688" s="127">
        <f t="shared" si="119"/>
        <v>15</v>
      </c>
    </row>
    <row r="6689" ht="14.5" customHeight="1" spans="11:29" x14ac:dyDescent="0.25">
      <c r="K6689" s="128"/>
      <c r="X6689" s="234">
        <v>2022</v>
      </c>
      <c r="Y6689" s="234">
        <v>10</v>
      </c>
      <c r="Z6689" s="234">
        <v>6</v>
      </c>
      <c r="AA6689" s="235">
        <v>0.625</v>
      </c>
      <c r="AB6689" s="236">
        <v>16</v>
      </c>
      <c r="AC6689" s="127">
        <f t="shared" si="119"/>
        <v>16</v>
      </c>
    </row>
    <row r="6690" ht="14.5" customHeight="1" spans="11:29" x14ac:dyDescent="0.25">
      <c r="K6690" s="128"/>
      <c r="X6690" s="234">
        <v>2022</v>
      </c>
      <c r="Y6690" s="234">
        <v>10</v>
      </c>
      <c r="Z6690" s="234">
        <v>6</v>
      </c>
      <c r="AA6690" s="235">
        <v>0.6666666666678793</v>
      </c>
      <c r="AB6690" s="236">
        <v>16</v>
      </c>
      <c r="AC6690" s="127">
        <f t="shared" si="119"/>
        <v>16</v>
      </c>
    </row>
    <row r="6691" ht="14.5" customHeight="1" spans="11:29" x14ac:dyDescent="0.25">
      <c r="K6691" s="128"/>
      <c r="X6691" s="234">
        <v>2022</v>
      </c>
      <c r="Y6691" s="234">
        <v>10</v>
      </c>
      <c r="Z6691" s="234">
        <v>6</v>
      </c>
      <c r="AA6691" s="235">
        <v>0.7083333333321207</v>
      </c>
      <c r="AB6691" s="236">
        <v>14.5</v>
      </c>
      <c r="AC6691" s="127">
        <f t="shared" si="119"/>
        <v>15</v>
      </c>
    </row>
    <row r="6692" ht="14.5" customHeight="1" spans="11:29" x14ac:dyDescent="0.25">
      <c r="K6692" s="128"/>
      <c r="X6692" s="234">
        <v>2022</v>
      </c>
      <c r="Y6692" s="234">
        <v>10</v>
      </c>
      <c r="Z6692" s="234">
        <v>6</v>
      </c>
      <c r="AA6692" s="235">
        <v>0.75</v>
      </c>
      <c r="AB6692" s="236">
        <v>12</v>
      </c>
      <c r="AC6692" s="127">
        <f t="shared" si="119"/>
        <v>12</v>
      </c>
    </row>
    <row r="6693" ht="14.5" customHeight="1" spans="11:29" x14ac:dyDescent="0.25">
      <c r="K6693" s="128"/>
      <c r="X6693" s="234">
        <v>2022</v>
      </c>
      <c r="Y6693" s="234">
        <v>10</v>
      </c>
      <c r="Z6693" s="234">
        <v>6</v>
      </c>
      <c r="AA6693" s="235">
        <v>0.7916666666678793</v>
      </c>
      <c r="AB6693" s="236">
        <v>10.5</v>
      </c>
      <c r="AC6693" s="127">
        <f t="shared" si="119"/>
        <v>11</v>
      </c>
    </row>
    <row r="6694" ht="14.5" customHeight="1" spans="11:29" x14ac:dyDescent="0.25">
      <c r="K6694" s="128"/>
      <c r="X6694" s="234">
        <v>2022</v>
      </c>
      <c r="Y6694" s="234">
        <v>10</v>
      </c>
      <c r="Z6694" s="234">
        <v>6</v>
      </c>
      <c r="AA6694" s="235">
        <v>0.8333333333321207</v>
      </c>
      <c r="AB6694" s="236">
        <v>9.9</v>
      </c>
      <c r="AC6694" s="127">
        <f t="shared" si="119"/>
        <v>10</v>
      </c>
    </row>
    <row r="6695" ht="14.5" customHeight="1" spans="11:29" x14ac:dyDescent="0.25">
      <c r="K6695" s="128"/>
      <c r="X6695" s="234">
        <v>2022</v>
      </c>
      <c r="Y6695" s="234">
        <v>10</v>
      </c>
      <c r="Z6695" s="234">
        <v>6</v>
      </c>
      <c r="AA6695" s="235">
        <v>0.875</v>
      </c>
      <c r="AB6695" s="236">
        <v>8.5</v>
      </c>
      <c r="AC6695" s="127">
        <f t="shared" si="119"/>
        <v>9</v>
      </c>
    </row>
    <row r="6696" ht="14.5" customHeight="1" spans="11:29" x14ac:dyDescent="0.25">
      <c r="K6696" s="128"/>
      <c r="X6696" s="234">
        <v>2022</v>
      </c>
      <c r="Y6696" s="234">
        <v>10</v>
      </c>
      <c r="Z6696" s="234">
        <v>6</v>
      </c>
      <c r="AA6696" s="235">
        <v>0.9166666666678793</v>
      </c>
      <c r="AB6696" s="236">
        <v>7.6</v>
      </c>
      <c r="AC6696" s="127">
        <f t="shared" si="119"/>
        <v>8</v>
      </c>
    </row>
    <row r="6697" ht="14.5" customHeight="1" spans="11:29" x14ac:dyDescent="0.25">
      <c r="K6697" s="128"/>
      <c r="X6697" s="234">
        <v>2022</v>
      </c>
      <c r="Y6697" s="234">
        <v>10</v>
      </c>
      <c r="Z6697" s="234">
        <v>6</v>
      </c>
      <c r="AA6697" s="235">
        <v>0.9583333333321207</v>
      </c>
      <c r="AB6697" s="236">
        <v>4.7</v>
      </c>
      <c r="AC6697" s="127">
        <f t="shared" si="119"/>
        <v>5</v>
      </c>
    </row>
    <row r="6698" ht="14.5" customHeight="1" spans="11:29" x14ac:dyDescent="0.25">
      <c r="K6698" s="128"/>
      <c r="X6698" s="234">
        <v>2022</v>
      </c>
      <c r="Y6698" s="234">
        <v>10</v>
      </c>
      <c r="Z6698" s="234">
        <v>7</v>
      </c>
      <c r="AA6698" s="235">
        <v>0</v>
      </c>
      <c r="AB6698" s="236">
        <v>4.2</v>
      </c>
      <c r="AC6698" s="127">
        <f t="shared" si="119"/>
        <v>4</v>
      </c>
    </row>
    <row r="6699" ht="14.5" customHeight="1" spans="11:29" x14ac:dyDescent="0.25">
      <c r="K6699" s="128"/>
      <c r="X6699" s="234">
        <v>2022</v>
      </c>
      <c r="Y6699" s="234">
        <v>10</v>
      </c>
      <c r="Z6699" s="234">
        <v>7</v>
      </c>
      <c r="AA6699" s="235">
        <v>0.041666666667879326</v>
      </c>
      <c r="AB6699" s="236">
        <v>3</v>
      </c>
      <c r="AC6699" s="127">
        <f t="shared" si="119"/>
        <v>3</v>
      </c>
    </row>
    <row r="6700" ht="14.5" customHeight="1" spans="11:29" x14ac:dyDescent="0.25">
      <c r="K6700" s="128"/>
      <c r="X6700" s="234">
        <v>2022</v>
      </c>
      <c r="Y6700" s="234">
        <v>10</v>
      </c>
      <c r="Z6700" s="234">
        <v>7</v>
      </c>
      <c r="AA6700" s="235">
        <v>0.08333333333212067</v>
      </c>
      <c r="AB6700" s="236">
        <v>2.6</v>
      </c>
      <c r="AC6700" s="127">
        <f t="shared" si="119"/>
        <v>3</v>
      </c>
    </row>
    <row r="6701" ht="14.5" customHeight="1" spans="11:29" x14ac:dyDescent="0.25">
      <c r="K6701" s="128"/>
      <c r="X6701" s="234">
        <v>2022</v>
      </c>
      <c r="Y6701" s="234">
        <v>10</v>
      </c>
      <c r="Z6701" s="234">
        <v>7</v>
      </c>
      <c r="AA6701" s="235">
        <v>0.125</v>
      </c>
      <c r="AB6701" s="236">
        <v>2.8</v>
      </c>
      <c r="AC6701" s="127">
        <f t="shared" si="119"/>
        <v>3</v>
      </c>
    </row>
    <row r="6702" ht="14.5" customHeight="1" spans="11:29" x14ac:dyDescent="0.25">
      <c r="K6702" s="128"/>
      <c r="X6702" s="234">
        <v>2022</v>
      </c>
      <c r="Y6702" s="234">
        <v>10</v>
      </c>
      <c r="Z6702" s="234">
        <v>7</v>
      </c>
      <c r="AA6702" s="235">
        <v>0.16666666666787933</v>
      </c>
      <c r="AB6702" s="236">
        <v>2.4</v>
      </c>
      <c r="AC6702" s="127">
        <f t="shared" si="119"/>
        <v>2</v>
      </c>
    </row>
    <row r="6703" ht="14.5" customHeight="1" spans="11:29" x14ac:dyDescent="0.25">
      <c r="K6703" s="128"/>
      <c r="X6703" s="234">
        <v>2022</v>
      </c>
      <c r="Y6703" s="234">
        <v>10</v>
      </c>
      <c r="Z6703" s="234">
        <v>7</v>
      </c>
      <c r="AA6703" s="235">
        <v>0.20833333333212067</v>
      </c>
      <c r="AB6703" s="236">
        <v>2.9</v>
      </c>
      <c r="AC6703" s="127">
        <f t="shared" si="119"/>
        <v>3</v>
      </c>
    </row>
    <row r="6704" ht="14.5" customHeight="1" spans="11:29" x14ac:dyDescent="0.25">
      <c r="K6704" s="128"/>
      <c r="X6704" s="234">
        <v>2022</v>
      </c>
      <c r="Y6704" s="234">
        <v>10</v>
      </c>
      <c r="Z6704" s="234">
        <v>7</v>
      </c>
      <c r="AA6704" s="235">
        <v>0.25</v>
      </c>
      <c r="AB6704" s="236">
        <v>2.6</v>
      </c>
      <c r="AC6704" s="127">
        <f t="shared" si="119"/>
        <v>3</v>
      </c>
    </row>
    <row r="6705" ht="14.5" customHeight="1" spans="11:29" x14ac:dyDescent="0.25">
      <c r="K6705" s="128"/>
      <c r="X6705" s="234">
        <v>2022</v>
      </c>
      <c r="Y6705" s="234">
        <v>10</v>
      </c>
      <c r="Z6705" s="234">
        <v>7</v>
      </c>
      <c r="AA6705" s="235">
        <v>0.2916666666678793</v>
      </c>
      <c r="AB6705" s="236">
        <v>2.3</v>
      </c>
      <c r="AC6705" s="127">
        <f t="shared" si="119"/>
        <v>2</v>
      </c>
    </row>
    <row r="6706" ht="14.5" customHeight="1" spans="11:29" x14ac:dyDescent="0.25">
      <c r="K6706" s="128"/>
      <c r="X6706" s="234">
        <v>2022</v>
      </c>
      <c r="Y6706" s="234">
        <v>10</v>
      </c>
      <c r="Z6706" s="234">
        <v>7</v>
      </c>
      <c r="AA6706" s="235">
        <v>0.3333333333321207</v>
      </c>
      <c r="AB6706" s="236">
        <v>5.8</v>
      </c>
      <c r="AC6706" s="127">
        <f t="shared" si="119"/>
        <v>6</v>
      </c>
    </row>
    <row r="6707" ht="14.5" customHeight="1" spans="11:29" x14ac:dyDescent="0.25">
      <c r="K6707" s="128"/>
      <c r="X6707" s="234">
        <v>2022</v>
      </c>
      <c r="Y6707" s="234">
        <v>10</v>
      </c>
      <c r="Z6707" s="234">
        <v>7</v>
      </c>
      <c r="AA6707" s="235">
        <v>0.375</v>
      </c>
      <c r="AB6707" s="236">
        <v>9.5</v>
      </c>
      <c r="AC6707" s="127">
        <f t="shared" si="119"/>
        <v>10</v>
      </c>
    </row>
    <row r="6708" ht="14.5" customHeight="1" spans="11:29" x14ac:dyDescent="0.25">
      <c r="K6708" s="128"/>
      <c r="X6708" s="234">
        <v>2022</v>
      </c>
      <c r="Y6708" s="234">
        <v>10</v>
      </c>
      <c r="Z6708" s="234">
        <v>7</v>
      </c>
      <c r="AA6708" s="235">
        <v>0.4166666666678793</v>
      </c>
      <c r="AB6708" s="236">
        <v>13.7</v>
      </c>
      <c r="AC6708" s="127">
        <f t="shared" si="119"/>
        <v>14</v>
      </c>
    </row>
    <row r="6709" ht="14.5" customHeight="1" spans="11:29" x14ac:dyDescent="0.25">
      <c r="K6709" s="128"/>
      <c r="X6709" s="234">
        <v>2022</v>
      </c>
      <c r="Y6709" s="234">
        <v>10</v>
      </c>
      <c r="Z6709" s="234">
        <v>7</v>
      </c>
      <c r="AA6709" s="235">
        <v>0.4583333333321207</v>
      </c>
      <c r="AB6709" s="236">
        <v>16.1</v>
      </c>
      <c r="AC6709" s="127">
        <f t="shared" si="119"/>
        <v>16</v>
      </c>
    </row>
    <row r="6710" ht="14.5" customHeight="1" spans="11:29" x14ac:dyDescent="0.25">
      <c r="K6710" s="128"/>
      <c r="X6710" s="234">
        <v>2022</v>
      </c>
      <c r="Y6710" s="234">
        <v>10</v>
      </c>
      <c r="Z6710" s="234">
        <v>7</v>
      </c>
      <c r="AA6710" s="235">
        <v>0.5</v>
      </c>
      <c r="AB6710" s="236">
        <v>18.1</v>
      </c>
      <c r="AC6710" s="127">
        <f t="shared" si="119"/>
        <v>18</v>
      </c>
    </row>
    <row r="6711" ht="14.5" customHeight="1" spans="11:29" x14ac:dyDescent="0.25">
      <c r="K6711" s="128"/>
      <c r="X6711" s="234">
        <v>2022</v>
      </c>
      <c r="Y6711" s="234">
        <v>10</v>
      </c>
      <c r="Z6711" s="234">
        <v>7</v>
      </c>
      <c r="AA6711" s="235">
        <v>0.5416666666678793</v>
      </c>
      <c r="AB6711" s="236">
        <v>19.7</v>
      </c>
      <c r="AC6711" s="127">
        <f t="shared" si="119"/>
        <v>20</v>
      </c>
    </row>
    <row r="6712" ht="14.5" customHeight="1" spans="11:29" x14ac:dyDescent="0.25">
      <c r="K6712" s="128"/>
      <c r="X6712" s="234">
        <v>2022</v>
      </c>
      <c r="Y6712" s="234">
        <v>10</v>
      </c>
      <c r="Z6712" s="234">
        <v>7</v>
      </c>
      <c r="AA6712" s="235">
        <v>0.5833333333321207</v>
      </c>
      <c r="AB6712" s="236">
        <v>19.9</v>
      </c>
      <c r="AC6712" s="127">
        <f t="shared" si="119"/>
        <v>20</v>
      </c>
    </row>
    <row r="6713" ht="14.5" customHeight="1" spans="11:29" x14ac:dyDescent="0.25">
      <c r="K6713" s="128"/>
      <c r="X6713" s="234">
        <v>2022</v>
      </c>
      <c r="Y6713" s="234">
        <v>10</v>
      </c>
      <c r="Z6713" s="234">
        <v>7</v>
      </c>
      <c r="AA6713" s="235">
        <v>0.625</v>
      </c>
      <c r="AB6713" s="236">
        <v>20.4</v>
      </c>
      <c r="AC6713" s="127">
        <f t="shared" si="119"/>
        <v>20</v>
      </c>
    </row>
    <row r="6714" ht="14.5" customHeight="1" spans="11:29" x14ac:dyDescent="0.25">
      <c r="K6714" s="128"/>
      <c r="X6714" s="234">
        <v>2022</v>
      </c>
      <c r="Y6714" s="234">
        <v>10</v>
      </c>
      <c r="Z6714" s="234">
        <v>7</v>
      </c>
      <c r="AA6714" s="235">
        <v>0.6666666666678793</v>
      </c>
      <c r="AB6714" s="236">
        <v>20.2</v>
      </c>
      <c r="AC6714" s="127">
        <f t="shared" si="119"/>
        <v>20</v>
      </c>
    </row>
    <row r="6715" ht="14.5" customHeight="1" spans="11:29" x14ac:dyDescent="0.25">
      <c r="K6715" s="128"/>
      <c r="X6715" s="234">
        <v>2022</v>
      </c>
      <c r="Y6715" s="234">
        <v>10</v>
      </c>
      <c r="Z6715" s="234">
        <v>7</v>
      </c>
      <c r="AA6715" s="235">
        <v>0.7083333333321207</v>
      </c>
      <c r="AB6715" s="236">
        <v>18.4</v>
      </c>
      <c r="AC6715" s="127">
        <f t="shared" si="119"/>
        <v>18</v>
      </c>
    </row>
    <row r="6716" ht="14.5" customHeight="1" spans="11:29" x14ac:dyDescent="0.25">
      <c r="K6716" s="128"/>
      <c r="X6716" s="234">
        <v>2022</v>
      </c>
      <c r="Y6716" s="234">
        <v>10</v>
      </c>
      <c r="Z6716" s="234">
        <v>7</v>
      </c>
      <c r="AA6716" s="235">
        <v>0.75</v>
      </c>
      <c r="AB6716" s="236">
        <v>14.7</v>
      </c>
      <c r="AC6716" s="127">
        <f t="shared" si="119"/>
        <v>15</v>
      </c>
    </row>
    <row r="6717" ht="14.5" customHeight="1" spans="11:29" x14ac:dyDescent="0.25">
      <c r="K6717" s="128"/>
      <c r="X6717" s="234">
        <v>2022</v>
      </c>
      <c r="Y6717" s="234">
        <v>10</v>
      </c>
      <c r="Z6717" s="234">
        <v>7</v>
      </c>
      <c r="AA6717" s="235">
        <v>0.7916666666678793</v>
      </c>
      <c r="AB6717" s="236">
        <v>13.4</v>
      </c>
      <c r="AC6717" s="127">
        <f t="shared" si="119"/>
        <v>13</v>
      </c>
    </row>
    <row r="6718" ht="14.5" customHeight="1" spans="11:29" x14ac:dyDescent="0.25">
      <c r="K6718" s="128"/>
      <c r="X6718" s="234">
        <v>2022</v>
      </c>
      <c r="Y6718" s="234">
        <v>10</v>
      </c>
      <c r="Z6718" s="234">
        <v>7</v>
      </c>
      <c r="AA6718" s="235">
        <v>0.8333333333321207</v>
      </c>
      <c r="AB6718" s="236">
        <v>11.8</v>
      </c>
      <c r="AC6718" s="127">
        <f t="shared" si="119"/>
        <v>12</v>
      </c>
    </row>
    <row r="6719" ht="14.5" customHeight="1" spans="11:29" x14ac:dyDescent="0.25">
      <c r="K6719" s="128"/>
      <c r="X6719" s="234">
        <v>2022</v>
      </c>
      <c r="Y6719" s="234">
        <v>10</v>
      </c>
      <c r="Z6719" s="234">
        <v>7</v>
      </c>
      <c r="AA6719" s="235">
        <v>0.875</v>
      </c>
      <c r="AB6719" s="236">
        <v>9.5</v>
      </c>
      <c r="AC6719" s="127">
        <f t="shared" si="119"/>
        <v>10</v>
      </c>
    </row>
    <row r="6720" ht="14.5" customHeight="1" spans="11:29" x14ac:dyDescent="0.25">
      <c r="K6720" s="128"/>
      <c r="X6720" s="234">
        <v>2022</v>
      </c>
      <c r="Y6720" s="234">
        <v>10</v>
      </c>
      <c r="Z6720" s="234">
        <v>7</v>
      </c>
      <c r="AA6720" s="235">
        <v>0.9166666666678793</v>
      </c>
      <c r="AB6720" s="236">
        <v>7.5</v>
      </c>
      <c r="AC6720" s="127">
        <f t="shared" si="119"/>
        <v>8</v>
      </c>
    </row>
    <row r="6721" ht="14.5" customHeight="1" spans="11:29" x14ac:dyDescent="0.25">
      <c r="K6721" s="128"/>
      <c r="X6721" s="234">
        <v>2022</v>
      </c>
      <c r="Y6721" s="234">
        <v>10</v>
      </c>
      <c r="Z6721" s="234">
        <v>7</v>
      </c>
      <c r="AA6721" s="235">
        <v>0.9583333333321207</v>
      </c>
      <c r="AB6721" s="236">
        <v>6.7</v>
      </c>
      <c r="AC6721" s="127">
        <f t="shared" si="119"/>
        <v>7</v>
      </c>
    </row>
    <row r="6722" ht="14.5" customHeight="1" spans="11:29" x14ac:dyDescent="0.25">
      <c r="K6722" s="128"/>
      <c r="X6722" s="234">
        <v>2022</v>
      </c>
      <c r="Y6722" s="234">
        <v>10</v>
      </c>
      <c r="Z6722" s="234">
        <v>8</v>
      </c>
      <c r="AA6722" s="235">
        <v>0</v>
      </c>
      <c r="AB6722" s="236">
        <v>4.8</v>
      </c>
      <c r="AC6722" s="127">
        <f t="shared" si="119"/>
        <v>5</v>
      </c>
    </row>
    <row r="6723" ht="14.5" customHeight="1" spans="11:29" x14ac:dyDescent="0.25">
      <c r="K6723" s="128"/>
      <c r="X6723" s="234">
        <v>2022</v>
      </c>
      <c r="Y6723" s="234">
        <v>10</v>
      </c>
      <c r="Z6723" s="234">
        <v>8</v>
      </c>
      <c r="AA6723" s="235">
        <v>0.041666666667879326</v>
      </c>
      <c r="AB6723" s="236">
        <v>5.2</v>
      </c>
      <c r="AC6723" s="127">
        <f t="shared" si="119"/>
        <v>5</v>
      </c>
    </row>
    <row r="6724" ht="14.5" customHeight="1" spans="11:29" x14ac:dyDescent="0.25">
      <c r="K6724" s="128"/>
      <c r="X6724" s="234">
        <v>2022</v>
      </c>
      <c r="Y6724" s="234">
        <v>10</v>
      </c>
      <c r="Z6724" s="234">
        <v>8</v>
      </c>
      <c r="AA6724" s="235">
        <v>0.08333333333212067</v>
      </c>
      <c r="AB6724" s="236">
        <v>3.9</v>
      </c>
      <c r="AC6724" s="127">
        <f t="shared" si="119"/>
        <v>4</v>
      </c>
    </row>
    <row r="6725" ht="14.5" customHeight="1" spans="11:29" x14ac:dyDescent="0.25">
      <c r="K6725" s="128"/>
      <c r="X6725" s="234">
        <v>2022</v>
      </c>
      <c r="Y6725" s="234">
        <v>10</v>
      </c>
      <c r="Z6725" s="234">
        <v>8</v>
      </c>
      <c r="AA6725" s="235">
        <v>0.125</v>
      </c>
      <c r="AB6725" s="236">
        <v>6.2</v>
      </c>
      <c r="AC6725" s="127">
        <f t="shared" si="119"/>
        <v>6</v>
      </c>
    </row>
    <row r="6726" ht="14.5" customHeight="1" spans="11:29" x14ac:dyDescent="0.25">
      <c r="K6726" s="128"/>
      <c r="X6726" s="234">
        <v>2022</v>
      </c>
      <c r="Y6726" s="234">
        <v>10</v>
      </c>
      <c r="Z6726" s="234">
        <v>8</v>
      </c>
      <c r="AA6726" s="235">
        <v>0.16666666666787933</v>
      </c>
      <c r="AB6726" s="236">
        <v>4.6</v>
      </c>
      <c r="AC6726" s="127">
        <f t="shared" si="119"/>
        <v>5</v>
      </c>
    </row>
    <row r="6727" ht="14.5" customHeight="1" spans="11:29" x14ac:dyDescent="0.25">
      <c r="K6727" s="128"/>
      <c r="X6727" s="234">
        <v>2022</v>
      </c>
      <c r="Y6727" s="234">
        <v>10</v>
      </c>
      <c r="Z6727" s="234">
        <v>8</v>
      </c>
      <c r="AA6727" s="235">
        <v>0.20833333333212067</v>
      </c>
      <c r="AB6727" s="236">
        <v>3.3</v>
      </c>
      <c r="AC6727" s="127">
        <f t="shared" si="119"/>
        <v>3</v>
      </c>
    </row>
    <row r="6728" ht="14.5" customHeight="1" spans="11:29" x14ac:dyDescent="0.25">
      <c r="K6728" s="128"/>
      <c r="X6728" s="234">
        <v>2022</v>
      </c>
      <c r="Y6728" s="234">
        <v>10</v>
      </c>
      <c r="Z6728" s="234">
        <v>8</v>
      </c>
      <c r="AA6728" s="235">
        <v>0.25</v>
      </c>
      <c r="AB6728" s="236">
        <v>3.5</v>
      </c>
      <c r="AC6728" s="127">
        <f t="shared" si="119"/>
        <v>4</v>
      </c>
    </row>
    <row r="6729" ht="14.5" customHeight="1" spans="11:29" x14ac:dyDescent="0.25">
      <c r="K6729" s="128"/>
      <c r="X6729" s="234">
        <v>2022</v>
      </c>
      <c r="Y6729" s="234">
        <v>10</v>
      </c>
      <c r="Z6729" s="234">
        <v>8</v>
      </c>
      <c r="AA6729" s="235">
        <v>0.2916666666678793</v>
      </c>
      <c r="AB6729" s="236">
        <v>4.1</v>
      </c>
      <c r="AC6729" s="127">
        <f t="shared" si="119"/>
        <v>4</v>
      </c>
    </row>
    <row r="6730" ht="14.5" customHeight="1" spans="11:29" x14ac:dyDescent="0.25">
      <c r="K6730" s="128"/>
      <c r="X6730" s="234">
        <v>2022</v>
      </c>
      <c r="Y6730" s="234">
        <v>10</v>
      </c>
      <c r="Z6730" s="234">
        <v>8</v>
      </c>
      <c r="AA6730" s="235">
        <v>0.3333333333321207</v>
      </c>
      <c r="AB6730" s="236">
        <v>6.5</v>
      </c>
      <c r="AC6730" s="127">
        <f t="shared" si="119"/>
        <v>7</v>
      </c>
    </row>
    <row r="6731" ht="14.5" customHeight="1" spans="11:29" x14ac:dyDescent="0.25">
      <c r="K6731" s="128"/>
      <c r="X6731" s="234">
        <v>2022</v>
      </c>
      <c r="Y6731" s="234">
        <v>10</v>
      </c>
      <c r="Z6731" s="234">
        <v>8</v>
      </c>
      <c r="AA6731" s="235">
        <v>0.375</v>
      </c>
      <c r="AB6731" s="236">
        <v>11.7</v>
      </c>
      <c r="AC6731" s="127">
        <f t="shared" ref="AC6731:AC6794" si="120">ROUND(AB6731,0)</f>
        <v>12</v>
      </c>
    </row>
    <row r="6732" ht="14.5" customHeight="1" spans="11:29" x14ac:dyDescent="0.25">
      <c r="K6732" s="128"/>
      <c r="X6732" s="234">
        <v>2022</v>
      </c>
      <c r="Y6732" s="234">
        <v>10</v>
      </c>
      <c r="Z6732" s="234">
        <v>8</v>
      </c>
      <c r="AA6732" s="235">
        <v>0.4166666666678793</v>
      </c>
      <c r="AB6732" s="236">
        <v>16.9</v>
      </c>
      <c r="AC6732" s="127">
        <f t="shared" si="120"/>
        <v>17</v>
      </c>
    </row>
    <row r="6733" ht="14.5" customHeight="1" spans="11:29" x14ac:dyDescent="0.25">
      <c r="K6733" s="128"/>
      <c r="X6733" s="234">
        <v>2022</v>
      </c>
      <c r="Y6733" s="234">
        <v>10</v>
      </c>
      <c r="Z6733" s="234">
        <v>8</v>
      </c>
      <c r="AA6733" s="235">
        <v>0.4583333333321207</v>
      </c>
      <c r="AB6733" s="236">
        <v>19.3</v>
      </c>
      <c r="AC6733" s="127">
        <f t="shared" si="120"/>
        <v>19</v>
      </c>
    </row>
    <row r="6734" ht="14.5" customHeight="1" spans="11:29" x14ac:dyDescent="0.25">
      <c r="K6734" s="128"/>
      <c r="X6734" s="234">
        <v>2022</v>
      </c>
      <c r="Y6734" s="234">
        <v>10</v>
      </c>
      <c r="Z6734" s="234">
        <v>8</v>
      </c>
      <c r="AA6734" s="235">
        <v>0.5</v>
      </c>
      <c r="AB6734" s="236">
        <v>20.4</v>
      </c>
      <c r="AC6734" s="127">
        <f t="shared" si="120"/>
        <v>20</v>
      </c>
    </row>
    <row r="6735" ht="14.5" customHeight="1" spans="11:29" x14ac:dyDescent="0.25">
      <c r="K6735" s="128"/>
      <c r="X6735" s="234">
        <v>2022</v>
      </c>
      <c r="Y6735" s="234">
        <v>10</v>
      </c>
      <c r="Z6735" s="234">
        <v>8</v>
      </c>
      <c r="AA6735" s="235">
        <v>0.5416666666678793</v>
      </c>
      <c r="AB6735" s="236">
        <v>22</v>
      </c>
      <c r="AC6735" s="127">
        <f t="shared" si="120"/>
        <v>22</v>
      </c>
    </row>
    <row r="6736" ht="14.5" customHeight="1" spans="11:29" x14ac:dyDescent="0.25">
      <c r="K6736" s="128"/>
      <c r="X6736" s="234">
        <v>2022</v>
      </c>
      <c r="Y6736" s="234">
        <v>10</v>
      </c>
      <c r="Z6736" s="234">
        <v>8</v>
      </c>
      <c r="AA6736" s="235">
        <v>0.5833333333321207</v>
      </c>
      <c r="AB6736" s="236">
        <v>22.4</v>
      </c>
      <c r="AC6736" s="127">
        <f t="shared" si="120"/>
        <v>22</v>
      </c>
    </row>
    <row r="6737" ht="14.5" customHeight="1" spans="11:29" x14ac:dyDescent="0.25">
      <c r="K6737" s="128"/>
      <c r="X6737" s="234">
        <v>2022</v>
      </c>
      <c r="Y6737" s="234">
        <v>10</v>
      </c>
      <c r="Z6737" s="234">
        <v>8</v>
      </c>
      <c r="AA6737" s="235">
        <v>0.625</v>
      </c>
      <c r="AB6737" s="236">
        <v>22.1</v>
      </c>
      <c r="AC6737" s="127">
        <f t="shared" si="120"/>
        <v>22</v>
      </c>
    </row>
    <row r="6738" ht="14.5" customHeight="1" spans="11:29" x14ac:dyDescent="0.25">
      <c r="K6738" s="128"/>
      <c r="X6738" s="234">
        <v>2022</v>
      </c>
      <c r="Y6738" s="234">
        <v>10</v>
      </c>
      <c r="Z6738" s="234">
        <v>8</v>
      </c>
      <c r="AA6738" s="235">
        <v>0.6666666666678793</v>
      </c>
      <c r="AB6738" s="236">
        <v>21.9</v>
      </c>
      <c r="AC6738" s="127">
        <f t="shared" si="120"/>
        <v>22</v>
      </c>
    </row>
    <row r="6739" ht="14.5" customHeight="1" spans="11:29" x14ac:dyDescent="0.25">
      <c r="K6739" s="128"/>
      <c r="X6739" s="234">
        <v>2022</v>
      </c>
      <c r="Y6739" s="234">
        <v>10</v>
      </c>
      <c r="Z6739" s="234">
        <v>8</v>
      </c>
      <c r="AA6739" s="235">
        <v>0.7083333333321207</v>
      </c>
      <c r="AB6739" s="236">
        <v>20.5</v>
      </c>
      <c r="AC6739" s="127">
        <f t="shared" si="120"/>
        <v>21</v>
      </c>
    </row>
    <row r="6740" ht="14.5" customHeight="1" spans="11:29" x14ac:dyDescent="0.25">
      <c r="K6740" s="128"/>
      <c r="X6740" s="234">
        <v>2022</v>
      </c>
      <c r="Y6740" s="234">
        <v>10</v>
      </c>
      <c r="Z6740" s="234">
        <v>8</v>
      </c>
      <c r="AA6740" s="235">
        <v>0.75</v>
      </c>
      <c r="AB6740" s="236">
        <v>15.5</v>
      </c>
      <c r="AC6740" s="127">
        <f t="shared" si="120"/>
        <v>16</v>
      </c>
    </row>
    <row r="6741" ht="14.5" customHeight="1" spans="11:29" x14ac:dyDescent="0.25">
      <c r="K6741" s="128"/>
      <c r="X6741" s="234">
        <v>2022</v>
      </c>
      <c r="Y6741" s="234">
        <v>10</v>
      </c>
      <c r="Z6741" s="234">
        <v>8</v>
      </c>
      <c r="AA6741" s="235">
        <v>0.7916666666678793</v>
      </c>
      <c r="AB6741" s="236">
        <v>13.9</v>
      </c>
      <c r="AC6741" s="127">
        <f t="shared" si="120"/>
        <v>14</v>
      </c>
    </row>
    <row r="6742" ht="14.5" customHeight="1" spans="11:29" x14ac:dyDescent="0.25">
      <c r="K6742" s="128"/>
      <c r="X6742" s="234">
        <v>2022</v>
      </c>
      <c r="Y6742" s="234">
        <v>10</v>
      </c>
      <c r="Z6742" s="234">
        <v>8</v>
      </c>
      <c r="AA6742" s="235">
        <v>0.8333333333321207</v>
      </c>
      <c r="AB6742" s="236">
        <v>11.3</v>
      </c>
      <c r="AC6742" s="127">
        <f t="shared" si="120"/>
        <v>11</v>
      </c>
    </row>
    <row r="6743" ht="14.5" customHeight="1" spans="11:29" x14ac:dyDescent="0.25">
      <c r="K6743" s="128"/>
      <c r="X6743" s="234">
        <v>2022</v>
      </c>
      <c r="Y6743" s="234">
        <v>10</v>
      </c>
      <c r="Z6743" s="234">
        <v>8</v>
      </c>
      <c r="AA6743" s="235">
        <v>0.875</v>
      </c>
      <c r="AB6743" s="236">
        <v>9.6</v>
      </c>
      <c r="AC6743" s="127">
        <f t="shared" si="120"/>
        <v>10</v>
      </c>
    </row>
    <row r="6744" ht="14.5" customHeight="1" spans="11:29" x14ac:dyDescent="0.25">
      <c r="K6744" s="128"/>
      <c r="X6744" s="234">
        <v>2022</v>
      </c>
      <c r="Y6744" s="234">
        <v>10</v>
      </c>
      <c r="Z6744" s="234">
        <v>8</v>
      </c>
      <c r="AA6744" s="235">
        <v>0.9166666666678793</v>
      </c>
      <c r="AB6744" s="236">
        <v>7.1</v>
      </c>
      <c r="AC6744" s="127">
        <f t="shared" si="120"/>
        <v>7</v>
      </c>
    </row>
    <row r="6745" ht="14.5" customHeight="1" spans="11:29" x14ac:dyDescent="0.25">
      <c r="K6745" s="128"/>
      <c r="X6745" s="234">
        <v>2022</v>
      </c>
      <c r="Y6745" s="234">
        <v>10</v>
      </c>
      <c r="Z6745" s="234">
        <v>8</v>
      </c>
      <c r="AA6745" s="235">
        <v>0.9583333333321207</v>
      </c>
      <c r="AB6745" s="236">
        <v>6.6</v>
      </c>
      <c r="AC6745" s="127">
        <f t="shared" si="120"/>
        <v>7</v>
      </c>
    </row>
    <row r="6746" ht="14.5" customHeight="1" spans="11:29" x14ac:dyDescent="0.25">
      <c r="K6746" s="128"/>
      <c r="X6746" s="234">
        <v>2022</v>
      </c>
      <c r="Y6746" s="234">
        <v>10</v>
      </c>
      <c r="Z6746" s="234">
        <v>9</v>
      </c>
      <c r="AA6746" s="235">
        <v>0</v>
      </c>
      <c r="AB6746" s="236">
        <v>6.7</v>
      </c>
      <c r="AC6746" s="127">
        <f t="shared" si="120"/>
        <v>7</v>
      </c>
    </row>
    <row r="6747" ht="14.5" customHeight="1" spans="11:29" x14ac:dyDescent="0.25">
      <c r="K6747" s="128"/>
      <c r="X6747" s="234">
        <v>2022</v>
      </c>
      <c r="Y6747" s="234">
        <v>10</v>
      </c>
      <c r="Z6747" s="234">
        <v>9</v>
      </c>
      <c r="AA6747" s="235">
        <v>0.041666666667879326</v>
      </c>
      <c r="AB6747" s="236">
        <v>4.9</v>
      </c>
      <c r="AC6747" s="127">
        <f t="shared" si="120"/>
        <v>5</v>
      </c>
    </row>
    <row r="6748" ht="14.5" customHeight="1" spans="11:29" x14ac:dyDescent="0.25">
      <c r="K6748" s="128"/>
      <c r="X6748" s="234">
        <v>2022</v>
      </c>
      <c r="Y6748" s="234">
        <v>10</v>
      </c>
      <c r="Z6748" s="234">
        <v>9</v>
      </c>
      <c r="AA6748" s="235">
        <v>0.08333333333212067</v>
      </c>
      <c r="AB6748" s="236">
        <v>4.6</v>
      </c>
      <c r="AC6748" s="127">
        <f t="shared" si="120"/>
        <v>5</v>
      </c>
    </row>
    <row r="6749" ht="14.5" customHeight="1" spans="11:29" x14ac:dyDescent="0.25">
      <c r="K6749" s="128"/>
      <c r="X6749" s="234">
        <v>2022</v>
      </c>
      <c r="Y6749" s="234">
        <v>10</v>
      </c>
      <c r="Z6749" s="234">
        <v>9</v>
      </c>
      <c r="AA6749" s="235">
        <v>0.125</v>
      </c>
      <c r="AB6749" s="236">
        <v>5.1</v>
      </c>
      <c r="AC6749" s="127">
        <f t="shared" si="120"/>
        <v>5</v>
      </c>
    </row>
    <row r="6750" ht="14.5" customHeight="1" spans="11:29" x14ac:dyDescent="0.25">
      <c r="K6750" s="128"/>
      <c r="X6750" s="234">
        <v>2022</v>
      </c>
      <c r="Y6750" s="234">
        <v>10</v>
      </c>
      <c r="Z6750" s="234">
        <v>9</v>
      </c>
      <c r="AA6750" s="235">
        <v>0.16666666666787933</v>
      </c>
      <c r="AB6750" s="236">
        <v>4.9</v>
      </c>
      <c r="AC6750" s="127">
        <f t="shared" si="120"/>
        <v>5</v>
      </c>
    </row>
    <row r="6751" ht="14.5" customHeight="1" spans="11:29" x14ac:dyDescent="0.25">
      <c r="K6751" s="128"/>
      <c r="X6751" s="234">
        <v>2022</v>
      </c>
      <c r="Y6751" s="234">
        <v>10</v>
      </c>
      <c r="Z6751" s="234">
        <v>9</v>
      </c>
      <c r="AA6751" s="235">
        <v>0.20833333333212067</v>
      </c>
      <c r="AB6751" s="236">
        <v>5.1</v>
      </c>
      <c r="AC6751" s="127">
        <f t="shared" si="120"/>
        <v>5</v>
      </c>
    </row>
    <row r="6752" ht="14.5" customHeight="1" spans="11:29" x14ac:dyDescent="0.25">
      <c r="K6752" s="128"/>
      <c r="X6752" s="234">
        <v>2022</v>
      </c>
      <c r="Y6752" s="234">
        <v>10</v>
      </c>
      <c r="Z6752" s="234">
        <v>9</v>
      </c>
      <c r="AA6752" s="235">
        <v>0.25</v>
      </c>
      <c r="AB6752" s="236">
        <v>4.9</v>
      </c>
      <c r="AC6752" s="127">
        <f t="shared" si="120"/>
        <v>5</v>
      </c>
    </row>
    <row r="6753" ht="14.5" customHeight="1" spans="11:29" x14ac:dyDescent="0.25">
      <c r="K6753" s="128"/>
      <c r="X6753" s="234">
        <v>2022</v>
      </c>
      <c r="Y6753" s="234">
        <v>10</v>
      </c>
      <c r="Z6753" s="234">
        <v>9</v>
      </c>
      <c r="AA6753" s="235">
        <v>0.2916666666678793</v>
      </c>
      <c r="AB6753" s="236">
        <v>4.2</v>
      </c>
      <c r="AC6753" s="127">
        <f t="shared" si="120"/>
        <v>4</v>
      </c>
    </row>
    <row r="6754" ht="14.5" customHeight="1" spans="11:29" x14ac:dyDescent="0.25">
      <c r="K6754" s="128"/>
      <c r="X6754" s="234">
        <v>2022</v>
      </c>
      <c r="Y6754" s="234">
        <v>10</v>
      </c>
      <c r="Z6754" s="234">
        <v>9</v>
      </c>
      <c r="AA6754" s="235">
        <v>0.3333333333321207</v>
      </c>
      <c r="AB6754" s="236">
        <v>7.2</v>
      </c>
      <c r="AC6754" s="127">
        <f t="shared" si="120"/>
        <v>7</v>
      </c>
    </row>
    <row r="6755" ht="14.5" customHeight="1" spans="11:29" x14ac:dyDescent="0.25">
      <c r="K6755" s="128"/>
      <c r="X6755" s="234">
        <v>2022</v>
      </c>
      <c r="Y6755" s="234">
        <v>10</v>
      </c>
      <c r="Z6755" s="234">
        <v>9</v>
      </c>
      <c r="AA6755" s="235">
        <v>0.375</v>
      </c>
      <c r="AB6755" s="236">
        <v>11.6</v>
      </c>
      <c r="AC6755" s="127">
        <f t="shared" si="120"/>
        <v>12</v>
      </c>
    </row>
    <row r="6756" ht="14.5" customHeight="1" spans="11:29" x14ac:dyDescent="0.25">
      <c r="K6756" s="128"/>
      <c r="X6756" s="234">
        <v>2022</v>
      </c>
      <c r="Y6756" s="234">
        <v>10</v>
      </c>
      <c r="Z6756" s="234">
        <v>9</v>
      </c>
      <c r="AA6756" s="235">
        <v>0.4166666666678793</v>
      </c>
      <c r="AB6756" s="236">
        <v>14.6</v>
      </c>
      <c r="AC6756" s="127">
        <f t="shared" si="120"/>
        <v>15</v>
      </c>
    </row>
    <row r="6757" ht="14.5" customHeight="1" spans="11:29" x14ac:dyDescent="0.25">
      <c r="K6757" s="128"/>
      <c r="X6757" s="234">
        <v>2022</v>
      </c>
      <c r="Y6757" s="234">
        <v>10</v>
      </c>
      <c r="Z6757" s="234">
        <v>9</v>
      </c>
      <c r="AA6757" s="235">
        <v>0.4583333333321207</v>
      </c>
      <c r="AB6757" s="236">
        <v>16.5</v>
      </c>
      <c r="AC6757" s="127">
        <f t="shared" si="120"/>
        <v>17</v>
      </c>
    </row>
    <row r="6758" ht="14.5" customHeight="1" spans="11:29" x14ac:dyDescent="0.25">
      <c r="K6758" s="128"/>
      <c r="X6758" s="234">
        <v>2022</v>
      </c>
      <c r="Y6758" s="234">
        <v>10</v>
      </c>
      <c r="Z6758" s="234">
        <v>9</v>
      </c>
      <c r="AA6758" s="235">
        <v>0.5</v>
      </c>
      <c r="AB6758" s="236">
        <v>18.2</v>
      </c>
      <c r="AC6758" s="127">
        <f t="shared" si="120"/>
        <v>18</v>
      </c>
    </row>
    <row r="6759" ht="14.5" customHeight="1" spans="11:29" x14ac:dyDescent="0.25">
      <c r="K6759" s="128"/>
      <c r="X6759" s="234">
        <v>2022</v>
      </c>
      <c r="Y6759" s="234">
        <v>10</v>
      </c>
      <c r="Z6759" s="234">
        <v>9</v>
      </c>
      <c r="AA6759" s="235">
        <v>0.5416666666678793</v>
      </c>
      <c r="AB6759" s="236">
        <v>19.3</v>
      </c>
      <c r="AC6759" s="127">
        <f t="shared" si="120"/>
        <v>19</v>
      </c>
    </row>
    <row r="6760" ht="14.5" customHeight="1" spans="11:29" x14ac:dyDescent="0.25">
      <c r="K6760" s="128"/>
      <c r="X6760" s="234">
        <v>2022</v>
      </c>
      <c r="Y6760" s="234">
        <v>10</v>
      </c>
      <c r="Z6760" s="234">
        <v>9</v>
      </c>
      <c r="AA6760" s="235">
        <v>0.5833333333321207</v>
      </c>
      <c r="AB6760" s="236">
        <v>20.2</v>
      </c>
      <c r="AC6760" s="127">
        <f t="shared" si="120"/>
        <v>20</v>
      </c>
    </row>
    <row r="6761" ht="14.5" customHeight="1" spans="11:29" x14ac:dyDescent="0.25">
      <c r="K6761" s="128"/>
      <c r="X6761" s="234">
        <v>2022</v>
      </c>
      <c r="Y6761" s="234">
        <v>10</v>
      </c>
      <c r="Z6761" s="234">
        <v>9</v>
      </c>
      <c r="AA6761" s="235">
        <v>0.625</v>
      </c>
      <c r="AB6761" s="236">
        <v>20.5</v>
      </c>
      <c r="AC6761" s="127">
        <f t="shared" si="120"/>
        <v>21</v>
      </c>
    </row>
    <row r="6762" ht="14.5" customHeight="1" spans="11:29" x14ac:dyDescent="0.25">
      <c r="K6762" s="128"/>
      <c r="X6762" s="234">
        <v>2022</v>
      </c>
      <c r="Y6762" s="234">
        <v>10</v>
      </c>
      <c r="Z6762" s="234">
        <v>9</v>
      </c>
      <c r="AA6762" s="235">
        <v>0.6666666666678793</v>
      </c>
      <c r="AB6762" s="236">
        <v>20.1</v>
      </c>
      <c r="AC6762" s="127">
        <f t="shared" si="120"/>
        <v>20</v>
      </c>
    </row>
    <row r="6763" ht="14.5" customHeight="1" spans="11:29" x14ac:dyDescent="0.25">
      <c r="K6763" s="128"/>
      <c r="X6763" s="234">
        <v>2022</v>
      </c>
      <c r="Y6763" s="234">
        <v>10</v>
      </c>
      <c r="Z6763" s="234">
        <v>9</v>
      </c>
      <c r="AA6763" s="235">
        <v>0.7083333333321207</v>
      </c>
      <c r="AB6763" s="236">
        <v>18.5</v>
      </c>
      <c r="AC6763" s="127">
        <f t="shared" si="120"/>
        <v>19</v>
      </c>
    </row>
    <row r="6764" ht="14.5" customHeight="1" spans="11:29" x14ac:dyDescent="0.25">
      <c r="K6764" s="128"/>
      <c r="X6764" s="234">
        <v>2022</v>
      </c>
      <c r="Y6764" s="234">
        <v>10</v>
      </c>
      <c r="Z6764" s="234">
        <v>9</v>
      </c>
      <c r="AA6764" s="235">
        <v>0.75</v>
      </c>
      <c r="AB6764" s="236">
        <v>14.7</v>
      </c>
      <c r="AC6764" s="127">
        <f t="shared" si="120"/>
        <v>15</v>
      </c>
    </row>
    <row r="6765" ht="14.5" customHeight="1" spans="11:29" x14ac:dyDescent="0.25">
      <c r="K6765" s="128"/>
      <c r="X6765" s="234">
        <v>2022</v>
      </c>
      <c r="Y6765" s="234">
        <v>10</v>
      </c>
      <c r="Z6765" s="234">
        <v>9</v>
      </c>
      <c r="AA6765" s="235">
        <v>0.7916666666678793</v>
      </c>
      <c r="AB6765" s="236">
        <v>13.1</v>
      </c>
      <c r="AC6765" s="127">
        <f t="shared" si="120"/>
        <v>13</v>
      </c>
    </row>
    <row r="6766" ht="14.5" customHeight="1" spans="11:29" x14ac:dyDescent="0.25">
      <c r="K6766" s="128"/>
      <c r="X6766" s="234">
        <v>2022</v>
      </c>
      <c r="Y6766" s="234">
        <v>10</v>
      </c>
      <c r="Z6766" s="234">
        <v>9</v>
      </c>
      <c r="AA6766" s="235">
        <v>0.8333333333321207</v>
      </c>
      <c r="AB6766" s="236">
        <v>11</v>
      </c>
      <c r="AC6766" s="127">
        <f t="shared" si="120"/>
        <v>11</v>
      </c>
    </row>
    <row r="6767" ht="14.5" customHeight="1" spans="11:29" x14ac:dyDescent="0.25">
      <c r="K6767" s="128"/>
      <c r="X6767" s="234">
        <v>2022</v>
      </c>
      <c r="Y6767" s="234">
        <v>10</v>
      </c>
      <c r="Z6767" s="234">
        <v>9</v>
      </c>
      <c r="AA6767" s="235">
        <v>0.875</v>
      </c>
      <c r="AB6767" s="236">
        <v>11.2</v>
      </c>
      <c r="AC6767" s="127">
        <f t="shared" si="120"/>
        <v>11</v>
      </c>
    </row>
    <row r="6768" ht="14.5" customHeight="1" spans="11:29" x14ac:dyDescent="0.25">
      <c r="K6768" s="128"/>
      <c r="X6768" s="234">
        <v>2022</v>
      </c>
      <c r="Y6768" s="234">
        <v>10</v>
      </c>
      <c r="Z6768" s="234">
        <v>9</v>
      </c>
      <c r="AA6768" s="235">
        <v>0.9166666666678793</v>
      </c>
      <c r="AB6768" s="236">
        <v>10.2</v>
      </c>
      <c r="AC6768" s="127">
        <f t="shared" si="120"/>
        <v>10</v>
      </c>
    </row>
    <row r="6769" ht="14.5" customHeight="1" spans="11:29" x14ac:dyDescent="0.25">
      <c r="K6769" s="128"/>
      <c r="X6769" s="234">
        <v>2022</v>
      </c>
      <c r="Y6769" s="234">
        <v>10</v>
      </c>
      <c r="Z6769" s="234">
        <v>9</v>
      </c>
      <c r="AA6769" s="235">
        <v>0.9583333333321207</v>
      </c>
      <c r="AB6769" s="236">
        <v>10.6</v>
      </c>
      <c r="AC6769" s="127">
        <f t="shared" si="120"/>
        <v>11</v>
      </c>
    </row>
    <row r="6770" ht="14.5" customHeight="1" spans="11:29" x14ac:dyDescent="0.25">
      <c r="K6770" s="128"/>
      <c r="X6770" s="234">
        <v>2022</v>
      </c>
      <c r="Y6770" s="234">
        <v>10</v>
      </c>
      <c r="Z6770" s="234">
        <v>10</v>
      </c>
      <c r="AA6770" s="235">
        <v>0</v>
      </c>
      <c r="AB6770" s="236">
        <v>7.8</v>
      </c>
      <c r="AC6770" s="127">
        <f t="shared" si="120"/>
        <v>8</v>
      </c>
    </row>
    <row r="6771" ht="14.5" customHeight="1" spans="11:29" x14ac:dyDescent="0.25">
      <c r="K6771" s="128"/>
      <c r="X6771" s="234">
        <v>2022</v>
      </c>
      <c r="Y6771" s="234">
        <v>10</v>
      </c>
      <c r="Z6771" s="234">
        <v>10</v>
      </c>
      <c r="AA6771" s="235">
        <v>0.041666666667879326</v>
      </c>
      <c r="AB6771" s="236">
        <v>6.8</v>
      </c>
      <c r="AC6771" s="127">
        <f t="shared" si="120"/>
        <v>7</v>
      </c>
    </row>
    <row r="6772" ht="14.5" customHeight="1" spans="11:29" x14ac:dyDescent="0.25">
      <c r="K6772" s="128"/>
      <c r="X6772" s="234">
        <v>2022</v>
      </c>
      <c r="Y6772" s="234">
        <v>10</v>
      </c>
      <c r="Z6772" s="234">
        <v>10</v>
      </c>
      <c r="AA6772" s="235">
        <v>0.08333333333212067</v>
      </c>
      <c r="AB6772" s="236">
        <v>6.8</v>
      </c>
      <c r="AC6772" s="127">
        <f t="shared" si="120"/>
        <v>7</v>
      </c>
    </row>
    <row r="6773" ht="14.5" customHeight="1" spans="11:29" x14ac:dyDescent="0.25">
      <c r="K6773" s="128"/>
      <c r="X6773" s="234">
        <v>2022</v>
      </c>
      <c r="Y6773" s="234">
        <v>10</v>
      </c>
      <c r="Z6773" s="234">
        <v>10</v>
      </c>
      <c r="AA6773" s="235">
        <v>0.125</v>
      </c>
      <c r="AB6773" s="236">
        <v>6.5</v>
      </c>
      <c r="AC6773" s="127">
        <f t="shared" si="120"/>
        <v>7</v>
      </c>
    </row>
    <row r="6774" ht="14.5" customHeight="1" spans="11:29" x14ac:dyDescent="0.25">
      <c r="K6774" s="128"/>
      <c r="X6774" s="234">
        <v>2022</v>
      </c>
      <c r="Y6774" s="234">
        <v>10</v>
      </c>
      <c r="Z6774" s="234">
        <v>10</v>
      </c>
      <c r="AA6774" s="235">
        <v>0.16666666666787933</v>
      </c>
      <c r="AB6774" s="236">
        <v>6.7</v>
      </c>
      <c r="AC6774" s="127">
        <f t="shared" si="120"/>
        <v>7</v>
      </c>
    </row>
    <row r="6775" ht="14.5" customHeight="1" spans="11:29" x14ac:dyDescent="0.25">
      <c r="K6775" s="128"/>
      <c r="X6775" s="234">
        <v>2022</v>
      </c>
      <c r="Y6775" s="234">
        <v>10</v>
      </c>
      <c r="Z6775" s="234">
        <v>10</v>
      </c>
      <c r="AA6775" s="235">
        <v>0.20833333333212067</v>
      </c>
      <c r="AB6775" s="236">
        <v>7.1</v>
      </c>
      <c r="AC6775" s="127">
        <f t="shared" si="120"/>
        <v>7</v>
      </c>
    </row>
    <row r="6776" ht="14.5" customHeight="1" spans="11:29" x14ac:dyDescent="0.25">
      <c r="K6776" s="128"/>
      <c r="X6776" s="234">
        <v>2022</v>
      </c>
      <c r="Y6776" s="234">
        <v>10</v>
      </c>
      <c r="Z6776" s="234">
        <v>10</v>
      </c>
      <c r="AA6776" s="235">
        <v>0.25</v>
      </c>
      <c r="AB6776" s="236">
        <v>7</v>
      </c>
      <c r="AC6776" s="127">
        <f t="shared" si="120"/>
        <v>7</v>
      </c>
    </row>
    <row r="6777" ht="14.5" customHeight="1" spans="11:29" x14ac:dyDescent="0.25">
      <c r="K6777" s="128"/>
      <c r="X6777" s="234">
        <v>2022</v>
      </c>
      <c r="Y6777" s="234">
        <v>10</v>
      </c>
      <c r="Z6777" s="234">
        <v>10</v>
      </c>
      <c r="AA6777" s="235">
        <v>0.2916666666678793</v>
      </c>
      <c r="AB6777" s="236">
        <v>7.2</v>
      </c>
      <c r="AC6777" s="127">
        <f t="shared" si="120"/>
        <v>7</v>
      </c>
    </row>
    <row r="6778" ht="14.5" customHeight="1" spans="11:29" x14ac:dyDescent="0.25">
      <c r="K6778" s="128"/>
      <c r="X6778" s="234">
        <v>2022</v>
      </c>
      <c r="Y6778" s="234">
        <v>10</v>
      </c>
      <c r="Z6778" s="234">
        <v>10</v>
      </c>
      <c r="AA6778" s="235">
        <v>0.3333333333321207</v>
      </c>
      <c r="AB6778" s="236">
        <v>10.4</v>
      </c>
      <c r="AC6778" s="127">
        <f t="shared" si="120"/>
        <v>10</v>
      </c>
    </row>
    <row r="6779" ht="14.5" customHeight="1" spans="11:29" x14ac:dyDescent="0.25">
      <c r="K6779" s="128"/>
      <c r="X6779" s="234">
        <v>2022</v>
      </c>
      <c r="Y6779" s="234">
        <v>10</v>
      </c>
      <c r="Z6779" s="234">
        <v>10</v>
      </c>
      <c r="AA6779" s="235">
        <v>0.375</v>
      </c>
      <c r="AB6779" s="236">
        <v>14.4</v>
      </c>
      <c r="AC6779" s="127">
        <f t="shared" si="120"/>
        <v>14</v>
      </c>
    </row>
    <row r="6780" ht="14.5" customHeight="1" spans="11:29" x14ac:dyDescent="0.25">
      <c r="K6780" s="128"/>
      <c r="X6780" s="234">
        <v>2022</v>
      </c>
      <c r="Y6780" s="234">
        <v>10</v>
      </c>
      <c r="Z6780" s="234">
        <v>10</v>
      </c>
      <c r="AA6780" s="235">
        <v>0.4166666666678793</v>
      </c>
      <c r="AB6780" s="236">
        <v>20.5</v>
      </c>
      <c r="AC6780" s="127">
        <f t="shared" si="120"/>
        <v>21</v>
      </c>
    </row>
    <row r="6781" ht="14.5" customHeight="1" spans="11:29" x14ac:dyDescent="0.25">
      <c r="K6781" s="128"/>
      <c r="X6781" s="234">
        <v>2022</v>
      </c>
      <c r="Y6781" s="234">
        <v>10</v>
      </c>
      <c r="Z6781" s="234">
        <v>10</v>
      </c>
      <c r="AA6781" s="235">
        <v>0.4583333333321207</v>
      </c>
      <c r="AB6781" s="236">
        <v>19.5</v>
      </c>
      <c r="AC6781" s="127">
        <f t="shared" si="120"/>
        <v>20</v>
      </c>
    </row>
    <row r="6782" ht="14.5" customHeight="1" spans="11:29" x14ac:dyDescent="0.25">
      <c r="K6782" s="128"/>
      <c r="X6782" s="234">
        <v>2022</v>
      </c>
      <c r="Y6782" s="234">
        <v>10</v>
      </c>
      <c r="Z6782" s="234">
        <v>10</v>
      </c>
      <c r="AA6782" s="235">
        <v>0.5</v>
      </c>
      <c r="AB6782" s="236">
        <v>17.8</v>
      </c>
      <c r="AC6782" s="127">
        <f t="shared" si="120"/>
        <v>18</v>
      </c>
    </row>
    <row r="6783" ht="14.5" customHeight="1" spans="11:29" x14ac:dyDescent="0.25">
      <c r="K6783" s="128"/>
      <c r="X6783" s="234">
        <v>2022</v>
      </c>
      <c r="Y6783" s="234">
        <v>10</v>
      </c>
      <c r="Z6783" s="234">
        <v>10</v>
      </c>
      <c r="AA6783" s="235">
        <v>0.5416666666678793</v>
      </c>
      <c r="AB6783" s="236">
        <v>20</v>
      </c>
      <c r="AC6783" s="127">
        <f t="shared" si="120"/>
        <v>20</v>
      </c>
    </row>
    <row r="6784" ht="14.5" customHeight="1" spans="11:29" x14ac:dyDescent="0.25">
      <c r="K6784" s="128"/>
      <c r="X6784" s="234">
        <v>2022</v>
      </c>
      <c r="Y6784" s="234">
        <v>10</v>
      </c>
      <c r="Z6784" s="234">
        <v>10</v>
      </c>
      <c r="AA6784" s="235">
        <v>0.5833333333321207</v>
      </c>
      <c r="AB6784" s="236">
        <v>20.8</v>
      </c>
      <c r="AC6784" s="127">
        <f t="shared" si="120"/>
        <v>21</v>
      </c>
    </row>
    <row r="6785" ht="14.5" customHeight="1" spans="11:29" x14ac:dyDescent="0.25">
      <c r="K6785" s="128"/>
      <c r="X6785" s="234">
        <v>2022</v>
      </c>
      <c r="Y6785" s="234">
        <v>10</v>
      </c>
      <c r="Z6785" s="234">
        <v>10</v>
      </c>
      <c r="AA6785" s="235">
        <v>0.625</v>
      </c>
      <c r="AB6785" s="236">
        <v>22</v>
      </c>
      <c r="AC6785" s="127">
        <f t="shared" si="120"/>
        <v>22</v>
      </c>
    </row>
    <row r="6786" ht="14.5" customHeight="1" spans="11:29" x14ac:dyDescent="0.25">
      <c r="K6786" s="128"/>
      <c r="X6786" s="234">
        <v>2022</v>
      </c>
      <c r="Y6786" s="234">
        <v>10</v>
      </c>
      <c r="Z6786" s="234">
        <v>10</v>
      </c>
      <c r="AA6786" s="235">
        <v>0.6666666666678793</v>
      </c>
      <c r="AB6786" s="236">
        <v>20.1</v>
      </c>
      <c r="AC6786" s="127">
        <f t="shared" si="120"/>
        <v>20</v>
      </c>
    </row>
    <row r="6787" ht="14.5" customHeight="1" spans="11:29" x14ac:dyDescent="0.25">
      <c r="K6787" s="128"/>
      <c r="X6787" s="234">
        <v>2022</v>
      </c>
      <c r="Y6787" s="234">
        <v>10</v>
      </c>
      <c r="Z6787" s="234">
        <v>10</v>
      </c>
      <c r="AA6787" s="235">
        <v>0.7083333333321207</v>
      </c>
      <c r="AB6787" s="236">
        <v>19.3</v>
      </c>
      <c r="AC6787" s="127">
        <f t="shared" si="120"/>
        <v>19</v>
      </c>
    </row>
    <row r="6788" ht="14.5" customHeight="1" spans="11:29" x14ac:dyDescent="0.25">
      <c r="K6788" s="128"/>
      <c r="X6788" s="234">
        <v>2022</v>
      </c>
      <c r="Y6788" s="234">
        <v>10</v>
      </c>
      <c r="Z6788" s="234">
        <v>10</v>
      </c>
      <c r="AA6788" s="235">
        <v>0.75</v>
      </c>
      <c r="AB6788" s="236">
        <v>16.7</v>
      </c>
      <c r="AC6788" s="127">
        <f t="shared" si="120"/>
        <v>17</v>
      </c>
    </row>
    <row r="6789" ht="14.5" customHeight="1" spans="11:29" x14ac:dyDescent="0.25">
      <c r="K6789" s="128"/>
      <c r="X6789" s="234">
        <v>2022</v>
      </c>
      <c r="Y6789" s="234">
        <v>10</v>
      </c>
      <c r="Z6789" s="234">
        <v>10</v>
      </c>
      <c r="AA6789" s="235">
        <v>0.7916666666678793</v>
      </c>
      <c r="AB6789" s="236">
        <v>13.8</v>
      </c>
      <c r="AC6789" s="127">
        <f t="shared" si="120"/>
        <v>14</v>
      </c>
    </row>
    <row r="6790" ht="14.5" customHeight="1" spans="11:29" x14ac:dyDescent="0.25">
      <c r="K6790" s="128"/>
      <c r="X6790" s="234">
        <v>2022</v>
      </c>
      <c r="Y6790" s="234">
        <v>10</v>
      </c>
      <c r="Z6790" s="234">
        <v>10</v>
      </c>
      <c r="AA6790" s="235">
        <v>0.8333333333321207</v>
      </c>
      <c r="AB6790" s="236">
        <v>10.7</v>
      </c>
      <c r="AC6790" s="127">
        <f t="shared" si="120"/>
        <v>11</v>
      </c>
    </row>
    <row r="6791" ht="14.5" customHeight="1" spans="11:29" x14ac:dyDescent="0.25">
      <c r="K6791" s="128"/>
      <c r="X6791" s="234">
        <v>2022</v>
      </c>
      <c r="Y6791" s="234">
        <v>10</v>
      </c>
      <c r="Z6791" s="234">
        <v>10</v>
      </c>
      <c r="AA6791" s="235">
        <v>0.875</v>
      </c>
      <c r="AB6791" s="236">
        <v>7.8</v>
      </c>
      <c r="AC6791" s="127">
        <f t="shared" si="120"/>
        <v>8</v>
      </c>
    </row>
    <row r="6792" ht="14.5" customHeight="1" spans="11:29" x14ac:dyDescent="0.25">
      <c r="K6792" s="128"/>
      <c r="X6792" s="234">
        <v>2022</v>
      </c>
      <c r="Y6792" s="234">
        <v>10</v>
      </c>
      <c r="Z6792" s="234">
        <v>10</v>
      </c>
      <c r="AA6792" s="235">
        <v>0.9166666666678793</v>
      </c>
      <c r="AB6792" s="236">
        <v>6</v>
      </c>
      <c r="AC6792" s="127">
        <f t="shared" si="120"/>
        <v>6</v>
      </c>
    </row>
    <row r="6793" ht="14.5" customHeight="1" spans="11:29" x14ac:dyDescent="0.25">
      <c r="K6793" s="128"/>
      <c r="X6793" s="234">
        <v>2022</v>
      </c>
      <c r="Y6793" s="234">
        <v>10</v>
      </c>
      <c r="Z6793" s="234">
        <v>10</v>
      </c>
      <c r="AA6793" s="235">
        <v>0.9583333333321207</v>
      </c>
      <c r="AB6793" s="236">
        <v>5.6</v>
      </c>
      <c r="AC6793" s="127">
        <f t="shared" si="120"/>
        <v>6</v>
      </c>
    </row>
    <row r="6794" ht="14.5" customHeight="1" spans="11:29" x14ac:dyDescent="0.25">
      <c r="K6794" s="128"/>
      <c r="X6794" s="234">
        <v>2022</v>
      </c>
      <c r="Y6794" s="234">
        <v>10</v>
      </c>
      <c r="Z6794" s="234">
        <v>11</v>
      </c>
      <c r="AA6794" s="235">
        <v>0</v>
      </c>
      <c r="AB6794" s="236">
        <v>5.3</v>
      </c>
      <c r="AC6794" s="127">
        <f t="shared" si="120"/>
        <v>5</v>
      </c>
    </row>
    <row r="6795" ht="14.5" customHeight="1" spans="11:29" x14ac:dyDescent="0.25">
      <c r="K6795" s="128"/>
      <c r="X6795" s="234">
        <v>2022</v>
      </c>
      <c r="Y6795" s="234">
        <v>10</v>
      </c>
      <c r="Z6795" s="234">
        <v>11</v>
      </c>
      <c r="AA6795" s="235">
        <v>0.041666666667879326</v>
      </c>
      <c r="AB6795" s="236">
        <v>5.5</v>
      </c>
      <c r="AC6795" s="127">
        <f t="shared" ref="AC6795:AC6858" si="121">ROUND(AB6795,0)</f>
        <v>6</v>
      </c>
    </row>
    <row r="6796" ht="14.5" customHeight="1" spans="11:29" x14ac:dyDescent="0.25">
      <c r="K6796" s="128"/>
      <c r="X6796" s="234">
        <v>2022</v>
      </c>
      <c r="Y6796" s="234">
        <v>10</v>
      </c>
      <c r="Z6796" s="234">
        <v>11</v>
      </c>
      <c r="AA6796" s="235">
        <v>0.08333333333212067</v>
      </c>
      <c r="AB6796" s="236">
        <v>5.6</v>
      </c>
      <c r="AC6796" s="127">
        <f t="shared" si="121"/>
        <v>6</v>
      </c>
    </row>
    <row r="6797" ht="14.5" customHeight="1" spans="11:29" x14ac:dyDescent="0.25">
      <c r="K6797" s="128"/>
      <c r="X6797" s="234">
        <v>2022</v>
      </c>
      <c r="Y6797" s="234">
        <v>10</v>
      </c>
      <c r="Z6797" s="234">
        <v>11</v>
      </c>
      <c r="AA6797" s="235">
        <v>0.125</v>
      </c>
      <c r="AB6797" s="236">
        <v>5.1</v>
      </c>
      <c r="AC6797" s="127">
        <f t="shared" si="121"/>
        <v>5</v>
      </c>
    </row>
    <row r="6798" ht="14.5" customHeight="1" spans="11:29" x14ac:dyDescent="0.25">
      <c r="K6798" s="128"/>
      <c r="X6798" s="234">
        <v>2022</v>
      </c>
      <c r="Y6798" s="234">
        <v>10</v>
      </c>
      <c r="Z6798" s="234">
        <v>11</v>
      </c>
      <c r="AA6798" s="235">
        <v>0.16666666666787933</v>
      </c>
      <c r="AB6798" s="236">
        <v>3.8</v>
      </c>
      <c r="AC6798" s="127">
        <f t="shared" si="121"/>
        <v>4</v>
      </c>
    </row>
    <row r="6799" ht="14.5" customHeight="1" spans="11:29" x14ac:dyDescent="0.25">
      <c r="K6799" s="128"/>
      <c r="X6799" s="234">
        <v>2022</v>
      </c>
      <c r="Y6799" s="234">
        <v>10</v>
      </c>
      <c r="Z6799" s="234">
        <v>11</v>
      </c>
      <c r="AA6799" s="235">
        <v>0.20833333333212067</v>
      </c>
      <c r="AB6799" s="236">
        <v>1.9</v>
      </c>
      <c r="AC6799" s="127">
        <f t="shared" si="121"/>
        <v>2</v>
      </c>
    </row>
    <row r="6800" ht="14.5" customHeight="1" spans="11:29" x14ac:dyDescent="0.25">
      <c r="K6800" s="128"/>
      <c r="X6800" s="234">
        <v>2022</v>
      </c>
      <c r="Y6800" s="234">
        <v>10</v>
      </c>
      <c r="Z6800" s="234">
        <v>11</v>
      </c>
      <c r="AA6800" s="235">
        <v>0.25</v>
      </c>
      <c r="AB6800" s="236">
        <v>2.3</v>
      </c>
      <c r="AC6800" s="127">
        <f t="shared" si="121"/>
        <v>2</v>
      </c>
    </row>
    <row r="6801" ht="14.5" customHeight="1" spans="11:29" x14ac:dyDescent="0.25">
      <c r="K6801" s="128"/>
      <c r="X6801" s="234">
        <v>2022</v>
      </c>
      <c r="Y6801" s="234">
        <v>10</v>
      </c>
      <c r="Z6801" s="234">
        <v>11</v>
      </c>
      <c r="AA6801" s="235">
        <v>0.2916666666678793</v>
      </c>
      <c r="AB6801" s="236">
        <v>0.6</v>
      </c>
      <c r="AC6801" s="127">
        <f t="shared" si="121"/>
        <v>1</v>
      </c>
    </row>
    <row r="6802" ht="14.5" customHeight="1" spans="11:29" x14ac:dyDescent="0.25">
      <c r="K6802" s="128"/>
      <c r="X6802" s="234">
        <v>2022</v>
      </c>
      <c r="Y6802" s="234">
        <v>10</v>
      </c>
      <c r="Z6802" s="234">
        <v>11</v>
      </c>
      <c r="AA6802" s="235">
        <v>0.3333333333321207</v>
      </c>
      <c r="AB6802" s="236">
        <v>4.2</v>
      </c>
      <c r="AC6802" s="127">
        <f t="shared" si="121"/>
        <v>4</v>
      </c>
    </row>
    <row r="6803" ht="14.5" customHeight="1" spans="11:29" x14ac:dyDescent="0.25">
      <c r="K6803" s="128"/>
      <c r="X6803" s="234">
        <v>2022</v>
      </c>
      <c r="Y6803" s="234">
        <v>10</v>
      </c>
      <c r="Z6803" s="234">
        <v>11</v>
      </c>
      <c r="AA6803" s="235">
        <v>0.375</v>
      </c>
      <c r="AB6803" s="236">
        <v>6.9</v>
      </c>
      <c r="AC6803" s="127">
        <f t="shared" si="121"/>
        <v>7</v>
      </c>
    </row>
    <row r="6804" ht="14.5" customHeight="1" spans="11:29" x14ac:dyDescent="0.25">
      <c r="K6804" s="128"/>
      <c r="X6804" s="234">
        <v>2022</v>
      </c>
      <c r="Y6804" s="234">
        <v>10</v>
      </c>
      <c r="Z6804" s="234">
        <v>11</v>
      </c>
      <c r="AA6804" s="235">
        <v>0.4166666666678793</v>
      </c>
      <c r="AB6804" s="236">
        <v>9.5</v>
      </c>
      <c r="AC6804" s="127">
        <f t="shared" si="121"/>
        <v>10</v>
      </c>
    </row>
    <row r="6805" ht="14.5" customHeight="1" spans="11:29" x14ac:dyDescent="0.25">
      <c r="K6805" s="128"/>
      <c r="X6805" s="234">
        <v>2022</v>
      </c>
      <c r="Y6805" s="234">
        <v>10</v>
      </c>
      <c r="Z6805" s="234">
        <v>11</v>
      </c>
      <c r="AA6805" s="235">
        <v>0.4583333333321207</v>
      </c>
      <c r="AB6805" s="236">
        <v>10.9</v>
      </c>
      <c r="AC6805" s="127">
        <f t="shared" si="121"/>
        <v>11</v>
      </c>
    </row>
    <row r="6806" ht="14.5" customHeight="1" spans="11:29" x14ac:dyDescent="0.25">
      <c r="K6806" s="128"/>
      <c r="X6806" s="234">
        <v>2022</v>
      </c>
      <c r="Y6806" s="234">
        <v>10</v>
      </c>
      <c r="Z6806" s="234">
        <v>11</v>
      </c>
      <c r="AA6806" s="235">
        <v>0.5</v>
      </c>
      <c r="AB6806" s="236">
        <v>12.1</v>
      </c>
      <c r="AC6806" s="127">
        <f t="shared" si="121"/>
        <v>12</v>
      </c>
    </row>
    <row r="6807" ht="14.5" customHeight="1" spans="11:29" x14ac:dyDescent="0.25">
      <c r="K6807" s="128"/>
      <c r="X6807" s="234">
        <v>2022</v>
      </c>
      <c r="Y6807" s="234">
        <v>10</v>
      </c>
      <c r="Z6807" s="234">
        <v>11</v>
      </c>
      <c r="AA6807" s="235">
        <v>0.5416666666678793</v>
      </c>
      <c r="AB6807" s="236">
        <v>12.4</v>
      </c>
      <c r="AC6807" s="127">
        <f t="shared" si="121"/>
        <v>12</v>
      </c>
    </row>
    <row r="6808" ht="14.5" customHeight="1" spans="11:29" x14ac:dyDescent="0.25">
      <c r="K6808" s="128"/>
      <c r="X6808" s="234">
        <v>2022</v>
      </c>
      <c r="Y6808" s="234">
        <v>10</v>
      </c>
      <c r="Z6808" s="234">
        <v>11</v>
      </c>
      <c r="AA6808" s="235">
        <v>0.5833333333321207</v>
      </c>
      <c r="AB6808" s="236">
        <v>12.9</v>
      </c>
      <c r="AC6808" s="127">
        <f t="shared" si="121"/>
        <v>13</v>
      </c>
    </row>
    <row r="6809" ht="14.5" customHeight="1" spans="11:29" x14ac:dyDescent="0.25">
      <c r="K6809" s="128"/>
      <c r="X6809" s="234">
        <v>2022</v>
      </c>
      <c r="Y6809" s="234">
        <v>10</v>
      </c>
      <c r="Z6809" s="234">
        <v>11</v>
      </c>
      <c r="AA6809" s="235">
        <v>0.625</v>
      </c>
      <c r="AB6809" s="236">
        <v>12.5</v>
      </c>
      <c r="AC6809" s="127">
        <f t="shared" si="121"/>
        <v>13</v>
      </c>
    </row>
    <row r="6810" ht="14.5" customHeight="1" spans="11:29" x14ac:dyDescent="0.25">
      <c r="K6810" s="128"/>
      <c r="X6810" s="234">
        <v>2022</v>
      </c>
      <c r="Y6810" s="234">
        <v>10</v>
      </c>
      <c r="Z6810" s="234">
        <v>11</v>
      </c>
      <c r="AA6810" s="235">
        <v>0.6666666666678793</v>
      </c>
      <c r="AB6810" s="236">
        <v>12</v>
      </c>
      <c r="AC6810" s="127">
        <f t="shared" si="121"/>
        <v>12</v>
      </c>
    </row>
    <row r="6811" ht="14.5" customHeight="1" spans="11:29" x14ac:dyDescent="0.25">
      <c r="K6811" s="128"/>
      <c r="X6811" s="234">
        <v>2022</v>
      </c>
      <c r="Y6811" s="234">
        <v>10</v>
      </c>
      <c r="Z6811" s="234">
        <v>11</v>
      </c>
      <c r="AA6811" s="235">
        <v>0.7083333333321207</v>
      </c>
      <c r="AB6811" s="236">
        <v>10.4</v>
      </c>
      <c r="AC6811" s="127">
        <f t="shared" si="121"/>
        <v>10</v>
      </c>
    </row>
    <row r="6812" ht="14.5" customHeight="1" spans="11:29" x14ac:dyDescent="0.25">
      <c r="K6812" s="128"/>
      <c r="X6812" s="234">
        <v>2022</v>
      </c>
      <c r="Y6812" s="234">
        <v>10</v>
      </c>
      <c r="Z6812" s="234">
        <v>11</v>
      </c>
      <c r="AA6812" s="235">
        <v>0.75</v>
      </c>
      <c r="AB6812" s="236">
        <v>8.6</v>
      </c>
      <c r="AC6812" s="127">
        <f t="shared" si="121"/>
        <v>9</v>
      </c>
    </row>
    <row r="6813" ht="14.5" customHeight="1" spans="11:29" x14ac:dyDescent="0.25">
      <c r="K6813" s="128"/>
      <c r="X6813" s="234">
        <v>2022</v>
      </c>
      <c r="Y6813" s="234">
        <v>10</v>
      </c>
      <c r="Z6813" s="234">
        <v>11</v>
      </c>
      <c r="AA6813" s="235">
        <v>0.7916666666678793</v>
      </c>
      <c r="AB6813" s="236">
        <v>7</v>
      </c>
      <c r="AC6813" s="127">
        <f t="shared" si="121"/>
        <v>7</v>
      </c>
    </row>
    <row r="6814" ht="14.5" customHeight="1" spans="11:29" x14ac:dyDescent="0.25">
      <c r="K6814" s="128"/>
      <c r="X6814" s="234">
        <v>2022</v>
      </c>
      <c r="Y6814" s="234">
        <v>10</v>
      </c>
      <c r="Z6814" s="234">
        <v>11</v>
      </c>
      <c r="AA6814" s="235">
        <v>0.8333333333321207</v>
      </c>
      <c r="AB6814" s="236">
        <v>6.5</v>
      </c>
      <c r="AC6814" s="127">
        <f t="shared" si="121"/>
        <v>7</v>
      </c>
    </row>
    <row r="6815" ht="14.5" customHeight="1" spans="11:29" x14ac:dyDescent="0.25">
      <c r="K6815" s="128"/>
      <c r="X6815" s="234">
        <v>2022</v>
      </c>
      <c r="Y6815" s="234">
        <v>10</v>
      </c>
      <c r="Z6815" s="234">
        <v>11</v>
      </c>
      <c r="AA6815" s="235">
        <v>0.875</v>
      </c>
      <c r="AB6815" s="236">
        <v>5.9</v>
      </c>
      <c r="AC6815" s="127">
        <f t="shared" si="121"/>
        <v>6</v>
      </c>
    </row>
    <row r="6816" ht="14.5" customHeight="1" spans="11:29" x14ac:dyDescent="0.25">
      <c r="K6816" s="128"/>
      <c r="X6816" s="234">
        <v>2022</v>
      </c>
      <c r="Y6816" s="234">
        <v>10</v>
      </c>
      <c r="Z6816" s="234">
        <v>11</v>
      </c>
      <c r="AA6816" s="235">
        <v>0.9166666666678793</v>
      </c>
      <c r="AB6816" s="236">
        <v>6.5</v>
      </c>
      <c r="AC6816" s="127">
        <f t="shared" si="121"/>
        <v>7</v>
      </c>
    </row>
    <row r="6817" ht="14.5" customHeight="1" spans="11:29" x14ac:dyDescent="0.25">
      <c r="K6817" s="128"/>
      <c r="X6817" s="234">
        <v>2022</v>
      </c>
      <c r="Y6817" s="234">
        <v>10</v>
      </c>
      <c r="Z6817" s="234">
        <v>11</v>
      </c>
      <c r="AA6817" s="235">
        <v>0.9583333333321207</v>
      </c>
      <c r="AB6817" s="236">
        <v>8.5</v>
      </c>
      <c r="AC6817" s="127">
        <f t="shared" si="121"/>
        <v>9</v>
      </c>
    </row>
    <row r="6818" ht="14.5" customHeight="1" spans="11:29" x14ac:dyDescent="0.25">
      <c r="K6818" s="128"/>
      <c r="X6818" s="234">
        <v>2022</v>
      </c>
      <c r="Y6818" s="234">
        <v>10</v>
      </c>
      <c r="Z6818" s="234">
        <v>12</v>
      </c>
      <c r="AA6818" s="235">
        <v>0</v>
      </c>
      <c r="AB6818" s="236">
        <v>7.1</v>
      </c>
      <c r="AC6818" s="127">
        <f t="shared" si="121"/>
        <v>7</v>
      </c>
    </row>
    <row r="6819" ht="14.5" customHeight="1" spans="11:29" x14ac:dyDescent="0.25">
      <c r="K6819" s="128"/>
      <c r="X6819" s="234">
        <v>2022</v>
      </c>
      <c r="Y6819" s="234">
        <v>10</v>
      </c>
      <c r="Z6819" s="234">
        <v>12</v>
      </c>
      <c r="AA6819" s="235">
        <v>0.041666666667879326</v>
      </c>
      <c r="AB6819" s="236">
        <v>7.9</v>
      </c>
      <c r="AC6819" s="127">
        <f t="shared" si="121"/>
        <v>8</v>
      </c>
    </row>
    <row r="6820" ht="14.5" customHeight="1" spans="11:29" x14ac:dyDescent="0.25">
      <c r="K6820" s="128"/>
      <c r="X6820" s="234">
        <v>2022</v>
      </c>
      <c r="Y6820" s="234">
        <v>10</v>
      </c>
      <c r="Z6820" s="234">
        <v>12</v>
      </c>
      <c r="AA6820" s="235">
        <v>0.08333333333212067</v>
      </c>
      <c r="AB6820" s="236">
        <v>7</v>
      </c>
      <c r="AC6820" s="127">
        <f t="shared" si="121"/>
        <v>7</v>
      </c>
    </row>
    <row r="6821" ht="14.5" customHeight="1" spans="11:29" x14ac:dyDescent="0.25">
      <c r="K6821" s="128"/>
      <c r="X6821" s="234">
        <v>2022</v>
      </c>
      <c r="Y6821" s="234">
        <v>10</v>
      </c>
      <c r="Z6821" s="234">
        <v>12</v>
      </c>
      <c r="AA6821" s="235">
        <v>0.125</v>
      </c>
      <c r="AB6821" s="236">
        <v>4.5</v>
      </c>
      <c r="AC6821" s="127">
        <f t="shared" si="121"/>
        <v>5</v>
      </c>
    </row>
    <row r="6822" ht="14.5" customHeight="1" spans="11:29" x14ac:dyDescent="0.25">
      <c r="K6822" s="128"/>
      <c r="X6822" s="234">
        <v>2022</v>
      </c>
      <c r="Y6822" s="234">
        <v>10</v>
      </c>
      <c r="Z6822" s="234">
        <v>12</v>
      </c>
      <c r="AA6822" s="235">
        <v>0.16666666666787933</v>
      </c>
      <c r="AB6822" s="236">
        <v>4.1</v>
      </c>
      <c r="AC6822" s="127">
        <f t="shared" si="121"/>
        <v>4</v>
      </c>
    </row>
    <row r="6823" ht="14.5" customHeight="1" spans="11:29" x14ac:dyDescent="0.25">
      <c r="K6823" s="128"/>
      <c r="X6823" s="234">
        <v>2022</v>
      </c>
      <c r="Y6823" s="234">
        <v>10</v>
      </c>
      <c r="Z6823" s="234">
        <v>12</v>
      </c>
      <c r="AA6823" s="235">
        <v>0.20833333333212067</v>
      </c>
      <c r="AB6823" s="236">
        <v>5.4</v>
      </c>
      <c r="AC6823" s="127">
        <f t="shared" si="121"/>
        <v>5</v>
      </c>
    </row>
    <row r="6824" ht="14.5" customHeight="1" spans="11:29" x14ac:dyDescent="0.25">
      <c r="K6824" s="128"/>
      <c r="X6824" s="234">
        <v>2022</v>
      </c>
      <c r="Y6824" s="234">
        <v>10</v>
      </c>
      <c r="Z6824" s="234">
        <v>12</v>
      </c>
      <c r="AA6824" s="235">
        <v>0.25</v>
      </c>
      <c r="AB6824" s="236">
        <v>5.2</v>
      </c>
      <c r="AC6824" s="127">
        <f t="shared" si="121"/>
        <v>5</v>
      </c>
    </row>
    <row r="6825" ht="14.5" customHeight="1" spans="11:29" x14ac:dyDescent="0.25">
      <c r="K6825" s="128"/>
      <c r="X6825" s="234">
        <v>2022</v>
      </c>
      <c r="Y6825" s="234">
        <v>10</v>
      </c>
      <c r="Z6825" s="234">
        <v>12</v>
      </c>
      <c r="AA6825" s="235">
        <v>0.2916666666678793</v>
      </c>
      <c r="AB6825" s="236">
        <v>4.3</v>
      </c>
      <c r="AC6825" s="127">
        <f t="shared" si="121"/>
        <v>4</v>
      </c>
    </row>
    <row r="6826" ht="14.5" customHeight="1" spans="11:29" x14ac:dyDescent="0.25">
      <c r="K6826" s="128"/>
      <c r="X6826" s="234">
        <v>2022</v>
      </c>
      <c r="Y6826" s="234">
        <v>10</v>
      </c>
      <c r="Z6826" s="234">
        <v>12</v>
      </c>
      <c r="AA6826" s="235">
        <v>0.3333333333321207</v>
      </c>
      <c r="AB6826" s="236">
        <v>4.9</v>
      </c>
      <c r="AC6826" s="127">
        <f t="shared" si="121"/>
        <v>5</v>
      </c>
    </row>
    <row r="6827" ht="14.5" customHeight="1" spans="11:29" x14ac:dyDescent="0.25">
      <c r="K6827" s="128"/>
      <c r="X6827" s="234">
        <v>2022</v>
      </c>
      <c r="Y6827" s="234">
        <v>10</v>
      </c>
      <c r="Z6827" s="234">
        <v>12</v>
      </c>
      <c r="AA6827" s="235">
        <v>0.375</v>
      </c>
      <c r="AB6827" s="236">
        <v>8.1</v>
      </c>
      <c r="AC6827" s="127">
        <f t="shared" si="121"/>
        <v>8</v>
      </c>
    </row>
    <row r="6828" ht="14.5" customHeight="1" spans="11:29" x14ac:dyDescent="0.25">
      <c r="K6828" s="128"/>
      <c r="X6828" s="234">
        <v>2022</v>
      </c>
      <c r="Y6828" s="234">
        <v>10</v>
      </c>
      <c r="Z6828" s="234">
        <v>12</v>
      </c>
      <c r="AA6828" s="235">
        <v>0.4166666666678793</v>
      </c>
      <c r="AB6828" s="236">
        <v>9.9</v>
      </c>
      <c r="AC6828" s="127">
        <f t="shared" si="121"/>
        <v>10</v>
      </c>
    </row>
    <row r="6829" ht="14.5" customHeight="1" spans="11:29" x14ac:dyDescent="0.25">
      <c r="K6829" s="128"/>
      <c r="X6829" s="234">
        <v>2022</v>
      </c>
      <c r="Y6829" s="234">
        <v>10</v>
      </c>
      <c r="Z6829" s="234">
        <v>12</v>
      </c>
      <c r="AA6829" s="235">
        <v>0.4583333333321207</v>
      </c>
      <c r="AB6829" s="236">
        <v>10.9</v>
      </c>
      <c r="AC6829" s="127">
        <f t="shared" si="121"/>
        <v>11</v>
      </c>
    </row>
    <row r="6830" ht="14.5" customHeight="1" spans="11:29" x14ac:dyDescent="0.25">
      <c r="K6830" s="128"/>
      <c r="X6830" s="234">
        <v>2022</v>
      </c>
      <c r="Y6830" s="234">
        <v>10</v>
      </c>
      <c r="Z6830" s="234">
        <v>12</v>
      </c>
      <c r="AA6830" s="235">
        <v>0.5</v>
      </c>
      <c r="AB6830" s="236">
        <v>11.7</v>
      </c>
      <c r="AC6830" s="127">
        <f t="shared" si="121"/>
        <v>12</v>
      </c>
    </row>
    <row r="6831" ht="14.5" customHeight="1" spans="11:29" x14ac:dyDescent="0.25">
      <c r="K6831" s="128"/>
      <c r="X6831" s="234">
        <v>2022</v>
      </c>
      <c r="Y6831" s="234">
        <v>10</v>
      </c>
      <c r="Z6831" s="234">
        <v>12</v>
      </c>
      <c r="AA6831" s="235">
        <v>0.5416666666678793</v>
      </c>
      <c r="AB6831" s="236">
        <v>12.5</v>
      </c>
      <c r="AC6831" s="127">
        <f t="shared" si="121"/>
        <v>13</v>
      </c>
    </row>
    <row r="6832" ht="14.5" customHeight="1" spans="11:29" x14ac:dyDescent="0.25">
      <c r="K6832" s="128"/>
      <c r="X6832" s="234">
        <v>2022</v>
      </c>
      <c r="Y6832" s="234">
        <v>10</v>
      </c>
      <c r="Z6832" s="234">
        <v>12</v>
      </c>
      <c r="AA6832" s="235">
        <v>0.5833333333321207</v>
      </c>
      <c r="AB6832" s="236">
        <v>12.6</v>
      </c>
      <c r="AC6832" s="127">
        <f t="shared" si="121"/>
        <v>13</v>
      </c>
    </row>
    <row r="6833" ht="14.5" customHeight="1" spans="11:29" x14ac:dyDescent="0.25">
      <c r="K6833" s="128"/>
      <c r="X6833" s="234">
        <v>2022</v>
      </c>
      <c r="Y6833" s="234">
        <v>10</v>
      </c>
      <c r="Z6833" s="234">
        <v>12</v>
      </c>
      <c r="AA6833" s="235">
        <v>0.625</v>
      </c>
      <c r="AB6833" s="236">
        <v>13</v>
      </c>
      <c r="AC6833" s="127">
        <f t="shared" si="121"/>
        <v>13</v>
      </c>
    </row>
    <row r="6834" ht="14.5" customHeight="1" spans="11:29" x14ac:dyDescent="0.25">
      <c r="K6834" s="128"/>
      <c r="X6834" s="234">
        <v>2022</v>
      </c>
      <c r="Y6834" s="234">
        <v>10</v>
      </c>
      <c r="Z6834" s="234">
        <v>12</v>
      </c>
      <c r="AA6834" s="235">
        <v>0.6666666666678793</v>
      </c>
      <c r="AB6834" s="236">
        <v>13</v>
      </c>
      <c r="AC6834" s="127">
        <f t="shared" si="121"/>
        <v>13</v>
      </c>
    </row>
    <row r="6835" ht="14.5" customHeight="1" spans="11:29" x14ac:dyDescent="0.25">
      <c r="K6835" s="128"/>
      <c r="X6835" s="234">
        <v>2022</v>
      </c>
      <c r="Y6835" s="234">
        <v>10</v>
      </c>
      <c r="Z6835" s="234">
        <v>12</v>
      </c>
      <c r="AA6835" s="235">
        <v>0.7083333333321207</v>
      </c>
      <c r="AB6835" s="236">
        <v>12.1</v>
      </c>
      <c r="AC6835" s="127">
        <f t="shared" si="121"/>
        <v>12</v>
      </c>
    </row>
    <row r="6836" ht="14.5" customHeight="1" spans="11:29" x14ac:dyDescent="0.25">
      <c r="K6836" s="128"/>
      <c r="X6836" s="234">
        <v>2022</v>
      </c>
      <c r="Y6836" s="234">
        <v>10</v>
      </c>
      <c r="Z6836" s="234">
        <v>12</v>
      </c>
      <c r="AA6836" s="235">
        <v>0.75</v>
      </c>
      <c r="AB6836" s="236">
        <v>9.6</v>
      </c>
      <c r="AC6836" s="127">
        <f t="shared" si="121"/>
        <v>10</v>
      </c>
    </row>
    <row r="6837" ht="14.5" customHeight="1" spans="11:29" x14ac:dyDescent="0.25">
      <c r="K6837" s="128"/>
      <c r="X6837" s="234">
        <v>2022</v>
      </c>
      <c r="Y6837" s="234">
        <v>10</v>
      </c>
      <c r="Z6837" s="234">
        <v>12</v>
      </c>
      <c r="AA6837" s="235">
        <v>0.7916666666678793</v>
      </c>
      <c r="AB6837" s="236">
        <v>6.7</v>
      </c>
      <c r="AC6837" s="127">
        <f t="shared" si="121"/>
        <v>7</v>
      </c>
    </row>
    <row r="6838" ht="14.5" customHeight="1" spans="11:29" x14ac:dyDescent="0.25">
      <c r="K6838" s="128"/>
      <c r="X6838" s="234">
        <v>2022</v>
      </c>
      <c r="Y6838" s="234">
        <v>10</v>
      </c>
      <c r="Z6838" s="234">
        <v>12</v>
      </c>
      <c r="AA6838" s="235">
        <v>0.8333333333321207</v>
      </c>
      <c r="AB6838" s="236">
        <v>5.8</v>
      </c>
      <c r="AC6838" s="127">
        <f t="shared" si="121"/>
        <v>6</v>
      </c>
    </row>
    <row r="6839" ht="14.5" customHeight="1" spans="11:29" x14ac:dyDescent="0.25">
      <c r="K6839" s="128"/>
      <c r="X6839" s="234">
        <v>2022</v>
      </c>
      <c r="Y6839" s="234">
        <v>10</v>
      </c>
      <c r="Z6839" s="234">
        <v>12</v>
      </c>
      <c r="AA6839" s="235">
        <v>0.875</v>
      </c>
      <c r="AB6839" s="236">
        <v>4.6</v>
      </c>
      <c r="AC6839" s="127">
        <f t="shared" si="121"/>
        <v>5</v>
      </c>
    </row>
    <row r="6840" ht="14.5" customHeight="1" spans="11:29" x14ac:dyDescent="0.25">
      <c r="K6840" s="128"/>
      <c r="X6840" s="234">
        <v>2022</v>
      </c>
      <c r="Y6840" s="234">
        <v>10</v>
      </c>
      <c r="Z6840" s="234">
        <v>12</v>
      </c>
      <c r="AA6840" s="235">
        <v>0.9166666666678793</v>
      </c>
      <c r="AB6840" s="236">
        <v>3.2</v>
      </c>
      <c r="AC6840" s="127">
        <f t="shared" si="121"/>
        <v>3</v>
      </c>
    </row>
    <row r="6841" ht="14.5" customHeight="1" spans="11:29" x14ac:dyDescent="0.25">
      <c r="K6841" s="128"/>
      <c r="X6841" s="234">
        <v>2022</v>
      </c>
      <c r="Y6841" s="234">
        <v>10</v>
      </c>
      <c r="Z6841" s="234">
        <v>12</v>
      </c>
      <c r="AA6841" s="235">
        <v>0.9583333333321207</v>
      </c>
      <c r="AB6841" s="236">
        <v>1.9</v>
      </c>
      <c r="AC6841" s="127">
        <f t="shared" si="121"/>
        <v>2</v>
      </c>
    </row>
    <row r="6842" ht="14.5" customHeight="1" spans="11:29" x14ac:dyDescent="0.25">
      <c r="K6842" s="128"/>
      <c r="X6842" s="234">
        <v>2022</v>
      </c>
      <c r="Y6842" s="234">
        <v>10</v>
      </c>
      <c r="Z6842" s="234">
        <v>13</v>
      </c>
      <c r="AA6842" s="235">
        <v>0</v>
      </c>
      <c r="AB6842" s="236">
        <v>0.2</v>
      </c>
      <c r="AC6842" s="127">
        <f t="shared" si="121"/>
        <v>0</v>
      </c>
    </row>
    <row r="6843" ht="14.5" customHeight="1" spans="11:29" x14ac:dyDescent="0.25">
      <c r="K6843" s="128"/>
      <c r="X6843" s="234">
        <v>2022</v>
      </c>
      <c r="Y6843" s="234">
        <v>10</v>
      </c>
      <c r="Z6843" s="234">
        <v>13</v>
      </c>
      <c r="AA6843" s="235">
        <v>0.041666666667879326</v>
      </c>
      <c r="AB6843" s="236">
        <v>0.5</v>
      </c>
      <c r="AC6843" s="127">
        <f t="shared" si="121"/>
        <v>1</v>
      </c>
    </row>
    <row r="6844" ht="14.5" customHeight="1" spans="11:29" x14ac:dyDescent="0.25">
      <c r="K6844" s="128"/>
      <c r="X6844" s="234">
        <v>2022</v>
      </c>
      <c r="Y6844" s="234">
        <v>10</v>
      </c>
      <c r="Z6844" s="234">
        <v>13</v>
      </c>
      <c r="AA6844" s="235">
        <v>0.08333333333212067</v>
      </c>
      <c r="AB6844" s="236">
        <v>0.1</v>
      </c>
      <c r="AC6844" s="127">
        <f t="shared" si="121"/>
        <v>0</v>
      </c>
    </row>
    <row r="6845" ht="14.5" customHeight="1" spans="11:29" x14ac:dyDescent="0.25">
      <c r="K6845" s="128"/>
      <c r="X6845" s="234">
        <v>2022</v>
      </c>
      <c r="Y6845" s="234">
        <v>10</v>
      </c>
      <c r="Z6845" s="234">
        <v>13</v>
      </c>
      <c r="AA6845" s="235">
        <v>0.125</v>
      </c>
      <c r="AB6845" s="236">
        <v>-1.2</v>
      </c>
      <c r="AC6845" s="127">
        <f t="shared" si="121"/>
        <v>-1</v>
      </c>
    </row>
    <row r="6846" ht="14.5" customHeight="1" spans="11:29" x14ac:dyDescent="0.25">
      <c r="K6846" s="128"/>
      <c r="X6846" s="234">
        <v>2022</v>
      </c>
      <c r="Y6846" s="234">
        <v>10</v>
      </c>
      <c r="Z6846" s="234">
        <v>13</v>
      </c>
      <c r="AA6846" s="235">
        <v>0.16666666666787933</v>
      </c>
      <c r="AB6846" s="236">
        <v>-1.5</v>
      </c>
      <c r="AC6846" s="127">
        <f t="shared" si="121"/>
        <v>-2</v>
      </c>
    </row>
    <row r="6847" ht="14.5" customHeight="1" spans="11:29" x14ac:dyDescent="0.25">
      <c r="K6847" s="128"/>
      <c r="X6847" s="234">
        <v>2022</v>
      </c>
      <c r="Y6847" s="234">
        <v>10</v>
      </c>
      <c r="Z6847" s="234">
        <v>13</v>
      </c>
      <c r="AA6847" s="235">
        <v>0.20833333333212067</v>
      </c>
      <c r="AB6847" s="236">
        <v>-0.6</v>
      </c>
      <c r="AC6847" s="127">
        <f t="shared" si="121"/>
        <v>-1</v>
      </c>
    </row>
    <row r="6848" ht="14.5" customHeight="1" spans="11:29" x14ac:dyDescent="0.25">
      <c r="K6848" s="128"/>
      <c r="X6848" s="234">
        <v>2022</v>
      </c>
      <c r="Y6848" s="234">
        <v>10</v>
      </c>
      <c r="Z6848" s="234">
        <v>13</v>
      </c>
      <c r="AA6848" s="235">
        <v>0.25</v>
      </c>
      <c r="AB6848" s="236">
        <v>-0.1</v>
      </c>
      <c r="AC6848" s="127">
        <f t="shared" si="121"/>
        <v>0</v>
      </c>
    </row>
    <row r="6849" ht="14.5" customHeight="1" spans="11:29" x14ac:dyDescent="0.25">
      <c r="K6849" s="128"/>
      <c r="X6849" s="234">
        <v>2022</v>
      </c>
      <c r="Y6849" s="234">
        <v>10</v>
      </c>
      <c r="Z6849" s="234">
        <v>13</v>
      </c>
      <c r="AA6849" s="235">
        <v>0.2916666666678793</v>
      </c>
      <c r="AB6849" s="236">
        <v>0.3</v>
      </c>
      <c r="AC6849" s="127">
        <f t="shared" si="121"/>
        <v>0</v>
      </c>
    </row>
    <row r="6850" ht="14.5" customHeight="1" spans="11:29" x14ac:dyDescent="0.25">
      <c r="K6850" s="128"/>
      <c r="X6850" s="234">
        <v>2022</v>
      </c>
      <c r="Y6850" s="234">
        <v>10</v>
      </c>
      <c r="Z6850" s="234">
        <v>13</v>
      </c>
      <c r="AA6850" s="235">
        <v>0.3333333333321207</v>
      </c>
      <c r="AB6850" s="236">
        <v>4</v>
      </c>
      <c r="AC6850" s="127">
        <f t="shared" si="121"/>
        <v>4</v>
      </c>
    </row>
    <row r="6851" ht="14.5" customHeight="1" spans="11:29" x14ac:dyDescent="0.25">
      <c r="K6851" s="128"/>
      <c r="X6851" s="234">
        <v>2022</v>
      </c>
      <c r="Y6851" s="234">
        <v>10</v>
      </c>
      <c r="Z6851" s="234">
        <v>13</v>
      </c>
      <c r="AA6851" s="235">
        <v>0.375</v>
      </c>
      <c r="AB6851" s="236">
        <v>8.1</v>
      </c>
      <c r="AC6851" s="127">
        <f t="shared" si="121"/>
        <v>8</v>
      </c>
    </row>
    <row r="6852" ht="14.5" customHeight="1" spans="11:29" x14ac:dyDescent="0.25">
      <c r="K6852" s="128"/>
      <c r="X6852" s="234">
        <v>2022</v>
      </c>
      <c r="Y6852" s="234">
        <v>10</v>
      </c>
      <c r="Z6852" s="234">
        <v>13</v>
      </c>
      <c r="AA6852" s="235">
        <v>0.4166666666678793</v>
      </c>
      <c r="AB6852" s="236">
        <v>12</v>
      </c>
      <c r="AC6852" s="127">
        <f t="shared" si="121"/>
        <v>12</v>
      </c>
    </row>
    <row r="6853" ht="14.5" customHeight="1" spans="11:29" x14ac:dyDescent="0.25">
      <c r="K6853" s="128"/>
      <c r="X6853" s="234">
        <v>2022</v>
      </c>
      <c r="Y6853" s="234">
        <v>10</v>
      </c>
      <c r="Z6853" s="234">
        <v>13</v>
      </c>
      <c r="AA6853" s="235">
        <v>0.4583333333321207</v>
      </c>
      <c r="AB6853" s="236">
        <v>14.8</v>
      </c>
      <c r="AC6853" s="127">
        <f t="shared" si="121"/>
        <v>15</v>
      </c>
    </row>
    <row r="6854" ht="14.5" customHeight="1" spans="11:29" x14ac:dyDescent="0.25">
      <c r="K6854" s="128"/>
      <c r="X6854" s="234">
        <v>2022</v>
      </c>
      <c r="Y6854" s="234">
        <v>10</v>
      </c>
      <c r="Z6854" s="234">
        <v>13</v>
      </c>
      <c r="AA6854" s="235">
        <v>0.5</v>
      </c>
      <c r="AB6854" s="236">
        <v>16.6</v>
      </c>
      <c r="AC6854" s="127">
        <f t="shared" si="121"/>
        <v>17</v>
      </c>
    </row>
    <row r="6855" ht="14.5" customHeight="1" spans="11:29" x14ac:dyDescent="0.25">
      <c r="K6855" s="128"/>
      <c r="X6855" s="234">
        <v>2022</v>
      </c>
      <c r="Y6855" s="234">
        <v>10</v>
      </c>
      <c r="Z6855" s="234">
        <v>13</v>
      </c>
      <c r="AA6855" s="235">
        <v>0.5416666666678793</v>
      </c>
      <c r="AB6855" s="236">
        <v>18.3</v>
      </c>
      <c r="AC6855" s="127">
        <f t="shared" si="121"/>
        <v>18</v>
      </c>
    </row>
    <row r="6856" ht="14.5" customHeight="1" spans="11:29" x14ac:dyDescent="0.25">
      <c r="K6856" s="128"/>
      <c r="X6856" s="234">
        <v>2022</v>
      </c>
      <c r="Y6856" s="234">
        <v>10</v>
      </c>
      <c r="Z6856" s="234">
        <v>13</v>
      </c>
      <c r="AA6856" s="235">
        <v>0.5833333333321207</v>
      </c>
      <c r="AB6856" s="236">
        <v>19.7</v>
      </c>
      <c r="AC6856" s="127">
        <f t="shared" si="121"/>
        <v>20</v>
      </c>
    </row>
    <row r="6857" ht="14.5" customHeight="1" spans="11:29" x14ac:dyDescent="0.25">
      <c r="K6857" s="128"/>
      <c r="X6857" s="234">
        <v>2022</v>
      </c>
      <c r="Y6857" s="234">
        <v>10</v>
      </c>
      <c r="Z6857" s="234">
        <v>13</v>
      </c>
      <c r="AA6857" s="235">
        <v>0.625</v>
      </c>
      <c r="AB6857" s="236">
        <v>20.8</v>
      </c>
      <c r="AC6857" s="127">
        <f t="shared" si="121"/>
        <v>21</v>
      </c>
    </row>
    <row r="6858" ht="14.5" customHeight="1" spans="11:29" x14ac:dyDescent="0.25">
      <c r="K6858" s="128"/>
      <c r="X6858" s="234">
        <v>2022</v>
      </c>
      <c r="Y6858" s="234">
        <v>10</v>
      </c>
      <c r="Z6858" s="234">
        <v>13</v>
      </c>
      <c r="AA6858" s="235">
        <v>0.6666666666678793</v>
      </c>
      <c r="AB6858" s="236">
        <v>21</v>
      </c>
      <c r="AC6858" s="127">
        <f t="shared" si="121"/>
        <v>21</v>
      </c>
    </row>
    <row r="6859" ht="14.5" customHeight="1" spans="11:29" x14ac:dyDescent="0.25">
      <c r="K6859" s="128"/>
      <c r="X6859" s="234">
        <v>2022</v>
      </c>
      <c r="Y6859" s="234">
        <v>10</v>
      </c>
      <c r="Z6859" s="234">
        <v>13</v>
      </c>
      <c r="AA6859" s="235">
        <v>0.7083333333321207</v>
      </c>
      <c r="AB6859" s="236">
        <v>19</v>
      </c>
      <c r="AC6859" s="127">
        <f t="shared" ref="AC6859:AC6922" si="122">ROUND(AB6859,0)</f>
        <v>19</v>
      </c>
    </row>
    <row r="6860" ht="14.5" customHeight="1" spans="11:29" x14ac:dyDescent="0.25">
      <c r="K6860" s="128"/>
      <c r="X6860" s="234">
        <v>2022</v>
      </c>
      <c r="Y6860" s="234">
        <v>10</v>
      </c>
      <c r="Z6860" s="234">
        <v>13</v>
      </c>
      <c r="AA6860" s="235">
        <v>0.75</v>
      </c>
      <c r="AB6860" s="236">
        <v>14.5</v>
      </c>
      <c r="AC6860" s="127">
        <f t="shared" si="122"/>
        <v>15</v>
      </c>
    </row>
    <row r="6861" ht="14.5" customHeight="1" spans="11:29" x14ac:dyDescent="0.25">
      <c r="K6861" s="128"/>
      <c r="X6861" s="234">
        <v>2022</v>
      </c>
      <c r="Y6861" s="234">
        <v>10</v>
      </c>
      <c r="Z6861" s="234">
        <v>13</v>
      </c>
      <c r="AA6861" s="235">
        <v>0.7916666666678793</v>
      </c>
      <c r="AB6861" s="236">
        <v>12.5</v>
      </c>
      <c r="AC6861" s="127">
        <f t="shared" si="122"/>
        <v>13</v>
      </c>
    </row>
    <row r="6862" ht="14.5" customHeight="1" spans="11:29" x14ac:dyDescent="0.25">
      <c r="K6862" s="128"/>
      <c r="X6862" s="234">
        <v>2022</v>
      </c>
      <c r="Y6862" s="234">
        <v>10</v>
      </c>
      <c r="Z6862" s="234">
        <v>13</v>
      </c>
      <c r="AA6862" s="235">
        <v>0.8333333333321207</v>
      </c>
      <c r="AB6862" s="236">
        <v>11.7</v>
      </c>
      <c r="AC6862" s="127">
        <f t="shared" si="122"/>
        <v>12</v>
      </c>
    </row>
    <row r="6863" ht="14.5" customHeight="1" spans="11:29" x14ac:dyDescent="0.25">
      <c r="K6863" s="128"/>
      <c r="X6863" s="234">
        <v>2022</v>
      </c>
      <c r="Y6863" s="234">
        <v>10</v>
      </c>
      <c r="Z6863" s="234">
        <v>13</v>
      </c>
      <c r="AA6863" s="235">
        <v>0.875</v>
      </c>
      <c r="AB6863" s="236">
        <v>10.2</v>
      </c>
      <c r="AC6863" s="127">
        <f t="shared" si="122"/>
        <v>10</v>
      </c>
    </row>
    <row r="6864" ht="14.5" customHeight="1" spans="11:29" x14ac:dyDescent="0.25">
      <c r="K6864" s="128"/>
      <c r="X6864" s="234">
        <v>2022</v>
      </c>
      <c r="Y6864" s="234">
        <v>10</v>
      </c>
      <c r="Z6864" s="234">
        <v>13</v>
      </c>
      <c r="AA6864" s="235">
        <v>0.9166666666678793</v>
      </c>
      <c r="AB6864" s="236">
        <v>10.2</v>
      </c>
      <c r="AC6864" s="127">
        <f t="shared" si="122"/>
        <v>10</v>
      </c>
    </row>
    <row r="6865" ht="14.5" customHeight="1" spans="11:29" x14ac:dyDescent="0.25">
      <c r="K6865" s="128"/>
      <c r="X6865" s="234">
        <v>2022</v>
      </c>
      <c r="Y6865" s="234">
        <v>10</v>
      </c>
      <c r="Z6865" s="234">
        <v>13</v>
      </c>
      <c r="AA6865" s="235">
        <v>0.9583333333321207</v>
      </c>
      <c r="AB6865" s="236">
        <v>12.6</v>
      </c>
      <c r="AC6865" s="127">
        <f t="shared" si="122"/>
        <v>13</v>
      </c>
    </row>
    <row r="6866" ht="14.5" customHeight="1" spans="11:29" x14ac:dyDescent="0.25">
      <c r="K6866" s="128"/>
      <c r="X6866" s="234">
        <v>2022</v>
      </c>
      <c r="Y6866" s="234">
        <v>10</v>
      </c>
      <c r="Z6866" s="234">
        <v>14</v>
      </c>
      <c r="AA6866" s="235">
        <v>0</v>
      </c>
      <c r="AB6866" s="236">
        <v>9.1</v>
      </c>
      <c r="AC6866" s="127">
        <f t="shared" si="122"/>
        <v>9</v>
      </c>
    </row>
    <row r="6867" ht="14.5" customHeight="1" spans="11:29" x14ac:dyDescent="0.25">
      <c r="K6867" s="128"/>
      <c r="X6867" s="234">
        <v>2022</v>
      </c>
      <c r="Y6867" s="234">
        <v>10</v>
      </c>
      <c r="Z6867" s="234">
        <v>14</v>
      </c>
      <c r="AA6867" s="235">
        <v>0.041666666667879326</v>
      </c>
      <c r="AB6867" s="236">
        <v>8.8</v>
      </c>
      <c r="AC6867" s="127">
        <f t="shared" si="122"/>
        <v>9</v>
      </c>
    </row>
    <row r="6868" ht="14.5" customHeight="1" spans="11:29" x14ac:dyDescent="0.25">
      <c r="K6868" s="128"/>
      <c r="X6868" s="234">
        <v>2022</v>
      </c>
      <c r="Y6868" s="234">
        <v>10</v>
      </c>
      <c r="Z6868" s="234">
        <v>14</v>
      </c>
      <c r="AA6868" s="235">
        <v>0.08333333333212067</v>
      </c>
      <c r="AB6868" s="236">
        <v>6.9</v>
      </c>
      <c r="AC6868" s="127">
        <f t="shared" si="122"/>
        <v>7</v>
      </c>
    </row>
    <row r="6869" ht="14.5" customHeight="1" spans="11:29" x14ac:dyDescent="0.25">
      <c r="K6869" s="128"/>
      <c r="X6869" s="234">
        <v>2022</v>
      </c>
      <c r="Y6869" s="234">
        <v>10</v>
      </c>
      <c r="Z6869" s="234">
        <v>14</v>
      </c>
      <c r="AA6869" s="235">
        <v>0.125</v>
      </c>
      <c r="AB6869" s="236">
        <v>6.9</v>
      </c>
      <c r="AC6869" s="127">
        <f t="shared" si="122"/>
        <v>7</v>
      </c>
    </row>
    <row r="6870" ht="14.5" customHeight="1" spans="11:29" x14ac:dyDescent="0.25">
      <c r="K6870" s="128"/>
      <c r="X6870" s="234">
        <v>2022</v>
      </c>
      <c r="Y6870" s="234">
        <v>10</v>
      </c>
      <c r="Z6870" s="234">
        <v>14</v>
      </c>
      <c r="AA6870" s="235">
        <v>0.16666666666787933</v>
      </c>
      <c r="AB6870" s="236">
        <v>7.6</v>
      </c>
      <c r="AC6870" s="127">
        <f t="shared" si="122"/>
        <v>8</v>
      </c>
    </row>
    <row r="6871" ht="14.5" customHeight="1" spans="11:29" x14ac:dyDescent="0.25">
      <c r="K6871" s="128"/>
      <c r="X6871" s="234">
        <v>2022</v>
      </c>
      <c r="Y6871" s="234">
        <v>10</v>
      </c>
      <c r="Z6871" s="234">
        <v>14</v>
      </c>
      <c r="AA6871" s="235">
        <v>0.20833333333212067</v>
      </c>
      <c r="AB6871" s="236">
        <v>8.6</v>
      </c>
      <c r="AC6871" s="127">
        <f t="shared" si="122"/>
        <v>9</v>
      </c>
    </row>
    <row r="6872" ht="14.5" customHeight="1" spans="11:29" x14ac:dyDescent="0.25">
      <c r="K6872" s="128"/>
      <c r="X6872" s="234">
        <v>2022</v>
      </c>
      <c r="Y6872" s="234">
        <v>10</v>
      </c>
      <c r="Z6872" s="234">
        <v>14</v>
      </c>
      <c r="AA6872" s="235">
        <v>0.25</v>
      </c>
      <c r="AB6872" s="236">
        <v>7.5</v>
      </c>
      <c r="AC6872" s="127">
        <f t="shared" si="122"/>
        <v>8</v>
      </c>
    </row>
    <row r="6873" ht="14.5" customHeight="1" spans="11:29" x14ac:dyDescent="0.25">
      <c r="K6873" s="128"/>
      <c r="X6873" s="234">
        <v>2022</v>
      </c>
      <c r="Y6873" s="234">
        <v>10</v>
      </c>
      <c r="Z6873" s="234">
        <v>14</v>
      </c>
      <c r="AA6873" s="235">
        <v>0.2916666666678793</v>
      </c>
      <c r="AB6873" s="236">
        <v>7.8</v>
      </c>
      <c r="AC6873" s="127">
        <f t="shared" si="122"/>
        <v>8</v>
      </c>
    </row>
    <row r="6874" ht="14.5" customHeight="1" spans="11:29" x14ac:dyDescent="0.25">
      <c r="K6874" s="128"/>
      <c r="X6874" s="234">
        <v>2022</v>
      </c>
      <c r="Y6874" s="234">
        <v>10</v>
      </c>
      <c r="Z6874" s="234">
        <v>14</v>
      </c>
      <c r="AA6874" s="235">
        <v>0.3333333333321207</v>
      </c>
      <c r="AB6874" s="236">
        <v>8.2</v>
      </c>
      <c r="AC6874" s="127">
        <f t="shared" si="122"/>
        <v>8</v>
      </c>
    </row>
    <row r="6875" ht="14.5" customHeight="1" spans="11:29" x14ac:dyDescent="0.25">
      <c r="K6875" s="128"/>
      <c r="X6875" s="234">
        <v>2022</v>
      </c>
      <c r="Y6875" s="234">
        <v>10</v>
      </c>
      <c r="Z6875" s="234">
        <v>14</v>
      </c>
      <c r="AA6875" s="235">
        <v>0.375</v>
      </c>
      <c r="AB6875" s="236">
        <v>12</v>
      </c>
      <c r="AC6875" s="127">
        <f t="shared" si="122"/>
        <v>12</v>
      </c>
    </row>
    <row r="6876" ht="14.5" customHeight="1" spans="11:29" x14ac:dyDescent="0.25">
      <c r="K6876" s="128"/>
      <c r="X6876" s="234">
        <v>2022</v>
      </c>
      <c r="Y6876" s="234">
        <v>10</v>
      </c>
      <c r="Z6876" s="234">
        <v>14</v>
      </c>
      <c r="AA6876" s="235">
        <v>0.4166666666678793</v>
      </c>
      <c r="AB6876" s="236">
        <v>13.7</v>
      </c>
      <c r="AC6876" s="127">
        <f t="shared" si="122"/>
        <v>14</v>
      </c>
    </row>
    <row r="6877" ht="14.5" customHeight="1" spans="11:29" x14ac:dyDescent="0.25">
      <c r="K6877" s="128"/>
      <c r="X6877" s="234">
        <v>2022</v>
      </c>
      <c r="Y6877" s="234">
        <v>10</v>
      </c>
      <c r="Z6877" s="234">
        <v>14</v>
      </c>
      <c r="AA6877" s="235">
        <v>0.4583333333321207</v>
      </c>
      <c r="AB6877" s="236">
        <v>17.2</v>
      </c>
      <c r="AC6877" s="127">
        <f t="shared" si="122"/>
        <v>17</v>
      </c>
    </row>
    <row r="6878" ht="14.5" customHeight="1" spans="11:29" x14ac:dyDescent="0.25">
      <c r="K6878" s="128"/>
      <c r="X6878" s="234">
        <v>2022</v>
      </c>
      <c r="Y6878" s="234">
        <v>10</v>
      </c>
      <c r="Z6878" s="234">
        <v>14</v>
      </c>
      <c r="AA6878" s="235">
        <v>0.5</v>
      </c>
      <c r="AB6878" s="236">
        <v>19.5</v>
      </c>
      <c r="AC6878" s="127">
        <f t="shared" si="122"/>
        <v>20</v>
      </c>
    </row>
    <row r="6879" ht="14.5" customHeight="1" spans="11:29" x14ac:dyDescent="0.25">
      <c r="K6879" s="128"/>
      <c r="X6879" s="234">
        <v>2022</v>
      </c>
      <c r="Y6879" s="234">
        <v>10</v>
      </c>
      <c r="Z6879" s="234">
        <v>14</v>
      </c>
      <c r="AA6879" s="235">
        <v>0.5416666666678793</v>
      </c>
      <c r="AB6879" s="236">
        <v>19.3</v>
      </c>
      <c r="AC6879" s="127">
        <f t="shared" si="122"/>
        <v>19</v>
      </c>
    </row>
    <row r="6880" ht="14.5" customHeight="1" spans="11:29" x14ac:dyDescent="0.25">
      <c r="K6880" s="128"/>
      <c r="X6880" s="234">
        <v>2022</v>
      </c>
      <c r="Y6880" s="234">
        <v>10</v>
      </c>
      <c r="Z6880" s="234">
        <v>14</v>
      </c>
      <c r="AA6880" s="235">
        <v>0.5833333333321207</v>
      </c>
      <c r="AB6880" s="236">
        <v>14.4</v>
      </c>
      <c r="AC6880" s="127">
        <f t="shared" si="122"/>
        <v>14</v>
      </c>
    </row>
    <row r="6881" ht="14.5" customHeight="1" spans="11:29" x14ac:dyDescent="0.25">
      <c r="K6881" s="128"/>
      <c r="X6881" s="234">
        <v>2022</v>
      </c>
      <c r="Y6881" s="234">
        <v>10</v>
      </c>
      <c r="Z6881" s="234">
        <v>14</v>
      </c>
      <c r="AA6881" s="235">
        <v>0.625</v>
      </c>
      <c r="AB6881" s="236">
        <v>14.7</v>
      </c>
      <c r="AC6881" s="127">
        <f t="shared" si="122"/>
        <v>15</v>
      </c>
    </row>
    <row r="6882" ht="14.5" customHeight="1" spans="11:29" x14ac:dyDescent="0.25">
      <c r="K6882" s="128"/>
      <c r="X6882" s="234">
        <v>2022</v>
      </c>
      <c r="Y6882" s="234">
        <v>10</v>
      </c>
      <c r="Z6882" s="234">
        <v>14</v>
      </c>
      <c r="AA6882" s="235">
        <v>0.6666666666678793</v>
      </c>
      <c r="AB6882" s="236">
        <v>16</v>
      </c>
      <c r="AC6882" s="127">
        <f t="shared" si="122"/>
        <v>16</v>
      </c>
    </row>
    <row r="6883" ht="14.5" customHeight="1" spans="11:29" x14ac:dyDescent="0.25">
      <c r="K6883" s="128"/>
      <c r="X6883" s="234">
        <v>2022</v>
      </c>
      <c r="Y6883" s="234">
        <v>10</v>
      </c>
      <c r="Z6883" s="234">
        <v>14</v>
      </c>
      <c r="AA6883" s="235">
        <v>0.7083333333321207</v>
      </c>
      <c r="AB6883" s="236">
        <v>12.1</v>
      </c>
      <c r="AC6883" s="127">
        <f t="shared" si="122"/>
        <v>12</v>
      </c>
    </row>
    <row r="6884" ht="14.5" customHeight="1" spans="11:29" x14ac:dyDescent="0.25">
      <c r="K6884" s="128"/>
      <c r="X6884" s="234">
        <v>2022</v>
      </c>
      <c r="Y6884" s="234">
        <v>10</v>
      </c>
      <c r="Z6884" s="234">
        <v>14</v>
      </c>
      <c r="AA6884" s="235">
        <v>0.75</v>
      </c>
      <c r="AB6884" s="236">
        <v>12</v>
      </c>
      <c r="AC6884" s="127">
        <f t="shared" si="122"/>
        <v>12</v>
      </c>
    </row>
    <row r="6885" ht="14.5" customHeight="1" spans="11:29" x14ac:dyDescent="0.25">
      <c r="K6885" s="128"/>
      <c r="X6885" s="234">
        <v>2022</v>
      </c>
      <c r="Y6885" s="234">
        <v>10</v>
      </c>
      <c r="Z6885" s="234">
        <v>14</v>
      </c>
      <c r="AA6885" s="235">
        <v>0.7916666666678793</v>
      </c>
      <c r="AB6885" s="236">
        <v>11.1</v>
      </c>
      <c r="AC6885" s="127">
        <f t="shared" si="122"/>
        <v>11</v>
      </c>
    </row>
    <row r="6886" ht="14.5" customHeight="1" spans="11:29" x14ac:dyDescent="0.25">
      <c r="K6886" s="128"/>
      <c r="X6886" s="234">
        <v>2022</v>
      </c>
      <c r="Y6886" s="234">
        <v>10</v>
      </c>
      <c r="Z6886" s="234">
        <v>14</v>
      </c>
      <c r="AA6886" s="235">
        <v>0.8333333333321207</v>
      </c>
      <c r="AB6886" s="236">
        <v>10.8</v>
      </c>
      <c r="AC6886" s="127">
        <f t="shared" si="122"/>
        <v>11</v>
      </c>
    </row>
    <row r="6887" ht="14.5" customHeight="1" spans="11:29" x14ac:dyDescent="0.25">
      <c r="K6887" s="128"/>
      <c r="X6887" s="234">
        <v>2022</v>
      </c>
      <c r="Y6887" s="234">
        <v>10</v>
      </c>
      <c r="Z6887" s="234">
        <v>14</v>
      </c>
      <c r="AA6887" s="235">
        <v>0.875</v>
      </c>
      <c r="AB6887" s="236">
        <v>10.1</v>
      </c>
      <c r="AC6887" s="127">
        <f t="shared" si="122"/>
        <v>10</v>
      </c>
    </row>
    <row r="6888" ht="14.5" customHeight="1" spans="11:29" x14ac:dyDescent="0.25">
      <c r="K6888" s="128"/>
      <c r="X6888" s="234">
        <v>2022</v>
      </c>
      <c r="Y6888" s="234">
        <v>10</v>
      </c>
      <c r="Z6888" s="234">
        <v>14</v>
      </c>
      <c r="AA6888" s="235">
        <v>0.9166666666678793</v>
      </c>
      <c r="AB6888" s="236">
        <v>9.1</v>
      </c>
      <c r="AC6888" s="127">
        <f t="shared" si="122"/>
        <v>9</v>
      </c>
    </row>
    <row r="6889" ht="14.5" customHeight="1" spans="11:29" x14ac:dyDescent="0.25">
      <c r="K6889" s="128"/>
      <c r="X6889" s="234">
        <v>2022</v>
      </c>
      <c r="Y6889" s="234">
        <v>10</v>
      </c>
      <c r="Z6889" s="234">
        <v>14</v>
      </c>
      <c r="AA6889" s="235">
        <v>0.9583333333321207</v>
      </c>
      <c r="AB6889" s="236">
        <v>8.1</v>
      </c>
      <c r="AC6889" s="127">
        <f t="shared" si="122"/>
        <v>8</v>
      </c>
    </row>
    <row r="6890" ht="14.5" customHeight="1" spans="11:29" x14ac:dyDescent="0.25">
      <c r="K6890" s="128"/>
      <c r="X6890" s="234">
        <v>2022</v>
      </c>
      <c r="Y6890" s="234">
        <v>10</v>
      </c>
      <c r="Z6890" s="234">
        <v>15</v>
      </c>
      <c r="AA6890" s="235">
        <v>0</v>
      </c>
      <c r="AB6890" s="236">
        <v>7.1</v>
      </c>
      <c r="AC6890" s="127">
        <f t="shared" si="122"/>
        <v>7</v>
      </c>
    </row>
    <row r="6891" ht="14.5" customHeight="1" spans="11:29" x14ac:dyDescent="0.25">
      <c r="K6891" s="128"/>
      <c r="X6891" s="234">
        <v>2022</v>
      </c>
      <c r="Y6891" s="234">
        <v>10</v>
      </c>
      <c r="Z6891" s="234">
        <v>15</v>
      </c>
      <c r="AA6891" s="235">
        <v>0.041666666667879326</v>
      </c>
      <c r="AB6891" s="236">
        <v>5.7</v>
      </c>
      <c r="AC6891" s="127">
        <f t="shared" si="122"/>
        <v>6</v>
      </c>
    </row>
    <row r="6892" ht="14.5" customHeight="1" spans="11:29" x14ac:dyDescent="0.25">
      <c r="K6892" s="128"/>
      <c r="X6892" s="234">
        <v>2022</v>
      </c>
      <c r="Y6892" s="234">
        <v>10</v>
      </c>
      <c r="Z6892" s="234">
        <v>15</v>
      </c>
      <c r="AA6892" s="235">
        <v>0.08333333333212067</v>
      </c>
      <c r="AB6892" s="236">
        <v>6.4</v>
      </c>
      <c r="AC6892" s="127">
        <f t="shared" si="122"/>
        <v>6</v>
      </c>
    </row>
    <row r="6893" ht="14.5" customHeight="1" spans="11:29" x14ac:dyDescent="0.25">
      <c r="K6893" s="128"/>
      <c r="X6893" s="234">
        <v>2022</v>
      </c>
      <c r="Y6893" s="234">
        <v>10</v>
      </c>
      <c r="Z6893" s="234">
        <v>15</v>
      </c>
      <c r="AA6893" s="235">
        <v>0.125</v>
      </c>
      <c r="AB6893" s="236">
        <v>3</v>
      </c>
      <c r="AC6893" s="127">
        <f t="shared" si="122"/>
        <v>3</v>
      </c>
    </row>
    <row r="6894" ht="14.5" customHeight="1" spans="11:29" x14ac:dyDescent="0.25">
      <c r="K6894" s="128"/>
      <c r="X6894" s="234">
        <v>2022</v>
      </c>
      <c r="Y6894" s="234">
        <v>10</v>
      </c>
      <c r="Z6894" s="234">
        <v>15</v>
      </c>
      <c r="AA6894" s="235">
        <v>0.16666666666787933</v>
      </c>
      <c r="AB6894" s="236">
        <v>3</v>
      </c>
      <c r="AC6894" s="127">
        <f t="shared" si="122"/>
        <v>3</v>
      </c>
    </row>
    <row r="6895" ht="14.5" customHeight="1" spans="11:29" x14ac:dyDescent="0.25">
      <c r="K6895" s="128"/>
      <c r="X6895" s="234">
        <v>2022</v>
      </c>
      <c r="Y6895" s="234">
        <v>10</v>
      </c>
      <c r="Z6895" s="234">
        <v>15</v>
      </c>
      <c r="AA6895" s="235">
        <v>0.20833333333212067</v>
      </c>
      <c r="AB6895" s="236">
        <v>2</v>
      </c>
      <c r="AC6895" s="127">
        <f t="shared" si="122"/>
        <v>2</v>
      </c>
    </row>
    <row r="6896" ht="14.5" customHeight="1" spans="11:29" x14ac:dyDescent="0.25">
      <c r="K6896" s="128"/>
      <c r="X6896" s="234">
        <v>2022</v>
      </c>
      <c r="Y6896" s="234">
        <v>10</v>
      </c>
      <c r="Z6896" s="234">
        <v>15</v>
      </c>
      <c r="AA6896" s="235">
        <v>0.25</v>
      </c>
      <c r="AB6896" s="236">
        <v>2.3</v>
      </c>
      <c r="AC6896" s="127">
        <f t="shared" si="122"/>
        <v>2</v>
      </c>
    </row>
    <row r="6897" ht="14.5" customHeight="1" spans="11:29" x14ac:dyDescent="0.25">
      <c r="K6897" s="128"/>
      <c r="X6897" s="234">
        <v>2022</v>
      </c>
      <c r="Y6897" s="234">
        <v>10</v>
      </c>
      <c r="Z6897" s="234">
        <v>15</v>
      </c>
      <c r="AA6897" s="235">
        <v>0.2916666666678793</v>
      </c>
      <c r="AB6897" s="236">
        <v>0.8</v>
      </c>
      <c r="AC6897" s="127">
        <f t="shared" si="122"/>
        <v>1</v>
      </c>
    </row>
    <row r="6898" ht="14.5" customHeight="1" spans="11:29" x14ac:dyDescent="0.25">
      <c r="K6898" s="128"/>
      <c r="X6898" s="234">
        <v>2022</v>
      </c>
      <c r="Y6898" s="234">
        <v>10</v>
      </c>
      <c r="Z6898" s="234">
        <v>15</v>
      </c>
      <c r="AA6898" s="235">
        <v>0.3333333333321207</v>
      </c>
      <c r="AB6898" s="236">
        <v>2.5</v>
      </c>
      <c r="AC6898" s="127">
        <f t="shared" si="122"/>
        <v>3</v>
      </c>
    </row>
    <row r="6899" ht="14.5" customHeight="1" spans="11:29" x14ac:dyDescent="0.25">
      <c r="K6899" s="128"/>
      <c r="X6899" s="234">
        <v>2022</v>
      </c>
      <c r="Y6899" s="234">
        <v>10</v>
      </c>
      <c r="Z6899" s="234">
        <v>15</v>
      </c>
      <c r="AA6899" s="235">
        <v>0.375</v>
      </c>
      <c r="AB6899" s="236">
        <v>6.4</v>
      </c>
      <c r="AC6899" s="127">
        <f t="shared" si="122"/>
        <v>6</v>
      </c>
    </row>
    <row r="6900" ht="14.5" customHeight="1" spans="11:29" x14ac:dyDescent="0.25">
      <c r="K6900" s="128"/>
      <c r="X6900" s="234">
        <v>2022</v>
      </c>
      <c r="Y6900" s="234">
        <v>10</v>
      </c>
      <c r="Z6900" s="234">
        <v>15</v>
      </c>
      <c r="AA6900" s="235">
        <v>0.4166666666678793</v>
      </c>
      <c r="AB6900" s="236">
        <v>9.9</v>
      </c>
      <c r="AC6900" s="127">
        <f t="shared" si="122"/>
        <v>10</v>
      </c>
    </row>
    <row r="6901" ht="14.5" customHeight="1" spans="11:29" x14ac:dyDescent="0.25">
      <c r="K6901" s="128"/>
      <c r="X6901" s="234">
        <v>2022</v>
      </c>
      <c r="Y6901" s="234">
        <v>10</v>
      </c>
      <c r="Z6901" s="234">
        <v>15</v>
      </c>
      <c r="AA6901" s="235">
        <v>0.4583333333321207</v>
      </c>
      <c r="AB6901" s="236">
        <v>12.1</v>
      </c>
      <c r="AC6901" s="127">
        <f t="shared" si="122"/>
        <v>12</v>
      </c>
    </row>
    <row r="6902" ht="14.5" customHeight="1" spans="11:29" x14ac:dyDescent="0.25">
      <c r="K6902" s="128"/>
      <c r="X6902" s="234">
        <v>2022</v>
      </c>
      <c r="Y6902" s="234">
        <v>10</v>
      </c>
      <c r="Z6902" s="234">
        <v>15</v>
      </c>
      <c r="AA6902" s="235">
        <v>0.5</v>
      </c>
      <c r="AB6902" s="236">
        <v>13.7</v>
      </c>
      <c r="AC6902" s="127">
        <f t="shared" si="122"/>
        <v>14</v>
      </c>
    </row>
    <row r="6903" ht="14.5" customHeight="1" spans="11:29" x14ac:dyDescent="0.25">
      <c r="K6903" s="128"/>
      <c r="X6903" s="234">
        <v>2022</v>
      </c>
      <c r="Y6903" s="234">
        <v>10</v>
      </c>
      <c r="Z6903" s="234">
        <v>15</v>
      </c>
      <c r="AA6903" s="235">
        <v>0.5416666666678793</v>
      </c>
      <c r="AB6903" s="236">
        <v>14.6</v>
      </c>
      <c r="AC6903" s="127">
        <f t="shared" si="122"/>
        <v>15</v>
      </c>
    </row>
    <row r="6904" ht="14.5" customHeight="1" spans="11:29" x14ac:dyDescent="0.25">
      <c r="K6904" s="128"/>
      <c r="X6904" s="234">
        <v>2022</v>
      </c>
      <c r="Y6904" s="234">
        <v>10</v>
      </c>
      <c r="Z6904" s="234">
        <v>15</v>
      </c>
      <c r="AA6904" s="235">
        <v>0.5833333333321207</v>
      </c>
      <c r="AB6904" s="236">
        <v>15.2</v>
      </c>
      <c r="AC6904" s="127">
        <f t="shared" si="122"/>
        <v>15</v>
      </c>
    </row>
    <row r="6905" ht="14.5" customHeight="1" spans="11:29" x14ac:dyDescent="0.25">
      <c r="K6905" s="128"/>
      <c r="X6905" s="234">
        <v>2022</v>
      </c>
      <c r="Y6905" s="234">
        <v>10</v>
      </c>
      <c r="Z6905" s="234">
        <v>15</v>
      </c>
      <c r="AA6905" s="235">
        <v>0.625</v>
      </c>
      <c r="AB6905" s="236">
        <v>15.9</v>
      </c>
      <c r="AC6905" s="127">
        <f t="shared" si="122"/>
        <v>16</v>
      </c>
    </row>
    <row r="6906" ht="14.5" customHeight="1" spans="11:29" x14ac:dyDescent="0.25">
      <c r="K6906" s="128"/>
      <c r="X6906" s="234">
        <v>2022</v>
      </c>
      <c r="Y6906" s="234">
        <v>10</v>
      </c>
      <c r="Z6906" s="234">
        <v>15</v>
      </c>
      <c r="AA6906" s="235">
        <v>0.6666666666678793</v>
      </c>
      <c r="AB6906" s="236">
        <v>15.7</v>
      </c>
      <c r="AC6906" s="127">
        <f t="shared" si="122"/>
        <v>16</v>
      </c>
    </row>
    <row r="6907" ht="14.5" customHeight="1" spans="11:29" x14ac:dyDescent="0.25">
      <c r="K6907" s="128"/>
      <c r="X6907" s="234">
        <v>2022</v>
      </c>
      <c r="Y6907" s="234">
        <v>10</v>
      </c>
      <c r="Z6907" s="234">
        <v>15</v>
      </c>
      <c r="AA6907" s="235">
        <v>0.7083333333321207</v>
      </c>
      <c r="AB6907" s="236">
        <v>14.2</v>
      </c>
      <c r="AC6907" s="127">
        <f t="shared" si="122"/>
        <v>14</v>
      </c>
    </row>
    <row r="6908" ht="14.5" customHeight="1" spans="11:29" x14ac:dyDescent="0.25">
      <c r="K6908" s="128"/>
      <c r="X6908" s="234">
        <v>2022</v>
      </c>
      <c r="Y6908" s="234">
        <v>10</v>
      </c>
      <c r="Z6908" s="234">
        <v>15</v>
      </c>
      <c r="AA6908" s="235">
        <v>0.75</v>
      </c>
      <c r="AB6908" s="236">
        <v>10.5</v>
      </c>
      <c r="AC6908" s="127">
        <f t="shared" si="122"/>
        <v>11</v>
      </c>
    </row>
    <row r="6909" ht="14.5" customHeight="1" spans="11:29" x14ac:dyDescent="0.25">
      <c r="K6909" s="128"/>
      <c r="X6909" s="234">
        <v>2022</v>
      </c>
      <c r="Y6909" s="234">
        <v>10</v>
      </c>
      <c r="Z6909" s="234">
        <v>15</v>
      </c>
      <c r="AA6909" s="235">
        <v>0.7916666666678793</v>
      </c>
      <c r="AB6909" s="236">
        <v>9.4</v>
      </c>
      <c r="AC6909" s="127">
        <f t="shared" si="122"/>
        <v>9</v>
      </c>
    </row>
    <row r="6910" ht="14.5" customHeight="1" spans="11:29" x14ac:dyDescent="0.25">
      <c r="K6910" s="128"/>
      <c r="X6910" s="234">
        <v>2022</v>
      </c>
      <c r="Y6910" s="234">
        <v>10</v>
      </c>
      <c r="Z6910" s="234">
        <v>15</v>
      </c>
      <c r="AA6910" s="235">
        <v>0.8333333333321207</v>
      </c>
      <c r="AB6910" s="236">
        <v>8.4</v>
      </c>
      <c r="AC6910" s="127">
        <f t="shared" si="122"/>
        <v>8</v>
      </c>
    </row>
    <row r="6911" ht="14.5" customHeight="1" spans="11:29" x14ac:dyDescent="0.25">
      <c r="K6911" s="128"/>
      <c r="X6911" s="234">
        <v>2022</v>
      </c>
      <c r="Y6911" s="234">
        <v>10</v>
      </c>
      <c r="Z6911" s="234">
        <v>15</v>
      </c>
      <c r="AA6911" s="235">
        <v>0.875</v>
      </c>
      <c r="AB6911" s="236">
        <v>7.1</v>
      </c>
      <c r="AC6911" s="127">
        <f t="shared" si="122"/>
        <v>7</v>
      </c>
    </row>
    <row r="6912" ht="14.5" customHeight="1" spans="11:29" x14ac:dyDescent="0.25">
      <c r="K6912" s="128"/>
      <c r="X6912" s="234">
        <v>2022</v>
      </c>
      <c r="Y6912" s="234">
        <v>10</v>
      </c>
      <c r="Z6912" s="234">
        <v>15</v>
      </c>
      <c r="AA6912" s="235">
        <v>0.9166666666678793</v>
      </c>
      <c r="AB6912" s="236">
        <v>7.2</v>
      </c>
      <c r="AC6912" s="127">
        <f t="shared" si="122"/>
        <v>7</v>
      </c>
    </row>
    <row r="6913" ht="14.5" customHeight="1" spans="11:29" x14ac:dyDescent="0.25">
      <c r="K6913" s="128"/>
      <c r="X6913" s="234">
        <v>2022</v>
      </c>
      <c r="Y6913" s="234">
        <v>10</v>
      </c>
      <c r="Z6913" s="234">
        <v>15</v>
      </c>
      <c r="AA6913" s="235">
        <v>0.9583333333321207</v>
      </c>
      <c r="AB6913" s="236">
        <v>6</v>
      </c>
      <c r="AC6913" s="127">
        <f t="shared" si="122"/>
        <v>6</v>
      </c>
    </row>
    <row r="6914" ht="14.5" customHeight="1" spans="11:29" x14ac:dyDescent="0.25">
      <c r="K6914" s="128"/>
      <c r="X6914" s="234">
        <v>2022</v>
      </c>
      <c r="Y6914" s="234">
        <v>10</v>
      </c>
      <c r="Z6914" s="234">
        <v>16</v>
      </c>
      <c r="AA6914" s="235">
        <v>0</v>
      </c>
      <c r="AB6914" s="236">
        <v>4.7</v>
      </c>
      <c r="AC6914" s="127">
        <f t="shared" si="122"/>
        <v>5</v>
      </c>
    </row>
    <row r="6915" ht="14.5" customHeight="1" spans="11:29" x14ac:dyDescent="0.25">
      <c r="K6915" s="128"/>
      <c r="X6915" s="234">
        <v>2022</v>
      </c>
      <c r="Y6915" s="234">
        <v>10</v>
      </c>
      <c r="Z6915" s="234">
        <v>16</v>
      </c>
      <c r="AA6915" s="235">
        <v>0.041666666667879326</v>
      </c>
      <c r="AB6915" s="236">
        <v>3.3</v>
      </c>
      <c r="AC6915" s="127">
        <f t="shared" si="122"/>
        <v>3</v>
      </c>
    </row>
    <row r="6916" ht="14.5" customHeight="1" spans="11:29" x14ac:dyDescent="0.25">
      <c r="K6916" s="128"/>
      <c r="X6916" s="234">
        <v>2022</v>
      </c>
      <c r="Y6916" s="234">
        <v>10</v>
      </c>
      <c r="Z6916" s="234">
        <v>16</v>
      </c>
      <c r="AA6916" s="235">
        <v>0.08333333333212067</v>
      </c>
      <c r="AB6916" s="236">
        <v>4.2</v>
      </c>
      <c r="AC6916" s="127">
        <f t="shared" si="122"/>
        <v>4</v>
      </c>
    </row>
    <row r="6917" ht="14.5" customHeight="1" spans="11:29" x14ac:dyDescent="0.25">
      <c r="K6917" s="128"/>
      <c r="X6917" s="234">
        <v>2022</v>
      </c>
      <c r="Y6917" s="234">
        <v>10</v>
      </c>
      <c r="Z6917" s="234">
        <v>16</v>
      </c>
      <c r="AA6917" s="235">
        <v>0.125</v>
      </c>
      <c r="AB6917" s="236">
        <v>3.3</v>
      </c>
      <c r="AC6917" s="127">
        <f t="shared" si="122"/>
        <v>3</v>
      </c>
    </row>
    <row r="6918" ht="14.5" customHeight="1" spans="11:29" x14ac:dyDescent="0.25">
      <c r="K6918" s="128"/>
      <c r="X6918" s="234">
        <v>2022</v>
      </c>
      <c r="Y6918" s="234">
        <v>10</v>
      </c>
      <c r="Z6918" s="234">
        <v>16</v>
      </c>
      <c r="AA6918" s="235">
        <v>0.16666666666787933</v>
      </c>
      <c r="AB6918" s="236">
        <v>2.6</v>
      </c>
      <c r="AC6918" s="127">
        <f t="shared" si="122"/>
        <v>3</v>
      </c>
    </row>
    <row r="6919" ht="14.5" customHeight="1" spans="11:29" x14ac:dyDescent="0.25">
      <c r="K6919" s="128"/>
      <c r="X6919" s="234">
        <v>2022</v>
      </c>
      <c r="Y6919" s="234">
        <v>10</v>
      </c>
      <c r="Z6919" s="234">
        <v>16</v>
      </c>
      <c r="AA6919" s="235">
        <v>0.20833333333212067</v>
      </c>
      <c r="AB6919" s="236">
        <v>1.9</v>
      </c>
      <c r="AC6919" s="127">
        <f t="shared" si="122"/>
        <v>2</v>
      </c>
    </row>
    <row r="6920" ht="14.5" customHeight="1" spans="11:29" x14ac:dyDescent="0.25">
      <c r="K6920" s="128"/>
      <c r="X6920" s="234">
        <v>2022</v>
      </c>
      <c r="Y6920" s="234">
        <v>10</v>
      </c>
      <c r="Z6920" s="234">
        <v>16</v>
      </c>
      <c r="AA6920" s="235">
        <v>0.25</v>
      </c>
      <c r="AB6920" s="236">
        <v>1.7</v>
      </c>
      <c r="AC6920" s="127">
        <f t="shared" si="122"/>
        <v>2</v>
      </c>
    </row>
    <row r="6921" ht="14.5" customHeight="1" spans="11:29" x14ac:dyDescent="0.25">
      <c r="K6921" s="128"/>
      <c r="X6921" s="234">
        <v>2022</v>
      </c>
      <c r="Y6921" s="234">
        <v>10</v>
      </c>
      <c r="Z6921" s="234">
        <v>16</v>
      </c>
      <c r="AA6921" s="235">
        <v>0.2916666666678793</v>
      </c>
      <c r="AB6921" s="236">
        <v>2.1</v>
      </c>
      <c r="AC6921" s="127">
        <f t="shared" si="122"/>
        <v>2</v>
      </c>
    </row>
    <row r="6922" ht="14.5" customHeight="1" spans="11:29" x14ac:dyDescent="0.25">
      <c r="K6922" s="128"/>
      <c r="X6922" s="234">
        <v>2022</v>
      </c>
      <c r="Y6922" s="234">
        <v>10</v>
      </c>
      <c r="Z6922" s="234">
        <v>16</v>
      </c>
      <c r="AA6922" s="235">
        <v>0.3333333333321207</v>
      </c>
      <c r="AB6922" s="236">
        <v>4.3</v>
      </c>
      <c r="AC6922" s="127">
        <f t="shared" si="122"/>
        <v>4</v>
      </c>
    </row>
    <row r="6923" ht="14.5" customHeight="1" spans="11:29" x14ac:dyDescent="0.25">
      <c r="K6923" s="128"/>
      <c r="X6923" s="234">
        <v>2022</v>
      </c>
      <c r="Y6923" s="234">
        <v>10</v>
      </c>
      <c r="Z6923" s="234">
        <v>16</v>
      </c>
      <c r="AA6923" s="235">
        <v>0.375</v>
      </c>
      <c r="AB6923" s="236">
        <v>7.7</v>
      </c>
      <c r="AC6923" s="127">
        <f t="shared" ref="AC6923:AC6986" si="123">ROUND(AB6923,0)</f>
        <v>8</v>
      </c>
    </row>
    <row r="6924" ht="14.5" customHeight="1" spans="11:29" x14ac:dyDescent="0.25">
      <c r="K6924" s="128"/>
      <c r="X6924" s="234">
        <v>2022</v>
      </c>
      <c r="Y6924" s="234">
        <v>10</v>
      </c>
      <c r="Z6924" s="234">
        <v>16</v>
      </c>
      <c r="AA6924" s="235">
        <v>0.4166666666678793</v>
      </c>
      <c r="AB6924" s="236">
        <v>11.5</v>
      </c>
      <c r="AC6924" s="127">
        <f t="shared" si="123"/>
        <v>12</v>
      </c>
    </row>
    <row r="6925" ht="14.5" customHeight="1" spans="11:29" x14ac:dyDescent="0.25">
      <c r="K6925" s="128"/>
      <c r="X6925" s="234">
        <v>2022</v>
      </c>
      <c r="Y6925" s="234">
        <v>10</v>
      </c>
      <c r="Z6925" s="234">
        <v>16</v>
      </c>
      <c r="AA6925" s="235">
        <v>0.4583333333321207</v>
      </c>
      <c r="AB6925" s="236">
        <v>15.1</v>
      </c>
      <c r="AC6925" s="127">
        <f t="shared" si="123"/>
        <v>15</v>
      </c>
    </row>
    <row r="6926" ht="14.5" customHeight="1" spans="11:29" x14ac:dyDescent="0.25">
      <c r="K6926" s="128"/>
      <c r="X6926" s="234">
        <v>2022</v>
      </c>
      <c r="Y6926" s="234">
        <v>10</v>
      </c>
      <c r="Z6926" s="234">
        <v>16</v>
      </c>
      <c r="AA6926" s="235">
        <v>0.5</v>
      </c>
      <c r="AB6926" s="236">
        <v>17.3</v>
      </c>
      <c r="AC6926" s="127">
        <f t="shared" si="123"/>
        <v>17</v>
      </c>
    </row>
    <row r="6927" ht="14.5" customHeight="1" spans="11:29" x14ac:dyDescent="0.25">
      <c r="K6927" s="128"/>
      <c r="X6927" s="234">
        <v>2022</v>
      </c>
      <c r="Y6927" s="234">
        <v>10</v>
      </c>
      <c r="Z6927" s="234">
        <v>16</v>
      </c>
      <c r="AA6927" s="235">
        <v>0.5416666666678793</v>
      </c>
      <c r="AB6927" s="236">
        <v>18.4</v>
      </c>
      <c r="AC6927" s="127">
        <f t="shared" si="123"/>
        <v>18</v>
      </c>
    </row>
    <row r="6928" ht="14.5" customHeight="1" spans="11:29" x14ac:dyDescent="0.25">
      <c r="K6928" s="128"/>
      <c r="X6928" s="234">
        <v>2022</v>
      </c>
      <c r="Y6928" s="234">
        <v>10</v>
      </c>
      <c r="Z6928" s="234">
        <v>16</v>
      </c>
      <c r="AA6928" s="235">
        <v>0.5833333333321207</v>
      </c>
      <c r="AB6928" s="236">
        <v>18.6</v>
      </c>
      <c r="AC6928" s="127">
        <f t="shared" si="123"/>
        <v>19</v>
      </c>
    </row>
    <row r="6929" ht="14.5" customHeight="1" spans="11:29" x14ac:dyDescent="0.25">
      <c r="K6929" s="128"/>
      <c r="X6929" s="234">
        <v>2022</v>
      </c>
      <c r="Y6929" s="234">
        <v>10</v>
      </c>
      <c r="Z6929" s="234">
        <v>16</v>
      </c>
      <c r="AA6929" s="235">
        <v>0.625</v>
      </c>
      <c r="AB6929" s="236">
        <v>19.3</v>
      </c>
      <c r="AC6929" s="127">
        <f t="shared" si="123"/>
        <v>19</v>
      </c>
    </row>
    <row r="6930" ht="14.5" customHeight="1" spans="11:29" x14ac:dyDescent="0.25">
      <c r="K6930" s="128"/>
      <c r="X6930" s="234">
        <v>2022</v>
      </c>
      <c r="Y6930" s="234">
        <v>10</v>
      </c>
      <c r="Z6930" s="234">
        <v>16</v>
      </c>
      <c r="AA6930" s="235">
        <v>0.6666666666678793</v>
      </c>
      <c r="AB6930" s="236">
        <v>19.3</v>
      </c>
      <c r="AC6930" s="127">
        <f t="shared" si="123"/>
        <v>19</v>
      </c>
    </row>
    <row r="6931" ht="14.5" customHeight="1" spans="11:29" x14ac:dyDescent="0.25">
      <c r="K6931" s="128"/>
      <c r="X6931" s="234">
        <v>2022</v>
      </c>
      <c r="Y6931" s="234">
        <v>10</v>
      </c>
      <c r="Z6931" s="234">
        <v>16</v>
      </c>
      <c r="AA6931" s="235">
        <v>0.7083333333321207</v>
      </c>
      <c r="AB6931" s="236">
        <v>18.1</v>
      </c>
      <c r="AC6931" s="127">
        <f t="shared" si="123"/>
        <v>18</v>
      </c>
    </row>
    <row r="6932" ht="14.5" customHeight="1" spans="11:29" x14ac:dyDescent="0.25">
      <c r="K6932" s="128"/>
      <c r="X6932" s="234">
        <v>2022</v>
      </c>
      <c r="Y6932" s="234">
        <v>10</v>
      </c>
      <c r="Z6932" s="234">
        <v>16</v>
      </c>
      <c r="AA6932" s="235">
        <v>0.75</v>
      </c>
      <c r="AB6932" s="236">
        <v>12.8</v>
      </c>
      <c r="AC6932" s="127">
        <f t="shared" si="123"/>
        <v>13</v>
      </c>
    </row>
    <row r="6933" ht="14.5" customHeight="1" spans="11:29" x14ac:dyDescent="0.25">
      <c r="K6933" s="128"/>
      <c r="X6933" s="234">
        <v>2022</v>
      </c>
      <c r="Y6933" s="234">
        <v>10</v>
      </c>
      <c r="Z6933" s="234">
        <v>16</v>
      </c>
      <c r="AA6933" s="235">
        <v>0.7916666666678793</v>
      </c>
      <c r="AB6933" s="236">
        <v>12</v>
      </c>
      <c r="AC6933" s="127">
        <f t="shared" si="123"/>
        <v>12</v>
      </c>
    </row>
    <row r="6934" ht="14.5" customHeight="1" spans="11:29" x14ac:dyDescent="0.25">
      <c r="K6934" s="128"/>
      <c r="X6934" s="234">
        <v>2022</v>
      </c>
      <c r="Y6934" s="234">
        <v>10</v>
      </c>
      <c r="Z6934" s="234">
        <v>16</v>
      </c>
      <c r="AA6934" s="235">
        <v>0.8333333333321207</v>
      </c>
      <c r="AB6934" s="236">
        <v>10.5</v>
      </c>
      <c r="AC6934" s="127">
        <f t="shared" si="123"/>
        <v>11</v>
      </c>
    </row>
    <row r="6935" ht="14.5" customHeight="1" spans="11:29" x14ac:dyDescent="0.25">
      <c r="K6935" s="128"/>
      <c r="X6935" s="234">
        <v>2022</v>
      </c>
      <c r="Y6935" s="234">
        <v>10</v>
      </c>
      <c r="Z6935" s="234">
        <v>16</v>
      </c>
      <c r="AA6935" s="235">
        <v>0.875</v>
      </c>
      <c r="AB6935" s="236">
        <v>7.6</v>
      </c>
      <c r="AC6935" s="127">
        <f t="shared" si="123"/>
        <v>8</v>
      </c>
    </row>
    <row r="6936" ht="14.5" customHeight="1" spans="11:29" x14ac:dyDescent="0.25">
      <c r="K6936" s="128"/>
      <c r="X6936" s="234">
        <v>2022</v>
      </c>
      <c r="Y6936" s="234">
        <v>10</v>
      </c>
      <c r="Z6936" s="234">
        <v>16</v>
      </c>
      <c r="AA6936" s="235">
        <v>0.9166666666678793</v>
      </c>
      <c r="AB6936" s="236">
        <v>6.9</v>
      </c>
      <c r="AC6936" s="127">
        <f t="shared" si="123"/>
        <v>7</v>
      </c>
    </row>
    <row r="6937" ht="14.5" customHeight="1" spans="11:29" x14ac:dyDescent="0.25">
      <c r="K6937" s="128"/>
      <c r="X6937" s="234">
        <v>2022</v>
      </c>
      <c r="Y6937" s="234">
        <v>10</v>
      </c>
      <c r="Z6937" s="234">
        <v>16</v>
      </c>
      <c r="AA6937" s="235">
        <v>0.9583333333321207</v>
      </c>
      <c r="AB6937" s="236">
        <v>8.9</v>
      </c>
      <c r="AC6937" s="127">
        <f t="shared" si="123"/>
        <v>9</v>
      </c>
    </row>
    <row r="6938" ht="14.5" customHeight="1" spans="11:29" x14ac:dyDescent="0.25">
      <c r="K6938" s="128"/>
      <c r="X6938" s="234">
        <v>2022</v>
      </c>
      <c r="Y6938" s="234">
        <v>10</v>
      </c>
      <c r="Z6938" s="234">
        <v>17</v>
      </c>
      <c r="AA6938" s="235">
        <v>0</v>
      </c>
      <c r="AB6938" s="236">
        <v>4.8</v>
      </c>
      <c r="AC6938" s="127">
        <f t="shared" si="123"/>
        <v>5</v>
      </c>
    </row>
    <row r="6939" ht="14.5" customHeight="1" spans="11:29" x14ac:dyDescent="0.25">
      <c r="K6939" s="128"/>
      <c r="X6939" s="234">
        <v>2022</v>
      </c>
      <c r="Y6939" s="234">
        <v>10</v>
      </c>
      <c r="Z6939" s="234">
        <v>17</v>
      </c>
      <c r="AA6939" s="235">
        <v>0.041666666667879326</v>
      </c>
      <c r="AB6939" s="236">
        <v>3.8</v>
      </c>
      <c r="AC6939" s="127">
        <f t="shared" si="123"/>
        <v>4</v>
      </c>
    </row>
    <row r="6940" ht="14.5" customHeight="1" spans="11:29" x14ac:dyDescent="0.25">
      <c r="K6940" s="128"/>
      <c r="X6940" s="234">
        <v>2022</v>
      </c>
      <c r="Y6940" s="234">
        <v>10</v>
      </c>
      <c r="Z6940" s="234">
        <v>17</v>
      </c>
      <c r="AA6940" s="235">
        <v>0.08333333333212067</v>
      </c>
      <c r="AB6940" s="236">
        <v>4.2</v>
      </c>
      <c r="AC6940" s="127">
        <f t="shared" si="123"/>
        <v>4</v>
      </c>
    </row>
    <row r="6941" ht="14.5" customHeight="1" spans="11:29" x14ac:dyDescent="0.25">
      <c r="K6941" s="128"/>
      <c r="X6941" s="234">
        <v>2022</v>
      </c>
      <c r="Y6941" s="234">
        <v>10</v>
      </c>
      <c r="Z6941" s="234">
        <v>17</v>
      </c>
      <c r="AA6941" s="235">
        <v>0.125</v>
      </c>
      <c r="AB6941" s="236">
        <v>4</v>
      </c>
      <c r="AC6941" s="127">
        <f t="shared" si="123"/>
        <v>4</v>
      </c>
    </row>
    <row r="6942" ht="14.5" customHeight="1" spans="11:29" x14ac:dyDescent="0.25">
      <c r="K6942" s="128"/>
      <c r="X6942" s="234">
        <v>2022</v>
      </c>
      <c r="Y6942" s="234">
        <v>10</v>
      </c>
      <c r="Z6942" s="234">
        <v>17</v>
      </c>
      <c r="AA6942" s="235">
        <v>0.16666666666787933</v>
      </c>
      <c r="AB6942" s="236">
        <v>3</v>
      </c>
      <c r="AC6942" s="127">
        <f t="shared" si="123"/>
        <v>3</v>
      </c>
    </row>
    <row r="6943" ht="14.5" customHeight="1" spans="11:29" x14ac:dyDescent="0.25">
      <c r="K6943" s="128"/>
      <c r="X6943" s="234">
        <v>2022</v>
      </c>
      <c r="Y6943" s="234">
        <v>10</v>
      </c>
      <c r="Z6943" s="234">
        <v>17</v>
      </c>
      <c r="AA6943" s="235">
        <v>0.20833333333212067</v>
      </c>
      <c r="AB6943" s="236">
        <v>2.9</v>
      </c>
      <c r="AC6943" s="127">
        <f t="shared" si="123"/>
        <v>3</v>
      </c>
    </row>
    <row r="6944" ht="14.5" customHeight="1" spans="11:29" x14ac:dyDescent="0.25">
      <c r="K6944" s="128"/>
      <c r="X6944" s="234">
        <v>2022</v>
      </c>
      <c r="Y6944" s="234">
        <v>10</v>
      </c>
      <c r="Z6944" s="234">
        <v>17</v>
      </c>
      <c r="AA6944" s="235">
        <v>0.25</v>
      </c>
      <c r="AB6944" s="236">
        <v>2</v>
      </c>
      <c r="AC6944" s="127">
        <f t="shared" si="123"/>
        <v>2</v>
      </c>
    </row>
    <row r="6945" ht="14.5" customHeight="1" spans="11:29" x14ac:dyDescent="0.25">
      <c r="K6945" s="128"/>
      <c r="X6945" s="234">
        <v>2022</v>
      </c>
      <c r="Y6945" s="234">
        <v>10</v>
      </c>
      <c r="Z6945" s="234">
        <v>17</v>
      </c>
      <c r="AA6945" s="235">
        <v>0.2916666666678793</v>
      </c>
      <c r="AB6945" s="236">
        <v>2.1</v>
      </c>
      <c r="AC6945" s="127">
        <f t="shared" si="123"/>
        <v>2</v>
      </c>
    </row>
    <row r="6946" ht="14.5" customHeight="1" spans="11:29" x14ac:dyDescent="0.25">
      <c r="K6946" s="128"/>
      <c r="X6946" s="234">
        <v>2022</v>
      </c>
      <c r="Y6946" s="234">
        <v>10</v>
      </c>
      <c r="Z6946" s="234">
        <v>17</v>
      </c>
      <c r="AA6946" s="235">
        <v>0.3333333333321207</v>
      </c>
      <c r="AB6946" s="236">
        <v>6.4</v>
      </c>
      <c r="AC6946" s="127">
        <f t="shared" si="123"/>
        <v>6</v>
      </c>
    </row>
    <row r="6947" ht="14.5" customHeight="1" spans="11:29" x14ac:dyDescent="0.25">
      <c r="K6947" s="128"/>
      <c r="X6947" s="234">
        <v>2022</v>
      </c>
      <c r="Y6947" s="234">
        <v>10</v>
      </c>
      <c r="Z6947" s="234">
        <v>17</v>
      </c>
      <c r="AA6947" s="235">
        <v>0.375</v>
      </c>
      <c r="AB6947" s="236">
        <v>12.8</v>
      </c>
      <c r="AC6947" s="127">
        <f t="shared" si="123"/>
        <v>13</v>
      </c>
    </row>
    <row r="6948" ht="14.5" customHeight="1" spans="11:29" x14ac:dyDescent="0.25">
      <c r="K6948" s="128"/>
      <c r="X6948" s="234">
        <v>2022</v>
      </c>
      <c r="Y6948" s="234">
        <v>10</v>
      </c>
      <c r="Z6948" s="234">
        <v>17</v>
      </c>
      <c r="AA6948" s="235">
        <v>0.4166666666678793</v>
      </c>
      <c r="AB6948" s="236">
        <v>18.3</v>
      </c>
      <c r="AC6948" s="127">
        <f t="shared" si="123"/>
        <v>18</v>
      </c>
    </row>
    <row r="6949" ht="14.5" customHeight="1" spans="11:29" x14ac:dyDescent="0.25">
      <c r="K6949" s="128"/>
      <c r="X6949" s="234">
        <v>2022</v>
      </c>
      <c r="Y6949" s="234">
        <v>10</v>
      </c>
      <c r="Z6949" s="234">
        <v>17</v>
      </c>
      <c r="AA6949" s="235">
        <v>0.4583333333321207</v>
      </c>
      <c r="AB6949" s="236">
        <v>20.7</v>
      </c>
      <c r="AC6949" s="127">
        <f t="shared" si="123"/>
        <v>21</v>
      </c>
    </row>
    <row r="6950" ht="14.5" customHeight="1" spans="11:29" x14ac:dyDescent="0.25">
      <c r="K6950" s="128"/>
      <c r="X6950" s="234">
        <v>2022</v>
      </c>
      <c r="Y6950" s="234">
        <v>10</v>
      </c>
      <c r="Z6950" s="234">
        <v>17</v>
      </c>
      <c r="AA6950" s="235">
        <v>0.5</v>
      </c>
      <c r="AB6950" s="236">
        <v>22.7</v>
      </c>
      <c r="AC6950" s="127">
        <f t="shared" si="123"/>
        <v>23</v>
      </c>
    </row>
    <row r="6951" ht="14.5" customHeight="1" spans="11:29" x14ac:dyDescent="0.25">
      <c r="K6951" s="128"/>
      <c r="X6951" s="234">
        <v>2022</v>
      </c>
      <c r="Y6951" s="234">
        <v>10</v>
      </c>
      <c r="Z6951" s="234">
        <v>17</v>
      </c>
      <c r="AA6951" s="235">
        <v>0.5416666666678793</v>
      </c>
      <c r="AB6951" s="236">
        <v>24.3</v>
      </c>
      <c r="AC6951" s="127">
        <f t="shared" si="123"/>
        <v>24</v>
      </c>
    </row>
    <row r="6952" ht="14.5" customHeight="1" spans="11:29" x14ac:dyDescent="0.25">
      <c r="K6952" s="128"/>
      <c r="X6952" s="234">
        <v>2022</v>
      </c>
      <c r="Y6952" s="234">
        <v>10</v>
      </c>
      <c r="Z6952" s="234">
        <v>17</v>
      </c>
      <c r="AA6952" s="235">
        <v>0.5833333333321207</v>
      </c>
      <c r="AB6952" s="236">
        <v>25</v>
      </c>
      <c r="AC6952" s="127">
        <f t="shared" si="123"/>
        <v>25</v>
      </c>
    </row>
    <row r="6953" ht="14.5" customHeight="1" spans="11:29" x14ac:dyDescent="0.25">
      <c r="K6953" s="128"/>
      <c r="X6953" s="234">
        <v>2022</v>
      </c>
      <c r="Y6953" s="234">
        <v>10</v>
      </c>
      <c r="Z6953" s="234">
        <v>17</v>
      </c>
      <c r="AA6953" s="235">
        <v>0.625</v>
      </c>
      <c r="AB6953" s="236">
        <v>25.3</v>
      </c>
      <c r="AC6953" s="127">
        <f t="shared" si="123"/>
        <v>25</v>
      </c>
    </row>
    <row r="6954" ht="14.5" customHeight="1" spans="11:29" x14ac:dyDescent="0.25">
      <c r="K6954" s="128"/>
      <c r="X6954" s="234">
        <v>2022</v>
      </c>
      <c r="Y6954" s="234">
        <v>10</v>
      </c>
      <c r="Z6954" s="234">
        <v>17</v>
      </c>
      <c r="AA6954" s="235">
        <v>0.6666666666678793</v>
      </c>
      <c r="AB6954" s="236">
        <v>24.7</v>
      </c>
      <c r="AC6954" s="127">
        <f t="shared" si="123"/>
        <v>25</v>
      </c>
    </row>
    <row r="6955" ht="14.5" customHeight="1" spans="11:29" x14ac:dyDescent="0.25">
      <c r="K6955" s="128"/>
      <c r="X6955" s="234">
        <v>2022</v>
      </c>
      <c r="Y6955" s="234">
        <v>10</v>
      </c>
      <c r="Z6955" s="234">
        <v>17</v>
      </c>
      <c r="AA6955" s="235">
        <v>0.7083333333321207</v>
      </c>
      <c r="AB6955" s="236">
        <v>20.5</v>
      </c>
      <c r="AC6955" s="127">
        <f t="shared" si="123"/>
        <v>21</v>
      </c>
    </row>
    <row r="6956" ht="14.5" customHeight="1" spans="11:29" x14ac:dyDescent="0.25">
      <c r="K6956" s="128"/>
      <c r="X6956" s="234">
        <v>2022</v>
      </c>
      <c r="Y6956" s="234">
        <v>10</v>
      </c>
      <c r="Z6956" s="234">
        <v>17</v>
      </c>
      <c r="AA6956" s="235">
        <v>0.75</v>
      </c>
      <c r="AB6956" s="236">
        <v>15.8</v>
      </c>
      <c r="AC6956" s="127">
        <f t="shared" si="123"/>
        <v>16</v>
      </c>
    </row>
    <row r="6957" ht="14.5" customHeight="1" spans="11:29" x14ac:dyDescent="0.25">
      <c r="K6957" s="128"/>
      <c r="X6957" s="234">
        <v>2022</v>
      </c>
      <c r="Y6957" s="234">
        <v>10</v>
      </c>
      <c r="Z6957" s="234">
        <v>17</v>
      </c>
      <c r="AA6957" s="235">
        <v>0.7916666666678793</v>
      </c>
      <c r="AB6957" s="236">
        <v>12.8</v>
      </c>
      <c r="AC6957" s="127">
        <f t="shared" si="123"/>
        <v>13</v>
      </c>
    </row>
    <row r="6958" ht="14.5" customHeight="1" spans="11:29" x14ac:dyDescent="0.25">
      <c r="K6958" s="128"/>
      <c r="X6958" s="234">
        <v>2022</v>
      </c>
      <c r="Y6958" s="234">
        <v>10</v>
      </c>
      <c r="Z6958" s="234">
        <v>17</v>
      </c>
      <c r="AA6958" s="235">
        <v>0.8333333333321207</v>
      </c>
      <c r="AB6958" s="236">
        <v>10.9</v>
      </c>
      <c r="AC6958" s="127">
        <f t="shared" si="123"/>
        <v>11</v>
      </c>
    </row>
    <row r="6959" ht="14.5" customHeight="1" spans="11:29" x14ac:dyDescent="0.25">
      <c r="K6959" s="128"/>
      <c r="X6959" s="234">
        <v>2022</v>
      </c>
      <c r="Y6959" s="234">
        <v>10</v>
      </c>
      <c r="Z6959" s="234">
        <v>17</v>
      </c>
      <c r="AA6959" s="235">
        <v>0.875</v>
      </c>
      <c r="AB6959" s="236">
        <v>10.2</v>
      </c>
      <c r="AC6959" s="127">
        <f t="shared" si="123"/>
        <v>10</v>
      </c>
    </row>
    <row r="6960" ht="14.5" customHeight="1" spans="11:29" x14ac:dyDescent="0.25">
      <c r="K6960" s="128"/>
      <c r="X6960" s="234">
        <v>2022</v>
      </c>
      <c r="Y6960" s="234">
        <v>10</v>
      </c>
      <c r="Z6960" s="234">
        <v>17</v>
      </c>
      <c r="AA6960" s="235">
        <v>0.9166666666678793</v>
      </c>
      <c r="AB6960" s="236">
        <v>7</v>
      </c>
      <c r="AC6960" s="127">
        <f t="shared" si="123"/>
        <v>7</v>
      </c>
    </row>
    <row r="6961" ht="14.5" customHeight="1" spans="11:29" x14ac:dyDescent="0.25">
      <c r="K6961" s="128"/>
      <c r="X6961" s="234">
        <v>2022</v>
      </c>
      <c r="Y6961" s="234">
        <v>10</v>
      </c>
      <c r="Z6961" s="234">
        <v>17</v>
      </c>
      <c r="AA6961" s="235">
        <v>0.9583333333321207</v>
      </c>
      <c r="AB6961" s="236">
        <v>3.4</v>
      </c>
      <c r="AC6961" s="127">
        <f t="shared" si="123"/>
        <v>3</v>
      </c>
    </row>
    <row r="6962" ht="14.5" customHeight="1" spans="11:29" x14ac:dyDescent="0.25">
      <c r="K6962" s="128"/>
      <c r="X6962" s="234">
        <v>2022</v>
      </c>
      <c r="Y6962" s="234">
        <v>10</v>
      </c>
      <c r="Z6962" s="234">
        <v>18</v>
      </c>
      <c r="AA6962" s="235">
        <v>0</v>
      </c>
      <c r="AB6962" s="236">
        <v>3.1</v>
      </c>
      <c r="AC6962" s="127">
        <f t="shared" si="123"/>
        <v>3</v>
      </c>
    </row>
    <row r="6963" ht="14.5" customHeight="1" spans="11:29" x14ac:dyDescent="0.25">
      <c r="K6963" s="128"/>
      <c r="X6963" s="234">
        <v>2022</v>
      </c>
      <c r="Y6963" s="234">
        <v>10</v>
      </c>
      <c r="Z6963" s="234">
        <v>18</v>
      </c>
      <c r="AA6963" s="235">
        <v>0.041666666667879326</v>
      </c>
      <c r="AB6963" s="236">
        <v>5</v>
      </c>
      <c r="AC6963" s="127">
        <f t="shared" si="123"/>
        <v>5</v>
      </c>
    </row>
    <row r="6964" ht="14.5" customHeight="1" spans="11:29" x14ac:dyDescent="0.25">
      <c r="K6964" s="128"/>
      <c r="X6964" s="234">
        <v>2022</v>
      </c>
      <c r="Y6964" s="234">
        <v>10</v>
      </c>
      <c r="Z6964" s="234">
        <v>18</v>
      </c>
      <c r="AA6964" s="235">
        <v>0.08333333333212067</v>
      </c>
      <c r="AB6964" s="236">
        <v>7</v>
      </c>
      <c r="AC6964" s="127">
        <f t="shared" si="123"/>
        <v>7</v>
      </c>
    </row>
    <row r="6965" ht="14.5" customHeight="1" spans="11:29" x14ac:dyDescent="0.25">
      <c r="K6965" s="128"/>
      <c r="X6965" s="234">
        <v>2022</v>
      </c>
      <c r="Y6965" s="234">
        <v>10</v>
      </c>
      <c r="Z6965" s="234">
        <v>18</v>
      </c>
      <c r="AA6965" s="235">
        <v>0.125</v>
      </c>
      <c r="AB6965" s="236">
        <v>7.3</v>
      </c>
      <c r="AC6965" s="127">
        <f t="shared" si="123"/>
        <v>7</v>
      </c>
    </row>
    <row r="6966" ht="14.5" customHeight="1" spans="11:29" x14ac:dyDescent="0.25">
      <c r="K6966" s="128"/>
      <c r="X6966" s="234">
        <v>2022</v>
      </c>
      <c r="Y6966" s="234">
        <v>10</v>
      </c>
      <c r="Z6966" s="234">
        <v>18</v>
      </c>
      <c r="AA6966" s="235">
        <v>0.16666666666787933</v>
      </c>
      <c r="AB6966" s="236">
        <v>5.6</v>
      </c>
      <c r="AC6966" s="127">
        <f t="shared" si="123"/>
        <v>6</v>
      </c>
    </row>
    <row r="6967" ht="14.5" customHeight="1" spans="11:29" x14ac:dyDescent="0.25">
      <c r="K6967" s="128"/>
      <c r="X6967" s="234">
        <v>2022</v>
      </c>
      <c r="Y6967" s="234">
        <v>10</v>
      </c>
      <c r="Z6967" s="234">
        <v>18</v>
      </c>
      <c r="AA6967" s="235">
        <v>0.20833333333212067</v>
      </c>
      <c r="AB6967" s="236">
        <v>4.9</v>
      </c>
      <c r="AC6967" s="127">
        <f t="shared" si="123"/>
        <v>5</v>
      </c>
    </row>
    <row r="6968" ht="14.5" customHeight="1" spans="11:29" x14ac:dyDescent="0.25">
      <c r="K6968" s="128"/>
      <c r="X6968" s="234">
        <v>2022</v>
      </c>
      <c r="Y6968" s="234">
        <v>10</v>
      </c>
      <c r="Z6968" s="234">
        <v>18</v>
      </c>
      <c r="AA6968" s="235">
        <v>0.25</v>
      </c>
      <c r="AB6968" s="236">
        <v>3.1</v>
      </c>
      <c r="AC6968" s="127">
        <f t="shared" si="123"/>
        <v>3</v>
      </c>
    </row>
    <row r="6969" ht="14.5" customHeight="1" spans="11:29" x14ac:dyDescent="0.25">
      <c r="K6969" s="128"/>
      <c r="X6969" s="234">
        <v>2022</v>
      </c>
      <c r="Y6969" s="234">
        <v>10</v>
      </c>
      <c r="Z6969" s="234">
        <v>18</v>
      </c>
      <c r="AA6969" s="235">
        <v>0.2916666666678793</v>
      </c>
      <c r="AB6969" s="236">
        <v>3.7</v>
      </c>
      <c r="AC6969" s="127">
        <f t="shared" si="123"/>
        <v>4</v>
      </c>
    </row>
    <row r="6970" ht="14.5" customHeight="1" spans="11:29" x14ac:dyDescent="0.25">
      <c r="K6970" s="128"/>
      <c r="X6970" s="234">
        <v>2022</v>
      </c>
      <c r="Y6970" s="234">
        <v>10</v>
      </c>
      <c r="Z6970" s="234">
        <v>18</v>
      </c>
      <c r="AA6970" s="235">
        <v>0.3333333333321207</v>
      </c>
      <c r="AB6970" s="236">
        <v>6.8</v>
      </c>
      <c r="AC6970" s="127">
        <f t="shared" si="123"/>
        <v>7</v>
      </c>
    </row>
    <row r="6971" ht="14.5" customHeight="1" spans="11:29" x14ac:dyDescent="0.25">
      <c r="K6971" s="128"/>
      <c r="X6971" s="234">
        <v>2022</v>
      </c>
      <c r="Y6971" s="234">
        <v>10</v>
      </c>
      <c r="Z6971" s="234">
        <v>18</v>
      </c>
      <c r="AA6971" s="235">
        <v>0.375</v>
      </c>
      <c r="AB6971" s="236">
        <v>11.6</v>
      </c>
      <c r="AC6971" s="127">
        <f t="shared" si="123"/>
        <v>12</v>
      </c>
    </row>
    <row r="6972" ht="14.5" customHeight="1" spans="11:29" x14ac:dyDescent="0.25">
      <c r="K6972" s="128"/>
      <c r="X6972" s="234">
        <v>2022</v>
      </c>
      <c r="Y6972" s="234">
        <v>10</v>
      </c>
      <c r="Z6972" s="234">
        <v>18</v>
      </c>
      <c r="AA6972" s="235">
        <v>0.4166666666678793</v>
      </c>
      <c r="AB6972" s="236">
        <v>16.2</v>
      </c>
      <c r="AC6972" s="127">
        <f t="shared" si="123"/>
        <v>16</v>
      </c>
    </row>
    <row r="6973" ht="14.5" customHeight="1" spans="11:29" x14ac:dyDescent="0.25">
      <c r="K6973" s="128"/>
      <c r="X6973" s="234">
        <v>2022</v>
      </c>
      <c r="Y6973" s="234">
        <v>10</v>
      </c>
      <c r="Z6973" s="234">
        <v>18</v>
      </c>
      <c r="AA6973" s="235">
        <v>0.4583333333321207</v>
      </c>
      <c r="AB6973" s="236">
        <v>19.5</v>
      </c>
      <c r="AC6973" s="127">
        <f t="shared" si="123"/>
        <v>20</v>
      </c>
    </row>
    <row r="6974" ht="14.5" customHeight="1" spans="11:29" x14ac:dyDescent="0.25">
      <c r="K6974" s="128"/>
      <c r="X6974" s="234">
        <v>2022</v>
      </c>
      <c r="Y6974" s="234">
        <v>10</v>
      </c>
      <c r="Z6974" s="234">
        <v>18</v>
      </c>
      <c r="AA6974" s="235">
        <v>0.5</v>
      </c>
      <c r="AB6974" s="236">
        <v>22.7</v>
      </c>
      <c r="AC6974" s="127">
        <f t="shared" si="123"/>
        <v>23</v>
      </c>
    </row>
    <row r="6975" ht="14.5" customHeight="1" spans="11:29" x14ac:dyDescent="0.25">
      <c r="K6975" s="128"/>
      <c r="X6975" s="234">
        <v>2022</v>
      </c>
      <c r="Y6975" s="234">
        <v>10</v>
      </c>
      <c r="Z6975" s="234">
        <v>18</v>
      </c>
      <c r="AA6975" s="235">
        <v>0.5416666666678793</v>
      </c>
      <c r="AB6975" s="236">
        <v>23.7</v>
      </c>
      <c r="AC6975" s="127">
        <f t="shared" si="123"/>
        <v>24</v>
      </c>
    </row>
    <row r="6976" ht="14.5" customHeight="1" spans="11:29" x14ac:dyDescent="0.25">
      <c r="K6976" s="128"/>
      <c r="X6976" s="234">
        <v>2022</v>
      </c>
      <c r="Y6976" s="234">
        <v>10</v>
      </c>
      <c r="Z6976" s="234">
        <v>18</v>
      </c>
      <c r="AA6976" s="235">
        <v>0.5833333333321207</v>
      </c>
      <c r="AB6976" s="236">
        <v>24</v>
      </c>
      <c r="AC6976" s="127">
        <f t="shared" si="123"/>
        <v>24</v>
      </c>
    </row>
    <row r="6977" ht="14.5" customHeight="1" spans="11:29" x14ac:dyDescent="0.25">
      <c r="K6977" s="128"/>
      <c r="X6977" s="234">
        <v>2022</v>
      </c>
      <c r="Y6977" s="234">
        <v>10</v>
      </c>
      <c r="Z6977" s="234">
        <v>18</v>
      </c>
      <c r="AA6977" s="235">
        <v>0.625</v>
      </c>
      <c r="AB6977" s="236">
        <v>24.8</v>
      </c>
      <c r="AC6977" s="127">
        <f t="shared" si="123"/>
        <v>25</v>
      </c>
    </row>
    <row r="6978" ht="14.5" customHeight="1" spans="11:29" x14ac:dyDescent="0.25">
      <c r="K6978" s="128"/>
      <c r="X6978" s="234">
        <v>2022</v>
      </c>
      <c r="Y6978" s="234">
        <v>10</v>
      </c>
      <c r="Z6978" s="234">
        <v>18</v>
      </c>
      <c r="AA6978" s="235">
        <v>0.6666666666678793</v>
      </c>
      <c r="AB6978" s="236">
        <v>24.3</v>
      </c>
      <c r="AC6978" s="127">
        <f t="shared" si="123"/>
        <v>24</v>
      </c>
    </row>
    <row r="6979" ht="14.5" customHeight="1" spans="11:29" x14ac:dyDescent="0.25">
      <c r="K6979" s="128"/>
      <c r="X6979" s="234">
        <v>2022</v>
      </c>
      <c r="Y6979" s="234">
        <v>10</v>
      </c>
      <c r="Z6979" s="234">
        <v>18</v>
      </c>
      <c r="AA6979" s="235">
        <v>0.7083333333321207</v>
      </c>
      <c r="AB6979" s="236">
        <v>19.3</v>
      </c>
      <c r="AC6979" s="127">
        <f t="shared" si="123"/>
        <v>19</v>
      </c>
    </row>
    <row r="6980" ht="14.5" customHeight="1" spans="11:29" x14ac:dyDescent="0.25">
      <c r="K6980" s="128"/>
      <c r="X6980" s="234">
        <v>2022</v>
      </c>
      <c r="Y6980" s="234">
        <v>10</v>
      </c>
      <c r="Z6980" s="234">
        <v>18</v>
      </c>
      <c r="AA6980" s="235">
        <v>0.75</v>
      </c>
      <c r="AB6980" s="236">
        <v>15.4</v>
      </c>
      <c r="AC6980" s="127">
        <f t="shared" si="123"/>
        <v>15</v>
      </c>
    </row>
    <row r="6981" ht="14.5" customHeight="1" spans="11:29" x14ac:dyDescent="0.25">
      <c r="K6981" s="128"/>
      <c r="X6981" s="234">
        <v>2022</v>
      </c>
      <c r="Y6981" s="234">
        <v>10</v>
      </c>
      <c r="Z6981" s="234">
        <v>18</v>
      </c>
      <c r="AA6981" s="235">
        <v>0.7916666666678793</v>
      </c>
      <c r="AB6981" s="236">
        <v>11.7</v>
      </c>
      <c r="AC6981" s="127">
        <f t="shared" si="123"/>
        <v>12</v>
      </c>
    </row>
    <row r="6982" ht="14.5" customHeight="1" spans="11:29" x14ac:dyDescent="0.25">
      <c r="K6982" s="128"/>
      <c r="X6982" s="234">
        <v>2022</v>
      </c>
      <c r="Y6982" s="234">
        <v>10</v>
      </c>
      <c r="Z6982" s="234">
        <v>18</v>
      </c>
      <c r="AA6982" s="235">
        <v>0.8333333333321207</v>
      </c>
      <c r="AB6982" s="236">
        <v>8</v>
      </c>
      <c r="AC6982" s="127">
        <f t="shared" si="123"/>
        <v>8</v>
      </c>
    </row>
    <row r="6983" ht="14.5" customHeight="1" spans="11:29" x14ac:dyDescent="0.25">
      <c r="K6983" s="128"/>
      <c r="X6983" s="234">
        <v>2022</v>
      </c>
      <c r="Y6983" s="234">
        <v>10</v>
      </c>
      <c r="Z6983" s="234">
        <v>18</v>
      </c>
      <c r="AA6983" s="235">
        <v>0.875</v>
      </c>
      <c r="AB6983" s="236">
        <v>9.3</v>
      </c>
      <c r="AC6983" s="127">
        <f t="shared" si="123"/>
        <v>9</v>
      </c>
    </row>
    <row r="6984" ht="14.5" customHeight="1" spans="11:29" x14ac:dyDescent="0.25">
      <c r="K6984" s="128"/>
      <c r="X6984" s="234">
        <v>2022</v>
      </c>
      <c r="Y6984" s="234">
        <v>10</v>
      </c>
      <c r="Z6984" s="234">
        <v>18</v>
      </c>
      <c r="AA6984" s="235">
        <v>0.9166666666678793</v>
      </c>
      <c r="AB6984" s="236">
        <v>6.4</v>
      </c>
      <c r="AC6984" s="127">
        <f t="shared" si="123"/>
        <v>6</v>
      </c>
    </row>
    <row r="6985" ht="14.5" customHeight="1" spans="11:29" x14ac:dyDescent="0.25">
      <c r="K6985" s="128"/>
      <c r="X6985" s="234">
        <v>2022</v>
      </c>
      <c r="Y6985" s="234">
        <v>10</v>
      </c>
      <c r="Z6985" s="234">
        <v>18</v>
      </c>
      <c r="AA6985" s="235">
        <v>0.9583333333321207</v>
      </c>
      <c r="AB6985" s="236">
        <v>3.7</v>
      </c>
      <c r="AC6985" s="127">
        <f t="shared" si="123"/>
        <v>4</v>
      </c>
    </row>
    <row r="6986" ht="14.5" customHeight="1" spans="11:29" x14ac:dyDescent="0.25">
      <c r="K6986" s="128"/>
      <c r="X6986" s="234">
        <v>2022</v>
      </c>
      <c r="Y6986" s="234">
        <v>10</v>
      </c>
      <c r="Z6986" s="234">
        <v>19</v>
      </c>
      <c r="AA6986" s="235">
        <v>0</v>
      </c>
      <c r="AB6986" s="236">
        <v>4.3</v>
      </c>
      <c r="AC6986" s="127">
        <f t="shared" si="123"/>
        <v>4</v>
      </c>
    </row>
    <row r="6987" ht="14.5" customHeight="1" spans="11:29" x14ac:dyDescent="0.25">
      <c r="K6987" s="128"/>
      <c r="X6987" s="234">
        <v>2022</v>
      </c>
      <c r="Y6987" s="234">
        <v>10</v>
      </c>
      <c r="Z6987" s="234">
        <v>19</v>
      </c>
      <c r="AA6987" s="235">
        <v>0.041666666667879326</v>
      </c>
      <c r="AB6987" s="236">
        <v>2.8</v>
      </c>
      <c r="AC6987" s="127">
        <f t="shared" ref="AC6987:AC7050" si="124">ROUND(AB6987,0)</f>
        <v>3</v>
      </c>
    </row>
    <row r="6988" ht="14.5" customHeight="1" spans="11:29" x14ac:dyDescent="0.25">
      <c r="K6988" s="128"/>
      <c r="X6988" s="234">
        <v>2022</v>
      </c>
      <c r="Y6988" s="234">
        <v>10</v>
      </c>
      <c r="Z6988" s="234">
        <v>19</v>
      </c>
      <c r="AA6988" s="235">
        <v>0.08333333333212067</v>
      </c>
      <c r="AB6988" s="236">
        <v>2</v>
      </c>
      <c r="AC6988" s="127">
        <f t="shared" si="124"/>
        <v>2</v>
      </c>
    </row>
    <row r="6989" ht="14.5" customHeight="1" spans="11:29" x14ac:dyDescent="0.25">
      <c r="K6989" s="128"/>
      <c r="X6989" s="234">
        <v>2022</v>
      </c>
      <c r="Y6989" s="234">
        <v>10</v>
      </c>
      <c r="Z6989" s="234">
        <v>19</v>
      </c>
      <c r="AA6989" s="235">
        <v>0.125</v>
      </c>
      <c r="AB6989" s="236">
        <v>3.2</v>
      </c>
      <c r="AC6989" s="127">
        <f t="shared" si="124"/>
        <v>3</v>
      </c>
    </row>
    <row r="6990" ht="14.5" customHeight="1" spans="11:29" x14ac:dyDescent="0.25">
      <c r="K6990" s="128"/>
      <c r="X6990" s="234">
        <v>2022</v>
      </c>
      <c r="Y6990" s="234">
        <v>10</v>
      </c>
      <c r="Z6990" s="234">
        <v>19</v>
      </c>
      <c r="AA6990" s="235">
        <v>0.16666666666787933</v>
      </c>
      <c r="AB6990" s="236">
        <v>2.4</v>
      </c>
      <c r="AC6990" s="127">
        <f t="shared" si="124"/>
        <v>2</v>
      </c>
    </row>
    <row r="6991" ht="14.5" customHeight="1" spans="11:29" x14ac:dyDescent="0.25">
      <c r="K6991" s="128"/>
      <c r="X6991" s="234">
        <v>2022</v>
      </c>
      <c r="Y6991" s="234">
        <v>10</v>
      </c>
      <c r="Z6991" s="234">
        <v>19</v>
      </c>
      <c r="AA6991" s="235">
        <v>0.20833333333212067</v>
      </c>
      <c r="AB6991" s="236">
        <v>2.4</v>
      </c>
      <c r="AC6991" s="127">
        <f t="shared" si="124"/>
        <v>2</v>
      </c>
    </row>
    <row r="6992" ht="14.5" customHeight="1" spans="11:29" x14ac:dyDescent="0.25">
      <c r="K6992" s="128"/>
      <c r="X6992" s="234">
        <v>2022</v>
      </c>
      <c r="Y6992" s="234">
        <v>10</v>
      </c>
      <c r="Z6992" s="234">
        <v>19</v>
      </c>
      <c r="AA6992" s="235">
        <v>0.25</v>
      </c>
      <c r="AB6992" s="236">
        <v>1.9</v>
      </c>
      <c r="AC6992" s="127">
        <f t="shared" si="124"/>
        <v>2</v>
      </c>
    </row>
    <row r="6993" ht="14.5" customHeight="1" spans="11:29" x14ac:dyDescent="0.25">
      <c r="K6993" s="128"/>
      <c r="X6993" s="234">
        <v>2022</v>
      </c>
      <c r="Y6993" s="234">
        <v>10</v>
      </c>
      <c r="Z6993" s="234">
        <v>19</v>
      </c>
      <c r="AA6993" s="235">
        <v>0.2916666666678793</v>
      </c>
      <c r="AB6993" s="236">
        <v>1.3</v>
      </c>
      <c r="AC6993" s="127">
        <f t="shared" si="124"/>
        <v>1</v>
      </c>
    </row>
    <row r="6994" ht="14.5" customHeight="1" spans="11:29" x14ac:dyDescent="0.25">
      <c r="K6994" s="128"/>
      <c r="X6994" s="234">
        <v>2022</v>
      </c>
      <c r="Y6994" s="234">
        <v>10</v>
      </c>
      <c r="Z6994" s="234">
        <v>19</v>
      </c>
      <c r="AA6994" s="235">
        <v>0.3333333333321207</v>
      </c>
      <c r="AB6994" s="236">
        <v>3.9</v>
      </c>
      <c r="AC6994" s="127">
        <f t="shared" si="124"/>
        <v>4</v>
      </c>
    </row>
    <row r="6995" ht="14.5" customHeight="1" spans="11:29" x14ac:dyDescent="0.25">
      <c r="K6995" s="128"/>
      <c r="X6995" s="234">
        <v>2022</v>
      </c>
      <c r="Y6995" s="234">
        <v>10</v>
      </c>
      <c r="Z6995" s="234">
        <v>19</v>
      </c>
      <c r="AA6995" s="235">
        <v>0.375</v>
      </c>
      <c r="AB6995" s="236">
        <v>10.7</v>
      </c>
      <c r="AC6995" s="127">
        <f t="shared" si="124"/>
        <v>11</v>
      </c>
    </row>
    <row r="6996" ht="14.5" customHeight="1" spans="11:29" x14ac:dyDescent="0.25">
      <c r="K6996" s="128"/>
      <c r="X6996" s="234">
        <v>2022</v>
      </c>
      <c r="Y6996" s="234">
        <v>10</v>
      </c>
      <c r="Z6996" s="234">
        <v>19</v>
      </c>
      <c r="AA6996" s="235">
        <v>0.4166666666678793</v>
      </c>
      <c r="AB6996" s="236">
        <v>14.2</v>
      </c>
      <c r="AC6996" s="127">
        <f t="shared" si="124"/>
        <v>14</v>
      </c>
    </row>
    <row r="6997" ht="14.5" customHeight="1" spans="11:29" x14ac:dyDescent="0.25">
      <c r="K6997" s="128"/>
      <c r="X6997" s="234">
        <v>2022</v>
      </c>
      <c r="Y6997" s="234">
        <v>10</v>
      </c>
      <c r="Z6997" s="234">
        <v>19</v>
      </c>
      <c r="AA6997" s="235">
        <v>0.4583333333321207</v>
      </c>
      <c r="AB6997" s="236">
        <v>18.2</v>
      </c>
      <c r="AC6997" s="127">
        <f t="shared" si="124"/>
        <v>18</v>
      </c>
    </row>
    <row r="6998" ht="14.5" customHeight="1" spans="11:29" x14ac:dyDescent="0.25">
      <c r="K6998" s="128"/>
      <c r="X6998" s="234">
        <v>2022</v>
      </c>
      <c r="Y6998" s="234">
        <v>10</v>
      </c>
      <c r="Z6998" s="234">
        <v>19</v>
      </c>
      <c r="AA6998" s="235">
        <v>0.5</v>
      </c>
      <c r="AB6998" s="236">
        <v>21</v>
      </c>
      <c r="AC6998" s="127">
        <f t="shared" si="124"/>
        <v>21</v>
      </c>
    </row>
    <row r="6999" ht="14.5" customHeight="1" spans="11:29" x14ac:dyDescent="0.25">
      <c r="K6999" s="128"/>
      <c r="X6999" s="234">
        <v>2022</v>
      </c>
      <c r="Y6999" s="234">
        <v>10</v>
      </c>
      <c r="Z6999" s="234">
        <v>19</v>
      </c>
      <c r="AA6999" s="235">
        <v>0.5416666666678793</v>
      </c>
      <c r="AB6999" s="236">
        <v>22.6</v>
      </c>
      <c r="AC6999" s="127">
        <f t="shared" si="124"/>
        <v>23</v>
      </c>
    </row>
    <row r="7000" ht="14.5" customHeight="1" spans="11:29" x14ac:dyDescent="0.25">
      <c r="K7000" s="128"/>
      <c r="X7000" s="234">
        <v>2022</v>
      </c>
      <c r="Y7000" s="234">
        <v>10</v>
      </c>
      <c r="Z7000" s="234">
        <v>19</v>
      </c>
      <c r="AA7000" s="235">
        <v>0.5833333333321207</v>
      </c>
      <c r="AB7000" s="236">
        <v>23.6</v>
      </c>
      <c r="AC7000" s="127">
        <f t="shared" si="124"/>
        <v>24</v>
      </c>
    </row>
    <row r="7001" ht="14.5" customHeight="1" spans="11:29" x14ac:dyDescent="0.25">
      <c r="K7001" s="128"/>
      <c r="X7001" s="234">
        <v>2022</v>
      </c>
      <c r="Y7001" s="234">
        <v>10</v>
      </c>
      <c r="Z7001" s="234">
        <v>19</v>
      </c>
      <c r="AA7001" s="235">
        <v>0.625</v>
      </c>
      <c r="AB7001" s="236">
        <v>24.7</v>
      </c>
      <c r="AC7001" s="127">
        <f t="shared" si="124"/>
        <v>25</v>
      </c>
    </row>
    <row r="7002" ht="14.5" customHeight="1" spans="11:29" x14ac:dyDescent="0.25">
      <c r="K7002" s="128"/>
      <c r="X7002" s="234">
        <v>2022</v>
      </c>
      <c r="Y7002" s="234">
        <v>10</v>
      </c>
      <c r="Z7002" s="234">
        <v>19</v>
      </c>
      <c r="AA7002" s="235">
        <v>0.6666666666678793</v>
      </c>
      <c r="AB7002" s="236">
        <v>24.1</v>
      </c>
      <c r="AC7002" s="127">
        <f t="shared" si="124"/>
        <v>24</v>
      </c>
    </row>
    <row r="7003" ht="14.5" customHeight="1" spans="11:29" x14ac:dyDescent="0.25">
      <c r="K7003" s="128"/>
      <c r="X7003" s="234">
        <v>2022</v>
      </c>
      <c r="Y7003" s="234">
        <v>10</v>
      </c>
      <c r="Z7003" s="234">
        <v>19</v>
      </c>
      <c r="AA7003" s="235">
        <v>0.7083333333321207</v>
      </c>
      <c r="AB7003" s="236">
        <v>21.5</v>
      </c>
      <c r="AC7003" s="127">
        <f t="shared" si="124"/>
        <v>22</v>
      </c>
    </row>
    <row r="7004" ht="14.5" customHeight="1" spans="11:29" x14ac:dyDescent="0.25">
      <c r="K7004" s="128"/>
      <c r="X7004" s="234">
        <v>2022</v>
      </c>
      <c r="Y7004" s="234">
        <v>10</v>
      </c>
      <c r="Z7004" s="234">
        <v>19</v>
      </c>
      <c r="AA7004" s="235">
        <v>0.75</v>
      </c>
      <c r="AB7004" s="236">
        <v>18</v>
      </c>
      <c r="AC7004" s="127">
        <f t="shared" si="124"/>
        <v>18</v>
      </c>
    </row>
    <row r="7005" ht="14.5" customHeight="1" spans="11:29" x14ac:dyDescent="0.25">
      <c r="K7005" s="128"/>
      <c r="X7005" s="234">
        <v>2022</v>
      </c>
      <c r="Y7005" s="234">
        <v>10</v>
      </c>
      <c r="Z7005" s="234">
        <v>19</v>
      </c>
      <c r="AA7005" s="235">
        <v>0.7916666666678793</v>
      </c>
      <c r="AB7005" s="236">
        <v>16.9</v>
      </c>
      <c r="AC7005" s="127">
        <f t="shared" si="124"/>
        <v>17</v>
      </c>
    </row>
    <row r="7006" ht="14.5" customHeight="1" spans="11:29" x14ac:dyDescent="0.25">
      <c r="K7006" s="128"/>
      <c r="X7006" s="234">
        <v>2022</v>
      </c>
      <c r="Y7006" s="234">
        <v>10</v>
      </c>
      <c r="Z7006" s="234">
        <v>19</v>
      </c>
      <c r="AA7006" s="235">
        <v>0.8333333333321207</v>
      </c>
      <c r="AB7006" s="236">
        <v>13.6</v>
      </c>
      <c r="AC7006" s="127">
        <f t="shared" si="124"/>
        <v>14</v>
      </c>
    </row>
    <row r="7007" ht="14.5" customHeight="1" spans="11:29" x14ac:dyDescent="0.25">
      <c r="K7007" s="128"/>
      <c r="X7007" s="234">
        <v>2022</v>
      </c>
      <c r="Y7007" s="234">
        <v>10</v>
      </c>
      <c r="Z7007" s="234">
        <v>19</v>
      </c>
      <c r="AA7007" s="235">
        <v>0.875</v>
      </c>
      <c r="AB7007" s="236">
        <v>16.2</v>
      </c>
      <c r="AC7007" s="127">
        <f t="shared" si="124"/>
        <v>16</v>
      </c>
    </row>
    <row r="7008" ht="14.5" customHeight="1" spans="11:29" x14ac:dyDescent="0.25">
      <c r="K7008" s="128"/>
      <c r="X7008" s="234">
        <v>2022</v>
      </c>
      <c r="Y7008" s="234">
        <v>10</v>
      </c>
      <c r="Z7008" s="234">
        <v>19</v>
      </c>
      <c r="AA7008" s="235">
        <v>0.9166666666678793</v>
      </c>
      <c r="AB7008" s="236">
        <v>17.1</v>
      </c>
      <c r="AC7008" s="127">
        <f t="shared" si="124"/>
        <v>17</v>
      </c>
    </row>
    <row r="7009" ht="14.5" customHeight="1" spans="11:29" x14ac:dyDescent="0.25">
      <c r="K7009" s="128"/>
      <c r="X7009" s="234">
        <v>2022</v>
      </c>
      <c r="Y7009" s="234">
        <v>10</v>
      </c>
      <c r="Z7009" s="234">
        <v>19</v>
      </c>
      <c r="AA7009" s="235">
        <v>0.9583333333321207</v>
      </c>
      <c r="AB7009" s="236">
        <v>14.2</v>
      </c>
      <c r="AC7009" s="127">
        <f t="shared" si="124"/>
        <v>14</v>
      </c>
    </row>
    <row r="7010" ht="14.5" customHeight="1" spans="11:29" x14ac:dyDescent="0.25">
      <c r="K7010" s="128"/>
      <c r="X7010" s="234">
        <v>2022</v>
      </c>
      <c r="Y7010" s="234">
        <v>10</v>
      </c>
      <c r="Z7010" s="234">
        <v>20</v>
      </c>
      <c r="AA7010" s="235">
        <v>0</v>
      </c>
      <c r="AB7010" s="236">
        <v>16.3</v>
      </c>
      <c r="AC7010" s="127">
        <f t="shared" si="124"/>
        <v>16</v>
      </c>
    </row>
    <row r="7011" ht="14.5" customHeight="1" spans="11:29" x14ac:dyDescent="0.25">
      <c r="K7011" s="128"/>
      <c r="X7011" s="234">
        <v>2022</v>
      </c>
      <c r="Y7011" s="234">
        <v>10</v>
      </c>
      <c r="Z7011" s="234">
        <v>20</v>
      </c>
      <c r="AA7011" s="235">
        <v>0.041666666667879326</v>
      </c>
      <c r="AB7011" s="236">
        <v>15.3</v>
      </c>
      <c r="AC7011" s="127">
        <f t="shared" si="124"/>
        <v>15</v>
      </c>
    </row>
    <row r="7012" ht="14.5" customHeight="1" spans="11:29" x14ac:dyDescent="0.25">
      <c r="K7012" s="128"/>
      <c r="X7012" s="234">
        <v>2022</v>
      </c>
      <c r="Y7012" s="234">
        <v>10</v>
      </c>
      <c r="Z7012" s="234">
        <v>20</v>
      </c>
      <c r="AA7012" s="235">
        <v>0.08333333333212067</v>
      </c>
      <c r="AB7012" s="236">
        <v>12.5</v>
      </c>
      <c r="AC7012" s="127">
        <f t="shared" si="124"/>
        <v>13</v>
      </c>
    </row>
    <row r="7013" ht="14.5" customHeight="1" spans="11:29" x14ac:dyDescent="0.25">
      <c r="K7013" s="128"/>
      <c r="X7013" s="234">
        <v>2022</v>
      </c>
      <c r="Y7013" s="234">
        <v>10</v>
      </c>
      <c r="Z7013" s="234">
        <v>20</v>
      </c>
      <c r="AA7013" s="235">
        <v>0.125</v>
      </c>
      <c r="AB7013" s="236">
        <v>15.1</v>
      </c>
      <c r="AC7013" s="127">
        <f t="shared" si="124"/>
        <v>15</v>
      </c>
    </row>
    <row r="7014" ht="14.5" customHeight="1" spans="11:29" x14ac:dyDescent="0.25">
      <c r="K7014" s="128"/>
      <c r="X7014" s="234">
        <v>2022</v>
      </c>
      <c r="Y7014" s="234">
        <v>10</v>
      </c>
      <c r="Z7014" s="234">
        <v>20</v>
      </c>
      <c r="AA7014" s="235">
        <v>0.16666666666787933</v>
      </c>
      <c r="AB7014" s="236">
        <v>15.5</v>
      </c>
      <c r="AC7014" s="127">
        <f t="shared" si="124"/>
        <v>16</v>
      </c>
    </row>
    <row r="7015" ht="14.5" customHeight="1" spans="11:29" x14ac:dyDescent="0.25">
      <c r="K7015" s="128"/>
      <c r="X7015" s="234">
        <v>2022</v>
      </c>
      <c r="Y7015" s="234">
        <v>10</v>
      </c>
      <c r="Z7015" s="234">
        <v>20</v>
      </c>
      <c r="AA7015" s="235">
        <v>0.20833333333212067</v>
      </c>
      <c r="AB7015" s="236">
        <v>13</v>
      </c>
      <c r="AC7015" s="127">
        <f t="shared" si="124"/>
        <v>13</v>
      </c>
    </row>
    <row r="7016" ht="14.5" customHeight="1" spans="11:29" x14ac:dyDescent="0.25">
      <c r="K7016" s="128"/>
      <c r="X7016" s="234">
        <v>2022</v>
      </c>
      <c r="Y7016" s="234">
        <v>10</v>
      </c>
      <c r="Z7016" s="234">
        <v>20</v>
      </c>
      <c r="AA7016" s="235">
        <v>0.25</v>
      </c>
      <c r="AB7016" s="236">
        <v>13.3</v>
      </c>
      <c r="AC7016" s="127">
        <f t="shared" si="124"/>
        <v>13</v>
      </c>
    </row>
    <row r="7017" ht="14.5" customHeight="1" spans="11:29" x14ac:dyDescent="0.25">
      <c r="K7017" s="128"/>
      <c r="X7017" s="234">
        <v>2022</v>
      </c>
      <c r="Y7017" s="234">
        <v>10</v>
      </c>
      <c r="Z7017" s="234">
        <v>20</v>
      </c>
      <c r="AA7017" s="235">
        <v>0.2916666666678793</v>
      </c>
      <c r="AB7017" s="236">
        <v>15.1</v>
      </c>
      <c r="AC7017" s="127">
        <f t="shared" si="124"/>
        <v>15</v>
      </c>
    </row>
    <row r="7018" ht="14.5" customHeight="1" spans="11:29" x14ac:dyDescent="0.25">
      <c r="K7018" s="128"/>
      <c r="X7018" s="234">
        <v>2022</v>
      </c>
      <c r="Y7018" s="234">
        <v>10</v>
      </c>
      <c r="Z7018" s="234">
        <v>20</v>
      </c>
      <c r="AA7018" s="235">
        <v>0.3333333333321207</v>
      </c>
      <c r="AB7018" s="236">
        <v>9</v>
      </c>
      <c r="AC7018" s="127">
        <f t="shared" si="124"/>
        <v>9</v>
      </c>
    </row>
    <row r="7019" ht="14.5" customHeight="1" spans="11:29" x14ac:dyDescent="0.25">
      <c r="K7019" s="128"/>
      <c r="X7019" s="234">
        <v>2022</v>
      </c>
      <c r="Y7019" s="234">
        <v>10</v>
      </c>
      <c r="Z7019" s="234">
        <v>20</v>
      </c>
      <c r="AA7019" s="235">
        <v>0.375</v>
      </c>
      <c r="AB7019" s="236">
        <v>8.1</v>
      </c>
      <c r="AC7019" s="127">
        <f t="shared" si="124"/>
        <v>8</v>
      </c>
    </row>
    <row r="7020" ht="14.5" customHeight="1" spans="11:29" x14ac:dyDescent="0.25">
      <c r="K7020" s="128"/>
      <c r="X7020" s="234">
        <v>2022</v>
      </c>
      <c r="Y7020" s="234">
        <v>10</v>
      </c>
      <c r="Z7020" s="234">
        <v>20</v>
      </c>
      <c r="AA7020" s="235">
        <v>0.4166666666678793</v>
      </c>
      <c r="AB7020" s="236">
        <v>8</v>
      </c>
      <c r="AC7020" s="127">
        <f t="shared" si="124"/>
        <v>8</v>
      </c>
    </row>
    <row r="7021" ht="14.5" customHeight="1" spans="11:29" x14ac:dyDescent="0.25">
      <c r="K7021" s="128"/>
      <c r="X7021" s="234">
        <v>2022</v>
      </c>
      <c r="Y7021" s="234">
        <v>10</v>
      </c>
      <c r="Z7021" s="234">
        <v>20</v>
      </c>
      <c r="AA7021" s="235">
        <v>0.4583333333321207</v>
      </c>
      <c r="AB7021" s="236">
        <v>7.2</v>
      </c>
      <c r="AC7021" s="127">
        <f t="shared" si="124"/>
        <v>7</v>
      </c>
    </row>
    <row r="7022" ht="14.5" customHeight="1" spans="11:29" x14ac:dyDescent="0.25">
      <c r="K7022" s="128"/>
      <c r="X7022" s="234">
        <v>2022</v>
      </c>
      <c r="Y7022" s="234">
        <v>10</v>
      </c>
      <c r="Z7022" s="234">
        <v>20</v>
      </c>
      <c r="AA7022" s="235">
        <v>0.5</v>
      </c>
      <c r="AB7022" s="236">
        <v>8.6</v>
      </c>
      <c r="AC7022" s="127">
        <f t="shared" si="124"/>
        <v>9</v>
      </c>
    </row>
    <row r="7023" ht="14.5" customHeight="1" spans="11:29" x14ac:dyDescent="0.25">
      <c r="K7023" s="128"/>
      <c r="X7023" s="234">
        <v>2022</v>
      </c>
      <c r="Y7023" s="234">
        <v>10</v>
      </c>
      <c r="Z7023" s="234">
        <v>20</v>
      </c>
      <c r="AA7023" s="235">
        <v>0.5416666666678793</v>
      </c>
      <c r="AB7023" s="236">
        <v>9.2</v>
      </c>
      <c r="AC7023" s="127">
        <f t="shared" si="124"/>
        <v>9</v>
      </c>
    </row>
    <row r="7024" ht="14.5" customHeight="1" spans="11:29" x14ac:dyDescent="0.25">
      <c r="K7024" s="128"/>
      <c r="X7024" s="234">
        <v>2022</v>
      </c>
      <c r="Y7024" s="234">
        <v>10</v>
      </c>
      <c r="Z7024" s="234">
        <v>20</v>
      </c>
      <c r="AA7024" s="235">
        <v>0.5833333333321207</v>
      </c>
      <c r="AB7024" s="236">
        <v>10.1</v>
      </c>
      <c r="AC7024" s="127">
        <f t="shared" si="124"/>
        <v>10</v>
      </c>
    </row>
    <row r="7025" ht="14.5" customHeight="1" spans="11:29" x14ac:dyDescent="0.25">
      <c r="K7025" s="128"/>
      <c r="X7025" s="234">
        <v>2022</v>
      </c>
      <c r="Y7025" s="234">
        <v>10</v>
      </c>
      <c r="Z7025" s="234">
        <v>20</v>
      </c>
      <c r="AA7025" s="235">
        <v>0.625</v>
      </c>
      <c r="AB7025" s="236">
        <v>10.5</v>
      </c>
      <c r="AC7025" s="127">
        <f t="shared" si="124"/>
        <v>11</v>
      </c>
    </row>
    <row r="7026" ht="14.5" customHeight="1" spans="11:29" x14ac:dyDescent="0.25">
      <c r="K7026" s="128"/>
      <c r="X7026" s="234">
        <v>2022</v>
      </c>
      <c r="Y7026" s="234">
        <v>10</v>
      </c>
      <c r="Z7026" s="234">
        <v>20</v>
      </c>
      <c r="AA7026" s="235">
        <v>0.6666666666678793</v>
      </c>
      <c r="AB7026" s="236">
        <v>10.5</v>
      </c>
      <c r="AC7026" s="127">
        <f t="shared" si="124"/>
        <v>11</v>
      </c>
    </row>
    <row r="7027" ht="14.5" customHeight="1" spans="11:29" x14ac:dyDescent="0.25">
      <c r="K7027" s="128"/>
      <c r="X7027" s="234">
        <v>2022</v>
      </c>
      <c r="Y7027" s="234">
        <v>10</v>
      </c>
      <c r="Z7027" s="234">
        <v>20</v>
      </c>
      <c r="AA7027" s="235">
        <v>0.7083333333321207</v>
      </c>
      <c r="AB7027" s="236">
        <v>10</v>
      </c>
      <c r="AC7027" s="127">
        <f t="shared" si="124"/>
        <v>10</v>
      </c>
    </row>
    <row r="7028" ht="14.5" customHeight="1" spans="11:29" x14ac:dyDescent="0.25">
      <c r="K7028" s="128"/>
      <c r="X7028" s="234">
        <v>2022</v>
      </c>
      <c r="Y7028" s="234">
        <v>10</v>
      </c>
      <c r="Z7028" s="234">
        <v>20</v>
      </c>
      <c r="AA7028" s="235">
        <v>0.75</v>
      </c>
      <c r="AB7028" s="236">
        <v>5.9</v>
      </c>
      <c r="AC7028" s="127">
        <f t="shared" si="124"/>
        <v>6</v>
      </c>
    </row>
    <row r="7029" ht="14.5" customHeight="1" spans="11:29" x14ac:dyDescent="0.25">
      <c r="K7029" s="128"/>
      <c r="X7029" s="234">
        <v>2022</v>
      </c>
      <c r="Y7029" s="234">
        <v>10</v>
      </c>
      <c r="Z7029" s="234">
        <v>20</v>
      </c>
      <c r="AA7029" s="235">
        <v>0.7916666666678793</v>
      </c>
      <c r="AB7029" s="236">
        <v>6.5</v>
      </c>
      <c r="AC7029" s="127">
        <f t="shared" si="124"/>
        <v>7</v>
      </c>
    </row>
    <row r="7030" ht="14.5" customHeight="1" spans="11:29" x14ac:dyDescent="0.25">
      <c r="K7030" s="128"/>
      <c r="X7030" s="234">
        <v>2022</v>
      </c>
      <c r="Y7030" s="234">
        <v>10</v>
      </c>
      <c r="Z7030" s="234">
        <v>20</v>
      </c>
      <c r="AA7030" s="235">
        <v>0.8333333333321207</v>
      </c>
      <c r="AB7030" s="236">
        <v>6.3</v>
      </c>
      <c r="AC7030" s="127">
        <f t="shared" si="124"/>
        <v>6</v>
      </c>
    </row>
    <row r="7031" ht="14.5" customHeight="1" spans="11:29" x14ac:dyDescent="0.25">
      <c r="K7031" s="128"/>
      <c r="X7031" s="234">
        <v>2022</v>
      </c>
      <c r="Y7031" s="234">
        <v>10</v>
      </c>
      <c r="Z7031" s="234">
        <v>20</v>
      </c>
      <c r="AA7031" s="235">
        <v>0.875</v>
      </c>
      <c r="AB7031" s="236">
        <v>6.3</v>
      </c>
      <c r="AC7031" s="127">
        <f t="shared" si="124"/>
        <v>6</v>
      </c>
    </row>
    <row r="7032" ht="14.5" customHeight="1" spans="11:29" x14ac:dyDescent="0.25">
      <c r="K7032" s="128"/>
      <c r="X7032" s="234">
        <v>2022</v>
      </c>
      <c r="Y7032" s="234">
        <v>10</v>
      </c>
      <c r="Z7032" s="234">
        <v>20</v>
      </c>
      <c r="AA7032" s="235">
        <v>0.9166666666678793</v>
      </c>
      <c r="AB7032" s="236">
        <v>6</v>
      </c>
      <c r="AC7032" s="127">
        <f t="shared" si="124"/>
        <v>6</v>
      </c>
    </row>
    <row r="7033" ht="14.5" customHeight="1" spans="11:29" x14ac:dyDescent="0.25">
      <c r="K7033" s="128"/>
      <c r="X7033" s="234">
        <v>2022</v>
      </c>
      <c r="Y7033" s="234">
        <v>10</v>
      </c>
      <c r="Z7033" s="234">
        <v>20</v>
      </c>
      <c r="AA7033" s="235">
        <v>0.9583333333321207</v>
      </c>
      <c r="AB7033" s="236">
        <v>5.1</v>
      </c>
      <c r="AC7033" s="127">
        <f t="shared" si="124"/>
        <v>5</v>
      </c>
    </row>
    <row r="7034" ht="14.5" customHeight="1" spans="11:29" x14ac:dyDescent="0.25">
      <c r="K7034" s="128"/>
      <c r="X7034" s="234">
        <v>2022</v>
      </c>
      <c r="Y7034" s="234">
        <v>10</v>
      </c>
      <c r="Z7034" s="234">
        <v>21</v>
      </c>
      <c r="AA7034" s="235">
        <v>0</v>
      </c>
      <c r="AB7034" s="236">
        <v>4.7</v>
      </c>
      <c r="AC7034" s="127">
        <f t="shared" si="124"/>
        <v>5</v>
      </c>
    </row>
    <row r="7035" ht="14.5" customHeight="1" spans="11:29" x14ac:dyDescent="0.25">
      <c r="K7035" s="128"/>
      <c r="X7035" s="234">
        <v>2022</v>
      </c>
      <c r="Y7035" s="234">
        <v>10</v>
      </c>
      <c r="Z7035" s="234">
        <v>21</v>
      </c>
      <c r="AA7035" s="235">
        <v>0.041666666667879326</v>
      </c>
      <c r="AB7035" s="236">
        <v>4.3</v>
      </c>
      <c r="AC7035" s="127">
        <f t="shared" si="124"/>
        <v>4</v>
      </c>
    </row>
    <row r="7036" ht="14.5" customHeight="1" spans="11:29" x14ac:dyDescent="0.25">
      <c r="K7036" s="128"/>
      <c r="X7036" s="234">
        <v>2022</v>
      </c>
      <c r="Y7036" s="234">
        <v>10</v>
      </c>
      <c r="Z7036" s="234">
        <v>21</v>
      </c>
      <c r="AA7036" s="235">
        <v>0.08333333333212067</v>
      </c>
      <c r="AB7036" s="236">
        <v>4.2</v>
      </c>
      <c r="AC7036" s="127">
        <f t="shared" si="124"/>
        <v>4</v>
      </c>
    </row>
    <row r="7037" ht="14.5" customHeight="1" spans="11:29" x14ac:dyDescent="0.25">
      <c r="K7037" s="128"/>
      <c r="X7037" s="234">
        <v>2022</v>
      </c>
      <c r="Y7037" s="234">
        <v>10</v>
      </c>
      <c r="Z7037" s="234">
        <v>21</v>
      </c>
      <c r="AA7037" s="235">
        <v>0.125</v>
      </c>
      <c r="AB7037" s="236">
        <v>4.9</v>
      </c>
      <c r="AC7037" s="127">
        <f t="shared" si="124"/>
        <v>5</v>
      </c>
    </row>
    <row r="7038" ht="14.5" customHeight="1" spans="11:29" x14ac:dyDescent="0.25">
      <c r="K7038" s="128"/>
      <c r="X7038" s="234">
        <v>2022</v>
      </c>
      <c r="Y7038" s="234">
        <v>10</v>
      </c>
      <c r="Z7038" s="234">
        <v>21</v>
      </c>
      <c r="AA7038" s="235">
        <v>0.16666666666787933</v>
      </c>
      <c r="AB7038" s="236">
        <v>4.4</v>
      </c>
      <c r="AC7038" s="127">
        <f t="shared" si="124"/>
        <v>4</v>
      </c>
    </row>
    <row r="7039" ht="14.5" customHeight="1" spans="11:29" x14ac:dyDescent="0.25">
      <c r="K7039" s="128"/>
      <c r="X7039" s="234">
        <v>2022</v>
      </c>
      <c r="Y7039" s="234">
        <v>10</v>
      </c>
      <c r="Z7039" s="234">
        <v>21</v>
      </c>
      <c r="AA7039" s="235">
        <v>0.20833333333212067</v>
      </c>
      <c r="AB7039" s="236">
        <v>3.2</v>
      </c>
      <c r="AC7039" s="127">
        <f t="shared" si="124"/>
        <v>3</v>
      </c>
    </row>
    <row r="7040" ht="14.5" customHeight="1" spans="11:29" x14ac:dyDescent="0.25">
      <c r="K7040" s="128"/>
      <c r="X7040" s="234">
        <v>2022</v>
      </c>
      <c r="Y7040" s="234">
        <v>10</v>
      </c>
      <c r="Z7040" s="234">
        <v>21</v>
      </c>
      <c r="AA7040" s="235">
        <v>0.25</v>
      </c>
      <c r="AB7040" s="236">
        <v>2.7</v>
      </c>
      <c r="AC7040" s="127">
        <f t="shared" si="124"/>
        <v>3</v>
      </c>
    </row>
    <row r="7041" ht="14.5" customHeight="1" spans="11:29" x14ac:dyDescent="0.25">
      <c r="K7041" s="128"/>
      <c r="X7041" s="234">
        <v>2022</v>
      </c>
      <c r="Y7041" s="234">
        <v>10</v>
      </c>
      <c r="Z7041" s="234">
        <v>21</v>
      </c>
      <c r="AA7041" s="235">
        <v>0.2916666666678793</v>
      </c>
      <c r="AB7041" s="236">
        <v>1.8</v>
      </c>
      <c r="AC7041" s="127">
        <f t="shared" si="124"/>
        <v>2</v>
      </c>
    </row>
    <row r="7042" ht="14.5" customHeight="1" spans="11:29" x14ac:dyDescent="0.25">
      <c r="K7042" s="128"/>
      <c r="X7042" s="234">
        <v>2022</v>
      </c>
      <c r="Y7042" s="234">
        <v>10</v>
      </c>
      <c r="Z7042" s="234">
        <v>21</v>
      </c>
      <c r="AA7042" s="235">
        <v>0.3333333333321207</v>
      </c>
      <c r="AB7042" s="236">
        <v>1.8</v>
      </c>
      <c r="AC7042" s="127">
        <f t="shared" si="124"/>
        <v>2</v>
      </c>
    </row>
    <row r="7043" ht="14.5" customHeight="1" spans="11:29" x14ac:dyDescent="0.25">
      <c r="K7043" s="128"/>
      <c r="X7043" s="234">
        <v>2022</v>
      </c>
      <c r="Y7043" s="234">
        <v>10</v>
      </c>
      <c r="Z7043" s="234">
        <v>21</v>
      </c>
      <c r="AA7043" s="235">
        <v>0.375</v>
      </c>
      <c r="AB7043" s="236">
        <v>1.8</v>
      </c>
      <c r="AC7043" s="127">
        <f t="shared" si="124"/>
        <v>2</v>
      </c>
    </row>
    <row r="7044" ht="14.5" customHeight="1" spans="11:29" x14ac:dyDescent="0.25">
      <c r="K7044" s="128"/>
      <c r="X7044" s="234">
        <v>2022</v>
      </c>
      <c r="Y7044" s="234">
        <v>10</v>
      </c>
      <c r="Z7044" s="234">
        <v>21</v>
      </c>
      <c r="AA7044" s="235">
        <v>0.4166666666678793</v>
      </c>
      <c r="AB7044" s="236">
        <v>2.4</v>
      </c>
      <c r="AC7044" s="127">
        <f t="shared" si="124"/>
        <v>2</v>
      </c>
    </row>
    <row r="7045" ht="14.5" customHeight="1" spans="11:29" x14ac:dyDescent="0.25">
      <c r="K7045" s="128"/>
      <c r="X7045" s="234">
        <v>2022</v>
      </c>
      <c r="Y7045" s="234">
        <v>10</v>
      </c>
      <c r="Z7045" s="234">
        <v>21</v>
      </c>
      <c r="AA7045" s="235">
        <v>0.4583333333321207</v>
      </c>
      <c r="AB7045" s="236">
        <v>3.1</v>
      </c>
      <c r="AC7045" s="127">
        <f t="shared" si="124"/>
        <v>3</v>
      </c>
    </row>
    <row r="7046" ht="14.5" customHeight="1" spans="11:29" x14ac:dyDescent="0.25">
      <c r="K7046" s="128"/>
      <c r="X7046" s="234">
        <v>2022</v>
      </c>
      <c r="Y7046" s="234">
        <v>10</v>
      </c>
      <c r="Z7046" s="234">
        <v>21</v>
      </c>
      <c r="AA7046" s="235">
        <v>0.5</v>
      </c>
      <c r="AB7046" s="236">
        <v>3.9</v>
      </c>
      <c r="AC7046" s="127">
        <f t="shared" si="124"/>
        <v>4</v>
      </c>
    </row>
    <row r="7047" ht="14.5" customHeight="1" spans="11:29" x14ac:dyDescent="0.25">
      <c r="K7047" s="128"/>
      <c r="X7047" s="234">
        <v>2022</v>
      </c>
      <c r="Y7047" s="234">
        <v>10</v>
      </c>
      <c r="Z7047" s="234">
        <v>21</v>
      </c>
      <c r="AA7047" s="235">
        <v>0.5416666666678793</v>
      </c>
      <c r="AB7047" s="236">
        <v>4.7</v>
      </c>
      <c r="AC7047" s="127">
        <f t="shared" si="124"/>
        <v>5</v>
      </c>
    </row>
    <row r="7048" ht="14.5" customHeight="1" spans="11:29" x14ac:dyDescent="0.25">
      <c r="K7048" s="128"/>
      <c r="X7048" s="234">
        <v>2022</v>
      </c>
      <c r="Y7048" s="234">
        <v>10</v>
      </c>
      <c r="Z7048" s="234">
        <v>21</v>
      </c>
      <c r="AA7048" s="235">
        <v>0.5833333333321207</v>
      </c>
      <c r="AB7048" s="236">
        <v>4.6</v>
      </c>
      <c r="AC7048" s="127">
        <f t="shared" si="124"/>
        <v>5</v>
      </c>
    </row>
    <row r="7049" ht="14.5" customHeight="1" spans="11:29" x14ac:dyDescent="0.25">
      <c r="K7049" s="128"/>
      <c r="X7049" s="234">
        <v>2022</v>
      </c>
      <c r="Y7049" s="234">
        <v>10</v>
      </c>
      <c r="Z7049" s="234">
        <v>21</v>
      </c>
      <c r="AA7049" s="235">
        <v>0.625</v>
      </c>
      <c r="AB7049" s="236">
        <v>5.7</v>
      </c>
      <c r="AC7049" s="127">
        <f t="shared" si="124"/>
        <v>6</v>
      </c>
    </row>
    <row r="7050" ht="14.5" customHeight="1" spans="11:29" x14ac:dyDescent="0.25">
      <c r="K7050" s="128"/>
      <c r="X7050" s="234">
        <v>2022</v>
      </c>
      <c r="Y7050" s="234">
        <v>10</v>
      </c>
      <c r="Z7050" s="234">
        <v>21</v>
      </c>
      <c r="AA7050" s="235">
        <v>0.6666666666678793</v>
      </c>
      <c r="AB7050" s="236">
        <v>4.9</v>
      </c>
      <c r="AC7050" s="127">
        <f t="shared" si="124"/>
        <v>5</v>
      </c>
    </row>
    <row r="7051" ht="14.5" customHeight="1" spans="11:29" x14ac:dyDescent="0.25">
      <c r="K7051" s="128"/>
      <c r="X7051" s="234">
        <v>2022</v>
      </c>
      <c r="Y7051" s="234">
        <v>10</v>
      </c>
      <c r="Z7051" s="234">
        <v>21</v>
      </c>
      <c r="AA7051" s="235">
        <v>0.7083333333321207</v>
      </c>
      <c r="AB7051" s="236">
        <v>4.2</v>
      </c>
      <c r="AC7051" s="127">
        <f t="shared" ref="AC7051:AC7114" si="125">ROUND(AB7051,0)</f>
        <v>4</v>
      </c>
    </row>
    <row r="7052" ht="14.5" customHeight="1" spans="11:29" x14ac:dyDescent="0.25">
      <c r="K7052" s="128"/>
      <c r="X7052" s="234">
        <v>2022</v>
      </c>
      <c r="Y7052" s="234">
        <v>10</v>
      </c>
      <c r="Z7052" s="234">
        <v>21</v>
      </c>
      <c r="AA7052" s="235">
        <v>0.75</v>
      </c>
      <c r="AB7052" s="236">
        <v>3.7</v>
      </c>
      <c r="AC7052" s="127">
        <f t="shared" si="125"/>
        <v>4</v>
      </c>
    </row>
    <row r="7053" ht="14.5" customHeight="1" spans="11:29" x14ac:dyDescent="0.25">
      <c r="K7053" s="128"/>
      <c r="X7053" s="234">
        <v>2022</v>
      </c>
      <c r="Y7053" s="234">
        <v>10</v>
      </c>
      <c r="Z7053" s="234">
        <v>21</v>
      </c>
      <c r="AA7053" s="235">
        <v>0.7916666666678793</v>
      </c>
      <c r="AB7053" s="236">
        <v>3.4</v>
      </c>
      <c r="AC7053" s="127">
        <f t="shared" si="125"/>
        <v>3</v>
      </c>
    </row>
    <row r="7054" ht="14.5" customHeight="1" spans="11:29" x14ac:dyDescent="0.25">
      <c r="K7054" s="128"/>
      <c r="X7054" s="234">
        <v>2022</v>
      </c>
      <c r="Y7054" s="234">
        <v>10</v>
      </c>
      <c r="Z7054" s="234">
        <v>21</v>
      </c>
      <c r="AA7054" s="235">
        <v>0.8333333333321207</v>
      </c>
      <c r="AB7054" s="236">
        <v>2.9</v>
      </c>
      <c r="AC7054" s="127">
        <f t="shared" si="125"/>
        <v>3</v>
      </c>
    </row>
    <row r="7055" ht="14.5" customHeight="1" spans="11:29" x14ac:dyDescent="0.25">
      <c r="K7055" s="128"/>
      <c r="X7055" s="234">
        <v>2022</v>
      </c>
      <c r="Y7055" s="234">
        <v>10</v>
      </c>
      <c r="Z7055" s="234">
        <v>21</v>
      </c>
      <c r="AA7055" s="235">
        <v>0.875</v>
      </c>
      <c r="AB7055" s="236">
        <v>2.7</v>
      </c>
      <c r="AC7055" s="127">
        <f t="shared" si="125"/>
        <v>3</v>
      </c>
    </row>
    <row r="7056" ht="14.5" customHeight="1" spans="11:29" x14ac:dyDescent="0.25">
      <c r="K7056" s="128"/>
      <c r="X7056" s="234">
        <v>2022</v>
      </c>
      <c r="Y7056" s="234">
        <v>10</v>
      </c>
      <c r="Z7056" s="234">
        <v>21</v>
      </c>
      <c r="AA7056" s="235">
        <v>0.9166666666678793</v>
      </c>
      <c r="AB7056" s="236">
        <v>2.4</v>
      </c>
      <c r="AC7056" s="127">
        <f t="shared" si="125"/>
        <v>2</v>
      </c>
    </row>
    <row r="7057" ht="14.5" customHeight="1" spans="11:29" x14ac:dyDescent="0.25">
      <c r="K7057" s="128"/>
      <c r="X7057" s="234">
        <v>2022</v>
      </c>
      <c r="Y7057" s="234">
        <v>10</v>
      </c>
      <c r="Z7057" s="234">
        <v>21</v>
      </c>
      <c r="AA7057" s="235">
        <v>0.9583333333321207</v>
      </c>
      <c r="AB7057" s="236">
        <v>1.1</v>
      </c>
      <c r="AC7057" s="127">
        <f t="shared" si="125"/>
        <v>1</v>
      </c>
    </row>
    <row r="7058" ht="14.5" customHeight="1" spans="11:29" x14ac:dyDescent="0.25">
      <c r="K7058" s="128"/>
      <c r="X7058" s="234">
        <v>2022</v>
      </c>
      <c r="Y7058" s="234">
        <v>10</v>
      </c>
      <c r="Z7058" s="234">
        <v>22</v>
      </c>
      <c r="AA7058" s="235">
        <v>0</v>
      </c>
      <c r="AB7058" s="236">
        <v>0.3</v>
      </c>
      <c r="AC7058" s="127">
        <f t="shared" si="125"/>
        <v>0</v>
      </c>
    </row>
    <row r="7059" ht="14.5" customHeight="1" spans="11:29" x14ac:dyDescent="0.25">
      <c r="K7059" s="128"/>
      <c r="X7059" s="234">
        <v>2022</v>
      </c>
      <c r="Y7059" s="234">
        <v>10</v>
      </c>
      <c r="Z7059" s="234">
        <v>22</v>
      </c>
      <c r="AA7059" s="235">
        <v>0.041666666667879326</v>
      </c>
      <c r="AB7059" s="236">
        <v>0</v>
      </c>
      <c r="AC7059" s="127">
        <f t="shared" si="125"/>
        <v>0</v>
      </c>
    </row>
    <row r="7060" ht="14.5" customHeight="1" spans="11:29" x14ac:dyDescent="0.25">
      <c r="K7060" s="128"/>
      <c r="X7060" s="234">
        <v>2022</v>
      </c>
      <c r="Y7060" s="234">
        <v>10</v>
      </c>
      <c r="Z7060" s="234">
        <v>22</v>
      </c>
      <c r="AA7060" s="235">
        <v>0.08333333333212067</v>
      </c>
      <c r="AB7060" s="236">
        <v>0</v>
      </c>
      <c r="AC7060" s="127">
        <f t="shared" si="125"/>
        <v>0</v>
      </c>
    </row>
    <row r="7061" ht="14.5" customHeight="1" spans="11:29" x14ac:dyDescent="0.25">
      <c r="K7061" s="128"/>
      <c r="X7061" s="234">
        <v>2022</v>
      </c>
      <c r="Y7061" s="234">
        <v>10</v>
      </c>
      <c r="Z7061" s="234">
        <v>22</v>
      </c>
      <c r="AA7061" s="235">
        <v>0.125</v>
      </c>
      <c r="AB7061" s="236">
        <v>0</v>
      </c>
      <c r="AC7061" s="127">
        <f t="shared" si="125"/>
        <v>0</v>
      </c>
    </row>
    <row r="7062" ht="14.5" customHeight="1" spans="11:29" x14ac:dyDescent="0.25">
      <c r="K7062" s="128"/>
      <c r="X7062" s="234">
        <v>2022</v>
      </c>
      <c r="Y7062" s="234">
        <v>10</v>
      </c>
      <c r="Z7062" s="234">
        <v>22</v>
      </c>
      <c r="AA7062" s="235">
        <v>0.16666666666787933</v>
      </c>
      <c r="AB7062" s="236">
        <v>-0.1</v>
      </c>
      <c r="AC7062" s="127">
        <f t="shared" si="125"/>
        <v>0</v>
      </c>
    </row>
    <row r="7063" ht="14.5" customHeight="1" spans="11:29" x14ac:dyDescent="0.25">
      <c r="K7063" s="128"/>
      <c r="X7063" s="234">
        <v>2022</v>
      </c>
      <c r="Y7063" s="234">
        <v>10</v>
      </c>
      <c r="Z7063" s="234">
        <v>22</v>
      </c>
      <c r="AA7063" s="235">
        <v>0.20833333333212067</v>
      </c>
      <c r="AB7063" s="236">
        <v>0</v>
      </c>
      <c r="AC7063" s="127">
        <f t="shared" si="125"/>
        <v>0</v>
      </c>
    </row>
    <row r="7064" ht="14.5" customHeight="1" spans="11:29" x14ac:dyDescent="0.25">
      <c r="K7064" s="128"/>
      <c r="X7064" s="234">
        <v>2022</v>
      </c>
      <c r="Y7064" s="234">
        <v>10</v>
      </c>
      <c r="Z7064" s="234">
        <v>22</v>
      </c>
      <c r="AA7064" s="235">
        <v>0.25</v>
      </c>
      <c r="AB7064" s="236">
        <v>-0.1</v>
      </c>
      <c r="AC7064" s="127">
        <f t="shared" si="125"/>
        <v>0</v>
      </c>
    </row>
    <row r="7065" ht="14.5" customHeight="1" spans="11:29" x14ac:dyDescent="0.25">
      <c r="K7065" s="128"/>
      <c r="X7065" s="234">
        <v>2022</v>
      </c>
      <c r="Y7065" s="234">
        <v>10</v>
      </c>
      <c r="Z7065" s="234">
        <v>22</v>
      </c>
      <c r="AA7065" s="235">
        <v>0.2916666666678793</v>
      </c>
      <c r="AB7065" s="236">
        <v>-0.1</v>
      </c>
      <c r="AC7065" s="127">
        <f t="shared" si="125"/>
        <v>0</v>
      </c>
    </row>
    <row r="7066" ht="14.5" customHeight="1" spans="11:29" x14ac:dyDescent="0.25">
      <c r="K7066" s="128"/>
      <c r="X7066" s="234">
        <v>2022</v>
      </c>
      <c r="Y7066" s="234">
        <v>10</v>
      </c>
      <c r="Z7066" s="234">
        <v>22</v>
      </c>
      <c r="AA7066" s="235">
        <v>0.3333333333321207</v>
      </c>
      <c r="AB7066" s="236">
        <v>-0.2</v>
      </c>
      <c r="AC7066" s="127">
        <f t="shared" si="125"/>
        <v>0</v>
      </c>
    </row>
    <row r="7067" ht="14.5" customHeight="1" spans="11:29" x14ac:dyDescent="0.25">
      <c r="K7067" s="128"/>
      <c r="X7067" s="234">
        <v>2022</v>
      </c>
      <c r="Y7067" s="234">
        <v>10</v>
      </c>
      <c r="Z7067" s="234">
        <v>22</v>
      </c>
      <c r="AA7067" s="235">
        <v>0.375</v>
      </c>
      <c r="AB7067" s="236">
        <v>-0.1</v>
      </c>
      <c r="AC7067" s="127">
        <f t="shared" si="125"/>
        <v>0</v>
      </c>
    </row>
    <row r="7068" ht="14.5" customHeight="1" spans="11:29" x14ac:dyDescent="0.25">
      <c r="K7068" s="128"/>
      <c r="X7068" s="234">
        <v>2022</v>
      </c>
      <c r="Y7068" s="234">
        <v>10</v>
      </c>
      <c r="Z7068" s="234">
        <v>22</v>
      </c>
      <c r="AA7068" s="235">
        <v>0.4166666666678793</v>
      </c>
      <c r="AB7068" s="236">
        <v>0.1</v>
      </c>
      <c r="AC7068" s="127">
        <f t="shared" si="125"/>
        <v>0</v>
      </c>
    </row>
    <row r="7069" ht="14.5" customHeight="1" spans="11:29" x14ac:dyDescent="0.25">
      <c r="K7069" s="128"/>
      <c r="X7069" s="234">
        <v>2022</v>
      </c>
      <c r="Y7069" s="234">
        <v>10</v>
      </c>
      <c r="Z7069" s="234">
        <v>22</v>
      </c>
      <c r="AA7069" s="235">
        <v>0.4583333333321207</v>
      </c>
      <c r="AB7069" s="236">
        <v>-0.1</v>
      </c>
      <c r="AC7069" s="127">
        <f t="shared" si="125"/>
        <v>0</v>
      </c>
    </row>
    <row r="7070" ht="14.5" customHeight="1" spans="11:29" x14ac:dyDescent="0.25">
      <c r="K7070" s="128"/>
      <c r="X7070" s="234">
        <v>2022</v>
      </c>
      <c r="Y7070" s="234">
        <v>10</v>
      </c>
      <c r="Z7070" s="234">
        <v>22</v>
      </c>
      <c r="AA7070" s="235">
        <v>0.5</v>
      </c>
      <c r="AB7070" s="236">
        <v>0.1</v>
      </c>
      <c r="AC7070" s="127">
        <f t="shared" si="125"/>
        <v>0</v>
      </c>
    </row>
    <row r="7071" ht="14.5" customHeight="1" spans="11:29" x14ac:dyDescent="0.25">
      <c r="K7071" s="128"/>
      <c r="X7071" s="234">
        <v>2022</v>
      </c>
      <c r="Y7071" s="234">
        <v>10</v>
      </c>
      <c r="Z7071" s="234">
        <v>22</v>
      </c>
      <c r="AA7071" s="235">
        <v>0.5416666666678793</v>
      </c>
      <c r="AB7071" s="236">
        <v>0.2</v>
      </c>
      <c r="AC7071" s="127">
        <f t="shared" si="125"/>
        <v>0</v>
      </c>
    </row>
    <row r="7072" ht="14.5" customHeight="1" spans="11:29" x14ac:dyDescent="0.25">
      <c r="K7072" s="128"/>
      <c r="X7072" s="234">
        <v>2022</v>
      </c>
      <c r="Y7072" s="234">
        <v>10</v>
      </c>
      <c r="Z7072" s="234">
        <v>22</v>
      </c>
      <c r="AA7072" s="235">
        <v>0.5833333333321207</v>
      </c>
      <c r="AB7072" s="236">
        <v>0.2</v>
      </c>
      <c r="AC7072" s="127">
        <f t="shared" si="125"/>
        <v>0</v>
      </c>
    </row>
    <row r="7073" ht="14.5" customHeight="1" spans="11:29" x14ac:dyDescent="0.25">
      <c r="K7073" s="128"/>
      <c r="X7073" s="234">
        <v>2022</v>
      </c>
      <c r="Y7073" s="234">
        <v>10</v>
      </c>
      <c r="Z7073" s="234">
        <v>22</v>
      </c>
      <c r="AA7073" s="235">
        <v>0.625</v>
      </c>
      <c r="AB7073" s="236">
        <v>0.2</v>
      </c>
      <c r="AC7073" s="127">
        <f t="shared" si="125"/>
        <v>0</v>
      </c>
    </row>
    <row r="7074" ht="14.5" customHeight="1" spans="11:29" x14ac:dyDescent="0.25">
      <c r="K7074" s="128"/>
      <c r="X7074" s="234">
        <v>2022</v>
      </c>
      <c r="Y7074" s="234">
        <v>10</v>
      </c>
      <c r="Z7074" s="234">
        <v>22</v>
      </c>
      <c r="AA7074" s="235">
        <v>0.6666666666678793</v>
      </c>
      <c r="AB7074" s="236">
        <v>0.1</v>
      </c>
      <c r="AC7074" s="127">
        <f t="shared" si="125"/>
        <v>0</v>
      </c>
    </row>
    <row r="7075" ht="14.5" customHeight="1" spans="11:29" x14ac:dyDescent="0.25">
      <c r="K7075" s="128"/>
      <c r="X7075" s="234">
        <v>2022</v>
      </c>
      <c r="Y7075" s="234">
        <v>10</v>
      </c>
      <c r="Z7075" s="234">
        <v>22</v>
      </c>
      <c r="AA7075" s="235">
        <v>0.7083333333321207</v>
      </c>
      <c r="AB7075" s="236">
        <v>0.1</v>
      </c>
      <c r="AC7075" s="127">
        <f t="shared" si="125"/>
        <v>0</v>
      </c>
    </row>
    <row r="7076" ht="14.5" customHeight="1" spans="11:29" x14ac:dyDescent="0.25">
      <c r="K7076" s="128"/>
      <c r="X7076" s="234">
        <v>2022</v>
      </c>
      <c r="Y7076" s="234">
        <v>10</v>
      </c>
      <c r="Z7076" s="234">
        <v>22</v>
      </c>
      <c r="AA7076" s="235">
        <v>0.75</v>
      </c>
      <c r="AB7076" s="236">
        <v>0.1</v>
      </c>
      <c r="AC7076" s="127">
        <f t="shared" si="125"/>
        <v>0</v>
      </c>
    </row>
    <row r="7077" ht="14.5" customHeight="1" spans="11:29" x14ac:dyDescent="0.25">
      <c r="K7077" s="128"/>
      <c r="X7077" s="234">
        <v>2022</v>
      </c>
      <c r="Y7077" s="234">
        <v>10</v>
      </c>
      <c r="Z7077" s="234">
        <v>22</v>
      </c>
      <c r="AA7077" s="235">
        <v>0.7916666666678793</v>
      </c>
      <c r="AB7077" s="236">
        <v>0.1</v>
      </c>
      <c r="AC7077" s="127">
        <f t="shared" si="125"/>
        <v>0</v>
      </c>
    </row>
    <row r="7078" ht="14.5" customHeight="1" spans="11:29" x14ac:dyDescent="0.25">
      <c r="K7078" s="128"/>
      <c r="X7078" s="234">
        <v>2022</v>
      </c>
      <c r="Y7078" s="234">
        <v>10</v>
      </c>
      <c r="Z7078" s="234">
        <v>22</v>
      </c>
      <c r="AA7078" s="235">
        <v>0.8333333333321207</v>
      </c>
      <c r="AB7078" s="236">
        <v>0.1</v>
      </c>
      <c r="AC7078" s="127">
        <f t="shared" si="125"/>
        <v>0</v>
      </c>
    </row>
    <row r="7079" ht="14.5" customHeight="1" spans="11:29" x14ac:dyDescent="0.25">
      <c r="K7079" s="128"/>
      <c r="X7079" s="234">
        <v>2022</v>
      </c>
      <c r="Y7079" s="234">
        <v>10</v>
      </c>
      <c r="Z7079" s="234">
        <v>22</v>
      </c>
      <c r="AA7079" s="235">
        <v>0.875</v>
      </c>
      <c r="AB7079" s="236">
        <v>0.1</v>
      </c>
      <c r="AC7079" s="127">
        <f t="shared" si="125"/>
        <v>0</v>
      </c>
    </row>
    <row r="7080" ht="14.5" customHeight="1" spans="11:29" x14ac:dyDescent="0.25">
      <c r="K7080" s="128"/>
      <c r="X7080" s="234">
        <v>2022</v>
      </c>
      <c r="Y7080" s="234">
        <v>10</v>
      </c>
      <c r="Z7080" s="234">
        <v>22</v>
      </c>
      <c r="AA7080" s="235">
        <v>0.9166666666678793</v>
      </c>
      <c r="AB7080" s="236">
        <v>0</v>
      </c>
      <c r="AC7080" s="127">
        <f t="shared" si="125"/>
        <v>0</v>
      </c>
    </row>
    <row r="7081" ht="14.5" customHeight="1" spans="11:29" x14ac:dyDescent="0.25">
      <c r="K7081" s="128"/>
      <c r="X7081" s="234">
        <v>2022</v>
      </c>
      <c r="Y7081" s="234">
        <v>10</v>
      </c>
      <c r="Z7081" s="234">
        <v>22</v>
      </c>
      <c r="AA7081" s="235">
        <v>0.9583333333321207</v>
      </c>
      <c r="AB7081" s="236">
        <v>0</v>
      </c>
      <c r="AC7081" s="127">
        <f t="shared" si="125"/>
        <v>0</v>
      </c>
    </row>
    <row r="7082" ht="14.5" customHeight="1" spans="11:29" x14ac:dyDescent="0.25">
      <c r="K7082" s="128"/>
      <c r="X7082" s="234">
        <v>2022</v>
      </c>
      <c r="Y7082" s="234">
        <v>10</v>
      </c>
      <c r="Z7082" s="234">
        <v>23</v>
      </c>
      <c r="AA7082" s="235">
        <v>0</v>
      </c>
      <c r="AB7082" s="236">
        <v>-0.2</v>
      </c>
      <c r="AC7082" s="127">
        <f t="shared" si="125"/>
        <v>0</v>
      </c>
    </row>
    <row r="7083" ht="14.5" customHeight="1" spans="11:29" x14ac:dyDescent="0.25">
      <c r="K7083" s="128"/>
      <c r="X7083" s="234">
        <v>2022</v>
      </c>
      <c r="Y7083" s="234">
        <v>10</v>
      </c>
      <c r="Z7083" s="234">
        <v>23</v>
      </c>
      <c r="AA7083" s="235">
        <v>0.041666666667879326</v>
      </c>
      <c r="AB7083" s="236">
        <v>-0.4</v>
      </c>
      <c r="AC7083" s="127">
        <f t="shared" si="125"/>
        <v>0</v>
      </c>
    </row>
    <row r="7084" ht="14.5" customHeight="1" spans="11:29" x14ac:dyDescent="0.25">
      <c r="K7084" s="128"/>
      <c r="X7084" s="234">
        <v>2022</v>
      </c>
      <c r="Y7084" s="234">
        <v>10</v>
      </c>
      <c r="Z7084" s="234">
        <v>23</v>
      </c>
      <c r="AA7084" s="235">
        <v>0.08333333333212067</v>
      </c>
      <c r="AB7084" s="236">
        <v>-0.4</v>
      </c>
      <c r="AC7084" s="127">
        <f t="shared" si="125"/>
        <v>0</v>
      </c>
    </row>
    <row r="7085" ht="14.5" customHeight="1" spans="11:29" x14ac:dyDescent="0.25">
      <c r="K7085" s="128"/>
      <c r="X7085" s="234">
        <v>2022</v>
      </c>
      <c r="Y7085" s="234">
        <v>10</v>
      </c>
      <c r="Z7085" s="234">
        <v>23</v>
      </c>
      <c r="AA7085" s="235">
        <v>0.125</v>
      </c>
      <c r="AB7085" s="236">
        <v>-0.4</v>
      </c>
      <c r="AC7085" s="127">
        <f t="shared" si="125"/>
        <v>0</v>
      </c>
    </row>
    <row r="7086" ht="14.5" customHeight="1" spans="11:29" x14ac:dyDescent="0.25">
      <c r="K7086" s="128"/>
      <c r="X7086" s="234">
        <v>2022</v>
      </c>
      <c r="Y7086" s="234">
        <v>10</v>
      </c>
      <c r="Z7086" s="234">
        <v>23</v>
      </c>
      <c r="AA7086" s="235">
        <v>0.16666666666787933</v>
      </c>
      <c r="AB7086" s="236">
        <v>-0.4</v>
      </c>
      <c r="AC7086" s="127">
        <f t="shared" si="125"/>
        <v>0</v>
      </c>
    </row>
    <row r="7087" ht="14.5" customHeight="1" spans="11:29" x14ac:dyDescent="0.25">
      <c r="K7087" s="128"/>
      <c r="X7087" s="234">
        <v>2022</v>
      </c>
      <c r="Y7087" s="234">
        <v>10</v>
      </c>
      <c r="Z7087" s="234">
        <v>23</v>
      </c>
      <c r="AA7087" s="235">
        <v>0.20833333333212067</v>
      </c>
      <c r="AB7087" s="236">
        <v>-0.6</v>
      </c>
      <c r="AC7087" s="127">
        <f t="shared" si="125"/>
        <v>-1</v>
      </c>
    </row>
    <row r="7088" ht="14.5" customHeight="1" spans="11:29" x14ac:dyDescent="0.25">
      <c r="K7088" s="128"/>
      <c r="X7088" s="234">
        <v>2022</v>
      </c>
      <c r="Y7088" s="234">
        <v>10</v>
      </c>
      <c r="Z7088" s="234">
        <v>23</v>
      </c>
      <c r="AA7088" s="235">
        <v>0.25</v>
      </c>
      <c r="AB7088" s="236">
        <v>-0.6</v>
      </c>
      <c r="AC7088" s="127">
        <f t="shared" si="125"/>
        <v>-1</v>
      </c>
    </row>
    <row r="7089" ht="14.5" customHeight="1" spans="11:29" x14ac:dyDescent="0.25">
      <c r="K7089" s="128"/>
      <c r="X7089" s="234">
        <v>2022</v>
      </c>
      <c r="Y7089" s="234">
        <v>10</v>
      </c>
      <c r="Z7089" s="234">
        <v>23</v>
      </c>
      <c r="AA7089" s="235">
        <v>0.2916666666678793</v>
      </c>
      <c r="AB7089" s="236">
        <v>-0.7</v>
      </c>
      <c r="AC7089" s="127">
        <f t="shared" si="125"/>
        <v>-1</v>
      </c>
    </row>
    <row r="7090" ht="14.5" customHeight="1" spans="11:29" x14ac:dyDescent="0.25">
      <c r="K7090" s="128"/>
      <c r="X7090" s="234">
        <v>2022</v>
      </c>
      <c r="Y7090" s="234">
        <v>10</v>
      </c>
      <c r="Z7090" s="234">
        <v>23</v>
      </c>
      <c r="AA7090" s="235">
        <v>0.3333333333321207</v>
      </c>
      <c r="AB7090" s="236">
        <v>-0.7</v>
      </c>
      <c r="AC7090" s="127">
        <f t="shared" si="125"/>
        <v>-1</v>
      </c>
    </row>
    <row r="7091" ht="14.5" customHeight="1" spans="11:29" x14ac:dyDescent="0.25">
      <c r="K7091" s="128"/>
      <c r="X7091" s="234">
        <v>2022</v>
      </c>
      <c r="Y7091" s="234">
        <v>10</v>
      </c>
      <c r="Z7091" s="234">
        <v>23</v>
      </c>
      <c r="AA7091" s="235">
        <v>0.375</v>
      </c>
      <c r="AB7091" s="236">
        <v>-0.6</v>
      </c>
      <c r="AC7091" s="127">
        <f t="shared" si="125"/>
        <v>-1</v>
      </c>
    </row>
    <row r="7092" ht="14.5" customHeight="1" spans="11:29" x14ac:dyDescent="0.25">
      <c r="K7092" s="128"/>
      <c r="X7092" s="234">
        <v>2022</v>
      </c>
      <c r="Y7092" s="234">
        <v>10</v>
      </c>
      <c r="Z7092" s="234">
        <v>23</v>
      </c>
      <c r="AA7092" s="235">
        <v>0.4166666666678793</v>
      </c>
      <c r="AB7092" s="236">
        <v>-0.3</v>
      </c>
      <c r="AC7092" s="127">
        <f t="shared" si="125"/>
        <v>0</v>
      </c>
    </row>
    <row r="7093" ht="14.5" customHeight="1" spans="11:29" x14ac:dyDescent="0.25">
      <c r="K7093" s="128"/>
      <c r="X7093" s="234">
        <v>2022</v>
      </c>
      <c r="Y7093" s="234">
        <v>10</v>
      </c>
      <c r="Z7093" s="234">
        <v>23</v>
      </c>
      <c r="AA7093" s="235">
        <v>0.4583333333321207</v>
      </c>
      <c r="AB7093" s="236">
        <v>0.3</v>
      </c>
      <c r="AC7093" s="127">
        <f t="shared" si="125"/>
        <v>0</v>
      </c>
    </row>
    <row r="7094" ht="14.5" customHeight="1" spans="11:29" x14ac:dyDescent="0.25">
      <c r="K7094" s="128"/>
      <c r="X7094" s="234">
        <v>2022</v>
      </c>
      <c r="Y7094" s="234">
        <v>10</v>
      </c>
      <c r="Z7094" s="234">
        <v>23</v>
      </c>
      <c r="AA7094" s="235">
        <v>0.5</v>
      </c>
      <c r="AB7094" s="236">
        <v>0.2</v>
      </c>
      <c r="AC7094" s="127">
        <f t="shared" si="125"/>
        <v>0</v>
      </c>
    </row>
    <row r="7095" ht="14.5" customHeight="1" spans="11:29" x14ac:dyDescent="0.25">
      <c r="K7095" s="128"/>
      <c r="X7095" s="234">
        <v>2022</v>
      </c>
      <c r="Y7095" s="234">
        <v>10</v>
      </c>
      <c r="Z7095" s="234">
        <v>23</v>
      </c>
      <c r="AA7095" s="235">
        <v>0.5416666666678793</v>
      </c>
      <c r="AB7095" s="236">
        <v>0.4</v>
      </c>
      <c r="AC7095" s="127">
        <f t="shared" si="125"/>
        <v>0</v>
      </c>
    </row>
    <row r="7096" ht="14.5" customHeight="1" spans="11:29" x14ac:dyDescent="0.25">
      <c r="K7096" s="128"/>
      <c r="X7096" s="234">
        <v>2022</v>
      </c>
      <c r="Y7096" s="234">
        <v>10</v>
      </c>
      <c r="Z7096" s="234">
        <v>23</v>
      </c>
      <c r="AA7096" s="235">
        <v>0.5833333333321207</v>
      </c>
      <c r="AB7096" s="236">
        <v>0.9</v>
      </c>
      <c r="AC7096" s="127">
        <f t="shared" si="125"/>
        <v>1</v>
      </c>
    </row>
    <row r="7097" ht="14.5" customHeight="1" spans="11:29" x14ac:dyDescent="0.25">
      <c r="K7097" s="128"/>
      <c r="X7097" s="234">
        <v>2022</v>
      </c>
      <c r="Y7097" s="234">
        <v>10</v>
      </c>
      <c r="Z7097" s="234">
        <v>23</v>
      </c>
      <c r="AA7097" s="235">
        <v>0.625</v>
      </c>
      <c r="AB7097" s="236">
        <v>1.2</v>
      </c>
      <c r="AC7097" s="127">
        <f t="shared" si="125"/>
        <v>1</v>
      </c>
    </row>
    <row r="7098" ht="14.5" customHeight="1" spans="11:29" x14ac:dyDescent="0.25">
      <c r="K7098" s="128"/>
      <c r="X7098" s="234">
        <v>2022</v>
      </c>
      <c r="Y7098" s="234">
        <v>10</v>
      </c>
      <c r="Z7098" s="234">
        <v>23</v>
      </c>
      <c r="AA7098" s="235">
        <v>0.6666666666678793</v>
      </c>
      <c r="AB7098" s="236">
        <v>1.3</v>
      </c>
      <c r="AC7098" s="127">
        <f t="shared" si="125"/>
        <v>1</v>
      </c>
    </row>
    <row r="7099" ht="14.5" customHeight="1" spans="11:29" x14ac:dyDescent="0.25">
      <c r="K7099" s="128"/>
      <c r="X7099" s="234">
        <v>2022</v>
      </c>
      <c r="Y7099" s="234">
        <v>10</v>
      </c>
      <c r="Z7099" s="234">
        <v>23</v>
      </c>
      <c r="AA7099" s="235">
        <v>0.7083333333321207</v>
      </c>
      <c r="AB7099" s="236">
        <v>-0.5</v>
      </c>
      <c r="AC7099" s="127">
        <f t="shared" si="125"/>
        <v>-1</v>
      </c>
    </row>
    <row r="7100" ht="14.5" customHeight="1" spans="11:29" x14ac:dyDescent="0.25">
      <c r="K7100" s="128"/>
      <c r="X7100" s="234">
        <v>2022</v>
      </c>
      <c r="Y7100" s="234">
        <v>10</v>
      </c>
      <c r="Z7100" s="234">
        <v>23</v>
      </c>
      <c r="AA7100" s="235">
        <v>0.75</v>
      </c>
      <c r="AB7100" s="236">
        <v>-1.5</v>
      </c>
      <c r="AC7100" s="127">
        <f t="shared" si="125"/>
        <v>-2</v>
      </c>
    </row>
    <row r="7101" ht="14.5" customHeight="1" spans="11:29" x14ac:dyDescent="0.25">
      <c r="K7101" s="128"/>
      <c r="X7101" s="234">
        <v>2022</v>
      </c>
      <c r="Y7101" s="234">
        <v>10</v>
      </c>
      <c r="Z7101" s="234">
        <v>23</v>
      </c>
      <c r="AA7101" s="235">
        <v>0.7916666666678793</v>
      </c>
      <c r="AB7101" s="236">
        <v>-2.2</v>
      </c>
      <c r="AC7101" s="127">
        <f t="shared" si="125"/>
        <v>-2</v>
      </c>
    </row>
    <row r="7102" ht="14.5" customHeight="1" spans="11:29" x14ac:dyDescent="0.25">
      <c r="K7102" s="128"/>
      <c r="X7102" s="234">
        <v>2022</v>
      </c>
      <c r="Y7102" s="234">
        <v>10</v>
      </c>
      <c r="Z7102" s="234">
        <v>23</v>
      </c>
      <c r="AA7102" s="235">
        <v>0.8333333333321207</v>
      </c>
      <c r="AB7102" s="236">
        <v>-2.9</v>
      </c>
      <c r="AC7102" s="127">
        <f t="shared" si="125"/>
        <v>-3</v>
      </c>
    </row>
    <row r="7103" ht="14.5" customHeight="1" spans="11:29" x14ac:dyDescent="0.25">
      <c r="K7103" s="128"/>
      <c r="X7103" s="234">
        <v>2022</v>
      </c>
      <c r="Y7103" s="234">
        <v>10</v>
      </c>
      <c r="Z7103" s="234">
        <v>23</v>
      </c>
      <c r="AA7103" s="235">
        <v>0.875</v>
      </c>
      <c r="AB7103" s="236">
        <v>-2.2</v>
      </c>
      <c r="AC7103" s="127">
        <f t="shared" si="125"/>
        <v>-2</v>
      </c>
    </row>
    <row r="7104" ht="14.5" customHeight="1" spans="11:29" x14ac:dyDescent="0.25">
      <c r="K7104" s="128"/>
      <c r="X7104" s="234">
        <v>2022</v>
      </c>
      <c r="Y7104" s="234">
        <v>10</v>
      </c>
      <c r="Z7104" s="234">
        <v>23</v>
      </c>
      <c r="AA7104" s="235">
        <v>0.9166666666678793</v>
      </c>
      <c r="AB7104" s="236">
        <v>-2.4</v>
      </c>
      <c r="AC7104" s="127">
        <f t="shared" si="125"/>
        <v>-2</v>
      </c>
    </row>
    <row r="7105" ht="14.5" customHeight="1" spans="11:29" x14ac:dyDescent="0.25">
      <c r="K7105" s="128"/>
      <c r="X7105" s="234">
        <v>2022</v>
      </c>
      <c r="Y7105" s="234">
        <v>10</v>
      </c>
      <c r="Z7105" s="234">
        <v>23</v>
      </c>
      <c r="AA7105" s="235">
        <v>0.9583333333321207</v>
      </c>
      <c r="AB7105" s="236">
        <v>-4</v>
      </c>
      <c r="AC7105" s="127">
        <f t="shared" si="125"/>
        <v>-4</v>
      </c>
    </row>
    <row r="7106" ht="14.5" customHeight="1" spans="11:29" x14ac:dyDescent="0.25">
      <c r="K7106" s="128"/>
      <c r="X7106" s="234">
        <v>2022</v>
      </c>
      <c r="Y7106" s="234">
        <v>10</v>
      </c>
      <c r="Z7106" s="234">
        <v>24</v>
      </c>
      <c r="AA7106" s="235">
        <v>0</v>
      </c>
      <c r="AB7106" s="236">
        <v>-5.3</v>
      </c>
      <c r="AC7106" s="127">
        <f t="shared" si="125"/>
        <v>-5</v>
      </c>
    </row>
    <row r="7107" ht="14.5" customHeight="1" spans="11:29" x14ac:dyDescent="0.25">
      <c r="K7107" s="128"/>
      <c r="X7107" s="234">
        <v>2022</v>
      </c>
      <c r="Y7107" s="234">
        <v>10</v>
      </c>
      <c r="Z7107" s="234">
        <v>24</v>
      </c>
      <c r="AA7107" s="235">
        <v>0.041666666667879326</v>
      </c>
      <c r="AB7107" s="236">
        <v>-5.7</v>
      </c>
      <c r="AC7107" s="127">
        <f t="shared" si="125"/>
        <v>-6</v>
      </c>
    </row>
    <row r="7108" ht="14.5" customHeight="1" spans="11:29" x14ac:dyDescent="0.25">
      <c r="K7108" s="128"/>
      <c r="X7108" s="234">
        <v>2022</v>
      </c>
      <c r="Y7108" s="234">
        <v>10</v>
      </c>
      <c r="Z7108" s="234">
        <v>24</v>
      </c>
      <c r="AA7108" s="235">
        <v>0.08333333333212067</v>
      </c>
      <c r="AB7108" s="236">
        <v>-6.1</v>
      </c>
      <c r="AC7108" s="127">
        <f t="shared" si="125"/>
        <v>-6</v>
      </c>
    </row>
    <row r="7109" ht="14.5" customHeight="1" spans="11:29" x14ac:dyDescent="0.25">
      <c r="K7109" s="128"/>
      <c r="X7109" s="234">
        <v>2022</v>
      </c>
      <c r="Y7109" s="234">
        <v>10</v>
      </c>
      <c r="Z7109" s="234">
        <v>24</v>
      </c>
      <c r="AA7109" s="235">
        <v>0.125</v>
      </c>
      <c r="AB7109" s="236">
        <v>-5.6</v>
      </c>
      <c r="AC7109" s="127">
        <f t="shared" si="125"/>
        <v>-6</v>
      </c>
    </row>
    <row r="7110" ht="14.5" customHeight="1" spans="11:29" x14ac:dyDescent="0.25">
      <c r="K7110" s="128"/>
      <c r="X7110" s="234">
        <v>2022</v>
      </c>
      <c r="Y7110" s="234">
        <v>10</v>
      </c>
      <c r="Z7110" s="234">
        <v>24</v>
      </c>
      <c r="AA7110" s="235">
        <v>0.16666666666787933</v>
      </c>
      <c r="AB7110" s="236">
        <v>-5.1</v>
      </c>
      <c r="AC7110" s="127">
        <f t="shared" si="125"/>
        <v>-5</v>
      </c>
    </row>
    <row r="7111" ht="14.5" customHeight="1" spans="11:29" x14ac:dyDescent="0.25">
      <c r="K7111" s="128"/>
      <c r="X7111" s="234">
        <v>2022</v>
      </c>
      <c r="Y7111" s="234">
        <v>10</v>
      </c>
      <c r="Z7111" s="234">
        <v>24</v>
      </c>
      <c r="AA7111" s="235">
        <v>0.20833333333212067</v>
      </c>
      <c r="AB7111" s="236">
        <v>-3.8</v>
      </c>
      <c r="AC7111" s="127">
        <f t="shared" si="125"/>
        <v>-4</v>
      </c>
    </row>
    <row r="7112" ht="14.5" customHeight="1" spans="11:29" x14ac:dyDescent="0.25">
      <c r="K7112" s="128"/>
      <c r="X7112" s="234">
        <v>2022</v>
      </c>
      <c r="Y7112" s="234">
        <v>10</v>
      </c>
      <c r="Z7112" s="234">
        <v>24</v>
      </c>
      <c r="AA7112" s="235">
        <v>0.25</v>
      </c>
      <c r="AB7112" s="236">
        <v>-4.1</v>
      </c>
      <c r="AC7112" s="127">
        <f t="shared" si="125"/>
        <v>-4</v>
      </c>
    </row>
    <row r="7113" ht="14.5" customHeight="1" spans="11:29" x14ac:dyDescent="0.25">
      <c r="K7113" s="128"/>
      <c r="X7113" s="234">
        <v>2022</v>
      </c>
      <c r="Y7113" s="234">
        <v>10</v>
      </c>
      <c r="Z7113" s="234">
        <v>24</v>
      </c>
      <c r="AA7113" s="235">
        <v>0.2916666666678793</v>
      </c>
      <c r="AB7113" s="236">
        <v>-3.9</v>
      </c>
      <c r="AC7113" s="127">
        <f t="shared" si="125"/>
        <v>-4</v>
      </c>
    </row>
    <row r="7114" ht="14.5" customHeight="1" spans="11:29" x14ac:dyDescent="0.25">
      <c r="K7114" s="128"/>
      <c r="X7114" s="234">
        <v>2022</v>
      </c>
      <c r="Y7114" s="234">
        <v>10</v>
      </c>
      <c r="Z7114" s="234">
        <v>24</v>
      </c>
      <c r="AA7114" s="235">
        <v>0.3333333333321207</v>
      </c>
      <c r="AB7114" s="236">
        <v>-5.3</v>
      </c>
      <c r="AC7114" s="127">
        <f t="shared" si="125"/>
        <v>-5</v>
      </c>
    </row>
    <row r="7115" ht="14.5" customHeight="1" spans="11:29" x14ac:dyDescent="0.25">
      <c r="K7115" s="128"/>
      <c r="X7115" s="234">
        <v>2022</v>
      </c>
      <c r="Y7115" s="234">
        <v>10</v>
      </c>
      <c r="Z7115" s="234">
        <v>24</v>
      </c>
      <c r="AA7115" s="235">
        <v>0.375</v>
      </c>
      <c r="AB7115" s="236">
        <v>-2.2</v>
      </c>
      <c r="AC7115" s="127">
        <f t="shared" ref="AC7115:AC7178" si="126">ROUND(AB7115,0)</f>
        <v>-2</v>
      </c>
    </row>
    <row r="7116" ht="14.5" customHeight="1" spans="11:29" x14ac:dyDescent="0.25">
      <c r="K7116" s="128"/>
      <c r="X7116" s="234">
        <v>2022</v>
      </c>
      <c r="Y7116" s="234">
        <v>10</v>
      </c>
      <c r="Z7116" s="234">
        <v>24</v>
      </c>
      <c r="AA7116" s="235">
        <v>0.4166666666678793</v>
      </c>
      <c r="AB7116" s="236">
        <v>-1.2</v>
      </c>
      <c r="AC7116" s="127">
        <f t="shared" si="126"/>
        <v>-1</v>
      </c>
    </row>
    <row r="7117" ht="14.5" customHeight="1" spans="11:29" x14ac:dyDescent="0.25">
      <c r="K7117" s="128"/>
      <c r="X7117" s="234">
        <v>2022</v>
      </c>
      <c r="Y7117" s="234">
        <v>10</v>
      </c>
      <c r="Z7117" s="234">
        <v>24</v>
      </c>
      <c r="AA7117" s="235">
        <v>0.4583333333321207</v>
      </c>
      <c r="AB7117" s="236">
        <v>1.4</v>
      </c>
      <c r="AC7117" s="127">
        <f t="shared" si="126"/>
        <v>1</v>
      </c>
    </row>
    <row r="7118" ht="14.5" customHeight="1" spans="11:29" x14ac:dyDescent="0.25">
      <c r="K7118" s="128"/>
      <c r="X7118" s="234">
        <v>2022</v>
      </c>
      <c r="Y7118" s="234">
        <v>10</v>
      </c>
      <c r="Z7118" s="234">
        <v>24</v>
      </c>
      <c r="AA7118" s="235">
        <v>0.5</v>
      </c>
      <c r="AB7118" s="236">
        <v>4.4</v>
      </c>
      <c r="AC7118" s="127">
        <f t="shared" si="126"/>
        <v>4</v>
      </c>
    </row>
    <row r="7119" ht="14.5" customHeight="1" spans="11:29" x14ac:dyDescent="0.25">
      <c r="K7119" s="128"/>
      <c r="X7119" s="234">
        <v>2022</v>
      </c>
      <c r="Y7119" s="234">
        <v>10</v>
      </c>
      <c r="Z7119" s="234">
        <v>24</v>
      </c>
      <c r="AA7119" s="235">
        <v>0.5416666666678793</v>
      </c>
      <c r="AB7119" s="236">
        <v>5.9</v>
      </c>
      <c r="AC7119" s="127">
        <f t="shared" si="126"/>
        <v>6</v>
      </c>
    </row>
    <row r="7120" ht="14.5" customHeight="1" spans="11:29" x14ac:dyDescent="0.25">
      <c r="K7120" s="128"/>
      <c r="X7120" s="234">
        <v>2022</v>
      </c>
      <c r="Y7120" s="234">
        <v>10</v>
      </c>
      <c r="Z7120" s="234">
        <v>24</v>
      </c>
      <c r="AA7120" s="235">
        <v>0.5833333333321207</v>
      </c>
      <c r="AB7120" s="236">
        <v>5.6</v>
      </c>
      <c r="AC7120" s="127">
        <f t="shared" si="126"/>
        <v>6</v>
      </c>
    </row>
    <row r="7121" ht="14.5" customHeight="1" spans="11:29" x14ac:dyDescent="0.25">
      <c r="K7121" s="128"/>
      <c r="X7121" s="234">
        <v>2022</v>
      </c>
      <c r="Y7121" s="234">
        <v>10</v>
      </c>
      <c r="Z7121" s="234">
        <v>24</v>
      </c>
      <c r="AA7121" s="235">
        <v>0.625</v>
      </c>
      <c r="AB7121" s="236">
        <v>5.4</v>
      </c>
      <c r="AC7121" s="127">
        <f t="shared" si="126"/>
        <v>5</v>
      </c>
    </row>
    <row r="7122" ht="14.5" customHeight="1" spans="11:29" x14ac:dyDescent="0.25">
      <c r="K7122" s="128"/>
      <c r="X7122" s="234">
        <v>2022</v>
      </c>
      <c r="Y7122" s="234">
        <v>10</v>
      </c>
      <c r="Z7122" s="234">
        <v>24</v>
      </c>
      <c r="AA7122" s="235">
        <v>0.6666666666678793</v>
      </c>
      <c r="AB7122" s="236">
        <v>5.7</v>
      </c>
      <c r="AC7122" s="127">
        <f t="shared" si="126"/>
        <v>6</v>
      </c>
    </row>
    <row r="7123" ht="14.5" customHeight="1" spans="11:29" x14ac:dyDescent="0.25">
      <c r="K7123" s="128"/>
      <c r="X7123" s="234">
        <v>2022</v>
      </c>
      <c r="Y7123" s="234">
        <v>10</v>
      </c>
      <c r="Z7123" s="234">
        <v>24</v>
      </c>
      <c r="AA7123" s="235">
        <v>0.7083333333321207</v>
      </c>
      <c r="AB7123" s="236">
        <v>2.8</v>
      </c>
      <c r="AC7123" s="127">
        <f t="shared" si="126"/>
        <v>3</v>
      </c>
    </row>
    <row r="7124" ht="14.5" customHeight="1" spans="11:29" x14ac:dyDescent="0.25">
      <c r="K7124" s="128"/>
      <c r="X7124" s="234">
        <v>2022</v>
      </c>
      <c r="Y7124" s="234">
        <v>10</v>
      </c>
      <c r="Z7124" s="234">
        <v>24</v>
      </c>
      <c r="AA7124" s="235">
        <v>0.75</v>
      </c>
      <c r="AB7124" s="236">
        <v>2.1</v>
      </c>
      <c r="AC7124" s="127">
        <f t="shared" si="126"/>
        <v>2</v>
      </c>
    </row>
    <row r="7125" ht="14.5" customHeight="1" spans="11:29" x14ac:dyDescent="0.25">
      <c r="K7125" s="128"/>
      <c r="X7125" s="234">
        <v>2022</v>
      </c>
      <c r="Y7125" s="234">
        <v>10</v>
      </c>
      <c r="Z7125" s="234">
        <v>24</v>
      </c>
      <c r="AA7125" s="235">
        <v>0.7916666666678793</v>
      </c>
      <c r="AB7125" s="236">
        <v>1.3</v>
      </c>
      <c r="AC7125" s="127">
        <f t="shared" si="126"/>
        <v>1</v>
      </c>
    </row>
    <row r="7126" ht="14.5" customHeight="1" spans="11:29" x14ac:dyDescent="0.25">
      <c r="K7126" s="128"/>
      <c r="X7126" s="234">
        <v>2022</v>
      </c>
      <c r="Y7126" s="234">
        <v>10</v>
      </c>
      <c r="Z7126" s="234">
        <v>24</v>
      </c>
      <c r="AA7126" s="235">
        <v>0.8333333333321207</v>
      </c>
      <c r="AB7126" s="236">
        <v>-0.7</v>
      </c>
      <c r="AC7126" s="127">
        <f t="shared" si="126"/>
        <v>-1</v>
      </c>
    </row>
    <row r="7127" ht="14.5" customHeight="1" spans="11:29" x14ac:dyDescent="0.25">
      <c r="K7127" s="128"/>
      <c r="X7127" s="234">
        <v>2022</v>
      </c>
      <c r="Y7127" s="234">
        <v>10</v>
      </c>
      <c r="Z7127" s="234">
        <v>24</v>
      </c>
      <c r="AA7127" s="235">
        <v>0.875</v>
      </c>
      <c r="AB7127" s="236">
        <v>-1.9</v>
      </c>
      <c r="AC7127" s="127">
        <f t="shared" si="126"/>
        <v>-2</v>
      </c>
    </row>
    <row r="7128" ht="14.5" customHeight="1" spans="11:29" x14ac:dyDescent="0.25">
      <c r="K7128" s="128"/>
      <c r="X7128" s="234">
        <v>2022</v>
      </c>
      <c r="Y7128" s="234">
        <v>10</v>
      </c>
      <c r="Z7128" s="234">
        <v>24</v>
      </c>
      <c r="AA7128" s="235">
        <v>0.9166666666678793</v>
      </c>
      <c r="AB7128" s="236">
        <v>-1.9</v>
      </c>
      <c r="AC7128" s="127">
        <f t="shared" si="126"/>
        <v>-2</v>
      </c>
    </row>
    <row r="7129" ht="14.5" customHeight="1" spans="11:29" x14ac:dyDescent="0.25">
      <c r="K7129" s="128"/>
      <c r="X7129" s="234">
        <v>2022</v>
      </c>
      <c r="Y7129" s="234">
        <v>10</v>
      </c>
      <c r="Z7129" s="234">
        <v>24</v>
      </c>
      <c r="AA7129" s="235">
        <v>0.9583333333321207</v>
      </c>
      <c r="AB7129" s="236">
        <v>-1.3</v>
      </c>
      <c r="AC7129" s="127">
        <f t="shared" si="126"/>
        <v>-1</v>
      </c>
    </row>
    <row r="7130" ht="14.5" customHeight="1" spans="11:29" x14ac:dyDescent="0.25">
      <c r="K7130" s="128"/>
      <c r="X7130" s="234">
        <v>2022</v>
      </c>
      <c r="Y7130" s="234">
        <v>10</v>
      </c>
      <c r="Z7130" s="234">
        <v>25</v>
      </c>
      <c r="AA7130" s="235">
        <v>0</v>
      </c>
      <c r="AB7130" s="236">
        <v>-0.3</v>
      </c>
      <c r="AC7130" s="127">
        <f t="shared" si="126"/>
        <v>0</v>
      </c>
    </row>
    <row r="7131" ht="14.5" customHeight="1" spans="11:29" x14ac:dyDescent="0.25">
      <c r="K7131" s="128"/>
      <c r="X7131" s="234">
        <v>2022</v>
      </c>
      <c r="Y7131" s="234">
        <v>10</v>
      </c>
      <c r="Z7131" s="234">
        <v>25</v>
      </c>
      <c r="AA7131" s="235">
        <v>0.041666666667879326</v>
      </c>
      <c r="AB7131" s="236">
        <v>0.1</v>
      </c>
      <c r="AC7131" s="127">
        <f t="shared" si="126"/>
        <v>0</v>
      </c>
    </row>
    <row r="7132" ht="14.5" customHeight="1" spans="11:29" x14ac:dyDescent="0.25">
      <c r="K7132" s="128"/>
      <c r="X7132" s="234">
        <v>2022</v>
      </c>
      <c r="Y7132" s="234">
        <v>10</v>
      </c>
      <c r="Z7132" s="234">
        <v>25</v>
      </c>
      <c r="AA7132" s="235">
        <v>0.08333333333212067</v>
      </c>
      <c r="AB7132" s="236">
        <v>-1.6</v>
      </c>
      <c r="AC7132" s="127">
        <f t="shared" si="126"/>
        <v>-2</v>
      </c>
    </row>
    <row r="7133" ht="14.5" customHeight="1" spans="11:29" x14ac:dyDescent="0.25">
      <c r="K7133" s="128"/>
      <c r="X7133" s="234">
        <v>2022</v>
      </c>
      <c r="Y7133" s="234">
        <v>10</v>
      </c>
      <c r="Z7133" s="234">
        <v>25</v>
      </c>
      <c r="AA7133" s="235">
        <v>0.125</v>
      </c>
      <c r="AB7133" s="236">
        <v>-3.6</v>
      </c>
      <c r="AC7133" s="127">
        <f t="shared" si="126"/>
        <v>-4</v>
      </c>
    </row>
    <row r="7134" ht="14.5" customHeight="1" spans="11:29" x14ac:dyDescent="0.25">
      <c r="K7134" s="128"/>
      <c r="X7134" s="234">
        <v>2022</v>
      </c>
      <c r="Y7134" s="234">
        <v>10</v>
      </c>
      <c r="Z7134" s="234">
        <v>25</v>
      </c>
      <c r="AA7134" s="235">
        <v>0.16666666666787933</v>
      </c>
      <c r="AB7134" s="236">
        <v>-4.4</v>
      </c>
      <c r="AC7134" s="127">
        <f t="shared" si="126"/>
        <v>-4</v>
      </c>
    </row>
    <row r="7135" ht="14.5" customHeight="1" spans="11:29" x14ac:dyDescent="0.25">
      <c r="K7135" s="128"/>
      <c r="X7135" s="234">
        <v>2022</v>
      </c>
      <c r="Y7135" s="234">
        <v>10</v>
      </c>
      <c r="Z7135" s="234">
        <v>25</v>
      </c>
      <c r="AA7135" s="235">
        <v>0.20833333333212067</v>
      </c>
      <c r="AB7135" s="236">
        <v>-1.5</v>
      </c>
      <c r="AC7135" s="127">
        <f t="shared" si="126"/>
        <v>-2</v>
      </c>
    </row>
    <row r="7136" ht="14.5" customHeight="1" spans="11:29" x14ac:dyDescent="0.25">
      <c r="K7136" s="128"/>
      <c r="X7136" s="234">
        <v>2022</v>
      </c>
      <c r="Y7136" s="234">
        <v>10</v>
      </c>
      <c r="Z7136" s="234">
        <v>25</v>
      </c>
      <c r="AA7136" s="235">
        <v>0.25</v>
      </c>
      <c r="AB7136" s="236">
        <v>-1.1</v>
      </c>
      <c r="AC7136" s="127">
        <f t="shared" si="126"/>
        <v>-1</v>
      </c>
    </row>
    <row r="7137" ht="14.5" customHeight="1" spans="11:29" x14ac:dyDescent="0.25">
      <c r="K7137" s="128"/>
      <c r="X7137" s="234">
        <v>2022</v>
      </c>
      <c r="Y7137" s="234">
        <v>10</v>
      </c>
      <c r="Z7137" s="234">
        <v>25</v>
      </c>
      <c r="AA7137" s="235">
        <v>0.2916666666678793</v>
      </c>
      <c r="AB7137" s="236">
        <v>1.3</v>
      </c>
      <c r="AC7137" s="127">
        <f t="shared" si="126"/>
        <v>1</v>
      </c>
    </row>
    <row r="7138" ht="14.5" customHeight="1" spans="11:29" x14ac:dyDescent="0.25">
      <c r="K7138" s="128"/>
      <c r="X7138" s="234">
        <v>2022</v>
      </c>
      <c r="Y7138" s="234">
        <v>10</v>
      </c>
      <c r="Z7138" s="234">
        <v>25</v>
      </c>
      <c r="AA7138" s="235">
        <v>0.3333333333321207</v>
      </c>
      <c r="AB7138" s="236">
        <v>3.2</v>
      </c>
      <c r="AC7138" s="127">
        <f t="shared" si="126"/>
        <v>3</v>
      </c>
    </row>
    <row r="7139" ht="14.5" customHeight="1" spans="11:29" x14ac:dyDescent="0.25">
      <c r="K7139" s="128"/>
      <c r="X7139" s="234">
        <v>2022</v>
      </c>
      <c r="Y7139" s="234">
        <v>10</v>
      </c>
      <c r="Z7139" s="234">
        <v>25</v>
      </c>
      <c r="AA7139" s="235">
        <v>0.375</v>
      </c>
      <c r="AB7139" s="236">
        <v>2</v>
      </c>
      <c r="AC7139" s="127">
        <f t="shared" si="126"/>
        <v>2</v>
      </c>
    </row>
    <row r="7140" ht="14.5" customHeight="1" spans="11:29" x14ac:dyDescent="0.25">
      <c r="K7140" s="128"/>
      <c r="X7140" s="234">
        <v>2022</v>
      </c>
      <c r="Y7140" s="234">
        <v>10</v>
      </c>
      <c r="Z7140" s="234">
        <v>25</v>
      </c>
      <c r="AA7140" s="235">
        <v>0.4166666666678793</v>
      </c>
      <c r="AB7140" s="236">
        <v>1.6</v>
      </c>
      <c r="AC7140" s="127">
        <f t="shared" si="126"/>
        <v>2</v>
      </c>
    </row>
    <row r="7141" ht="14.5" customHeight="1" spans="11:29" x14ac:dyDescent="0.25">
      <c r="K7141" s="128"/>
      <c r="X7141" s="234">
        <v>2022</v>
      </c>
      <c r="Y7141" s="234">
        <v>10</v>
      </c>
      <c r="Z7141" s="234">
        <v>25</v>
      </c>
      <c r="AA7141" s="235">
        <v>0.4583333333321207</v>
      </c>
      <c r="AB7141" s="236">
        <v>1.7</v>
      </c>
      <c r="AC7141" s="127">
        <f t="shared" si="126"/>
        <v>2</v>
      </c>
    </row>
    <row r="7142" ht="14.5" customHeight="1" spans="11:29" x14ac:dyDescent="0.25">
      <c r="K7142" s="128"/>
      <c r="X7142" s="234">
        <v>2022</v>
      </c>
      <c r="Y7142" s="234">
        <v>10</v>
      </c>
      <c r="Z7142" s="234">
        <v>25</v>
      </c>
      <c r="AA7142" s="235">
        <v>0.5</v>
      </c>
      <c r="AB7142" s="236">
        <v>1.4</v>
      </c>
      <c r="AC7142" s="127">
        <f t="shared" si="126"/>
        <v>1</v>
      </c>
    </row>
    <row r="7143" ht="14.5" customHeight="1" spans="11:29" x14ac:dyDescent="0.25">
      <c r="K7143" s="128"/>
      <c r="X7143" s="234">
        <v>2022</v>
      </c>
      <c r="Y7143" s="234">
        <v>10</v>
      </c>
      <c r="Z7143" s="234">
        <v>25</v>
      </c>
      <c r="AA7143" s="235">
        <v>0.5416666666678793</v>
      </c>
      <c r="AB7143" s="236">
        <v>1.2</v>
      </c>
      <c r="AC7143" s="127">
        <f t="shared" si="126"/>
        <v>1</v>
      </c>
    </row>
    <row r="7144" ht="14.5" customHeight="1" spans="11:29" x14ac:dyDescent="0.25">
      <c r="K7144" s="128"/>
      <c r="X7144" s="234">
        <v>2022</v>
      </c>
      <c r="Y7144" s="234">
        <v>10</v>
      </c>
      <c r="Z7144" s="234">
        <v>25</v>
      </c>
      <c r="AA7144" s="235">
        <v>0.5833333333321207</v>
      </c>
      <c r="AB7144" s="236">
        <v>1.7</v>
      </c>
      <c r="AC7144" s="127">
        <f t="shared" si="126"/>
        <v>2</v>
      </c>
    </row>
    <row r="7145" ht="14.5" customHeight="1" spans="11:29" x14ac:dyDescent="0.25">
      <c r="K7145" s="128"/>
      <c r="X7145" s="234">
        <v>2022</v>
      </c>
      <c r="Y7145" s="234">
        <v>10</v>
      </c>
      <c r="Z7145" s="234">
        <v>25</v>
      </c>
      <c r="AA7145" s="235">
        <v>0.625</v>
      </c>
      <c r="AB7145" s="236">
        <v>2.5</v>
      </c>
      <c r="AC7145" s="127">
        <f t="shared" si="126"/>
        <v>3</v>
      </c>
    </row>
    <row r="7146" ht="14.5" customHeight="1" spans="11:29" x14ac:dyDescent="0.25">
      <c r="K7146" s="128"/>
      <c r="X7146" s="234">
        <v>2022</v>
      </c>
      <c r="Y7146" s="234">
        <v>10</v>
      </c>
      <c r="Z7146" s="234">
        <v>25</v>
      </c>
      <c r="AA7146" s="235">
        <v>0.6666666666678793</v>
      </c>
      <c r="AB7146" s="236">
        <v>1.9</v>
      </c>
      <c r="AC7146" s="127">
        <f t="shared" si="126"/>
        <v>2</v>
      </c>
    </row>
    <row r="7147" ht="14.5" customHeight="1" spans="11:29" x14ac:dyDescent="0.25">
      <c r="K7147" s="128"/>
      <c r="X7147" s="234">
        <v>2022</v>
      </c>
      <c r="Y7147" s="234">
        <v>10</v>
      </c>
      <c r="Z7147" s="234">
        <v>25</v>
      </c>
      <c r="AA7147" s="235">
        <v>0.7083333333321207</v>
      </c>
      <c r="AB7147" s="236">
        <v>1.3</v>
      </c>
      <c r="AC7147" s="127">
        <f t="shared" si="126"/>
        <v>1</v>
      </c>
    </row>
    <row r="7148" ht="14.5" customHeight="1" spans="11:29" x14ac:dyDescent="0.25">
      <c r="K7148" s="128"/>
      <c r="X7148" s="234">
        <v>2022</v>
      </c>
      <c r="Y7148" s="234">
        <v>10</v>
      </c>
      <c r="Z7148" s="234">
        <v>25</v>
      </c>
      <c r="AA7148" s="235">
        <v>0.75</v>
      </c>
      <c r="AB7148" s="236">
        <v>0.8</v>
      </c>
      <c r="AC7148" s="127">
        <f t="shared" si="126"/>
        <v>1</v>
      </c>
    </row>
    <row r="7149" ht="14.5" customHeight="1" spans="11:29" x14ac:dyDescent="0.25">
      <c r="K7149" s="128"/>
      <c r="X7149" s="234">
        <v>2022</v>
      </c>
      <c r="Y7149" s="234">
        <v>10</v>
      </c>
      <c r="Z7149" s="234">
        <v>25</v>
      </c>
      <c r="AA7149" s="235">
        <v>0.7916666666678793</v>
      </c>
      <c r="AB7149" s="236">
        <v>0.1</v>
      </c>
      <c r="AC7149" s="127">
        <f t="shared" si="126"/>
        <v>0</v>
      </c>
    </row>
    <row r="7150" ht="14.5" customHeight="1" spans="11:29" x14ac:dyDescent="0.25">
      <c r="K7150" s="128"/>
      <c r="X7150" s="234">
        <v>2022</v>
      </c>
      <c r="Y7150" s="234">
        <v>10</v>
      </c>
      <c r="Z7150" s="234">
        <v>25</v>
      </c>
      <c r="AA7150" s="235">
        <v>0.8333333333321207</v>
      </c>
      <c r="AB7150" s="236">
        <v>-0.3</v>
      </c>
      <c r="AC7150" s="127">
        <f t="shared" si="126"/>
        <v>0</v>
      </c>
    </row>
    <row r="7151" ht="14.5" customHeight="1" spans="11:29" x14ac:dyDescent="0.25">
      <c r="K7151" s="128"/>
      <c r="X7151" s="234">
        <v>2022</v>
      </c>
      <c r="Y7151" s="234">
        <v>10</v>
      </c>
      <c r="Z7151" s="234">
        <v>25</v>
      </c>
      <c r="AA7151" s="235">
        <v>0.875</v>
      </c>
      <c r="AB7151" s="236">
        <v>-1.3</v>
      </c>
      <c r="AC7151" s="127">
        <f t="shared" si="126"/>
        <v>-1</v>
      </c>
    </row>
    <row r="7152" ht="14.5" customHeight="1" spans="11:29" x14ac:dyDescent="0.25">
      <c r="K7152" s="128"/>
      <c r="X7152" s="234">
        <v>2022</v>
      </c>
      <c r="Y7152" s="234">
        <v>10</v>
      </c>
      <c r="Z7152" s="234">
        <v>25</v>
      </c>
      <c r="AA7152" s="235">
        <v>0.9166666666678793</v>
      </c>
      <c r="AB7152" s="236">
        <v>-1.7</v>
      </c>
      <c r="AC7152" s="127">
        <f t="shared" si="126"/>
        <v>-2</v>
      </c>
    </row>
    <row r="7153" ht="14.5" customHeight="1" spans="11:29" x14ac:dyDescent="0.25">
      <c r="K7153" s="128"/>
      <c r="X7153" s="234">
        <v>2022</v>
      </c>
      <c r="Y7153" s="234">
        <v>10</v>
      </c>
      <c r="Z7153" s="234">
        <v>25</v>
      </c>
      <c r="AA7153" s="235">
        <v>0.9583333333321207</v>
      </c>
      <c r="AB7153" s="236">
        <v>-1.9</v>
      </c>
      <c r="AC7153" s="127">
        <f t="shared" si="126"/>
        <v>-2</v>
      </c>
    </row>
    <row r="7154" ht="14.5" customHeight="1" spans="11:29" x14ac:dyDescent="0.25">
      <c r="K7154" s="128"/>
      <c r="X7154" s="234">
        <v>2022</v>
      </c>
      <c r="Y7154" s="234">
        <v>10</v>
      </c>
      <c r="Z7154" s="234">
        <v>26</v>
      </c>
      <c r="AA7154" s="235">
        <v>0</v>
      </c>
      <c r="AB7154" s="236">
        <v>-2.2</v>
      </c>
      <c r="AC7154" s="127">
        <f t="shared" si="126"/>
        <v>-2</v>
      </c>
    </row>
    <row r="7155" ht="14.5" customHeight="1" spans="11:29" x14ac:dyDescent="0.25">
      <c r="K7155" s="128"/>
      <c r="X7155" s="234">
        <v>2022</v>
      </c>
      <c r="Y7155" s="234">
        <v>10</v>
      </c>
      <c r="Z7155" s="234">
        <v>26</v>
      </c>
      <c r="AA7155" s="235">
        <v>0.041666666667879326</v>
      </c>
      <c r="AB7155" s="236">
        <v>-3.6</v>
      </c>
      <c r="AC7155" s="127">
        <f t="shared" si="126"/>
        <v>-4</v>
      </c>
    </row>
    <row r="7156" ht="14.5" customHeight="1" spans="11:29" x14ac:dyDescent="0.25">
      <c r="K7156" s="128"/>
      <c r="X7156" s="234">
        <v>2022</v>
      </c>
      <c r="Y7156" s="234">
        <v>10</v>
      </c>
      <c r="Z7156" s="234">
        <v>26</v>
      </c>
      <c r="AA7156" s="235">
        <v>0.08333333333212067</v>
      </c>
      <c r="AB7156" s="236">
        <v>-3.7</v>
      </c>
      <c r="AC7156" s="127">
        <f t="shared" si="126"/>
        <v>-4</v>
      </c>
    </row>
    <row r="7157" ht="14.5" customHeight="1" spans="11:29" x14ac:dyDescent="0.25">
      <c r="K7157" s="128"/>
      <c r="X7157" s="234">
        <v>2022</v>
      </c>
      <c r="Y7157" s="234">
        <v>10</v>
      </c>
      <c r="Z7157" s="234">
        <v>26</v>
      </c>
      <c r="AA7157" s="235">
        <v>0.125</v>
      </c>
      <c r="AB7157" s="236">
        <v>-4.5</v>
      </c>
      <c r="AC7157" s="127">
        <f t="shared" si="126"/>
        <v>-5</v>
      </c>
    </row>
    <row r="7158" ht="14.5" customHeight="1" spans="11:29" x14ac:dyDescent="0.25">
      <c r="K7158" s="128"/>
      <c r="X7158" s="234">
        <v>2022</v>
      </c>
      <c r="Y7158" s="234">
        <v>10</v>
      </c>
      <c r="Z7158" s="234">
        <v>26</v>
      </c>
      <c r="AA7158" s="235">
        <v>0.16666666666787933</v>
      </c>
      <c r="AB7158" s="236">
        <v>-2.6</v>
      </c>
      <c r="AC7158" s="127">
        <f t="shared" si="126"/>
        <v>-3</v>
      </c>
    </row>
    <row r="7159" ht="14.5" customHeight="1" spans="11:29" x14ac:dyDescent="0.25">
      <c r="K7159" s="128"/>
      <c r="X7159" s="234">
        <v>2022</v>
      </c>
      <c r="Y7159" s="234">
        <v>10</v>
      </c>
      <c r="Z7159" s="234">
        <v>26</v>
      </c>
      <c r="AA7159" s="235">
        <v>0.20833333333212067</v>
      </c>
      <c r="AB7159" s="236">
        <v>-2.9</v>
      </c>
      <c r="AC7159" s="127">
        <f t="shared" si="126"/>
        <v>-3</v>
      </c>
    </row>
    <row r="7160" ht="14.5" customHeight="1" spans="11:29" x14ac:dyDescent="0.25">
      <c r="K7160" s="128"/>
      <c r="X7160" s="234">
        <v>2022</v>
      </c>
      <c r="Y7160" s="234">
        <v>10</v>
      </c>
      <c r="Z7160" s="234">
        <v>26</v>
      </c>
      <c r="AA7160" s="235">
        <v>0.25</v>
      </c>
      <c r="AB7160" s="236">
        <v>-1</v>
      </c>
      <c r="AC7160" s="127">
        <f t="shared" si="126"/>
        <v>-1</v>
      </c>
    </row>
    <row r="7161" ht="14.5" customHeight="1" spans="11:29" x14ac:dyDescent="0.25">
      <c r="K7161" s="128"/>
      <c r="X7161" s="234">
        <v>2022</v>
      </c>
      <c r="Y7161" s="234">
        <v>10</v>
      </c>
      <c r="Z7161" s="234">
        <v>26</v>
      </c>
      <c r="AA7161" s="235">
        <v>0.2916666666678793</v>
      </c>
      <c r="AB7161" s="236">
        <v>-1.7</v>
      </c>
      <c r="AC7161" s="127">
        <f t="shared" si="126"/>
        <v>-2</v>
      </c>
    </row>
    <row r="7162" ht="14.5" customHeight="1" spans="11:29" x14ac:dyDescent="0.25">
      <c r="K7162" s="128"/>
      <c r="X7162" s="234">
        <v>2022</v>
      </c>
      <c r="Y7162" s="234">
        <v>10</v>
      </c>
      <c r="Z7162" s="234">
        <v>26</v>
      </c>
      <c r="AA7162" s="235">
        <v>0.3333333333321207</v>
      </c>
      <c r="AB7162" s="236">
        <v>0.2</v>
      </c>
      <c r="AC7162" s="127">
        <f t="shared" si="126"/>
        <v>0</v>
      </c>
    </row>
    <row r="7163" ht="14.5" customHeight="1" spans="11:29" x14ac:dyDescent="0.25">
      <c r="K7163" s="128"/>
      <c r="X7163" s="234">
        <v>2022</v>
      </c>
      <c r="Y7163" s="234">
        <v>10</v>
      </c>
      <c r="Z7163" s="234">
        <v>26</v>
      </c>
      <c r="AA7163" s="235">
        <v>0.375</v>
      </c>
      <c r="AB7163" s="236">
        <v>1.3</v>
      </c>
      <c r="AC7163" s="127">
        <f t="shared" si="126"/>
        <v>1</v>
      </c>
    </row>
    <row r="7164" ht="14.5" customHeight="1" spans="11:29" x14ac:dyDescent="0.25">
      <c r="K7164" s="128"/>
      <c r="X7164" s="234">
        <v>2022</v>
      </c>
      <c r="Y7164" s="234">
        <v>10</v>
      </c>
      <c r="Z7164" s="234">
        <v>26</v>
      </c>
      <c r="AA7164" s="235">
        <v>0.4166666666678793</v>
      </c>
      <c r="AB7164" s="236">
        <v>2.2</v>
      </c>
      <c r="AC7164" s="127">
        <f t="shared" si="126"/>
        <v>2</v>
      </c>
    </row>
    <row r="7165" ht="14.5" customHeight="1" spans="11:29" x14ac:dyDescent="0.25">
      <c r="K7165" s="128"/>
      <c r="X7165" s="234">
        <v>2022</v>
      </c>
      <c r="Y7165" s="234">
        <v>10</v>
      </c>
      <c r="Z7165" s="234">
        <v>26</v>
      </c>
      <c r="AA7165" s="235">
        <v>0.4583333333321207</v>
      </c>
      <c r="AB7165" s="236">
        <v>5.5</v>
      </c>
      <c r="AC7165" s="127">
        <f t="shared" si="126"/>
        <v>6</v>
      </c>
    </row>
    <row r="7166" ht="14.5" customHeight="1" spans="11:29" x14ac:dyDescent="0.25">
      <c r="K7166" s="128"/>
      <c r="X7166" s="234">
        <v>2022</v>
      </c>
      <c r="Y7166" s="234">
        <v>10</v>
      </c>
      <c r="Z7166" s="234">
        <v>26</v>
      </c>
      <c r="AA7166" s="235">
        <v>0.5</v>
      </c>
      <c r="AB7166" s="236">
        <v>6.5</v>
      </c>
      <c r="AC7166" s="127">
        <f t="shared" si="126"/>
        <v>7</v>
      </c>
    </row>
    <row r="7167" ht="14.5" customHeight="1" spans="11:29" x14ac:dyDescent="0.25">
      <c r="K7167" s="128"/>
      <c r="X7167" s="234">
        <v>2022</v>
      </c>
      <c r="Y7167" s="234">
        <v>10</v>
      </c>
      <c r="Z7167" s="234">
        <v>26</v>
      </c>
      <c r="AA7167" s="235">
        <v>0.5416666666678793</v>
      </c>
      <c r="AB7167" s="236">
        <v>6</v>
      </c>
      <c r="AC7167" s="127">
        <f t="shared" si="126"/>
        <v>6</v>
      </c>
    </row>
    <row r="7168" ht="14.5" customHeight="1" spans="11:29" x14ac:dyDescent="0.25">
      <c r="K7168" s="128"/>
      <c r="X7168" s="234">
        <v>2022</v>
      </c>
      <c r="Y7168" s="234">
        <v>10</v>
      </c>
      <c r="Z7168" s="234">
        <v>26</v>
      </c>
      <c r="AA7168" s="235">
        <v>0.5833333333321207</v>
      </c>
      <c r="AB7168" s="236">
        <v>7.7</v>
      </c>
      <c r="AC7168" s="127">
        <f t="shared" si="126"/>
        <v>8</v>
      </c>
    </row>
    <row r="7169" ht="14.5" customHeight="1" spans="11:29" x14ac:dyDescent="0.25">
      <c r="K7169" s="128"/>
      <c r="X7169" s="234">
        <v>2022</v>
      </c>
      <c r="Y7169" s="234">
        <v>10</v>
      </c>
      <c r="Z7169" s="234">
        <v>26</v>
      </c>
      <c r="AA7169" s="235">
        <v>0.625</v>
      </c>
      <c r="AB7169" s="236">
        <v>7.8</v>
      </c>
      <c r="AC7169" s="127">
        <f t="shared" si="126"/>
        <v>8</v>
      </c>
    </row>
    <row r="7170" ht="14.5" customHeight="1" spans="11:29" x14ac:dyDescent="0.25">
      <c r="K7170" s="128"/>
      <c r="X7170" s="234">
        <v>2022</v>
      </c>
      <c r="Y7170" s="234">
        <v>10</v>
      </c>
      <c r="Z7170" s="234">
        <v>26</v>
      </c>
      <c r="AA7170" s="235">
        <v>0.6666666666678793</v>
      </c>
      <c r="AB7170" s="236">
        <v>6.9</v>
      </c>
      <c r="AC7170" s="127">
        <f t="shared" si="126"/>
        <v>7</v>
      </c>
    </row>
    <row r="7171" ht="14.5" customHeight="1" spans="11:29" x14ac:dyDescent="0.25">
      <c r="K7171" s="128"/>
      <c r="X7171" s="234">
        <v>2022</v>
      </c>
      <c r="Y7171" s="234">
        <v>10</v>
      </c>
      <c r="Z7171" s="234">
        <v>26</v>
      </c>
      <c r="AA7171" s="235">
        <v>0.7083333333321207</v>
      </c>
      <c r="AB7171" s="236">
        <v>5.8</v>
      </c>
      <c r="AC7171" s="127">
        <f t="shared" si="126"/>
        <v>6</v>
      </c>
    </row>
    <row r="7172" ht="14.5" customHeight="1" spans="11:29" x14ac:dyDescent="0.25">
      <c r="K7172" s="128"/>
      <c r="X7172" s="234">
        <v>2022</v>
      </c>
      <c r="Y7172" s="234">
        <v>10</v>
      </c>
      <c r="Z7172" s="234">
        <v>26</v>
      </c>
      <c r="AA7172" s="235">
        <v>0.75</v>
      </c>
      <c r="AB7172" s="236">
        <v>5.2</v>
      </c>
      <c r="AC7172" s="127">
        <f t="shared" si="126"/>
        <v>5</v>
      </c>
    </row>
    <row r="7173" ht="14.5" customHeight="1" spans="11:29" x14ac:dyDescent="0.25">
      <c r="K7173" s="128"/>
      <c r="X7173" s="234">
        <v>2022</v>
      </c>
      <c r="Y7173" s="234">
        <v>10</v>
      </c>
      <c r="Z7173" s="234">
        <v>26</v>
      </c>
      <c r="AA7173" s="235">
        <v>0.7916666666678793</v>
      </c>
      <c r="AB7173" s="236">
        <v>4.6</v>
      </c>
      <c r="AC7173" s="127">
        <f t="shared" si="126"/>
        <v>5</v>
      </c>
    </row>
    <row r="7174" ht="14.5" customHeight="1" spans="11:29" x14ac:dyDescent="0.25">
      <c r="K7174" s="128"/>
      <c r="X7174" s="234">
        <v>2022</v>
      </c>
      <c r="Y7174" s="234">
        <v>10</v>
      </c>
      <c r="Z7174" s="234">
        <v>26</v>
      </c>
      <c r="AA7174" s="235">
        <v>0.8333333333321207</v>
      </c>
      <c r="AB7174" s="236">
        <v>3.4</v>
      </c>
      <c r="AC7174" s="127">
        <f t="shared" si="126"/>
        <v>3</v>
      </c>
    </row>
    <row r="7175" ht="14.5" customHeight="1" spans="11:29" x14ac:dyDescent="0.25">
      <c r="K7175" s="128"/>
      <c r="X7175" s="234">
        <v>2022</v>
      </c>
      <c r="Y7175" s="234">
        <v>10</v>
      </c>
      <c r="Z7175" s="234">
        <v>26</v>
      </c>
      <c r="AA7175" s="235">
        <v>0.875</v>
      </c>
      <c r="AB7175" s="236">
        <v>3.1</v>
      </c>
      <c r="AC7175" s="127">
        <f t="shared" si="126"/>
        <v>3</v>
      </c>
    </row>
    <row r="7176" ht="14.5" customHeight="1" spans="11:29" x14ac:dyDescent="0.25">
      <c r="K7176" s="128"/>
      <c r="X7176" s="234">
        <v>2022</v>
      </c>
      <c r="Y7176" s="234">
        <v>10</v>
      </c>
      <c r="Z7176" s="234">
        <v>26</v>
      </c>
      <c r="AA7176" s="235">
        <v>0.9166666666678793</v>
      </c>
      <c r="AB7176" s="236">
        <v>2.7</v>
      </c>
      <c r="AC7176" s="127">
        <f t="shared" si="126"/>
        <v>3</v>
      </c>
    </row>
    <row r="7177" ht="14.5" customHeight="1" spans="11:29" x14ac:dyDescent="0.25">
      <c r="K7177" s="128"/>
      <c r="X7177" s="234">
        <v>2022</v>
      </c>
      <c r="Y7177" s="234">
        <v>10</v>
      </c>
      <c r="Z7177" s="234">
        <v>26</v>
      </c>
      <c r="AA7177" s="235">
        <v>0.9583333333321207</v>
      </c>
      <c r="AB7177" s="236">
        <v>4.6</v>
      </c>
      <c r="AC7177" s="127">
        <f t="shared" si="126"/>
        <v>5</v>
      </c>
    </row>
    <row r="7178" ht="14.5" customHeight="1" spans="11:29" x14ac:dyDescent="0.25">
      <c r="K7178" s="128"/>
      <c r="X7178" s="234">
        <v>2022</v>
      </c>
      <c r="Y7178" s="234">
        <v>10</v>
      </c>
      <c r="Z7178" s="234">
        <v>27</v>
      </c>
      <c r="AA7178" s="235">
        <v>0</v>
      </c>
      <c r="AB7178" s="236">
        <v>6.2</v>
      </c>
      <c r="AC7178" s="127">
        <f t="shared" si="126"/>
        <v>6</v>
      </c>
    </row>
    <row r="7179" ht="14.5" customHeight="1" spans="11:29" x14ac:dyDescent="0.25">
      <c r="K7179" s="128"/>
      <c r="X7179" s="234">
        <v>2022</v>
      </c>
      <c r="Y7179" s="234">
        <v>10</v>
      </c>
      <c r="Z7179" s="234">
        <v>27</v>
      </c>
      <c r="AA7179" s="235">
        <v>0.041666666667879326</v>
      </c>
      <c r="AB7179" s="236">
        <v>5.3</v>
      </c>
      <c r="AC7179" s="127">
        <f t="shared" ref="AC7179:AC7242" si="127">ROUND(AB7179,0)</f>
        <v>5</v>
      </c>
    </row>
    <row r="7180" ht="14.5" customHeight="1" spans="11:29" x14ac:dyDescent="0.25">
      <c r="K7180" s="128"/>
      <c r="X7180" s="234">
        <v>2022</v>
      </c>
      <c r="Y7180" s="234">
        <v>10</v>
      </c>
      <c r="Z7180" s="234">
        <v>27</v>
      </c>
      <c r="AA7180" s="235">
        <v>0.08333333333212067</v>
      </c>
      <c r="AB7180" s="236">
        <v>5.2</v>
      </c>
      <c r="AC7180" s="127">
        <f t="shared" si="127"/>
        <v>5</v>
      </c>
    </row>
    <row r="7181" ht="14.5" customHeight="1" spans="11:29" x14ac:dyDescent="0.25">
      <c r="K7181" s="128"/>
      <c r="X7181" s="234">
        <v>2022</v>
      </c>
      <c r="Y7181" s="234">
        <v>10</v>
      </c>
      <c r="Z7181" s="234">
        <v>27</v>
      </c>
      <c r="AA7181" s="235">
        <v>0.125</v>
      </c>
      <c r="AB7181" s="236">
        <v>4.5</v>
      </c>
      <c r="AC7181" s="127">
        <f t="shared" si="127"/>
        <v>5</v>
      </c>
    </row>
    <row r="7182" ht="14.5" customHeight="1" spans="11:29" x14ac:dyDescent="0.25">
      <c r="K7182" s="128"/>
      <c r="X7182" s="234">
        <v>2022</v>
      </c>
      <c r="Y7182" s="234">
        <v>10</v>
      </c>
      <c r="Z7182" s="234">
        <v>27</v>
      </c>
      <c r="AA7182" s="235">
        <v>0.16666666666787933</v>
      </c>
      <c r="AB7182" s="236">
        <v>6.1</v>
      </c>
      <c r="AC7182" s="127">
        <f t="shared" si="127"/>
        <v>6</v>
      </c>
    </row>
    <row r="7183" ht="14.5" customHeight="1" spans="11:29" x14ac:dyDescent="0.25">
      <c r="K7183" s="128"/>
      <c r="X7183" s="234">
        <v>2022</v>
      </c>
      <c r="Y7183" s="234">
        <v>10</v>
      </c>
      <c r="Z7183" s="234">
        <v>27</v>
      </c>
      <c r="AA7183" s="235">
        <v>0.20833333333212067</v>
      </c>
      <c r="AB7183" s="236">
        <v>6.2</v>
      </c>
      <c r="AC7183" s="127">
        <f t="shared" si="127"/>
        <v>6</v>
      </c>
    </row>
    <row r="7184" ht="14.5" customHeight="1" spans="11:29" x14ac:dyDescent="0.25">
      <c r="K7184" s="128"/>
      <c r="X7184" s="234">
        <v>2022</v>
      </c>
      <c r="Y7184" s="234">
        <v>10</v>
      </c>
      <c r="Z7184" s="234">
        <v>27</v>
      </c>
      <c r="AA7184" s="235">
        <v>0.25</v>
      </c>
      <c r="AB7184" s="236">
        <v>6.3</v>
      </c>
      <c r="AC7184" s="127">
        <f t="shared" si="127"/>
        <v>6</v>
      </c>
    </row>
    <row r="7185" ht="14.5" customHeight="1" spans="11:29" x14ac:dyDescent="0.25">
      <c r="K7185" s="128"/>
      <c r="X7185" s="234">
        <v>2022</v>
      </c>
      <c r="Y7185" s="234">
        <v>10</v>
      </c>
      <c r="Z7185" s="234">
        <v>27</v>
      </c>
      <c r="AA7185" s="235">
        <v>0.2916666666678793</v>
      </c>
      <c r="AB7185" s="236">
        <v>6.3</v>
      </c>
      <c r="AC7185" s="127">
        <f t="shared" si="127"/>
        <v>6</v>
      </c>
    </row>
    <row r="7186" ht="14.5" customHeight="1" spans="11:29" x14ac:dyDescent="0.25">
      <c r="K7186" s="128"/>
      <c r="X7186" s="234">
        <v>2022</v>
      </c>
      <c r="Y7186" s="234">
        <v>10</v>
      </c>
      <c r="Z7186" s="234">
        <v>27</v>
      </c>
      <c r="AA7186" s="235">
        <v>0.3333333333321207</v>
      </c>
      <c r="AB7186" s="236">
        <v>6</v>
      </c>
      <c r="AC7186" s="127">
        <f t="shared" si="127"/>
        <v>6</v>
      </c>
    </row>
    <row r="7187" ht="14.5" customHeight="1" spans="11:29" x14ac:dyDescent="0.25">
      <c r="K7187" s="128"/>
      <c r="X7187" s="234">
        <v>2022</v>
      </c>
      <c r="Y7187" s="234">
        <v>10</v>
      </c>
      <c r="Z7187" s="234">
        <v>27</v>
      </c>
      <c r="AA7187" s="235">
        <v>0.375</v>
      </c>
      <c r="AB7187" s="236">
        <v>7.3</v>
      </c>
      <c r="AC7187" s="127">
        <f t="shared" si="127"/>
        <v>7</v>
      </c>
    </row>
    <row r="7188" ht="14.5" customHeight="1" spans="11:29" x14ac:dyDescent="0.25">
      <c r="K7188" s="128"/>
      <c r="X7188" s="234">
        <v>2022</v>
      </c>
      <c r="Y7188" s="234">
        <v>10</v>
      </c>
      <c r="Z7188" s="234">
        <v>27</v>
      </c>
      <c r="AA7188" s="235">
        <v>0.4166666666678793</v>
      </c>
      <c r="AB7188" s="236">
        <v>6.2</v>
      </c>
      <c r="AC7188" s="127">
        <f t="shared" si="127"/>
        <v>6</v>
      </c>
    </row>
    <row r="7189" ht="14.5" customHeight="1" spans="11:29" x14ac:dyDescent="0.25">
      <c r="K7189" s="128"/>
      <c r="X7189" s="234">
        <v>2022</v>
      </c>
      <c r="Y7189" s="234">
        <v>10</v>
      </c>
      <c r="Z7189" s="234">
        <v>27</v>
      </c>
      <c r="AA7189" s="235">
        <v>0.4583333333321207</v>
      </c>
      <c r="AB7189" s="236">
        <v>6.2</v>
      </c>
      <c r="AC7189" s="127">
        <f t="shared" si="127"/>
        <v>6</v>
      </c>
    </row>
    <row r="7190" ht="14.5" customHeight="1" spans="11:29" x14ac:dyDescent="0.25">
      <c r="K7190" s="128"/>
      <c r="X7190" s="234">
        <v>2022</v>
      </c>
      <c r="Y7190" s="234">
        <v>10</v>
      </c>
      <c r="Z7190" s="234">
        <v>27</v>
      </c>
      <c r="AA7190" s="235">
        <v>0.5</v>
      </c>
      <c r="AB7190" s="236">
        <v>7.7</v>
      </c>
      <c r="AC7190" s="127">
        <f t="shared" si="127"/>
        <v>8</v>
      </c>
    </row>
    <row r="7191" ht="14.5" customHeight="1" spans="11:29" x14ac:dyDescent="0.25">
      <c r="K7191" s="128"/>
      <c r="X7191" s="234">
        <v>2022</v>
      </c>
      <c r="Y7191" s="234">
        <v>10</v>
      </c>
      <c r="Z7191" s="234">
        <v>27</v>
      </c>
      <c r="AA7191" s="235">
        <v>0.5416666666678793</v>
      </c>
      <c r="AB7191" s="236">
        <v>7.5</v>
      </c>
      <c r="AC7191" s="127">
        <f t="shared" si="127"/>
        <v>8</v>
      </c>
    </row>
    <row r="7192" ht="14.5" customHeight="1" spans="11:29" x14ac:dyDescent="0.25">
      <c r="K7192" s="128"/>
      <c r="X7192" s="234">
        <v>2022</v>
      </c>
      <c r="Y7192" s="234">
        <v>10</v>
      </c>
      <c r="Z7192" s="234">
        <v>27</v>
      </c>
      <c r="AA7192" s="235">
        <v>0.5833333333321207</v>
      </c>
      <c r="AB7192" s="236">
        <v>10.5</v>
      </c>
      <c r="AC7192" s="127">
        <f t="shared" si="127"/>
        <v>11</v>
      </c>
    </row>
    <row r="7193" ht="14.5" customHeight="1" spans="11:29" x14ac:dyDescent="0.25">
      <c r="K7193" s="128"/>
      <c r="X7193" s="234">
        <v>2022</v>
      </c>
      <c r="Y7193" s="234">
        <v>10</v>
      </c>
      <c r="Z7193" s="234">
        <v>27</v>
      </c>
      <c r="AA7193" s="235">
        <v>0.625</v>
      </c>
      <c r="AB7193" s="236">
        <v>11.6</v>
      </c>
      <c r="AC7193" s="127">
        <f t="shared" si="127"/>
        <v>12</v>
      </c>
    </row>
    <row r="7194" ht="14.5" customHeight="1" spans="11:29" x14ac:dyDescent="0.25">
      <c r="K7194" s="128"/>
      <c r="X7194" s="234">
        <v>2022</v>
      </c>
      <c r="Y7194" s="234">
        <v>10</v>
      </c>
      <c r="Z7194" s="234">
        <v>27</v>
      </c>
      <c r="AA7194" s="235">
        <v>0.6666666666678793</v>
      </c>
      <c r="AB7194" s="236">
        <v>11.5</v>
      </c>
      <c r="AC7194" s="127">
        <f t="shared" si="127"/>
        <v>12</v>
      </c>
    </row>
    <row r="7195" ht="14.5" customHeight="1" spans="11:29" x14ac:dyDescent="0.25">
      <c r="K7195" s="128"/>
      <c r="X7195" s="234">
        <v>2022</v>
      </c>
      <c r="Y7195" s="234">
        <v>10</v>
      </c>
      <c r="Z7195" s="234">
        <v>27</v>
      </c>
      <c r="AA7195" s="235">
        <v>0.7083333333321207</v>
      </c>
      <c r="AB7195" s="236">
        <v>9.7</v>
      </c>
      <c r="AC7195" s="127">
        <f t="shared" si="127"/>
        <v>10</v>
      </c>
    </row>
    <row r="7196" ht="14.5" customHeight="1" spans="11:29" x14ac:dyDescent="0.25">
      <c r="K7196" s="128"/>
      <c r="X7196" s="234">
        <v>2022</v>
      </c>
      <c r="Y7196" s="234">
        <v>10</v>
      </c>
      <c r="Z7196" s="234">
        <v>27</v>
      </c>
      <c r="AA7196" s="235">
        <v>0.75</v>
      </c>
      <c r="AB7196" s="236">
        <v>8.5</v>
      </c>
      <c r="AC7196" s="127">
        <f t="shared" si="127"/>
        <v>9</v>
      </c>
    </row>
    <row r="7197" ht="14.5" customHeight="1" spans="11:29" x14ac:dyDescent="0.25">
      <c r="K7197" s="128"/>
      <c r="X7197" s="234">
        <v>2022</v>
      </c>
      <c r="Y7197" s="234">
        <v>10</v>
      </c>
      <c r="Z7197" s="234">
        <v>27</v>
      </c>
      <c r="AA7197" s="235">
        <v>0.7916666666678793</v>
      </c>
      <c r="AB7197" s="236">
        <v>7.1</v>
      </c>
      <c r="AC7197" s="127">
        <f t="shared" si="127"/>
        <v>7</v>
      </c>
    </row>
    <row r="7198" ht="14.5" customHeight="1" spans="11:29" x14ac:dyDescent="0.25">
      <c r="K7198" s="128"/>
      <c r="X7198" s="234">
        <v>2022</v>
      </c>
      <c r="Y7198" s="234">
        <v>10</v>
      </c>
      <c r="Z7198" s="234">
        <v>27</v>
      </c>
      <c r="AA7198" s="235">
        <v>0.8333333333321207</v>
      </c>
      <c r="AB7198" s="236">
        <v>6.9</v>
      </c>
      <c r="AC7198" s="127">
        <f t="shared" si="127"/>
        <v>7</v>
      </c>
    </row>
    <row r="7199" ht="14.5" customHeight="1" spans="11:29" x14ac:dyDescent="0.25">
      <c r="K7199" s="128"/>
      <c r="X7199" s="234">
        <v>2022</v>
      </c>
      <c r="Y7199" s="234">
        <v>10</v>
      </c>
      <c r="Z7199" s="234">
        <v>27</v>
      </c>
      <c r="AA7199" s="235">
        <v>0.875</v>
      </c>
      <c r="AB7199" s="236">
        <v>6.3</v>
      </c>
      <c r="AC7199" s="127">
        <f t="shared" si="127"/>
        <v>6</v>
      </c>
    </row>
    <row r="7200" ht="14.5" customHeight="1" spans="11:29" x14ac:dyDescent="0.25">
      <c r="K7200" s="128"/>
      <c r="X7200" s="234">
        <v>2022</v>
      </c>
      <c r="Y7200" s="234">
        <v>10</v>
      </c>
      <c r="Z7200" s="234">
        <v>27</v>
      </c>
      <c r="AA7200" s="235">
        <v>0.9166666666678793</v>
      </c>
      <c r="AB7200" s="236">
        <v>5.1</v>
      </c>
      <c r="AC7200" s="127">
        <f t="shared" si="127"/>
        <v>5</v>
      </c>
    </row>
    <row r="7201" ht="14.5" customHeight="1" spans="11:29" x14ac:dyDescent="0.25">
      <c r="K7201" s="128"/>
      <c r="X7201" s="234">
        <v>2022</v>
      </c>
      <c r="Y7201" s="234">
        <v>10</v>
      </c>
      <c r="Z7201" s="234">
        <v>27</v>
      </c>
      <c r="AA7201" s="235">
        <v>0.9583333333321207</v>
      </c>
      <c r="AB7201" s="236">
        <v>3.8</v>
      </c>
      <c r="AC7201" s="127">
        <f t="shared" si="127"/>
        <v>4</v>
      </c>
    </row>
    <row r="7202" ht="14.5" customHeight="1" spans="11:29" x14ac:dyDescent="0.25">
      <c r="K7202" s="128"/>
      <c r="X7202" s="234">
        <v>2022</v>
      </c>
      <c r="Y7202" s="234">
        <v>10</v>
      </c>
      <c r="Z7202" s="234">
        <v>28</v>
      </c>
      <c r="AA7202" s="235">
        <v>0</v>
      </c>
      <c r="AB7202" s="236">
        <v>3.1</v>
      </c>
      <c r="AC7202" s="127">
        <f t="shared" si="127"/>
        <v>3</v>
      </c>
    </row>
    <row r="7203" ht="14.5" customHeight="1" spans="11:29" x14ac:dyDescent="0.25">
      <c r="K7203" s="128"/>
      <c r="X7203" s="234">
        <v>2022</v>
      </c>
      <c r="Y7203" s="234">
        <v>10</v>
      </c>
      <c r="Z7203" s="234">
        <v>28</v>
      </c>
      <c r="AA7203" s="235">
        <v>0.041666666667879326</v>
      </c>
      <c r="AB7203" s="236">
        <v>2.8</v>
      </c>
      <c r="AC7203" s="127">
        <f t="shared" si="127"/>
        <v>3</v>
      </c>
    </row>
    <row r="7204" ht="14.5" customHeight="1" spans="11:29" x14ac:dyDescent="0.25">
      <c r="K7204" s="128"/>
      <c r="X7204" s="234">
        <v>2022</v>
      </c>
      <c r="Y7204" s="234">
        <v>10</v>
      </c>
      <c r="Z7204" s="234">
        <v>28</v>
      </c>
      <c r="AA7204" s="235">
        <v>0.08333333333212067</v>
      </c>
      <c r="AB7204" s="236">
        <v>4</v>
      </c>
      <c r="AC7204" s="127">
        <f t="shared" si="127"/>
        <v>4</v>
      </c>
    </row>
    <row r="7205" ht="14.5" customHeight="1" spans="11:29" x14ac:dyDescent="0.25">
      <c r="K7205" s="128"/>
      <c r="X7205" s="234">
        <v>2022</v>
      </c>
      <c r="Y7205" s="234">
        <v>10</v>
      </c>
      <c r="Z7205" s="234">
        <v>28</v>
      </c>
      <c r="AA7205" s="235">
        <v>0.125</v>
      </c>
      <c r="AB7205" s="236">
        <v>1.9</v>
      </c>
      <c r="AC7205" s="127">
        <f t="shared" si="127"/>
        <v>2</v>
      </c>
    </row>
    <row r="7206" ht="14.5" customHeight="1" spans="11:29" x14ac:dyDescent="0.25">
      <c r="K7206" s="128"/>
      <c r="X7206" s="234">
        <v>2022</v>
      </c>
      <c r="Y7206" s="234">
        <v>10</v>
      </c>
      <c r="Z7206" s="234">
        <v>28</v>
      </c>
      <c r="AA7206" s="235">
        <v>0.16666666666787933</v>
      </c>
      <c r="AB7206" s="236">
        <v>3.3</v>
      </c>
      <c r="AC7206" s="127">
        <f t="shared" si="127"/>
        <v>3</v>
      </c>
    </row>
    <row r="7207" ht="14.5" customHeight="1" spans="11:29" x14ac:dyDescent="0.25">
      <c r="K7207" s="128"/>
      <c r="X7207" s="234">
        <v>2022</v>
      </c>
      <c r="Y7207" s="234">
        <v>10</v>
      </c>
      <c r="Z7207" s="234">
        <v>28</v>
      </c>
      <c r="AA7207" s="235">
        <v>0.20833333333212067</v>
      </c>
      <c r="AB7207" s="236">
        <v>2.2</v>
      </c>
      <c r="AC7207" s="127">
        <f t="shared" si="127"/>
        <v>2</v>
      </c>
    </row>
    <row r="7208" ht="14.5" customHeight="1" spans="11:29" x14ac:dyDescent="0.25">
      <c r="K7208" s="128"/>
      <c r="X7208" s="234">
        <v>2022</v>
      </c>
      <c r="Y7208" s="234">
        <v>10</v>
      </c>
      <c r="Z7208" s="234">
        <v>28</v>
      </c>
      <c r="AA7208" s="235">
        <v>0.25</v>
      </c>
      <c r="AB7208" s="236">
        <v>1.5</v>
      </c>
      <c r="AC7208" s="127">
        <f t="shared" si="127"/>
        <v>2</v>
      </c>
    </row>
    <row r="7209" ht="14.5" customHeight="1" spans="11:29" x14ac:dyDescent="0.25">
      <c r="K7209" s="128"/>
      <c r="X7209" s="234">
        <v>2022</v>
      </c>
      <c r="Y7209" s="234">
        <v>10</v>
      </c>
      <c r="Z7209" s="234">
        <v>28</v>
      </c>
      <c r="AA7209" s="235">
        <v>0.2916666666678793</v>
      </c>
      <c r="AB7209" s="236">
        <v>2.6</v>
      </c>
      <c r="AC7209" s="127">
        <f t="shared" si="127"/>
        <v>3</v>
      </c>
    </row>
    <row r="7210" ht="14.5" customHeight="1" spans="11:29" x14ac:dyDescent="0.25">
      <c r="K7210" s="128"/>
      <c r="X7210" s="234">
        <v>2022</v>
      </c>
      <c r="Y7210" s="234">
        <v>10</v>
      </c>
      <c r="Z7210" s="234">
        <v>28</v>
      </c>
      <c r="AA7210" s="235">
        <v>0.3333333333321207</v>
      </c>
      <c r="AB7210" s="236">
        <v>0.3</v>
      </c>
      <c r="AC7210" s="127">
        <f t="shared" si="127"/>
        <v>0</v>
      </c>
    </row>
    <row r="7211" ht="14.5" customHeight="1" spans="11:29" x14ac:dyDescent="0.25">
      <c r="K7211" s="128"/>
      <c r="X7211" s="234">
        <v>2022</v>
      </c>
      <c r="Y7211" s="234">
        <v>10</v>
      </c>
      <c r="Z7211" s="234">
        <v>28</v>
      </c>
      <c r="AA7211" s="235">
        <v>0.375</v>
      </c>
      <c r="AB7211" s="236">
        <v>2.7</v>
      </c>
      <c r="AC7211" s="127">
        <f t="shared" si="127"/>
        <v>3</v>
      </c>
    </row>
    <row r="7212" ht="14.5" customHeight="1" spans="11:29" x14ac:dyDescent="0.25">
      <c r="K7212" s="128"/>
      <c r="X7212" s="234">
        <v>2022</v>
      </c>
      <c r="Y7212" s="234">
        <v>10</v>
      </c>
      <c r="Z7212" s="234">
        <v>28</v>
      </c>
      <c r="AA7212" s="235">
        <v>0.4166666666678793</v>
      </c>
      <c r="AB7212" s="236">
        <v>3.7</v>
      </c>
      <c r="AC7212" s="127">
        <f t="shared" si="127"/>
        <v>4</v>
      </c>
    </row>
    <row r="7213" ht="14.5" customHeight="1" spans="11:29" x14ac:dyDescent="0.25">
      <c r="K7213" s="128"/>
      <c r="X7213" s="234">
        <v>2022</v>
      </c>
      <c r="Y7213" s="234">
        <v>10</v>
      </c>
      <c r="Z7213" s="234">
        <v>28</v>
      </c>
      <c r="AA7213" s="235">
        <v>0.4583333333321207</v>
      </c>
      <c r="AB7213" s="236">
        <v>8.7</v>
      </c>
      <c r="AC7213" s="127">
        <f t="shared" si="127"/>
        <v>9</v>
      </c>
    </row>
    <row r="7214" ht="14.5" customHeight="1" spans="11:29" x14ac:dyDescent="0.25">
      <c r="K7214" s="128"/>
      <c r="X7214" s="234">
        <v>2022</v>
      </c>
      <c r="Y7214" s="234">
        <v>10</v>
      </c>
      <c r="Z7214" s="234">
        <v>28</v>
      </c>
      <c r="AA7214" s="235">
        <v>0.5</v>
      </c>
      <c r="AB7214" s="236">
        <v>10</v>
      </c>
      <c r="AC7214" s="127">
        <f t="shared" si="127"/>
        <v>10</v>
      </c>
    </row>
    <row r="7215" ht="14.5" customHeight="1" spans="11:29" x14ac:dyDescent="0.25">
      <c r="K7215" s="128"/>
      <c r="X7215" s="234">
        <v>2022</v>
      </c>
      <c r="Y7215" s="234">
        <v>10</v>
      </c>
      <c r="Z7215" s="234">
        <v>28</v>
      </c>
      <c r="AA7215" s="235">
        <v>0.5416666666678793</v>
      </c>
      <c r="AB7215" s="236">
        <v>11.9</v>
      </c>
      <c r="AC7215" s="127">
        <f t="shared" si="127"/>
        <v>12</v>
      </c>
    </row>
    <row r="7216" ht="14.5" customHeight="1" spans="11:29" x14ac:dyDescent="0.25">
      <c r="K7216" s="128"/>
      <c r="X7216" s="234">
        <v>2022</v>
      </c>
      <c r="Y7216" s="234">
        <v>10</v>
      </c>
      <c r="Z7216" s="234">
        <v>28</v>
      </c>
      <c r="AA7216" s="235">
        <v>0.5833333333321207</v>
      </c>
      <c r="AB7216" s="236">
        <v>11.3</v>
      </c>
      <c r="AC7216" s="127">
        <f t="shared" si="127"/>
        <v>11</v>
      </c>
    </row>
    <row r="7217" ht="14.5" customHeight="1" spans="11:29" x14ac:dyDescent="0.25">
      <c r="K7217" s="128"/>
      <c r="X7217" s="234">
        <v>2022</v>
      </c>
      <c r="Y7217" s="234">
        <v>10</v>
      </c>
      <c r="Z7217" s="234">
        <v>28</v>
      </c>
      <c r="AA7217" s="235">
        <v>0.625</v>
      </c>
      <c r="AB7217" s="236">
        <v>10.3</v>
      </c>
      <c r="AC7217" s="127">
        <f t="shared" si="127"/>
        <v>10</v>
      </c>
    </row>
    <row r="7218" ht="14.5" customHeight="1" spans="11:29" x14ac:dyDescent="0.25">
      <c r="K7218" s="128"/>
      <c r="X7218" s="234">
        <v>2022</v>
      </c>
      <c r="Y7218" s="234">
        <v>10</v>
      </c>
      <c r="Z7218" s="234">
        <v>28</v>
      </c>
      <c r="AA7218" s="235">
        <v>0.6666666666678793</v>
      </c>
      <c r="AB7218" s="236">
        <v>9.9</v>
      </c>
      <c r="AC7218" s="127">
        <f t="shared" si="127"/>
        <v>10</v>
      </c>
    </row>
    <row r="7219" ht="14.5" customHeight="1" spans="11:29" x14ac:dyDescent="0.25">
      <c r="K7219" s="128"/>
      <c r="X7219" s="234">
        <v>2022</v>
      </c>
      <c r="Y7219" s="234">
        <v>10</v>
      </c>
      <c r="Z7219" s="234">
        <v>28</v>
      </c>
      <c r="AA7219" s="235">
        <v>0.7083333333321207</v>
      </c>
      <c r="AB7219" s="236">
        <v>7</v>
      </c>
      <c r="AC7219" s="127">
        <f t="shared" si="127"/>
        <v>7</v>
      </c>
    </row>
    <row r="7220" ht="14.5" customHeight="1" spans="11:29" x14ac:dyDescent="0.25">
      <c r="K7220" s="128"/>
      <c r="X7220" s="234">
        <v>2022</v>
      </c>
      <c r="Y7220" s="234">
        <v>10</v>
      </c>
      <c r="Z7220" s="234">
        <v>28</v>
      </c>
      <c r="AA7220" s="235">
        <v>0.75</v>
      </c>
      <c r="AB7220" s="236">
        <v>5.8</v>
      </c>
      <c r="AC7220" s="127">
        <f t="shared" si="127"/>
        <v>6</v>
      </c>
    </row>
    <row r="7221" ht="14.5" customHeight="1" spans="11:29" x14ac:dyDescent="0.25">
      <c r="K7221" s="128"/>
      <c r="X7221" s="234">
        <v>2022</v>
      </c>
      <c r="Y7221" s="234">
        <v>10</v>
      </c>
      <c r="Z7221" s="234">
        <v>28</v>
      </c>
      <c r="AA7221" s="235">
        <v>0.7916666666678793</v>
      </c>
      <c r="AB7221" s="236">
        <v>3</v>
      </c>
      <c r="AC7221" s="127">
        <f t="shared" si="127"/>
        <v>3</v>
      </c>
    </row>
    <row r="7222" ht="14.5" customHeight="1" spans="11:29" x14ac:dyDescent="0.25">
      <c r="K7222" s="128"/>
      <c r="X7222" s="234">
        <v>2022</v>
      </c>
      <c r="Y7222" s="234">
        <v>10</v>
      </c>
      <c r="Z7222" s="234">
        <v>28</v>
      </c>
      <c r="AA7222" s="235">
        <v>0.8333333333321207</v>
      </c>
      <c r="AB7222" s="236">
        <v>1.5</v>
      </c>
      <c r="AC7222" s="127">
        <f t="shared" si="127"/>
        <v>2</v>
      </c>
    </row>
    <row r="7223" ht="14.5" customHeight="1" spans="11:29" x14ac:dyDescent="0.25">
      <c r="K7223" s="128"/>
      <c r="X7223" s="234">
        <v>2022</v>
      </c>
      <c r="Y7223" s="234">
        <v>10</v>
      </c>
      <c r="Z7223" s="234">
        <v>28</v>
      </c>
      <c r="AA7223" s="235">
        <v>0.875</v>
      </c>
      <c r="AB7223" s="236">
        <v>0.3</v>
      </c>
      <c r="AC7223" s="127">
        <f t="shared" si="127"/>
        <v>0</v>
      </c>
    </row>
    <row r="7224" ht="14.5" customHeight="1" spans="11:29" x14ac:dyDescent="0.25">
      <c r="K7224" s="128"/>
      <c r="X7224" s="234">
        <v>2022</v>
      </c>
      <c r="Y7224" s="234">
        <v>10</v>
      </c>
      <c r="Z7224" s="234">
        <v>28</v>
      </c>
      <c r="AA7224" s="235">
        <v>0.9166666666678793</v>
      </c>
      <c r="AB7224" s="236">
        <v>-1.2</v>
      </c>
      <c r="AC7224" s="127">
        <f t="shared" si="127"/>
        <v>-1</v>
      </c>
    </row>
    <row r="7225" ht="14.5" customHeight="1" spans="11:29" x14ac:dyDescent="0.25">
      <c r="K7225" s="128"/>
      <c r="X7225" s="234">
        <v>2022</v>
      </c>
      <c r="Y7225" s="234">
        <v>10</v>
      </c>
      <c r="Z7225" s="234">
        <v>28</v>
      </c>
      <c r="AA7225" s="235">
        <v>0.9583333333321207</v>
      </c>
      <c r="AB7225" s="236">
        <v>0.1</v>
      </c>
      <c r="AC7225" s="127">
        <f t="shared" si="127"/>
        <v>0</v>
      </c>
    </row>
    <row r="7226" ht="14.5" customHeight="1" spans="11:29" x14ac:dyDescent="0.25">
      <c r="K7226" s="128"/>
      <c r="X7226" s="234">
        <v>2022</v>
      </c>
      <c r="Y7226" s="234">
        <v>10</v>
      </c>
      <c r="Z7226" s="234">
        <v>29</v>
      </c>
      <c r="AA7226" s="235">
        <v>0</v>
      </c>
      <c r="AB7226" s="236">
        <v>-0.4</v>
      </c>
      <c r="AC7226" s="127">
        <f t="shared" si="127"/>
        <v>0</v>
      </c>
    </row>
    <row r="7227" ht="14.5" customHeight="1" spans="11:29" x14ac:dyDescent="0.25">
      <c r="K7227" s="128"/>
      <c r="X7227" s="234">
        <v>2022</v>
      </c>
      <c r="Y7227" s="234">
        <v>10</v>
      </c>
      <c r="Z7227" s="234">
        <v>29</v>
      </c>
      <c r="AA7227" s="235">
        <v>0.041666666667879326</v>
      </c>
      <c r="AB7227" s="236">
        <v>-0.2</v>
      </c>
      <c r="AC7227" s="127">
        <f t="shared" si="127"/>
        <v>0</v>
      </c>
    </row>
    <row r="7228" ht="14.5" customHeight="1" spans="11:29" x14ac:dyDescent="0.25">
      <c r="K7228" s="128"/>
      <c r="X7228" s="234">
        <v>2022</v>
      </c>
      <c r="Y7228" s="234">
        <v>10</v>
      </c>
      <c r="Z7228" s="234">
        <v>29</v>
      </c>
      <c r="AA7228" s="235">
        <v>0.08333333333212067</v>
      </c>
      <c r="AB7228" s="236">
        <v>-2.2</v>
      </c>
      <c r="AC7228" s="127">
        <f t="shared" si="127"/>
        <v>-2</v>
      </c>
    </row>
    <row r="7229" ht="14.5" customHeight="1" spans="11:29" x14ac:dyDescent="0.25">
      <c r="K7229" s="128"/>
      <c r="X7229" s="234">
        <v>2022</v>
      </c>
      <c r="Y7229" s="234">
        <v>10</v>
      </c>
      <c r="Z7229" s="234">
        <v>29</v>
      </c>
      <c r="AA7229" s="235">
        <v>0.125</v>
      </c>
      <c r="AB7229" s="236">
        <v>-0.8</v>
      </c>
      <c r="AC7229" s="127">
        <f t="shared" si="127"/>
        <v>-1</v>
      </c>
    </row>
    <row r="7230" ht="14.5" customHeight="1" spans="11:29" x14ac:dyDescent="0.25">
      <c r="K7230" s="128"/>
      <c r="X7230" s="234">
        <v>2022</v>
      </c>
      <c r="Y7230" s="234">
        <v>10</v>
      </c>
      <c r="Z7230" s="234">
        <v>29</v>
      </c>
      <c r="AA7230" s="235">
        <v>0.16666666666787933</v>
      </c>
      <c r="AB7230" s="236">
        <v>-1.9</v>
      </c>
      <c r="AC7230" s="127">
        <f t="shared" si="127"/>
        <v>-2</v>
      </c>
    </row>
    <row r="7231" ht="14.5" customHeight="1" spans="11:29" x14ac:dyDescent="0.25">
      <c r="K7231" s="128"/>
      <c r="X7231" s="234">
        <v>2022</v>
      </c>
      <c r="Y7231" s="234">
        <v>10</v>
      </c>
      <c r="Z7231" s="234">
        <v>29</v>
      </c>
      <c r="AA7231" s="235">
        <v>0.20833333333212067</v>
      </c>
      <c r="AB7231" s="236">
        <v>0.1</v>
      </c>
      <c r="AC7231" s="127">
        <f t="shared" si="127"/>
        <v>0</v>
      </c>
    </row>
    <row r="7232" ht="14.5" customHeight="1" spans="11:29" x14ac:dyDescent="0.25">
      <c r="K7232" s="128"/>
      <c r="X7232" s="234">
        <v>2022</v>
      </c>
      <c r="Y7232" s="234">
        <v>10</v>
      </c>
      <c r="Z7232" s="234">
        <v>29</v>
      </c>
      <c r="AA7232" s="235">
        <v>0.25</v>
      </c>
      <c r="AB7232" s="236">
        <v>0.1</v>
      </c>
      <c r="AC7232" s="127">
        <f t="shared" si="127"/>
        <v>0</v>
      </c>
    </row>
    <row r="7233" ht="14.5" customHeight="1" spans="11:29" x14ac:dyDescent="0.25">
      <c r="K7233" s="128"/>
      <c r="X7233" s="234">
        <v>2022</v>
      </c>
      <c r="Y7233" s="234">
        <v>10</v>
      </c>
      <c r="Z7233" s="234">
        <v>29</v>
      </c>
      <c r="AA7233" s="235">
        <v>0.2916666666678793</v>
      </c>
      <c r="AB7233" s="236">
        <v>1.9</v>
      </c>
      <c r="AC7233" s="127">
        <f t="shared" si="127"/>
        <v>2</v>
      </c>
    </row>
    <row r="7234" ht="14.5" customHeight="1" spans="11:29" x14ac:dyDescent="0.25">
      <c r="K7234" s="128"/>
      <c r="X7234" s="234">
        <v>2022</v>
      </c>
      <c r="Y7234" s="234">
        <v>10</v>
      </c>
      <c r="Z7234" s="234">
        <v>29</v>
      </c>
      <c r="AA7234" s="235">
        <v>0.3333333333321207</v>
      </c>
      <c r="AB7234" s="236">
        <v>0.3</v>
      </c>
      <c r="AC7234" s="127">
        <f t="shared" si="127"/>
        <v>0</v>
      </c>
    </row>
    <row r="7235" ht="14.5" customHeight="1" spans="11:29" x14ac:dyDescent="0.25">
      <c r="K7235" s="128"/>
      <c r="X7235" s="234">
        <v>2022</v>
      </c>
      <c r="Y7235" s="234">
        <v>10</v>
      </c>
      <c r="Z7235" s="234">
        <v>29</v>
      </c>
      <c r="AA7235" s="235">
        <v>0.375</v>
      </c>
      <c r="AB7235" s="236">
        <v>2.2</v>
      </c>
      <c r="AC7235" s="127">
        <f t="shared" si="127"/>
        <v>2</v>
      </c>
    </row>
    <row r="7236" ht="14.5" customHeight="1" spans="11:29" x14ac:dyDescent="0.25">
      <c r="K7236" s="128"/>
      <c r="X7236" s="234">
        <v>2022</v>
      </c>
      <c r="Y7236" s="234">
        <v>10</v>
      </c>
      <c r="Z7236" s="234">
        <v>29</v>
      </c>
      <c r="AA7236" s="235">
        <v>0.4166666666678793</v>
      </c>
      <c r="AB7236" s="236">
        <v>6</v>
      </c>
      <c r="AC7236" s="127">
        <f t="shared" si="127"/>
        <v>6</v>
      </c>
    </row>
    <row r="7237" ht="14.5" customHeight="1" spans="11:29" x14ac:dyDescent="0.25">
      <c r="K7237" s="128"/>
      <c r="X7237" s="234">
        <v>2022</v>
      </c>
      <c r="Y7237" s="234">
        <v>10</v>
      </c>
      <c r="Z7237" s="234">
        <v>29</v>
      </c>
      <c r="AA7237" s="235">
        <v>0.4583333333321207</v>
      </c>
      <c r="AB7237" s="236">
        <v>9.3</v>
      </c>
      <c r="AC7237" s="127">
        <f t="shared" si="127"/>
        <v>9</v>
      </c>
    </row>
    <row r="7238" ht="14.5" customHeight="1" spans="11:29" x14ac:dyDescent="0.25">
      <c r="K7238" s="128"/>
      <c r="X7238" s="234">
        <v>2022</v>
      </c>
      <c r="Y7238" s="234">
        <v>10</v>
      </c>
      <c r="Z7238" s="234">
        <v>29</v>
      </c>
      <c r="AA7238" s="235">
        <v>0.5</v>
      </c>
      <c r="AB7238" s="236">
        <v>11.5</v>
      </c>
      <c r="AC7238" s="127">
        <f t="shared" si="127"/>
        <v>12</v>
      </c>
    </row>
    <row r="7239" ht="14.5" customHeight="1" spans="11:29" x14ac:dyDescent="0.25">
      <c r="K7239" s="128"/>
      <c r="X7239" s="234">
        <v>2022</v>
      </c>
      <c r="Y7239" s="234">
        <v>10</v>
      </c>
      <c r="Z7239" s="234">
        <v>29</v>
      </c>
      <c r="AA7239" s="235">
        <v>0.5416666666678793</v>
      </c>
      <c r="AB7239" s="236">
        <v>12.3</v>
      </c>
      <c r="AC7239" s="127">
        <f t="shared" si="127"/>
        <v>12</v>
      </c>
    </row>
    <row r="7240" ht="14.5" customHeight="1" spans="11:29" x14ac:dyDescent="0.25">
      <c r="K7240" s="128"/>
      <c r="X7240" s="234">
        <v>2022</v>
      </c>
      <c r="Y7240" s="234">
        <v>10</v>
      </c>
      <c r="Z7240" s="234">
        <v>29</v>
      </c>
      <c r="AA7240" s="235">
        <v>0.5833333333321207</v>
      </c>
      <c r="AB7240" s="236">
        <v>11.6</v>
      </c>
      <c r="AC7240" s="127">
        <f t="shared" si="127"/>
        <v>12</v>
      </c>
    </row>
    <row r="7241" ht="14.5" customHeight="1" spans="11:29" x14ac:dyDescent="0.25">
      <c r="K7241" s="128"/>
      <c r="X7241" s="234">
        <v>2022</v>
      </c>
      <c r="Y7241" s="234">
        <v>10</v>
      </c>
      <c r="Z7241" s="234">
        <v>29</v>
      </c>
      <c r="AA7241" s="235">
        <v>0.625</v>
      </c>
      <c r="AB7241" s="236">
        <v>10.8</v>
      </c>
      <c r="AC7241" s="127">
        <f t="shared" si="127"/>
        <v>11</v>
      </c>
    </row>
    <row r="7242" ht="14.5" customHeight="1" spans="11:29" x14ac:dyDescent="0.25">
      <c r="K7242" s="128"/>
      <c r="X7242" s="234">
        <v>2022</v>
      </c>
      <c r="Y7242" s="234">
        <v>10</v>
      </c>
      <c r="Z7242" s="234">
        <v>29</v>
      </c>
      <c r="AA7242" s="235">
        <v>0.6666666666678793</v>
      </c>
      <c r="AB7242" s="236">
        <v>9.6</v>
      </c>
      <c r="AC7242" s="127">
        <f t="shared" si="127"/>
        <v>10</v>
      </c>
    </row>
    <row r="7243" ht="14.5" customHeight="1" spans="11:29" x14ac:dyDescent="0.25">
      <c r="K7243" s="128"/>
      <c r="X7243" s="234">
        <v>2022</v>
      </c>
      <c r="Y7243" s="234">
        <v>10</v>
      </c>
      <c r="Z7243" s="234">
        <v>29</v>
      </c>
      <c r="AA7243" s="235">
        <v>0.7083333333321207</v>
      </c>
      <c r="AB7243" s="236">
        <v>8.9</v>
      </c>
      <c r="AC7243" s="127">
        <f t="shared" ref="AC7243:AC7306" si="128">ROUND(AB7243,0)</f>
        <v>9</v>
      </c>
    </row>
    <row r="7244" ht="14.5" customHeight="1" spans="11:29" x14ac:dyDescent="0.25">
      <c r="K7244" s="128"/>
      <c r="X7244" s="234">
        <v>2022</v>
      </c>
      <c r="Y7244" s="234">
        <v>10</v>
      </c>
      <c r="Z7244" s="234">
        <v>29</v>
      </c>
      <c r="AA7244" s="235">
        <v>0.75</v>
      </c>
      <c r="AB7244" s="236">
        <v>7.8</v>
      </c>
      <c r="AC7244" s="127">
        <f t="shared" si="128"/>
        <v>8</v>
      </c>
    </row>
    <row r="7245" ht="14.5" customHeight="1" spans="11:29" x14ac:dyDescent="0.25">
      <c r="K7245" s="128"/>
      <c r="X7245" s="234">
        <v>2022</v>
      </c>
      <c r="Y7245" s="234">
        <v>10</v>
      </c>
      <c r="Z7245" s="234">
        <v>29</v>
      </c>
      <c r="AA7245" s="235">
        <v>0.7916666666678793</v>
      </c>
      <c r="AB7245" s="236">
        <v>7.4</v>
      </c>
      <c r="AC7245" s="127">
        <f t="shared" si="128"/>
        <v>7</v>
      </c>
    </row>
    <row r="7246" ht="14.5" customHeight="1" spans="11:29" x14ac:dyDescent="0.25">
      <c r="K7246" s="128"/>
      <c r="X7246" s="234">
        <v>2022</v>
      </c>
      <c r="Y7246" s="234">
        <v>10</v>
      </c>
      <c r="Z7246" s="234">
        <v>29</v>
      </c>
      <c r="AA7246" s="235">
        <v>0.8333333333321207</v>
      </c>
      <c r="AB7246" s="236">
        <v>5.5</v>
      </c>
      <c r="AC7246" s="127">
        <f t="shared" si="128"/>
        <v>6</v>
      </c>
    </row>
    <row r="7247" ht="14.5" customHeight="1" spans="11:29" x14ac:dyDescent="0.25">
      <c r="K7247" s="128"/>
      <c r="X7247" s="234">
        <v>2022</v>
      </c>
      <c r="Y7247" s="234">
        <v>10</v>
      </c>
      <c r="Z7247" s="234">
        <v>29</v>
      </c>
      <c r="AA7247" s="235">
        <v>0.875</v>
      </c>
      <c r="AB7247" s="236">
        <v>6.3</v>
      </c>
      <c r="AC7247" s="127">
        <f t="shared" si="128"/>
        <v>6</v>
      </c>
    </row>
    <row r="7248" ht="14.5" customHeight="1" spans="11:29" x14ac:dyDescent="0.25">
      <c r="K7248" s="128"/>
      <c r="X7248" s="234">
        <v>2022</v>
      </c>
      <c r="Y7248" s="234">
        <v>10</v>
      </c>
      <c r="Z7248" s="234">
        <v>29</v>
      </c>
      <c r="AA7248" s="235">
        <v>0.9166666666678793</v>
      </c>
      <c r="AB7248" s="236">
        <v>3.8</v>
      </c>
      <c r="AC7248" s="127">
        <f t="shared" si="128"/>
        <v>4</v>
      </c>
    </row>
    <row r="7249" ht="14.5" customHeight="1" spans="11:29" x14ac:dyDescent="0.25">
      <c r="K7249" s="128"/>
      <c r="X7249" s="234">
        <v>2022</v>
      </c>
      <c r="Y7249" s="234">
        <v>10</v>
      </c>
      <c r="Z7249" s="234">
        <v>29</v>
      </c>
      <c r="AA7249" s="235">
        <v>0.9583333333321207</v>
      </c>
      <c r="AB7249" s="236">
        <v>3.9</v>
      </c>
      <c r="AC7249" s="127">
        <f t="shared" si="128"/>
        <v>4</v>
      </c>
    </row>
    <row r="7250" ht="14.5" customHeight="1" spans="11:29" x14ac:dyDescent="0.25">
      <c r="K7250" s="128"/>
      <c r="X7250" s="234">
        <v>2022</v>
      </c>
      <c r="Y7250" s="234">
        <v>10</v>
      </c>
      <c r="Z7250" s="234">
        <v>30</v>
      </c>
      <c r="AA7250" s="235">
        <v>0</v>
      </c>
      <c r="AB7250" s="236">
        <v>4</v>
      </c>
      <c r="AC7250" s="127">
        <f t="shared" si="128"/>
        <v>4</v>
      </c>
    </row>
    <row r="7251" ht="14.5" customHeight="1" spans="11:29" x14ac:dyDescent="0.25">
      <c r="K7251" s="128"/>
      <c r="X7251" s="234">
        <v>2022</v>
      </c>
      <c r="Y7251" s="234">
        <v>10</v>
      </c>
      <c r="Z7251" s="234">
        <v>30</v>
      </c>
      <c r="AA7251" s="235">
        <v>0.041666666667879326</v>
      </c>
      <c r="AB7251" s="236">
        <v>4.9</v>
      </c>
      <c r="AC7251" s="127">
        <f t="shared" si="128"/>
        <v>5</v>
      </c>
    </row>
    <row r="7252" ht="14.5" customHeight="1" spans="11:29" x14ac:dyDescent="0.25">
      <c r="K7252" s="128"/>
      <c r="X7252" s="234">
        <v>2022</v>
      </c>
      <c r="Y7252" s="234">
        <v>10</v>
      </c>
      <c r="Z7252" s="234">
        <v>30</v>
      </c>
      <c r="AA7252" s="235">
        <v>0.08333333333212067</v>
      </c>
      <c r="AB7252" s="236">
        <v>4.9</v>
      </c>
      <c r="AC7252" s="127">
        <f t="shared" si="128"/>
        <v>5</v>
      </c>
    </row>
    <row r="7253" ht="14.5" customHeight="1" spans="11:29" x14ac:dyDescent="0.25">
      <c r="K7253" s="128"/>
      <c r="X7253" s="234">
        <v>2022</v>
      </c>
      <c r="Y7253" s="234">
        <v>10</v>
      </c>
      <c r="Z7253" s="234">
        <v>30</v>
      </c>
      <c r="AA7253" s="235">
        <v>0.125</v>
      </c>
      <c r="AB7253" s="236">
        <v>3.8</v>
      </c>
      <c r="AC7253" s="127">
        <f t="shared" si="128"/>
        <v>4</v>
      </c>
    </row>
    <row r="7254" ht="14.5" customHeight="1" spans="11:29" x14ac:dyDescent="0.25">
      <c r="K7254" s="128"/>
      <c r="X7254" s="234">
        <v>2022</v>
      </c>
      <c r="Y7254" s="234">
        <v>10</v>
      </c>
      <c r="Z7254" s="234">
        <v>30</v>
      </c>
      <c r="AA7254" s="235">
        <v>0.16666666666787933</v>
      </c>
      <c r="AB7254" s="236">
        <v>4.8</v>
      </c>
      <c r="AC7254" s="127">
        <f t="shared" si="128"/>
        <v>5</v>
      </c>
    </row>
    <row r="7255" ht="14.5" customHeight="1" spans="11:29" x14ac:dyDescent="0.25">
      <c r="K7255" s="128"/>
      <c r="X7255" s="234">
        <v>2022</v>
      </c>
      <c r="Y7255" s="234">
        <v>10</v>
      </c>
      <c r="Z7255" s="234">
        <v>30</v>
      </c>
      <c r="AA7255" s="235">
        <v>0.20833333333212067</v>
      </c>
      <c r="AB7255" s="236">
        <v>7.3</v>
      </c>
      <c r="AC7255" s="127">
        <f t="shared" si="128"/>
        <v>7</v>
      </c>
    </row>
    <row r="7256" ht="14.5" customHeight="1" spans="11:29" x14ac:dyDescent="0.25">
      <c r="K7256" s="128"/>
      <c r="X7256" s="234">
        <v>2022</v>
      </c>
      <c r="Y7256" s="234">
        <v>10</v>
      </c>
      <c r="Z7256" s="234">
        <v>30</v>
      </c>
      <c r="AA7256" s="235">
        <v>0.25</v>
      </c>
      <c r="AB7256" s="236">
        <v>7.7</v>
      </c>
      <c r="AC7256" s="127">
        <f t="shared" si="128"/>
        <v>8</v>
      </c>
    </row>
    <row r="7257" ht="14.5" customHeight="1" spans="11:29" x14ac:dyDescent="0.25">
      <c r="K7257" s="128"/>
      <c r="X7257" s="234">
        <v>2022</v>
      </c>
      <c r="Y7257" s="234">
        <v>10</v>
      </c>
      <c r="Z7257" s="234">
        <v>30</v>
      </c>
      <c r="AA7257" s="235">
        <v>0.2916666666678793</v>
      </c>
      <c r="AB7257" s="236">
        <v>6.8</v>
      </c>
      <c r="AC7257" s="127">
        <f t="shared" si="128"/>
        <v>7</v>
      </c>
    </row>
    <row r="7258" ht="14.5" customHeight="1" spans="11:29" x14ac:dyDescent="0.25">
      <c r="K7258" s="128"/>
      <c r="X7258" s="234">
        <v>2022</v>
      </c>
      <c r="Y7258" s="234">
        <v>10</v>
      </c>
      <c r="Z7258" s="234">
        <v>30</v>
      </c>
      <c r="AA7258" s="235">
        <v>0.3333333333321207</v>
      </c>
      <c r="AB7258" s="236">
        <v>6.6</v>
      </c>
      <c r="AC7258" s="127">
        <f t="shared" si="128"/>
        <v>7</v>
      </c>
    </row>
    <row r="7259" ht="14.5" customHeight="1" spans="11:29" x14ac:dyDescent="0.25">
      <c r="K7259" s="128"/>
      <c r="X7259" s="234">
        <v>2022</v>
      </c>
      <c r="Y7259" s="234">
        <v>10</v>
      </c>
      <c r="Z7259" s="234">
        <v>30</v>
      </c>
      <c r="AA7259" s="235">
        <v>0.375</v>
      </c>
      <c r="AB7259" s="236">
        <v>9.3</v>
      </c>
      <c r="AC7259" s="127">
        <f t="shared" si="128"/>
        <v>9</v>
      </c>
    </row>
    <row r="7260" ht="14.5" customHeight="1" spans="11:29" x14ac:dyDescent="0.25">
      <c r="K7260" s="128"/>
      <c r="X7260" s="234">
        <v>2022</v>
      </c>
      <c r="Y7260" s="234">
        <v>10</v>
      </c>
      <c r="Z7260" s="234">
        <v>30</v>
      </c>
      <c r="AA7260" s="235">
        <v>0.4166666666678793</v>
      </c>
      <c r="AB7260" s="236">
        <v>9.8</v>
      </c>
      <c r="AC7260" s="127">
        <f t="shared" si="128"/>
        <v>10</v>
      </c>
    </row>
    <row r="7261" ht="14.5" customHeight="1" spans="11:29" x14ac:dyDescent="0.25">
      <c r="K7261" s="128"/>
      <c r="X7261" s="234">
        <v>2022</v>
      </c>
      <c r="Y7261" s="234">
        <v>10</v>
      </c>
      <c r="Z7261" s="234">
        <v>30</v>
      </c>
      <c r="AA7261" s="235">
        <v>0.4583333333321207</v>
      </c>
      <c r="AB7261" s="236">
        <v>10.8</v>
      </c>
      <c r="AC7261" s="127">
        <f t="shared" si="128"/>
        <v>11</v>
      </c>
    </row>
    <row r="7262" ht="14.5" customHeight="1" spans="11:29" x14ac:dyDescent="0.25">
      <c r="K7262" s="128"/>
      <c r="X7262" s="234">
        <v>2022</v>
      </c>
      <c r="Y7262" s="234">
        <v>10</v>
      </c>
      <c r="Z7262" s="234">
        <v>30</v>
      </c>
      <c r="AA7262" s="235">
        <v>0.5</v>
      </c>
      <c r="AB7262" s="236">
        <v>11.8</v>
      </c>
      <c r="AC7262" s="127">
        <f t="shared" si="128"/>
        <v>12</v>
      </c>
    </row>
    <row r="7263" ht="14.5" customHeight="1" spans="11:29" x14ac:dyDescent="0.25">
      <c r="K7263" s="128"/>
      <c r="X7263" s="234">
        <v>2022</v>
      </c>
      <c r="Y7263" s="234">
        <v>10</v>
      </c>
      <c r="Z7263" s="234">
        <v>30</v>
      </c>
      <c r="AA7263" s="235">
        <v>0.5416666666678793</v>
      </c>
      <c r="AB7263" s="236">
        <v>13</v>
      </c>
      <c r="AC7263" s="127">
        <f t="shared" si="128"/>
        <v>13</v>
      </c>
    </row>
    <row r="7264" ht="14.5" customHeight="1" spans="11:29" x14ac:dyDescent="0.25">
      <c r="K7264" s="128"/>
      <c r="X7264" s="234">
        <v>2022</v>
      </c>
      <c r="Y7264" s="234">
        <v>10</v>
      </c>
      <c r="Z7264" s="234">
        <v>30</v>
      </c>
      <c r="AA7264" s="235">
        <v>0.5833333333321207</v>
      </c>
      <c r="AB7264" s="236">
        <v>12.6</v>
      </c>
      <c r="AC7264" s="127">
        <f t="shared" si="128"/>
        <v>13</v>
      </c>
    </row>
    <row r="7265" ht="14.5" customHeight="1" spans="11:29" x14ac:dyDescent="0.25">
      <c r="K7265" s="128"/>
      <c r="X7265" s="234">
        <v>2022</v>
      </c>
      <c r="Y7265" s="234">
        <v>10</v>
      </c>
      <c r="Z7265" s="234">
        <v>30</v>
      </c>
      <c r="AA7265" s="235">
        <v>0.625</v>
      </c>
      <c r="AB7265" s="236">
        <v>13.1</v>
      </c>
      <c r="AC7265" s="127">
        <f t="shared" si="128"/>
        <v>13</v>
      </c>
    </row>
    <row r="7266" ht="14.5" customHeight="1" spans="11:29" x14ac:dyDescent="0.25">
      <c r="K7266" s="128"/>
      <c r="X7266" s="234">
        <v>2022</v>
      </c>
      <c r="Y7266" s="234">
        <v>10</v>
      </c>
      <c r="Z7266" s="234">
        <v>30</v>
      </c>
      <c r="AA7266" s="235">
        <v>0.6666666666678793</v>
      </c>
      <c r="AB7266" s="236">
        <v>13.1</v>
      </c>
      <c r="AC7266" s="127">
        <f t="shared" si="128"/>
        <v>13</v>
      </c>
    </row>
    <row r="7267" ht="14.5" customHeight="1" spans="11:29" x14ac:dyDescent="0.25">
      <c r="K7267" s="128"/>
      <c r="X7267" s="234">
        <v>2022</v>
      </c>
      <c r="Y7267" s="234">
        <v>10</v>
      </c>
      <c r="Z7267" s="234">
        <v>30</v>
      </c>
      <c r="AA7267" s="235">
        <v>0.7083333333321207</v>
      </c>
      <c r="AB7267" s="236">
        <v>10.7</v>
      </c>
      <c r="AC7267" s="127">
        <f t="shared" si="128"/>
        <v>11</v>
      </c>
    </row>
    <row r="7268" ht="14.5" customHeight="1" spans="11:29" x14ac:dyDescent="0.25">
      <c r="K7268" s="128"/>
      <c r="X7268" s="234">
        <v>2022</v>
      </c>
      <c r="Y7268" s="234">
        <v>10</v>
      </c>
      <c r="Z7268" s="234">
        <v>30</v>
      </c>
      <c r="AA7268" s="235">
        <v>0.75</v>
      </c>
      <c r="AB7268" s="236">
        <v>8.9</v>
      </c>
      <c r="AC7268" s="127">
        <f t="shared" si="128"/>
        <v>9</v>
      </c>
    </row>
    <row r="7269" ht="14.5" customHeight="1" spans="11:29" x14ac:dyDescent="0.25">
      <c r="K7269" s="128"/>
      <c r="X7269" s="234">
        <v>2022</v>
      </c>
      <c r="Y7269" s="234">
        <v>10</v>
      </c>
      <c r="Z7269" s="234">
        <v>30</v>
      </c>
      <c r="AA7269" s="235">
        <v>0.7916666666678793</v>
      </c>
      <c r="AB7269" s="236">
        <v>9.2</v>
      </c>
      <c r="AC7269" s="127">
        <f t="shared" si="128"/>
        <v>9</v>
      </c>
    </row>
    <row r="7270" ht="14.5" customHeight="1" spans="11:29" x14ac:dyDescent="0.25">
      <c r="K7270" s="128"/>
      <c r="X7270" s="234">
        <v>2022</v>
      </c>
      <c r="Y7270" s="234">
        <v>10</v>
      </c>
      <c r="Z7270" s="234">
        <v>30</v>
      </c>
      <c r="AA7270" s="235">
        <v>0.8333333333321207</v>
      </c>
      <c r="AB7270" s="236">
        <v>8.2</v>
      </c>
      <c r="AC7270" s="127">
        <f t="shared" si="128"/>
        <v>8</v>
      </c>
    </row>
    <row r="7271" ht="14.5" customHeight="1" spans="11:29" x14ac:dyDescent="0.25">
      <c r="K7271" s="128"/>
      <c r="X7271" s="234">
        <v>2022</v>
      </c>
      <c r="Y7271" s="234">
        <v>10</v>
      </c>
      <c r="Z7271" s="234">
        <v>30</v>
      </c>
      <c r="AA7271" s="235">
        <v>0.875</v>
      </c>
      <c r="AB7271" s="236">
        <v>7.8</v>
      </c>
      <c r="AC7271" s="127">
        <f t="shared" si="128"/>
        <v>8</v>
      </c>
    </row>
    <row r="7272" ht="14.5" customHeight="1" spans="11:29" x14ac:dyDescent="0.25">
      <c r="K7272" s="128"/>
      <c r="X7272" s="234">
        <v>2022</v>
      </c>
      <c r="Y7272" s="234">
        <v>10</v>
      </c>
      <c r="Z7272" s="234">
        <v>30</v>
      </c>
      <c r="AA7272" s="235">
        <v>0.9166666666678793</v>
      </c>
      <c r="AB7272" s="236">
        <v>7</v>
      </c>
      <c r="AC7272" s="127">
        <f t="shared" si="128"/>
        <v>7</v>
      </c>
    </row>
    <row r="7273" ht="14.5" customHeight="1" spans="11:29" x14ac:dyDescent="0.25">
      <c r="K7273" s="128"/>
      <c r="X7273" s="234">
        <v>2022</v>
      </c>
      <c r="Y7273" s="234">
        <v>10</v>
      </c>
      <c r="Z7273" s="234">
        <v>30</v>
      </c>
      <c r="AA7273" s="235">
        <v>0.9583333333321207</v>
      </c>
      <c r="AB7273" s="236">
        <v>7.1</v>
      </c>
      <c r="AC7273" s="127">
        <f t="shared" si="128"/>
        <v>7</v>
      </c>
    </row>
    <row r="7274" ht="14.5" customHeight="1" spans="11:29" x14ac:dyDescent="0.25">
      <c r="K7274" s="128"/>
      <c r="X7274" s="234">
        <v>2022</v>
      </c>
      <c r="Y7274" s="234">
        <v>10</v>
      </c>
      <c r="Z7274" s="234">
        <v>31</v>
      </c>
      <c r="AA7274" s="235">
        <v>0</v>
      </c>
      <c r="AB7274" s="236">
        <v>3.8</v>
      </c>
      <c r="AC7274" s="127">
        <f t="shared" si="128"/>
        <v>4</v>
      </c>
    </row>
    <row r="7275" ht="14.5" customHeight="1" spans="11:29" x14ac:dyDescent="0.25">
      <c r="K7275" s="128"/>
      <c r="X7275" s="234">
        <v>2022</v>
      </c>
      <c r="Y7275" s="234">
        <v>10</v>
      </c>
      <c r="Z7275" s="234">
        <v>31</v>
      </c>
      <c r="AA7275" s="235">
        <v>0.041666666667879326</v>
      </c>
      <c r="AB7275" s="236">
        <v>2.2</v>
      </c>
      <c r="AC7275" s="127">
        <f t="shared" si="128"/>
        <v>2</v>
      </c>
    </row>
    <row r="7276" ht="14.5" customHeight="1" spans="11:29" x14ac:dyDescent="0.25">
      <c r="K7276" s="128"/>
      <c r="X7276" s="234">
        <v>2022</v>
      </c>
      <c r="Y7276" s="234">
        <v>10</v>
      </c>
      <c r="Z7276" s="234">
        <v>31</v>
      </c>
      <c r="AA7276" s="235">
        <v>0.08333333333212067</v>
      </c>
      <c r="AB7276" s="236">
        <v>0.9</v>
      </c>
      <c r="AC7276" s="127">
        <f t="shared" si="128"/>
        <v>1</v>
      </c>
    </row>
    <row r="7277" ht="14.5" customHeight="1" spans="11:29" x14ac:dyDescent="0.25">
      <c r="K7277" s="128"/>
      <c r="X7277" s="234">
        <v>2022</v>
      </c>
      <c r="Y7277" s="234">
        <v>10</v>
      </c>
      <c r="Z7277" s="234">
        <v>31</v>
      </c>
      <c r="AA7277" s="235">
        <v>0.125</v>
      </c>
      <c r="AB7277" s="236">
        <v>0.9</v>
      </c>
      <c r="AC7277" s="127">
        <f t="shared" si="128"/>
        <v>1</v>
      </c>
    </row>
    <row r="7278" ht="14.5" customHeight="1" spans="11:29" x14ac:dyDescent="0.25">
      <c r="K7278" s="128"/>
      <c r="X7278" s="234">
        <v>2022</v>
      </c>
      <c r="Y7278" s="234">
        <v>10</v>
      </c>
      <c r="Z7278" s="234">
        <v>31</v>
      </c>
      <c r="AA7278" s="235">
        <v>0.16666666666787933</v>
      </c>
      <c r="AB7278" s="236">
        <v>0.4</v>
      </c>
      <c r="AC7278" s="127">
        <f t="shared" si="128"/>
        <v>0</v>
      </c>
    </row>
    <row r="7279" ht="14.5" customHeight="1" spans="11:29" x14ac:dyDescent="0.25">
      <c r="K7279" s="128"/>
      <c r="X7279" s="234">
        <v>2022</v>
      </c>
      <c r="Y7279" s="234">
        <v>10</v>
      </c>
      <c r="Z7279" s="234">
        <v>31</v>
      </c>
      <c r="AA7279" s="235">
        <v>0.20833333333212067</v>
      </c>
      <c r="AB7279" s="236">
        <v>0.8</v>
      </c>
      <c r="AC7279" s="127">
        <f t="shared" si="128"/>
        <v>1</v>
      </c>
    </row>
    <row r="7280" ht="14.5" customHeight="1" spans="11:29" x14ac:dyDescent="0.25">
      <c r="K7280" s="128"/>
      <c r="X7280" s="234">
        <v>2022</v>
      </c>
      <c r="Y7280" s="234">
        <v>10</v>
      </c>
      <c r="Z7280" s="234">
        <v>31</v>
      </c>
      <c r="AA7280" s="235">
        <v>0.25</v>
      </c>
      <c r="AB7280" s="236">
        <v>1.5</v>
      </c>
      <c r="AC7280" s="127">
        <f t="shared" si="128"/>
        <v>2</v>
      </c>
    </row>
    <row r="7281" ht="14.5" customHeight="1" spans="11:29" x14ac:dyDescent="0.25">
      <c r="K7281" s="128"/>
      <c r="X7281" s="234">
        <v>2022</v>
      </c>
      <c r="Y7281" s="234">
        <v>10</v>
      </c>
      <c r="Z7281" s="234">
        <v>31</v>
      </c>
      <c r="AA7281" s="235">
        <v>0.2916666666678793</v>
      </c>
      <c r="AB7281" s="236">
        <v>1.4</v>
      </c>
      <c r="AC7281" s="127">
        <f t="shared" si="128"/>
        <v>1</v>
      </c>
    </row>
    <row r="7282" ht="14.5" customHeight="1" spans="11:29" x14ac:dyDescent="0.25">
      <c r="K7282" s="128"/>
      <c r="X7282" s="234">
        <v>2022</v>
      </c>
      <c r="Y7282" s="234">
        <v>10</v>
      </c>
      <c r="Z7282" s="234">
        <v>31</v>
      </c>
      <c r="AA7282" s="235">
        <v>0.3333333333321207</v>
      </c>
      <c r="AB7282" s="236">
        <v>1.4</v>
      </c>
      <c r="AC7282" s="127">
        <f t="shared" si="128"/>
        <v>1</v>
      </c>
    </row>
    <row r="7283" ht="14.5" customHeight="1" spans="11:29" x14ac:dyDescent="0.25">
      <c r="K7283" s="128"/>
      <c r="X7283" s="234">
        <v>2022</v>
      </c>
      <c r="Y7283" s="234">
        <v>10</v>
      </c>
      <c r="Z7283" s="234">
        <v>31</v>
      </c>
      <c r="AA7283" s="235">
        <v>0.375</v>
      </c>
      <c r="AB7283" s="236">
        <v>1.4</v>
      </c>
      <c r="AC7283" s="127">
        <f t="shared" si="128"/>
        <v>1</v>
      </c>
    </row>
    <row r="7284" ht="14.5" customHeight="1" spans="11:29" x14ac:dyDescent="0.25">
      <c r="K7284" s="128"/>
      <c r="X7284" s="234">
        <v>2022</v>
      </c>
      <c r="Y7284" s="234">
        <v>10</v>
      </c>
      <c r="Z7284" s="234">
        <v>31</v>
      </c>
      <c r="AA7284" s="235">
        <v>0.4166666666678793</v>
      </c>
      <c r="AB7284" s="236">
        <v>2.2</v>
      </c>
      <c r="AC7284" s="127">
        <f t="shared" si="128"/>
        <v>2</v>
      </c>
    </row>
    <row r="7285" ht="14.5" customHeight="1" spans="11:29" x14ac:dyDescent="0.25">
      <c r="K7285" s="128"/>
      <c r="X7285" s="234">
        <v>2022</v>
      </c>
      <c r="Y7285" s="234">
        <v>10</v>
      </c>
      <c r="Z7285" s="234">
        <v>31</v>
      </c>
      <c r="AA7285" s="235">
        <v>0.4583333333321207</v>
      </c>
      <c r="AB7285" s="236">
        <v>2.9</v>
      </c>
      <c r="AC7285" s="127">
        <f t="shared" si="128"/>
        <v>3</v>
      </c>
    </row>
    <row r="7286" ht="14.5" customHeight="1" spans="11:29" x14ac:dyDescent="0.25">
      <c r="K7286" s="128"/>
      <c r="X7286" s="234">
        <v>2022</v>
      </c>
      <c r="Y7286" s="234">
        <v>10</v>
      </c>
      <c r="Z7286" s="234">
        <v>31</v>
      </c>
      <c r="AA7286" s="235">
        <v>0.5</v>
      </c>
      <c r="AB7286" s="236">
        <v>3.5</v>
      </c>
      <c r="AC7286" s="127">
        <f t="shared" si="128"/>
        <v>4</v>
      </c>
    </row>
    <row r="7287" ht="14.5" customHeight="1" spans="11:29" x14ac:dyDescent="0.25">
      <c r="K7287" s="128"/>
      <c r="X7287" s="234">
        <v>2022</v>
      </c>
      <c r="Y7287" s="234">
        <v>10</v>
      </c>
      <c r="Z7287" s="234">
        <v>31</v>
      </c>
      <c r="AA7287" s="235">
        <v>0.5416666666678793</v>
      </c>
      <c r="AB7287" s="236">
        <v>5</v>
      </c>
      <c r="AC7287" s="127">
        <f t="shared" si="128"/>
        <v>5</v>
      </c>
    </row>
    <row r="7288" ht="14.5" customHeight="1" spans="11:29" x14ac:dyDescent="0.25">
      <c r="K7288" s="128"/>
      <c r="X7288" s="234">
        <v>2022</v>
      </c>
      <c r="Y7288" s="234">
        <v>10</v>
      </c>
      <c r="Z7288" s="234">
        <v>31</v>
      </c>
      <c r="AA7288" s="235">
        <v>0.5833333333321207</v>
      </c>
      <c r="AB7288" s="236">
        <v>4.7</v>
      </c>
      <c r="AC7288" s="127">
        <f t="shared" si="128"/>
        <v>5</v>
      </c>
    </row>
    <row r="7289" ht="14.5" customHeight="1" spans="11:29" x14ac:dyDescent="0.25">
      <c r="K7289" s="128"/>
      <c r="X7289" s="234">
        <v>2022</v>
      </c>
      <c r="Y7289" s="234">
        <v>10</v>
      </c>
      <c r="Z7289" s="234">
        <v>31</v>
      </c>
      <c r="AA7289" s="235">
        <v>0.625</v>
      </c>
      <c r="AB7289" s="236">
        <v>4.3</v>
      </c>
      <c r="AC7289" s="127">
        <f t="shared" si="128"/>
        <v>4</v>
      </c>
    </row>
    <row r="7290" ht="14.5" customHeight="1" spans="11:29" x14ac:dyDescent="0.25">
      <c r="K7290" s="128"/>
      <c r="X7290" s="234">
        <v>2022</v>
      </c>
      <c r="Y7290" s="234">
        <v>10</v>
      </c>
      <c r="Z7290" s="234">
        <v>31</v>
      </c>
      <c r="AA7290" s="235">
        <v>0.6666666666678793</v>
      </c>
      <c r="AB7290" s="236">
        <v>3.1</v>
      </c>
      <c r="AC7290" s="127">
        <f t="shared" si="128"/>
        <v>3</v>
      </c>
    </row>
    <row r="7291" ht="14.5" customHeight="1" spans="11:29" x14ac:dyDescent="0.25">
      <c r="K7291" s="128"/>
      <c r="X7291" s="234">
        <v>2022</v>
      </c>
      <c r="Y7291" s="234">
        <v>10</v>
      </c>
      <c r="Z7291" s="234">
        <v>31</v>
      </c>
      <c r="AA7291" s="235">
        <v>0.7083333333321207</v>
      </c>
      <c r="AB7291" s="236">
        <v>2.6</v>
      </c>
      <c r="AC7291" s="127">
        <f t="shared" si="128"/>
        <v>3</v>
      </c>
    </row>
    <row r="7292" ht="14.5" customHeight="1" spans="11:29" x14ac:dyDescent="0.25">
      <c r="K7292" s="128"/>
      <c r="X7292" s="234">
        <v>2022</v>
      </c>
      <c r="Y7292" s="234">
        <v>10</v>
      </c>
      <c r="Z7292" s="234">
        <v>31</v>
      </c>
      <c r="AA7292" s="235">
        <v>0.75</v>
      </c>
      <c r="AB7292" s="236">
        <v>1.3</v>
      </c>
      <c r="AC7292" s="127">
        <f t="shared" si="128"/>
        <v>1</v>
      </c>
    </row>
    <row r="7293" ht="14.5" customHeight="1" spans="11:29" x14ac:dyDescent="0.25">
      <c r="K7293" s="128"/>
      <c r="X7293" s="234">
        <v>2022</v>
      </c>
      <c r="Y7293" s="234">
        <v>10</v>
      </c>
      <c r="Z7293" s="234">
        <v>31</v>
      </c>
      <c r="AA7293" s="235">
        <v>0.7916666666678793</v>
      </c>
      <c r="AB7293" s="236">
        <v>1</v>
      </c>
      <c r="AC7293" s="127">
        <f t="shared" si="128"/>
        <v>1</v>
      </c>
    </row>
    <row r="7294" ht="14.5" customHeight="1" spans="11:29" x14ac:dyDescent="0.25">
      <c r="K7294" s="128"/>
      <c r="X7294" s="234">
        <v>2022</v>
      </c>
      <c r="Y7294" s="234">
        <v>10</v>
      </c>
      <c r="Z7294" s="234">
        <v>31</v>
      </c>
      <c r="AA7294" s="235">
        <v>0.8333333333321207</v>
      </c>
      <c r="AB7294" s="236">
        <v>1.1</v>
      </c>
      <c r="AC7294" s="127">
        <f t="shared" si="128"/>
        <v>1</v>
      </c>
    </row>
    <row r="7295" ht="14.5" customHeight="1" spans="11:29" x14ac:dyDescent="0.25">
      <c r="K7295" s="128"/>
      <c r="X7295" s="234">
        <v>2022</v>
      </c>
      <c r="Y7295" s="234">
        <v>10</v>
      </c>
      <c r="Z7295" s="234">
        <v>31</v>
      </c>
      <c r="AA7295" s="235">
        <v>0.875</v>
      </c>
      <c r="AB7295" s="236">
        <v>0.6</v>
      </c>
      <c r="AC7295" s="127">
        <f t="shared" si="128"/>
        <v>1</v>
      </c>
    </row>
    <row r="7296" ht="14.5" customHeight="1" spans="11:29" x14ac:dyDescent="0.25">
      <c r="K7296" s="128"/>
      <c r="X7296" s="234">
        <v>2022</v>
      </c>
      <c r="Y7296" s="234">
        <v>10</v>
      </c>
      <c r="Z7296" s="234">
        <v>31</v>
      </c>
      <c r="AA7296" s="235">
        <v>0.9166666666678793</v>
      </c>
      <c r="AB7296" s="236">
        <v>1.4</v>
      </c>
      <c r="AC7296" s="127">
        <f t="shared" si="128"/>
        <v>1</v>
      </c>
    </row>
    <row r="7297" ht="14.5" customHeight="1" spans="11:29" x14ac:dyDescent="0.25">
      <c r="K7297" s="128"/>
      <c r="X7297" s="234">
        <v>2022</v>
      </c>
      <c r="Y7297" s="234">
        <v>10</v>
      </c>
      <c r="Z7297" s="234">
        <v>31</v>
      </c>
      <c r="AA7297" s="235">
        <v>0.9583333333321207</v>
      </c>
      <c r="AB7297" s="236">
        <v>3.3</v>
      </c>
      <c r="AC7297" s="127">
        <f t="shared" si="128"/>
        <v>3</v>
      </c>
    </row>
    <row r="7298" ht="14.5" customHeight="1" spans="11:29" x14ac:dyDescent="0.25">
      <c r="K7298" s="128"/>
      <c r="X7298" s="234">
        <v>2022</v>
      </c>
      <c r="Y7298" s="234">
        <v>11</v>
      </c>
      <c r="Z7298" s="234">
        <v>1</v>
      </c>
      <c r="AA7298" s="235">
        <v>0</v>
      </c>
      <c r="AB7298" s="236">
        <v>0.9</v>
      </c>
      <c r="AC7298" s="127">
        <f t="shared" si="128"/>
        <v>1</v>
      </c>
    </row>
    <row r="7299" ht="14.5" customHeight="1" spans="11:29" x14ac:dyDescent="0.25">
      <c r="K7299" s="128"/>
      <c r="X7299" s="234">
        <v>2022</v>
      </c>
      <c r="Y7299" s="234">
        <v>11</v>
      </c>
      <c r="Z7299" s="234">
        <v>1</v>
      </c>
      <c r="AA7299" s="235">
        <v>0.041666666667879326</v>
      </c>
      <c r="AB7299" s="236">
        <v>0.6</v>
      </c>
      <c r="AC7299" s="127">
        <f t="shared" si="128"/>
        <v>1</v>
      </c>
    </row>
    <row r="7300" ht="14.5" customHeight="1" spans="11:29" x14ac:dyDescent="0.25">
      <c r="K7300" s="128"/>
      <c r="X7300" s="234">
        <v>2022</v>
      </c>
      <c r="Y7300" s="234">
        <v>11</v>
      </c>
      <c r="Z7300" s="234">
        <v>1</v>
      </c>
      <c r="AA7300" s="235">
        <v>0.08333333333212067</v>
      </c>
      <c r="AB7300" s="236">
        <v>0.6</v>
      </c>
      <c r="AC7300" s="127">
        <f t="shared" si="128"/>
        <v>1</v>
      </c>
    </row>
    <row r="7301" ht="14.5" customHeight="1" spans="11:29" x14ac:dyDescent="0.25">
      <c r="K7301" s="128"/>
      <c r="X7301" s="234">
        <v>2022</v>
      </c>
      <c r="Y7301" s="234">
        <v>11</v>
      </c>
      <c r="Z7301" s="234">
        <v>1</v>
      </c>
      <c r="AA7301" s="235">
        <v>0.125</v>
      </c>
      <c r="AB7301" s="236">
        <v>-0.3</v>
      </c>
      <c r="AC7301" s="127">
        <f t="shared" si="128"/>
        <v>0</v>
      </c>
    </row>
    <row r="7302" ht="14.5" customHeight="1" spans="11:29" x14ac:dyDescent="0.25">
      <c r="K7302" s="128"/>
      <c r="X7302" s="234">
        <v>2022</v>
      </c>
      <c r="Y7302" s="234">
        <v>11</v>
      </c>
      <c r="Z7302" s="234">
        <v>1</v>
      </c>
      <c r="AA7302" s="235">
        <v>0.16666666666787933</v>
      </c>
      <c r="AB7302" s="236">
        <v>-0.2</v>
      </c>
      <c r="AC7302" s="127">
        <f t="shared" si="128"/>
        <v>0</v>
      </c>
    </row>
    <row r="7303" ht="14.5" customHeight="1" spans="11:29" x14ac:dyDescent="0.25">
      <c r="K7303" s="128"/>
      <c r="X7303" s="234">
        <v>2022</v>
      </c>
      <c r="Y7303" s="234">
        <v>11</v>
      </c>
      <c r="Z7303" s="234">
        <v>1</v>
      </c>
      <c r="AA7303" s="235">
        <v>0.20833333333212067</v>
      </c>
      <c r="AB7303" s="236">
        <v>0.1</v>
      </c>
      <c r="AC7303" s="127">
        <f t="shared" si="128"/>
        <v>0</v>
      </c>
    </row>
    <row r="7304" ht="14.5" customHeight="1" spans="11:29" x14ac:dyDescent="0.25">
      <c r="K7304" s="128"/>
      <c r="X7304" s="234">
        <v>2022</v>
      </c>
      <c r="Y7304" s="234">
        <v>11</v>
      </c>
      <c r="Z7304" s="234">
        <v>1</v>
      </c>
      <c r="AA7304" s="235">
        <v>0.25</v>
      </c>
      <c r="AB7304" s="236">
        <v>0.1</v>
      </c>
      <c r="AC7304" s="127">
        <f t="shared" si="128"/>
        <v>0</v>
      </c>
    </row>
    <row r="7305" ht="14.5" customHeight="1" spans="11:29" x14ac:dyDescent="0.25">
      <c r="K7305" s="128"/>
      <c r="X7305" s="234">
        <v>2022</v>
      </c>
      <c r="Y7305" s="234">
        <v>11</v>
      </c>
      <c r="Z7305" s="234">
        <v>1</v>
      </c>
      <c r="AA7305" s="235">
        <v>0.2916666666678793</v>
      </c>
      <c r="AB7305" s="236">
        <v>0</v>
      </c>
      <c r="AC7305" s="127">
        <f t="shared" si="128"/>
        <v>0</v>
      </c>
    </row>
    <row r="7306" ht="14.5" customHeight="1" spans="11:29" x14ac:dyDescent="0.25">
      <c r="K7306" s="128"/>
      <c r="X7306" s="234">
        <v>2022</v>
      </c>
      <c r="Y7306" s="234">
        <v>11</v>
      </c>
      <c r="Z7306" s="234">
        <v>1</v>
      </c>
      <c r="AA7306" s="235">
        <v>0.3333333333321207</v>
      </c>
      <c r="AB7306" s="236">
        <v>0.3</v>
      </c>
      <c r="AC7306" s="127">
        <f t="shared" si="128"/>
        <v>0</v>
      </c>
    </row>
    <row r="7307" ht="14.5" customHeight="1" spans="11:29" x14ac:dyDescent="0.25">
      <c r="K7307" s="128"/>
      <c r="X7307" s="234">
        <v>2022</v>
      </c>
      <c r="Y7307" s="234">
        <v>11</v>
      </c>
      <c r="Z7307" s="234">
        <v>1</v>
      </c>
      <c r="AA7307" s="235">
        <v>0.375</v>
      </c>
      <c r="AB7307" s="236">
        <v>0.7</v>
      </c>
      <c r="AC7307" s="127">
        <f t="shared" ref="AC7307:AC7370" si="129">ROUND(AB7307,0)</f>
        <v>1</v>
      </c>
    </row>
    <row r="7308" ht="14.5" customHeight="1" spans="11:29" x14ac:dyDescent="0.25">
      <c r="K7308" s="128"/>
      <c r="X7308" s="234">
        <v>2022</v>
      </c>
      <c r="Y7308" s="234">
        <v>11</v>
      </c>
      <c r="Z7308" s="234">
        <v>1</v>
      </c>
      <c r="AA7308" s="235">
        <v>0.4166666666678793</v>
      </c>
      <c r="AB7308" s="236">
        <v>0.7</v>
      </c>
      <c r="AC7308" s="127">
        <f t="shared" si="129"/>
        <v>1</v>
      </c>
    </row>
    <row r="7309" ht="14.5" customHeight="1" spans="11:29" x14ac:dyDescent="0.25">
      <c r="K7309" s="128"/>
      <c r="X7309" s="234">
        <v>2022</v>
      </c>
      <c r="Y7309" s="234">
        <v>11</v>
      </c>
      <c r="Z7309" s="234">
        <v>1</v>
      </c>
      <c r="AA7309" s="235">
        <v>0.4583333333321207</v>
      </c>
      <c r="AB7309" s="236">
        <v>0.2</v>
      </c>
      <c r="AC7309" s="127">
        <f t="shared" si="129"/>
        <v>0</v>
      </c>
    </row>
    <row r="7310" ht="14.5" customHeight="1" spans="11:29" x14ac:dyDescent="0.25">
      <c r="K7310" s="128"/>
      <c r="X7310" s="234">
        <v>2022</v>
      </c>
      <c r="Y7310" s="234">
        <v>11</v>
      </c>
      <c r="Z7310" s="234">
        <v>1</v>
      </c>
      <c r="AA7310" s="235">
        <v>0.5</v>
      </c>
      <c r="AB7310" s="236">
        <v>-0.1</v>
      </c>
      <c r="AC7310" s="127">
        <f t="shared" si="129"/>
        <v>0</v>
      </c>
    </row>
    <row r="7311" ht="14.5" customHeight="1" spans="11:29" x14ac:dyDescent="0.25">
      <c r="K7311" s="128"/>
      <c r="X7311" s="234">
        <v>2022</v>
      </c>
      <c r="Y7311" s="234">
        <v>11</v>
      </c>
      <c r="Z7311" s="234">
        <v>1</v>
      </c>
      <c r="AA7311" s="235">
        <v>0.5416666666678793</v>
      </c>
      <c r="AB7311" s="236">
        <v>-0.6</v>
      </c>
      <c r="AC7311" s="127">
        <f t="shared" si="129"/>
        <v>-1</v>
      </c>
    </row>
    <row r="7312" ht="14.5" customHeight="1" spans="11:29" x14ac:dyDescent="0.25">
      <c r="K7312" s="128"/>
      <c r="X7312" s="234">
        <v>2022</v>
      </c>
      <c r="Y7312" s="234">
        <v>11</v>
      </c>
      <c r="Z7312" s="234">
        <v>1</v>
      </c>
      <c r="AA7312" s="235">
        <v>0.5833333333321207</v>
      </c>
      <c r="AB7312" s="236">
        <v>-1.1</v>
      </c>
      <c r="AC7312" s="127">
        <f t="shared" si="129"/>
        <v>-1</v>
      </c>
    </row>
    <row r="7313" ht="14.5" customHeight="1" spans="11:29" x14ac:dyDescent="0.25">
      <c r="K7313" s="128"/>
      <c r="X7313" s="234">
        <v>2022</v>
      </c>
      <c r="Y7313" s="234">
        <v>11</v>
      </c>
      <c r="Z7313" s="234">
        <v>1</v>
      </c>
      <c r="AA7313" s="235">
        <v>0.625</v>
      </c>
      <c r="AB7313" s="236">
        <v>-1.3</v>
      </c>
      <c r="AC7313" s="127">
        <f t="shared" si="129"/>
        <v>-1</v>
      </c>
    </row>
    <row r="7314" ht="14.5" customHeight="1" spans="11:29" x14ac:dyDescent="0.25">
      <c r="K7314" s="128"/>
      <c r="X7314" s="234">
        <v>2022</v>
      </c>
      <c r="Y7314" s="234">
        <v>11</v>
      </c>
      <c r="Z7314" s="234">
        <v>1</v>
      </c>
      <c r="AA7314" s="235">
        <v>0.6666666666678793</v>
      </c>
      <c r="AB7314" s="236">
        <v>-1.9</v>
      </c>
      <c r="AC7314" s="127">
        <f t="shared" si="129"/>
        <v>-2</v>
      </c>
    </row>
    <row r="7315" ht="14.5" customHeight="1" spans="11:29" x14ac:dyDescent="0.25">
      <c r="K7315" s="128"/>
      <c r="X7315" s="234">
        <v>2022</v>
      </c>
      <c r="Y7315" s="234">
        <v>11</v>
      </c>
      <c r="Z7315" s="234">
        <v>1</v>
      </c>
      <c r="AA7315" s="235">
        <v>0.7083333333321207</v>
      </c>
      <c r="AB7315" s="236">
        <v>-2.2</v>
      </c>
      <c r="AC7315" s="127">
        <f t="shared" si="129"/>
        <v>-2</v>
      </c>
    </row>
    <row r="7316" ht="14.5" customHeight="1" spans="11:29" x14ac:dyDescent="0.25">
      <c r="K7316" s="128"/>
      <c r="X7316" s="234">
        <v>2022</v>
      </c>
      <c r="Y7316" s="234">
        <v>11</v>
      </c>
      <c r="Z7316" s="234">
        <v>1</v>
      </c>
      <c r="AA7316" s="235">
        <v>0.75</v>
      </c>
      <c r="AB7316" s="236">
        <v>-2.6</v>
      </c>
      <c r="AC7316" s="127">
        <f t="shared" si="129"/>
        <v>-3</v>
      </c>
    </row>
    <row r="7317" ht="14.5" customHeight="1" spans="11:29" x14ac:dyDescent="0.25">
      <c r="K7317" s="128"/>
      <c r="X7317" s="234">
        <v>2022</v>
      </c>
      <c r="Y7317" s="234">
        <v>11</v>
      </c>
      <c r="Z7317" s="234">
        <v>1</v>
      </c>
      <c r="AA7317" s="235">
        <v>0.7916666666678793</v>
      </c>
      <c r="AB7317" s="236">
        <v>-2.8</v>
      </c>
      <c r="AC7317" s="127">
        <f t="shared" si="129"/>
        <v>-3</v>
      </c>
    </row>
    <row r="7318" ht="14.5" customHeight="1" spans="11:29" x14ac:dyDescent="0.25">
      <c r="K7318" s="128"/>
      <c r="X7318" s="234">
        <v>2022</v>
      </c>
      <c r="Y7318" s="234">
        <v>11</v>
      </c>
      <c r="Z7318" s="234">
        <v>1</v>
      </c>
      <c r="AA7318" s="235">
        <v>0.8333333333321207</v>
      </c>
      <c r="AB7318" s="236">
        <v>-3.1</v>
      </c>
      <c r="AC7318" s="127">
        <f t="shared" si="129"/>
        <v>-3</v>
      </c>
    </row>
    <row r="7319" ht="14.5" customHeight="1" spans="11:29" x14ac:dyDescent="0.25">
      <c r="K7319" s="128"/>
      <c r="X7319" s="234">
        <v>2022</v>
      </c>
      <c r="Y7319" s="234">
        <v>11</v>
      </c>
      <c r="Z7319" s="234">
        <v>1</v>
      </c>
      <c r="AA7319" s="235">
        <v>0.875</v>
      </c>
      <c r="AB7319" s="236">
        <v>-3.4</v>
      </c>
      <c r="AC7319" s="127">
        <f t="shared" si="129"/>
        <v>-3</v>
      </c>
    </row>
    <row r="7320" ht="14.5" customHeight="1" spans="11:29" x14ac:dyDescent="0.25">
      <c r="K7320" s="128"/>
      <c r="X7320" s="234">
        <v>2022</v>
      </c>
      <c r="Y7320" s="234">
        <v>11</v>
      </c>
      <c r="Z7320" s="234">
        <v>1</v>
      </c>
      <c r="AA7320" s="235">
        <v>0.9166666666678793</v>
      </c>
      <c r="AB7320" s="236">
        <v>-3.5</v>
      </c>
      <c r="AC7320" s="127">
        <f t="shared" si="129"/>
        <v>-4</v>
      </c>
    </row>
    <row r="7321" ht="14.5" customHeight="1" spans="11:29" x14ac:dyDescent="0.25">
      <c r="K7321" s="128"/>
      <c r="X7321" s="234">
        <v>2022</v>
      </c>
      <c r="Y7321" s="234">
        <v>11</v>
      </c>
      <c r="Z7321" s="234">
        <v>1</v>
      </c>
      <c r="AA7321" s="235">
        <v>0.9583333333321207</v>
      </c>
      <c r="AB7321" s="236">
        <v>-3.4</v>
      </c>
      <c r="AC7321" s="127">
        <f t="shared" si="129"/>
        <v>-3</v>
      </c>
    </row>
    <row r="7322" ht="14.5" customHeight="1" spans="11:29" x14ac:dyDescent="0.25">
      <c r="K7322" s="128"/>
      <c r="X7322" s="234">
        <v>2022</v>
      </c>
      <c r="Y7322" s="234">
        <v>11</v>
      </c>
      <c r="Z7322" s="234">
        <v>2</v>
      </c>
      <c r="AA7322" s="235">
        <v>0</v>
      </c>
      <c r="AB7322" s="236">
        <v>-3.4</v>
      </c>
      <c r="AC7322" s="127">
        <f t="shared" si="129"/>
        <v>-3</v>
      </c>
    </row>
    <row r="7323" ht="14.5" customHeight="1" spans="11:29" x14ac:dyDescent="0.25">
      <c r="K7323" s="128"/>
      <c r="X7323" s="234">
        <v>2022</v>
      </c>
      <c r="Y7323" s="234">
        <v>11</v>
      </c>
      <c r="Z7323" s="234">
        <v>2</v>
      </c>
      <c r="AA7323" s="235">
        <v>0.041666666667879326</v>
      </c>
      <c r="AB7323" s="236">
        <v>-3.5</v>
      </c>
      <c r="AC7323" s="127">
        <f t="shared" si="129"/>
        <v>-4</v>
      </c>
    </row>
    <row r="7324" ht="14.5" customHeight="1" spans="11:29" x14ac:dyDescent="0.25">
      <c r="K7324" s="128"/>
      <c r="X7324" s="234">
        <v>2022</v>
      </c>
      <c r="Y7324" s="234">
        <v>11</v>
      </c>
      <c r="Z7324" s="234">
        <v>2</v>
      </c>
      <c r="AA7324" s="235">
        <v>0.08333333333212067</v>
      </c>
      <c r="AB7324" s="236">
        <v>-3.9</v>
      </c>
      <c r="AC7324" s="127">
        <f t="shared" si="129"/>
        <v>-4</v>
      </c>
    </row>
    <row r="7325" ht="14.5" customHeight="1" spans="11:29" x14ac:dyDescent="0.25">
      <c r="K7325" s="128"/>
      <c r="X7325" s="234">
        <v>2022</v>
      </c>
      <c r="Y7325" s="234">
        <v>11</v>
      </c>
      <c r="Z7325" s="234">
        <v>2</v>
      </c>
      <c r="AA7325" s="235">
        <v>0.125</v>
      </c>
      <c r="AB7325" s="236">
        <v>-4.2</v>
      </c>
      <c r="AC7325" s="127">
        <f t="shared" si="129"/>
        <v>-4</v>
      </c>
    </row>
    <row r="7326" ht="14.5" customHeight="1" spans="11:29" x14ac:dyDescent="0.25">
      <c r="K7326" s="128"/>
      <c r="X7326" s="234">
        <v>2022</v>
      </c>
      <c r="Y7326" s="234">
        <v>11</v>
      </c>
      <c r="Z7326" s="234">
        <v>2</v>
      </c>
      <c r="AA7326" s="235">
        <v>0.16666666666787933</v>
      </c>
      <c r="AB7326" s="236">
        <v>-4.4</v>
      </c>
      <c r="AC7326" s="127">
        <f t="shared" si="129"/>
        <v>-4</v>
      </c>
    </row>
    <row r="7327" ht="14.5" customHeight="1" spans="11:29" x14ac:dyDescent="0.25">
      <c r="K7327" s="128"/>
      <c r="X7327" s="234">
        <v>2022</v>
      </c>
      <c r="Y7327" s="234">
        <v>11</v>
      </c>
      <c r="Z7327" s="234">
        <v>2</v>
      </c>
      <c r="AA7327" s="235">
        <v>0.20833333333212067</v>
      </c>
      <c r="AB7327" s="236">
        <v>-5</v>
      </c>
      <c r="AC7327" s="127">
        <f t="shared" si="129"/>
        <v>-5</v>
      </c>
    </row>
    <row r="7328" ht="14.5" customHeight="1" spans="11:29" x14ac:dyDescent="0.25">
      <c r="K7328" s="128"/>
      <c r="X7328" s="234">
        <v>2022</v>
      </c>
      <c r="Y7328" s="234">
        <v>11</v>
      </c>
      <c r="Z7328" s="234">
        <v>2</v>
      </c>
      <c r="AA7328" s="235">
        <v>0.25</v>
      </c>
      <c r="AB7328" s="236">
        <v>-5.2</v>
      </c>
      <c r="AC7328" s="127">
        <f t="shared" si="129"/>
        <v>-5</v>
      </c>
    </row>
    <row r="7329" ht="14.5" customHeight="1" spans="11:29" x14ac:dyDescent="0.25">
      <c r="K7329" s="128"/>
      <c r="X7329" s="234">
        <v>2022</v>
      </c>
      <c r="Y7329" s="234">
        <v>11</v>
      </c>
      <c r="Z7329" s="234">
        <v>2</v>
      </c>
      <c r="AA7329" s="235">
        <v>0.2916666666678793</v>
      </c>
      <c r="AB7329" s="236">
        <v>-5.9</v>
      </c>
      <c r="AC7329" s="127">
        <f t="shared" si="129"/>
        <v>-6</v>
      </c>
    </row>
    <row r="7330" ht="14.5" customHeight="1" spans="11:29" x14ac:dyDescent="0.25">
      <c r="K7330" s="128"/>
      <c r="X7330" s="234">
        <v>2022</v>
      </c>
      <c r="Y7330" s="234">
        <v>11</v>
      </c>
      <c r="Z7330" s="234">
        <v>2</v>
      </c>
      <c r="AA7330" s="235">
        <v>0.3333333333321207</v>
      </c>
      <c r="AB7330" s="236">
        <v>-5.8</v>
      </c>
      <c r="AC7330" s="127">
        <f t="shared" si="129"/>
        <v>-6</v>
      </c>
    </row>
    <row r="7331" ht="14.5" customHeight="1" spans="11:29" x14ac:dyDescent="0.25">
      <c r="K7331" s="128"/>
      <c r="X7331" s="234">
        <v>2022</v>
      </c>
      <c r="Y7331" s="234">
        <v>11</v>
      </c>
      <c r="Z7331" s="234">
        <v>2</v>
      </c>
      <c r="AA7331" s="235">
        <v>0.375</v>
      </c>
      <c r="AB7331" s="236">
        <v>-6.2</v>
      </c>
      <c r="AC7331" s="127">
        <f t="shared" si="129"/>
        <v>-6</v>
      </c>
    </row>
    <row r="7332" ht="14.5" customHeight="1" spans="11:29" x14ac:dyDescent="0.25">
      <c r="K7332" s="128"/>
      <c r="X7332" s="234">
        <v>2022</v>
      </c>
      <c r="Y7332" s="234">
        <v>11</v>
      </c>
      <c r="Z7332" s="234">
        <v>2</v>
      </c>
      <c r="AA7332" s="235">
        <v>0.4166666666678793</v>
      </c>
      <c r="AB7332" s="236">
        <v>-6.4</v>
      </c>
      <c r="AC7332" s="127">
        <f t="shared" si="129"/>
        <v>-6</v>
      </c>
    </row>
    <row r="7333" ht="14.5" customHeight="1" spans="11:29" x14ac:dyDescent="0.25">
      <c r="K7333" s="128"/>
      <c r="X7333" s="234">
        <v>2022</v>
      </c>
      <c r="Y7333" s="234">
        <v>11</v>
      </c>
      <c r="Z7333" s="234">
        <v>2</v>
      </c>
      <c r="AA7333" s="235">
        <v>0.4583333333321207</v>
      </c>
      <c r="AB7333" s="236">
        <v>-6.3</v>
      </c>
      <c r="AC7333" s="127">
        <f t="shared" si="129"/>
        <v>-6</v>
      </c>
    </row>
    <row r="7334" ht="14.5" customHeight="1" spans="11:29" x14ac:dyDescent="0.25">
      <c r="K7334" s="128"/>
      <c r="X7334" s="234">
        <v>2022</v>
      </c>
      <c r="Y7334" s="234">
        <v>11</v>
      </c>
      <c r="Z7334" s="234">
        <v>2</v>
      </c>
      <c r="AA7334" s="235">
        <v>0.5</v>
      </c>
      <c r="AB7334" s="236">
        <v>-6.3</v>
      </c>
      <c r="AC7334" s="127">
        <f t="shared" si="129"/>
        <v>-6</v>
      </c>
    </row>
    <row r="7335" ht="14.5" customHeight="1" spans="11:29" x14ac:dyDescent="0.25">
      <c r="K7335" s="128"/>
      <c r="X7335" s="234">
        <v>2022</v>
      </c>
      <c r="Y7335" s="234">
        <v>11</v>
      </c>
      <c r="Z7335" s="234">
        <v>2</v>
      </c>
      <c r="AA7335" s="235">
        <v>0.5416666666678793</v>
      </c>
      <c r="AB7335" s="236">
        <v>-6.2</v>
      </c>
      <c r="AC7335" s="127">
        <f t="shared" si="129"/>
        <v>-6</v>
      </c>
    </row>
    <row r="7336" ht="14.5" customHeight="1" spans="11:29" x14ac:dyDescent="0.25">
      <c r="K7336" s="128"/>
      <c r="X7336" s="234">
        <v>2022</v>
      </c>
      <c r="Y7336" s="234">
        <v>11</v>
      </c>
      <c r="Z7336" s="234">
        <v>2</v>
      </c>
      <c r="AA7336" s="235">
        <v>0.5833333333321207</v>
      </c>
      <c r="AB7336" s="236">
        <v>-6.2</v>
      </c>
      <c r="AC7336" s="127">
        <f t="shared" si="129"/>
        <v>-6</v>
      </c>
    </row>
    <row r="7337" ht="14.5" customHeight="1" spans="11:29" x14ac:dyDescent="0.25">
      <c r="K7337" s="128"/>
      <c r="X7337" s="234">
        <v>2022</v>
      </c>
      <c r="Y7337" s="234">
        <v>11</v>
      </c>
      <c r="Z7337" s="234">
        <v>2</v>
      </c>
      <c r="AA7337" s="235">
        <v>0.625</v>
      </c>
      <c r="AB7337" s="236">
        <v>-6</v>
      </c>
      <c r="AC7337" s="127">
        <f t="shared" si="129"/>
        <v>-6</v>
      </c>
    </row>
    <row r="7338" ht="14.5" customHeight="1" spans="11:29" x14ac:dyDescent="0.25">
      <c r="K7338" s="128"/>
      <c r="X7338" s="234">
        <v>2022</v>
      </c>
      <c r="Y7338" s="234">
        <v>11</v>
      </c>
      <c r="Z7338" s="234">
        <v>2</v>
      </c>
      <c r="AA7338" s="235">
        <v>0.6666666666678793</v>
      </c>
      <c r="AB7338" s="236">
        <v>-5.9</v>
      </c>
      <c r="AC7338" s="127">
        <f t="shared" si="129"/>
        <v>-6</v>
      </c>
    </row>
    <row r="7339" ht="14.5" customHeight="1" spans="11:29" x14ac:dyDescent="0.25">
      <c r="K7339" s="128"/>
      <c r="X7339" s="234">
        <v>2022</v>
      </c>
      <c r="Y7339" s="234">
        <v>11</v>
      </c>
      <c r="Z7339" s="234">
        <v>2</v>
      </c>
      <c r="AA7339" s="235">
        <v>0.7083333333321207</v>
      </c>
      <c r="AB7339" s="236">
        <v>-6.1</v>
      </c>
      <c r="AC7339" s="127">
        <f t="shared" si="129"/>
        <v>-6</v>
      </c>
    </row>
    <row r="7340" ht="14.5" customHeight="1" spans="11:29" x14ac:dyDescent="0.25">
      <c r="K7340" s="128"/>
      <c r="X7340" s="234">
        <v>2022</v>
      </c>
      <c r="Y7340" s="234">
        <v>11</v>
      </c>
      <c r="Z7340" s="234">
        <v>2</v>
      </c>
      <c r="AA7340" s="235">
        <v>0.75</v>
      </c>
      <c r="AB7340" s="236">
        <v>-6.5</v>
      </c>
      <c r="AC7340" s="127">
        <f t="shared" si="129"/>
        <v>-7</v>
      </c>
    </row>
    <row r="7341" ht="14.5" customHeight="1" spans="11:29" x14ac:dyDescent="0.25">
      <c r="K7341" s="128"/>
      <c r="X7341" s="234">
        <v>2022</v>
      </c>
      <c r="Y7341" s="234">
        <v>11</v>
      </c>
      <c r="Z7341" s="234">
        <v>2</v>
      </c>
      <c r="AA7341" s="235">
        <v>0.7916666666678793</v>
      </c>
      <c r="AB7341" s="236">
        <v>-6.9</v>
      </c>
      <c r="AC7341" s="127">
        <f t="shared" si="129"/>
        <v>-7</v>
      </c>
    </row>
    <row r="7342" ht="14.5" customHeight="1" spans="11:29" x14ac:dyDescent="0.25">
      <c r="K7342" s="128"/>
      <c r="X7342" s="234">
        <v>2022</v>
      </c>
      <c r="Y7342" s="234">
        <v>11</v>
      </c>
      <c r="Z7342" s="234">
        <v>2</v>
      </c>
      <c r="AA7342" s="235">
        <v>0.8333333333321207</v>
      </c>
      <c r="AB7342" s="236">
        <v>-7.3</v>
      </c>
      <c r="AC7342" s="127">
        <f t="shared" si="129"/>
        <v>-7</v>
      </c>
    </row>
    <row r="7343" ht="14.5" customHeight="1" spans="11:29" x14ac:dyDescent="0.25">
      <c r="K7343" s="128"/>
      <c r="X7343" s="234">
        <v>2022</v>
      </c>
      <c r="Y7343" s="234">
        <v>11</v>
      </c>
      <c r="Z7343" s="234">
        <v>2</v>
      </c>
      <c r="AA7343" s="235">
        <v>0.875</v>
      </c>
      <c r="AB7343" s="236">
        <v>-7.3</v>
      </c>
      <c r="AC7343" s="127">
        <f t="shared" si="129"/>
        <v>-7</v>
      </c>
    </row>
    <row r="7344" ht="14.5" customHeight="1" spans="11:29" x14ac:dyDescent="0.25">
      <c r="K7344" s="128"/>
      <c r="X7344" s="234">
        <v>2022</v>
      </c>
      <c r="Y7344" s="234">
        <v>11</v>
      </c>
      <c r="Z7344" s="234">
        <v>2</v>
      </c>
      <c r="AA7344" s="235">
        <v>0.9166666666678793</v>
      </c>
      <c r="AB7344" s="236">
        <v>-8.2</v>
      </c>
      <c r="AC7344" s="127">
        <f t="shared" si="129"/>
        <v>-8</v>
      </c>
    </row>
    <row r="7345" ht="14.5" customHeight="1" spans="11:29" x14ac:dyDescent="0.25">
      <c r="K7345" s="128"/>
      <c r="X7345" s="234">
        <v>2022</v>
      </c>
      <c r="Y7345" s="234">
        <v>11</v>
      </c>
      <c r="Z7345" s="234">
        <v>2</v>
      </c>
      <c r="AA7345" s="235">
        <v>0.9583333333321207</v>
      </c>
      <c r="AB7345" s="236">
        <v>-9.7</v>
      </c>
      <c r="AC7345" s="127">
        <f t="shared" si="129"/>
        <v>-10</v>
      </c>
    </row>
    <row r="7346" ht="14.5" customHeight="1" spans="11:29" x14ac:dyDescent="0.25">
      <c r="K7346" s="128"/>
      <c r="X7346" s="234">
        <v>2022</v>
      </c>
      <c r="Y7346" s="234">
        <v>11</v>
      </c>
      <c r="Z7346" s="234">
        <v>3</v>
      </c>
      <c r="AA7346" s="235">
        <v>0</v>
      </c>
      <c r="AB7346" s="236">
        <v>-10.7</v>
      </c>
      <c r="AC7346" s="127">
        <f t="shared" si="129"/>
        <v>-11</v>
      </c>
    </row>
    <row r="7347" ht="14.5" customHeight="1" spans="11:29" x14ac:dyDescent="0.25">
      <c r="K7347" s="128"/>
      <c r="X7347" s="234">
        <v>2022</v>
      </c>
      <c r="Y7347" s="234">
        <v>11</v>
      </c>
      <c r="Z7347" s="234">
        <v>3</v>
      </c>
      <c r="AA7347" s="235">
        <v>0.041666666667879326</v>
      </c>
      <c r="AB7347" s="236">
        <v>-11.2</v>
      </c>
      <c r="AC7347" s="127">
        <f t="shared" si="129"/>
        <v>-11</v>
      </c>
    </row>
    <row r="7348" ht="14.5" customHeight="1" spans="11:29" x14ac:dyDescent="0.25">
      <c r="K7348" s="128"/>
      <c r="X7348" s="234">
        <v>2022</v>
      </c>
      <c r="Y7348" s="234">
        <v>11</v>
      </c>
      <c r="Z7348" s="234">
        <v>3</v>
      </c>
      <c r="AA7348" s="235">
        <v>0.08333333333212067</v>
      </c>
      <c r="AB7348" s="236">
        <v>-12</v>
      </c>
      <c r="AC7348" s="127">
        <f t="shared" si="129"/>
        <v>-12</v>
      </c>
    </row>
    <row r="7349" ht="14.5" customHeight="1" spans="11:29" x14ac:dyDescent="0.25">
      <c r="K7349" s="128"/>
      <c r="X7349" s="234">
        <v>2022</v>
      </c>
      <c r="Y7349" s="234">
        <v>11</v>
      </c>
      <c r="Z7349" s="234">
        <v>3</v>
      </c>
      <c r="AA7349" s="235">
        <v>0.125</v>
      </c>
      <c r="AB7349" s="236">
        <v>-14.2</v>
      </c>
      <c r="AC7349" s="127">
        <f t="shared" si="129"/>
        <v>-14</v>
      </c>
    </row>
    <row r="7350" ht="14.5" customHeight="1" spans="11:29" x14ac:dyDescent="0.25">
      <c r="K7350" s="128"/>
      <c r="X7350" s="234">
        <v>2022</v>
      </c>
      <c r="Y7350" s="234">
        <v>11</v>
      </c>
      <c r="Z7350" s="234">
        <v>3</v>
      </c>
      <c r="AA7350" s="235">
        <v>0.16666666666787933</v>
      </c>
      <c r="AB7350" s="236">
        <v>-14.1</v>
      </c>
      <c r="AC7350" s="127">
        <f t="shared" si="129"/>
        <v>-14</v>
      </c>
    </row>
    <row r="7351" ht="14.5" customHeight="1" spans="11:29" x14ac:dyDescent="0.25">
      <c r="K7351" s="128"/>
      <c r="X7351" s="234">
        <v>2022</v>
      </c>
      <c r="Y7351" s="234">
        <v>11</v>
      </c>
      <c r="Z7351" s="234">
        <v>3</v>
      </c>
      <c r="AA7351" s="235">
        <v>0.20833333333212067</v>
      </c>
      <c r="AB7351" s="236">
        <v>-15.5</v>
      </c>
      <c r="AC7351" s="127">
        <f t="shared" si="129"/>
        <v>-16</v>
      </c>
    </row>
    <row r="7352" ht="14.5" customHeight="1" spans="11:29" x14ac:dyDescent="0.25">
      <c r="K7352" s="128"/>
      <c r="X7352" s="234">
        <v>2022</v>
      </c>
      <c r="Y7352" s="234">
        <v>11</v>
      </c>
      <c r="Z7352" s="234">
        <v>3</v>
      </c>
      <c r="AA7352" s="235">
        <v>0.25</v>
      </c>
      <c r="AB7352" s="236">
        <v>-13.4</v>
      </c>
      <c r="AC7352" s="127">
        <f t="shared" si="129"/>
        <v>-13</v>
      </c>
    </row>
    <row r="7353" ht="14.5" customHeight="1" spans="11:29" x14ac:dyDescent="0.25">
      <c r="K7353" s="128"/>
      <c r="X7353" s="234">
        <v>2022</v>
      </c>
      <c r="Y7353" s="234">
        <v>11</v>
      </c>
      <c r="Z7353" s="234">
        <v>3</v>
      </c>
      <c r="AA7353" s="235">
        <v>0.2916666666678793</v>
      </c>
      <c r="AB7353" s="236">
        <v>-12.8</v>
      </c>
      <c r="AC7353" s="127">
        <f t="shared" si="129"/>
        <v>-13</v>
      </c>
    </row>
    <row r="7354" ht="14.5" customHeight="1" spans="11:29" x14ac:dyDescent="0.25">
      <c r="K7354" s="128"/>
      <c r="X7354" s="234">
        <v>2022</v>
      </c>
      <c r="Y7354" s="234">
        <v>11</v>
      </c>
      <c r="Z7354" s="234">
        <v>3</v>
      </c>
      <c r="AA7354" s="235">
        <v>0.3333333333321207</v>
      </c>
      <c r="AB7354" s="236">
        <v>-12.3</v>
      </c>
      <c r="AC7354" s="127">
        <f t="shared" si="129"/>
        <v>-12</v>
      </c>
    </row>
    <row r="7355" ht="14.5" customHeight="1" spans="11:29" x14ac:dyDescent="0.25">
      <c r="K7355" s="128"/>
      <c r="X7355" s="234">
        <v>2022</v>
      </c>
      <c r="Y7355" s="234">
        <v>11</v>
      </c>
      <c r="Z7355" s="234">
        <v>3</v>
      </c>
      <c r="AA7355" s="235">
        <v>0.375</v>
      </c>
      <c r="AB7355" s="236">
        <v>-10.4</v>
      </c>
      <c r="AC7355" s="127">
        <f t="shared" si="129"/>
        <v>-10</v>
      </c>
    </row>
    <row r="7356" ht="14.5" customHeight="1" spans="11:29" x14ac:dyDescent="0.25">
      <c r="K7356" s="128"/>
      <c r="X7356" s="234">
        <v>2022</v>
      </c>
      <c r="Y7356" s="234">
        <v>11</v>
      </c>
      <c r="Z7356" s="234">
        <v>3</v>
      </c>
      <c r="AA7356" s="235">
        <v>0.4166666666678793</v>
      </c>
      <c r="AB7356" s="236">
        <v>-9.2</v>
      </c>
      <c r="AC7356" s="127">
        <f t="shared" si="129"/>
        <v>-9</v>
      </c>
    </row>
    <row r="7357" ht="14.5" customHeight="1" spans="11:29" x14ac:dyDescent="0.25">
      <c r="K7357" s="128"/>
      <c r="X7357" s="234">
        <v>2022</v>
      </c>
      <c r="Y7357" s="234">
        <v>11</v>
      </c>
      <c r="Z7357" s="234">
        <v>3</v>
      </c>
      <c r="AA7357" s="235">
        <v>0.4583333333321207</v>
      </c>
      <c r="AB7357" s="236">
        <v>-7</v>
      </c>
      <c r="AC7357" s="127">
        <f t="shared" si="129"/>
        <v>-7</v>
      </c>
    </row>
    <row r="7358" ht="14.5" customHeight="1" spans="11:29" x14ac:dyDescent="0.25">
      <c r="K7358" s="128"/>
      <c r="X7358" s="234">
        <v>2022</v>
      </c>
      <c r="Y7358" s="234">
        <v>11</v>
      </c>
      <c r="Z7358" s="234">
        <v>3</v>
      </c>
      <c r="AA7358" s="235">
        <v>0.5</v>
      </c>
      <c r="AB7358" s="236">
        <v>-5.1</v>
      </c>
      <c r="AC7358" s="127">
        <f t="shared" si="129"/>
        <v>-5</v>
      </c>
    </row>
    <row r="7359" ht="14.5" customHeight="1" spans="11:29" x14ac:dyDescent="0.25">
      <c r="K7359" s="128"/>
      <c r="X7359" s="234">
        <v>2022</v>
      </c>
      <c r="Y7359" s="234">
        <v>11</v>
      </c>
      <c r="Z7359" s="234">
        <v>3</v>
      </c>
      <c r="AA7359" s="235">
        <v>0.5416666666678793</v>
      </c>
      <c r="AB7359" s="236">
        <v>-3.5</v>
      </c>
      <c r="AC7359" s="127">
        <f t="shared" si="129"/>
        <v>-4</v>
      </c>
    </row>
    <row r="7360" ht="14.5" customHeight="1" spans="11:29" x14ac:dyDescent="0.25">
      <c r="K7360" s="128"/>
      <c r="X7360" s="234">
        <v>2022</v>
      </c>
      <c r="Y7360" s="234">
        <v>11</v>
      </c>
      <c r="Z7360" s="234">
        <v>3</v>
      </c>
      <c r="AA7360" s="235">
        <v>0.5833333333321207</v>
      </c>
      <c r="AB7360" s="236">
        <v>-2.3</v>
      </c>
      <c r="AC7360" s="127">
        <f t="shared" si="129"/>
        <v>-2</v>
      </c>
    </row>
    <row r="7361" ht="14.5" customHeight="1" spans="11:29" x14ac:dyDescent="0.25">
      <c r="K7361" s="128"/>
      <c r="X7361" s="234">
        <v>2022</v>
      </c>
      <c r="Y7361" s="234">
        <v>11</v>
      </c>
      <c r="Z7361" s="234">
        <v>3</v>
      </c>
      <c r="AA7361" s="235">
        <v>0.625</v>
      </c>
      <c r="AB7361" s="236">
        <v>-0.7</v>
      </c>
      <c r="AC7361" s="127">
        <f t="shared" si="129"/>
        <v>-1</v>
      </c>
    </row>
    <row r="7362" ht="14.5" customHeight="1" spans="11:29" x14ac:dyDescent="0.25">
      <c r="K7362" s="128"/>
      <c r="X7362" s="234">
        <v>2022</v>
      </c>
      <c r="Y7362" s="234">
        <v>11</v>
      </c>
      <c r="Z7362" s="234">
        <v>3</v>
      </c>
      <c r="AA7362" s="235">
        <v>0.6666666666678793</v>
      </c>
      <c r="AB7362" s="236">
        <v>-4.2</v>
      </c>
      <c r="AC7362" s="127">
        <f t="shared" si="129"/>
        <v>-4</v>
      </c>
    </row>
    <row r="7363" ht="14.5" customHeight="1" spans="11:29" x14ac:dyDescent="0.25">
      <c r="K7363" s="128"/>
      <c r="X7363" s="234">
        <v>2022</v>
      </c>
      <c r="Y7363" s="234">
        <v>11</v>
      </c>
      <c r="Z7363" s="234">
        <v>3</v>
      </c>
      <c r="AA7363" s="235">
        <v>0.7083333333321207</v>
      </c>
      <c r="AB7363" s="236">
        <v>-3.5</v>
      </c>
      <c r="AC7363" s="127">
        <f t="shared" si="129"/>
        <v>-4</v>
      </c>
    </row>
    <row r="7364" ht="14.5" customHeight="1" spans="11:29" x14ac:dyDescent="0.25">
      <c r="K7364" s="128"/>
      <c r="X7364" s="234">
        <v>2022</v>
      </c>
      <c r="Y7364" s="234">
        <v>11</v>
      </c>
      <c r="Z7364" s="234">
        <v>3</v>
      </c>
      <c r="AA7364" s="235">
        <v>0.75</v>
      </c>
      <c r="AB7364" s="236">
        <v>-6.1</v>
      </c>
      <c r="AC7364" s="127">
        <f t="shared" si="129"/>
        <v>-6</v>
      </c>
    </row>
    <row r="7365" ht="14.5" customHeight="1" spans="11:29" x14ac:dyDescent="0.25">
      <c r="K7365" s="128"/>
      <c r="X7365" s="234">
        <v>2022</v>
      </c>
      <c r="Y7365" s="234">
        <v>11</v>
      </c>
      <c r="Z7365" s="234">
        <v>3</v>
      </c>
      <c r="AA7365" s="235">
        <v>0.7916666666678793</v>
      </c>
      <c r="AB7365" s="236">
        <v>-2.8</v>
      </c>
      <c r="AC7365" s="127">
        <f t="shared" si="129"/>
        <v>-3</v>
      </c>
    </row>
    <row r="7366" ht="14.5" customHeight="1" spans="11:29" x14ac:dyDescent="0.25">
      <c r="K7366" s="128"/>
      <c r="X7366" s="234">
        <v>2022</v>
      </c>
      <c r="Y7366" s="234">
        <v>11</v>
      </c>
      <c r="Z7366" s="234">
        <v>3</v>
      </c>
      <c r="AA7366" s="235">
        <v>0.8333333333321207</v>
      </c>
      <c r="AB7366" s="236">
        <v>-2.4</v>
      </c>
      <c r="AC7366" s="127">
        <f t="shared" si="129"/>
        <v>-2</v>
      </c>
    </row>
    <row r="7367" ht="14.5" customHeight="1" spans="11:29" x14ac:dyDescent="0.25">
      <c r="K7367" s="128"/>
      <c r="X7367" s="234">
        <v>2022</v>
      </c>
      <c r="Y7367" s="234">
        <v>11</v>
      </c>
      <c r="Z7367" s="234">
        <v>3</v>
      </c>
      <c r="AA7367" s="235">
        <v>0.875</v>
      </c>
      <c r="AB7367" s="236">
        <v>-3.1</v>
      </c>
      <c r="AC7367" s="127">
        <f t="shared" si="129"/>
        <v>-3</v>
      </c>
    </row>
    <row r="7368" ht="14.5" customHeight="1" spans="11:29" x14ac:dyDescent="0.25">
      <c r="K7368" s="128"/>
      <c r="X7368" s="234">
        <v>2022</v>
      </c>
      <c r="Y7368" s="234">
        <v>11</v>
      </c>
      <c r="Z7368" s="234">
        <v>3</v>
      </c>
      <c r="AA7368" s="235">
        <v>0.9166666666678793</v>
      </c>
      <c r="AB7368" s="236">
        <v>-3.3</v>
      </c>
      <c r="AC7368" s="127">
        <f t="shared" si="129"/>
        <v>-3</v>
      </c>
    </row>
    <row r="7369" ht="14.5" customHeight="1" spans="11:29" x14ac:dyDescent="0.25">
      <c r="K7369" s="128"/>
      <c r="X7369" s="234">
        <v>2022</v>
      </c>
      <c r="Y7369" s="234">
        <v>11</v>
      </c>
      <c r="Z7369" s="234">
        <v>3</v>
      </c>
      <c r="AA7369" s="235">
        <v>0.9583333333321207</v>
      </c>
      <c r="AB7369" s="236">
        <v>-3.4</v>
      </c>
      <c r="AC7369" s="127">
        <f t="shared" si="129"/>
        <v>-3</v>
      </c>
    </row>
    <row r="7370" ht="14.5" customHeight="1" spans="11:29" x14ac:dyDescent="0.25">
      <c r="K7370" s="128"/>
      <c r="X7370" s="234">
        <v>2022</v>
      </c>
      <c r="Y7370" s="234">
        <v>11</v>
      </c>
      <c r="Z7370" s="234">
        <v>4</v>
      </c>
      <c r="AA7370" s="235">
        <v>0</v>
      </c>
      <c r="AB7370" s="236">
        <v>-1.2</v>
      </c>
      <c r="AC7370" s="127">
        <f t="shared" si="129"/>
        <v>-1</v>
      </c>
    </row>
    <row r="7371" ht="14.5" customHeight="1" spans="11:29" x14ac:dyDescent="0.25">
      <c r="K7371" s="128"/>
      <c r="X7371" s="234">
        <v>2022</v>
      </c>
      <c r="Y7371" s="234">
        <v>11</v>
      </c>
      <c r="Z7371" s="234">
        <v>4</v>
      </c>
      <c r="AA7371" s="235">
        <v>0.041666666667879326</v>
      </c>
      <c r="AB7371" s="236">
        <v>-1.5</v>
      </c>
      <c r="AC7371" s="127">
        <f t="shared" ref="AC7371:AC7434" si="130">ROUND(AB7371,0)</f>
        <v>-2</v>
      </c>
    </row>
    <row r="7372" ht="14.5" customHeight="1" spans="11:29" x14ac:dyDescent="0.25">
      <c r="K7372" s="128"/>
      <c r="X7372" s="234">
        <v>2022</v>
      </c>
      <c r="Y7372" s="234">
        <v>11</v>
      </c>
      <c r="Z7372" s="234">
        <v>4</v>
      </c>
      <c r="AA7372" s="235">
        <v>0.08333333333212067</v>
      </c>
      <c r="AB7372" s="236">
        <v>-0.9</v>
      </c>
      <c r="AC7372" s="127">
        <f t="shared" si="130"/>
        <v>-1</v>
      </c>
    </row>
    <row r="7373" ht="14.5" customHeight="1" spans="11:29" x14ac:dyDescent="0.25">
      <c r="K7373" s="128"/>
      <c r="X7373" s="234">
        <v>2022</v>
      </c>
      <c r="Y7373" s="234">
        <v>11</v>
      </c>
      <c r="Z7373" s="234">
        <v>4</v>
      </c>
      <c r="AA7373" s="235">
        <v>0.125</v>
      </c>
      <c r="AB7373" s="236">
        <v>-3.8</v>
      </c>
      <c r="AC7373" s="127">
        <f t="shared" si="130"/>
        <v>-4</v>
      </c>
    </row>
    <row r="7374" ht="14.5" customHeight="1" spans="11:29" x14ac:dyDescent="0.25">
      <c r="K7374" s="128"/>
      <c r="X7374" s="234">
        <v>2022</v>
      </c>
      <c r="Y7374" s="234">
        <v>11</v>
      </c>
      <c r="Z7374" s="234">
        <v>4</v>
      </c>
      <c r="AA7374" s="235">
        <v>0.16666666666787933</v>
      </c>
      <c r="AB7374" s="236">
        <v>-1.1</v>
      </c>
      <c r="AC7374" s="127">
        <f t="shared" si="130"/>
        <v>-1</v>
      </c>
    </row>
    <row r="7375" ht="14.5" customHeight="1" spans="11:29" x14ac:dyDescent="0.25">
      <c r="K7375" s="128"/>
      <c r="X7375" s="234">
        <v>2022</v>
      </c>
      <c r="Y7375" s="234">
        <v>11</v>
      </c>
      <c r="Z7375" s="234">
        <v>4</v>
      </c>
      <c r="AA7375" s="235">
        <v>0.20833333333212067</v>
      </c>
      <c r="AB7375" s="236">
        <v>-2.1</v>
      </c>
      <c r="AC7375" s="127">
        <f t="shared" si="130"/>
        <v>-2</v>
      </c>
    </row>
    <row r="7376" ht="14.5" customHeight="1" spans="11:29" x14ac:dyDescent="0.25">
      <c r="K7376" s="128"/>
      <c r="X7376" s="234">
        <v>2022</v>
      </c>
      <c r="Y7376" s="234">
        <v>11</v>
      </c>
      <c r="Z7376" s="234">
        <v>4</v>
      </c>
      <c r="AA7376" s="235">
        <v>0.25</v>
      </c>
      <c r="AB7376" s="236">
        <v>-2.3</v>
      </c>
      <c r="AC7376" s="127">
        <f t="shared" si="130"/>
        <v>-2</v>
      </c>
    </row>
    <row r="7377" ht="14.5" customHeight="1" spans="11:29" x14ac:dyDescent="0.25">
      <c r="K7377" s="128"/>
      <c r="X7377" s="234">
        <v>2022</v>
      </c>
      <c r="Y7377" s="234">
        <v>11</v>
      </c>
      <c r="Z7377" s="234">
        <v>4</v>
      </c>
      <c r="AA7377" s="235">
        <v>0.2916666666678793</v>
      </c>
      <c r="AB7377" s="236">
        <v>0.1</v>
      </c>
      <c r="AC7377" s="127">
        <f t="shared" si="130"/>
        <v>0</v>
      </c>
    </row>
    <row r="7378" ht="14.5" customHeight="1" spans="11:29" x14ac:dyDescent="0.25">
      <c r="K7378" s="128"/>
      <c r="X7378" s="234">
        <v>2022</v>
      </c>
      <c r="Y7378" s="234">
        <v>11</v>
      </c>
      <c r="Z7378" s="234">
        <v>4</v>
      </c>
      <c r="AA7378" s="235">
        <v>0.3333333333321207</v>
      </c>
      <c r="AB7378" s="236">
        <v>-0.1</v>
      </c>
      <c r="AC7378" s="127">
        <f t="shared" si="130"/>
        <v>0</v>
      </c>
    </row>
    <row r="7379" ht="14.5" customHeight="1" spans="11:29" x14ac:dyDescent="0.25">
      <c r="K7379" s="128"/>
      <c r="X7379" s="234">
        <v>2022</v>
      </c>
      <c r="Y7379" s="234">
        <v>11</v>
      </c>
      <c r="Z7379" s="234">
        <v>4</v>
      </c>
      <c r="AA7379" s="235">
        <v>0.375</v>
      </c>
      <c r="AB7379" s="236">
        <v>-0.3</v>
      </c>
      <c r="AC7379" s="127">
        <f t="shared" si="130"/>
        <v>0</v>
      </c>
    </row>
    <row r="7380" ht="14.5" customHeight="1" spans="11:29" x14ac:dyDescent="0.25">
      <c r="K7380" s="128"/>
      <c r="X7380" s="234">
        <v>2022</v>
      </c>
      <c r="Y7380" s="234">
        <v>11</v>
      </c>
      <c r="Z7380" s="234">
        <v>4</v>
      </c>
      <c r="AA7380" s="235">
        <v>0.4166666666678793</v>
      </c>
      <c r="AB7380" s="236">
        <v>0.9</v>
      </c>
      <c r="AC7380" s="127">
        <f t="shared" si="130"/>
        <v>1</v>
      </c>
    </row>
    <row r="7381" ht="14.5" customHeight="1" spans="11:29" x14ac:dyDescent="0.25">
      <c r="K7381" s="128"/>
      <c r="X7381" s="234">
        <v>2022</v>
      </c>
      <c r="Y7381" s="234">
        <v>11</v>
      </c>
      <c r="Z7381" s="234">
        <v>4</v>
      </c>
      <c r="AA7381" s="235">
        <v>0.4583333333321207</v>
      </c>
      <c r="AB7381" s="231"/>
      <c r="AC7381" s="127">
        <f t="shared" si="130"/>
        <v>0</v>
      </c>
    </row>
    <row r="7382" ht="14.5" customHeight="1" spans="11:29" x14ac:dyDescent="0.25">
      <c r="K7382" s="128"/>
      <c r="X7382" s="234">
        <v>2022</v>
      </c>
      <c r="Y7382" s="234">
        <v>11</v>
      </c>
      <c r="Z7382" s="234">
        <v>4</v>
      </c>
      <c r="AA7382" s="235">
        <v>0.5</v>
      </c>
      <c r="AB7382" s="231"/>
      <c r="AC7382" s="127">
        <f t="shared" si="130"/>
        <v>0</v>
      </c>
    </row>
    <row r="7383" ht="14.5" customHeight="1" spans="11:29" x14ac:dyDescent="0.25">
      <c r="K7383" s="128"/>
      <c r="X7383" s="234">
        <v>2022</v>
      </c>
      <c r="Y7383" s="234">
        <v>11</v>
      </c>
      <c r="Z7383" s="234">
        <v>4</v>
      </c>
      <c r="AA7383" s="235">
        <v>0.5416666666678793</v>
      </c>
      <c r="AB7383" s="231"/>
      <c r="AC7383" s="127">
        <f t="shared" si="130"/>
        <v>0</v>
      </c>
    </row>
    <row r="7384" ht="14.5" customHeight="1" spans="11:29" x14ac:dyDescent="0.25">
      <c r="K7384" s="128"/>
      <c r="X7384" s="234">
        <v>2022</v>
      </c>
      <c r="Y7384" s="234">
        <v>11</v>
      </c>
      <c r="Z7384" s="234">
        <v>4</v>
      </c>
      <c r="AA7384" s="235">
        <v>0.5833333333321207</v>
      </c>
      <c r="AB7384" s="234">
        <v>3.7</v>
      </c>
      <c r="AC7384" s="127">
        <f t="shared" si="130"/>
        <v>4</v>
      </c>
    </row>
    <row r="7385" ht="14.5" customHeight="1" spans="11:29" x14ac:dyDescent="0.25">
      <c r="K7385" s="128"/>
      <c r="X7385" s="234">
        <v>2022</v>
      </c>
      <c r="Y7385" s="234">
        <v>11</v>
      </c>
      <c r="Z7385" s="234">
        <v>4</v>
      </c>
      <c r="AA7385" s="235">
        <v>0.625</v>
      </c>
      <c r="AB7385" s="234">
        <v>2.2</v>
      </c>
      <c r="AC7385" s="127">
        <f t="shared" si="130"/>
        <v>2</v>
      </c>
    </row>
    <row r="7386" ht="14.5" customHeight="1" spans="11:29" x14ac:dyDescent="0.25">
      <c r="K7386" s="128"/>
      <c r="X7386" s="234">
        <v>2022</v>
      </c>
      <c r="Y7386" s="234">
        <v>11</v>
      </c>
      <c r="Z7386" s="234">
        <v>4</v>
      </c>
      <c r="AA7386" s="235">
        <v>0.6666666666678793</v>
      </c>
      <c r="AB7386" s="234">
        <v>1.5</v>
      </c>
      <c r="AC7386" s="127">
        <f t="shared" si="130"/>
        <v>2</v>
      </c>
    </row>
    <row r="7387" ht="14.5" customHeight="1" spans="11:29" x14ac:dyDescent="0.25">
      <c r="K7387" s="128"/>
      <c r="X7387" s="234">
        <v>2022</v>
      </c>
      <c r="Y7387" s="234">
        <v>11</v>
      </c>
      <c r="Z7387" s="234">
        <v>4</v>
      </c>
      <c r="AA7387" s="235">
        <v>0.7083333333321207</v>
      </c>
      <c r="AB7387" s="234">
        <v>1.8</v>
      </c>
      <c r="AC7387" s="127">
        <f t="shared" si="130"/>
        <v>2</v>
      </c>
    </row>
    <row r="7388" ht="14.5" customHeight="1" spans="11:29" x14ac:dyDescent="0.25">
      <c r="K7388" s="128"/>
      <c r="X7388" s="234">
        <v>2022</v>
      </c>
      <c r="Y7388" s="234">
        <v>11</v>
      </c>
      <c r="Z7388" s="234">
        <v>4</v>
      </c>
      <c r="AA7388" s="235">
        <v>0.75</v>
      </c>
      <c r="AB7388" s="234">
        <v>0.8</v>
      </c>
      <c r="AC7388" s="127">
        <f t="shared" si="130"/>
        <v>1</v>
      </c>
    </row>
    <row r="7389" ht="14.5" customHeight="1" spans="11:29" x14ac:dyDescent="0.25">
      <c r="K7389" s="128"/>
      <c r="X7389" s="234">
        <v>2022</v>
      </c>
      <c r="Y7389" s="234">
        <v>11</v>
      </c>
      <c r="Z7389" s="234">
        <v>4</v>
      </c>
      <c r="AA7389" s="235">
        <v>0.7916666666678793</v>
      </c>
      <c r="AB7389" s="234">
        <v>-1.5</v>
      </c>
      <c r="AC7389" s="127">
        <f t="shared" si="130"/>
        <v>-2</v>
      </c>
    </row>
    <row r="7390" ht="14.5" customHeight="1" spans="11:29" x14ac:dyDescent="0.25">
      <c r="K7390" s="128"/>
      <c r="X7390" s="234">
        <v>2022</v>
      </c>
      <c r="Y7390" s="234">
        <v>11</v>
      </c>
      <c r="Z7390" s="234">
        <v>4</v>
      </c>
      <c r="AA7390" s="235">
        <v>0.8333333333321207</v>
      </c>
      <c r="AB7390" s="234">
        <v>-2</v>
      </c>
      <c r="AC7390" s="127">
        <f t="shared" si="130"/>
        <v>-2</v>
      </c>
    </row>
    <row r="7391" ht="14.5" customHeight="1" spans="11:29" x14ac:dyDescent="0.25">
      <c r="K7391" s="128"/>
      <c r="X7391" s="234">
        <v>2022</v>
      </c>
      <c r="Y7391" s="234">
        <v>11</v>
      </c>
      <c r="Z7391" s="234">
        <v>4</v>
      </c>
      <c r="AA7391" s="235">
        <v>0.875</v>
      </c>
      <c r="AB7391" s="234">
        <v>-3.5</v>
      </c>
      <c r="AC7391" s="127">
        <f t="shared" si="130"/>
        <v>-4</v>
      </c>
    </row>
    <row r="7392" ht="14.5" customHeight="1" spans="11:29" x14ac:dyDescent="0.25">
      <c r="K7392" s="128"/>
      <c r="X7392" s="234">
        <v>2022</v>
      </c>
      <c r="Y7392" s="234">
        <v>11</v>
      </c>
      <c r="Z7392" s="234">
        <v>4</v>
      </c>
      <c r="AA7392" s="235">
        <v>0.9166666666678793</v>
      </c>
      <c r="AB7392" s="234">
        <v>-3.8</v>
      </c>
      <c r="AC7392" s="127">
        <f t="shared" si="130"/>
        <v>-4</v>
      </c>
    </row>
    <row r="7393" ht="14.5" customHeight="1" spans="11:29" x14ac:dyDescent="0.25">
      <c r="K7393" s="128"/>
      <c r="X7393" s="234">
        <v>2022</v>
      </c>
      <c r="Y7393" s="234">
        <v>11</v>
      </c>
      <c r="Z7393" s="234">
        <v>4</v>
      </c>
      <c r="AA7393" s="235">
        <v>0.9583333333321207</v>
      </c>
      <c r="AB7393" s="234">
        <v>-3.1</v>
      </c>
      <c r="AC7393" s="127">
        <f t="shared" si="130"/>
        <v>-3</v>
      </c>
    </row>
    <row r="7394" ht="14.5" customHeight="1" spans="11:29" x14ac:dyDescent="0.25">
      <c r="K7394" s="128"/>
      <c r="X7394" s="234">
        <v>2022</v>
      </c>
      <c r="Y7394" s="234">
        <v>11</v>
      </c>
      <c r="Z7394" s="234">
        <v>5</v>
      </c>
      <c r="AA7394" s="235">
        <v>0</v>
      </c>
      <c r="AB7394" s="234">
        <v>-3.6</v>
      </c>
      <c r="AC7394" s="127">
        <f t="shared" si="130"/>
        <v>-4</v>
      </c>
    </row>
    <row r="7395" ht="14.5" customHeight="1" spans="11:29" x14ac:dyDescent="0.25">
      <c r="K7395" s="128"/>
      <c r="X7395" s="234">
        <v>2022</v>
      </c>
      <c r="Y7395" s="234">
        <v>11</v>
      </c>
      <c r="Z7395" s="234">
        <v>5</v>
      </c>
      <c r="AA7395" s="235">
        <v>0.041666666667879326</v>
      </c>
      <c r="AB7395" s="234">
        <v>-3.5</v>
      </c>
      <c r="AC7395" s="127">
        <f t="shared" si="130"/>
        <v>-4</v>
      </c>
    </row>
    <row r="7396" ht="14.5" customHeight="1" spans="11:29" x14ac:dyDescent="0.25">
      <c r="K7396" s="128"/>
      <c r="X7396" s="234">
        <v>2022</v>
      </c>
      <c r="Y7396" s="234">
        <v>11</v>
      </c>
      <c r="Z7396" s="234">
        <v>5</v>
      </c>
      <c r="AA7396" s="235">
        <v>0.08333333333212067</v>
      </c>
      <c r="AB7396" s="234">
        <v>-5.1</v>
      </c>
      <c r="AC7396" s="127">
        <f t="shared" si="130"/>
        <v>-5</v>
      </c>
    </row>
    <row r="7397" ht="14.5" customHeight="1" spans="11:29" x14ac:dyDescent="0.25">
      <c r="K7397" s="128"/>
      <c r="X7397" s="234">
        <v>2022</v>
      </c>
      <c r="Y7397" s="234">
        <v>11</v>
      </c>
      <c r="Z7397" s="234">
        <v>5</v>
      </c>
      <c r="AA7397" s="235">
        <v>0.125</v>
      </c>
      <c r="AB7397" s="234">
        <v>-2.7</v>
      </c>
      <c r="AC7397" s="127">
        <f t="shared" si="130"/>
        <v>-3</v>
      </c>
    </row>
    <row r="7398" ht="14.5" customHeight="1" spans="11:29" x14ac:dyDescent="0.25">
      <c r="K7398" s="128"/>
      <c r="X7398" s="234">
        <v>2022</v>
      </c>
      <c r="Y7398" s="234">
        <v>11</v>
      </c>
      <c r="Z7398" s="234">
        <v>5</v>
      </c>
      <c r="AA7398" s="235">
        <v>0.16666666666787933</v>
      </c>
      <c r="AB7398" s="234">
        <v>-1.9</v>
      </c>
      <c r="AC7398" s="127">
        <f t="shared" si="130"/>
        <v>-2</v>
      </c>
    </row>
    <row r="7399" ht="14.5" customHeight="1" spans="11:29" x14ac:dyDescent="0.25">
      <c r="K7399" s="128"/>
      <c r="X7399" s="234">
        <v>2022</v>
      </c>
      <c r="Y7399" s="234">
        <v>11</v>
      </c>
      <c r="Z7399" s="234">
        <v>5</v>
      </c>
      <c r="AA7399" s="235">
        <v>0.20833333333212067</v>
      </c>
      <c r="AB7399" s="234">
        <v>-2.2</v>
      </c>
      <c r="AC7399" s="127">
        <f t="shared" si="130"/>
        <v>-2</v>
      </c>
    </row>
    <row r="7400" ht="14.5" customHeight="1" spans="11:29" x14ac:dyDescent="0.25">
      <c r="K7400" s="128"/>
      <c r="X7400" s="234">
        <v>2022</v>
      </c>
      <c r="Y7400" s="234">
        <v>11</v>
      </c>
      <c r="Z7400" s="234">
        <v>5</v>
      </c>
      <c r="AA7400" s="235">
        <v>0.25</v>
      </c>
      <c r="AB7400" s="234">
        <v>-1.8</v>
      </c>
      <c r="AC7400" s="127">
        <f t="shared" si="130"/>
        <v>-2</v>
      </c>
    </row>
    <row r="7401" ht="14.5" customHeight="1" spans="11:29" x14ac:dyDescent="0.25">
      <c r="K7401" s="128"/>
      <c r="X7401" s="234">
        <v>2022</v>
      </c>
      <c r="Y7401" s="234">
        <v>11</v>
      </c>
      <c r="Z7401" s="234">
        <v>5</v>
      </c>
      <c r="AA7401" s="235">
        <v>0.2916666666678793</v>
      </c>
      <c r="AB7401" s="234">
        <v>-1.9</v>
      </c>
      <c r="AC7401" s="127">
        <f t="shared" si="130"/>
        <v>-2</v>
      </c>
    </row>
    <row r="7402" ht="14.5" customHeight="1" spans="11:29" x14ac:dyDescent="0.25">
      <c r="K7402" s="128"/>
      <c r="X7402" s="234">
        <v>2022</v>
      </c>
      <c r="Y7402" s="234">
        <v>11</v>
      </c>
      <c r="Z7402" s="234">
        <v>5</v>
      </c>
      <c r="AA7402" s="235">
        <v>0.3333333333321207</v>
      </c>
      <c r="AB7402" s="234">
        <v>-2.3</v>
      </c>
      <c r="AC7402" s="127">
        <f t="shared" si="130"/>
        <v>-2</v>
      </c>
    </row>
    <row r="7403" ht="14.5" customHeight="1" spans="11:29" x14ac:dyDescent="0.25">
      <c r="K7403" s="128"/>
      <c r="X7403" s="234">
        <v>2022</v>
      </c>
      <c r="Y7403" s="234">
        <v>11</v>
      </c>
      <c r="Z7403" s="234">
        <v>5</v>
      </c>
      <c r="AA7403" s="235">
        <v>0.375</v>
      </c>
      <c r="AB7403" s="234">
        <v>-1.9</v>
      </c>
      <c r="AC7403" s="127">
        <f t="shared" si="130"/>
        <v>-2</v>
      </c>
    </row>
    <row r="7404" ht="14.5" customHeight="1" spans="11:29" x14ac:dyDescent="0.25">
      <c r="K7404" s="128"/>
      <c r="X7404" s="234">
        <v>2022</v>
      </c>
      <c r="Y7404" s="234">
        <v>11</v>
      </c>
      <c r="Z7404" s="234">
        <v>5</v>
      </c>
      <c r="AA7404" s="235">
        <v>0.4166666666678793</v>
      </c>
      <c r="AB7404" s="234">
        <v>-2.7</v>
      </c>
      <c r="AC7404" s="127">
        <f t="shared" si="130"/>
        <v>-3</v>
      </c>
    </row>
    <row r="7405" ht="14.5" customHeight="1" spans="11:29" x14ac:dyDescent="0.25">
      <c r="K7405" s="128"/>
      <c r="X7405" s="234">
        <v>2022</v>
      </c>
      <c r="Y7405" s="234">
        <v>11</v>
      </c>
      <c r="Z7405" s="234">
        <v>5</v>
      </c>
      <c r="AA7405" s="235">
        <v>0.4583333333321207</v>
      </c>
      <c r="AB7405" s="234">
        <v>-3.3</v>
      </c>
      <c r="AC7405" s="127">
        <f t="shared" si="130"/>
        <v>-3</v>
      </c>
    </row>
    <row r="7406" ht="14.5" customHeight="1" spans="11:29" x14ac:dyDescent="0.25">
      <c r="K7406" s="128"/>
      <c r="X7406" s="234">
        <v>2022</v>
      </c>
      <c r="Y7406" s="234">
        <v>11</v>
      </c>
      <c r="Z7406" s="234">
        <v>5</v>
      </c>
      <c r="AA7406" s="235">
        <v>0.5</v>
      </c>
      <c r="AB7406" s="234">
        <v>-3</v>
      </c>
      <c r="AC7406" s="127">
        <f t="shared" si="130"/>
        <v>-3</v>
      </c>
    </row>
    <row r="7407" ht="14.5" customHeight="1" spans="11:29" x14ac:dyDescent="0.25">
      <c r="K7407" s="128"/>
      <c r="X7407" s="234">
        <v>2022</v>
      </c>
      <c r="Y7407" s="234">
        <v>11</v>
      </c>
      <c r="Z7407" s="234">
        <v>5</v>
      </c>
      <c r="AA7407" s="235">
        <v>0.5416666666678793</v>
      </c>
      <c r="AB7407" s="234">
        <v>-2.8</v>
      </c>
      <c r="AC7407" s="127">
        <f t="shared" si="130"/>
        <v>-3</v>
      </c>
    </row>
    <row r="7408" ht="14.5" customHeight="1" spans="11:29" x14ac:dyDescent="0.25">
      <c r="K7408" s="128"/>
      <c r="X7408" s="234">
        <v>2022</v>
      </c>
      <c r="Y7408" s="234">
        <v>11</v>
      </c>
      <c r="Z7408" s="234">
        <v>5</v>
      </c>
      <c r="AA7408" s="235">
        <v>0.5833333333321207</v>
      </c>
      <c r="AB7408" s="234">
        <v>-4.7</v>
      </c>
      <c r="AC7408" s="127">
        <f t="shared" si="130"/>
        <v>-5</v>
      </c>
    </row>
    <row r="7409" ht="14.5" customHeight="1" spans="11:29" x14ac:dyDescent="0.25">
      <c r="K7409" s="128"/>
      <c r="X7409" s="234">
        <v>2022</v>
      </c>
      <c r="Y7409" s="234">
        <v>11</v>
      </c>
      <c r="Z7409" s="234">
        <v>5</v>
      </c>
      <c r="AA7409" s="235">
        <v>0.625</v>
      </c>
      <c r="AB7409" s="234">
        <v>-6.5</v>
      </c>
      <c r="AC7409" s="127">
        <f t="shared" si="130"/>
        <v>-7</v>
      </c>
    </row>
    <row r="7410" ht="14.5" customHeight="1" spans="11:29" x14ac:dyDescent="0.25">
      <c r="K7410" s="128"/>
      <c r="X7410" s="234">
        <v>2022</v>
      </c>
      <c r="Y7410" s="234">
        <v>11</v>
      </c>
      <c r="Z7410" s="234">
        <v>5</v>
      </c>
      <c r="AA7410" s="235">
        <v>0.6666666666678793</v>
      </c>
      <c r="AB7410" s="234">
        <v>-7</v>
      </c>
      <c r="AC7410" s="127">
        <f t="shared" si="130"/>
        <v>-7</v>
      </c>
    </row>
    <row r="7411" ht="14.5" customHeight="1" spans="11:29" x14ac:dyDescent="0.25">
      <c r="K7411" s="128"/>
      <c r="X7411" s="234">
        <v>2022</v>
      </c>
      <c r="Y7411" s="234">
        <v>11</v>
      </c>
      <c r="Z7411" s="234">
        <v>5</v>
      </c>
      <c r="AA7411" s="235">
        <v>0.7083333333321207</v>
      </c>
      <c r="AB7411" s="234">
        <v>-7.9</v>
      </c>
      <c r="AC7411" s="127">
        <f t="shared" si="130"/>
        <v>-8</v>
      </c>
    </row>
    <row r="7412" ht="14.5" customHeight="1" spans="11:29" x14ac:dyDescent="0.25">
      <c r="K7412" s="128"/>
      <c r="X7412" s="234">
        <v>2022</v>
      </c>
      <c r="Y7412" s="234">
        <v>11</v>
      </c>
      <c r="Z7412" s="234">
        <v>5</v>
      </c>
      <c r="AA7412" s="235">
        <v>0.75</v>
      </c>
      <c r="AB7412" s="234">
        <v>-8.3</v>
      </c>
      <c r="AC7412" s="127">
        <f t="shared" si="130"/>
        <v>-8</v>
      </c>
    </row>
    <row r="7413" ht="14.5" customHeight="1" spans="11:29" x14ac:dyDescent="0.25">
      <c r="K7413" s="128"/>
      <c r="X7413" s="234">
        <v>2022</v>
      </c>
      <c r="Y7413" s="234">
        <v>11</v>
      </c>
      <c r="Z7413" s="234">
        <v>5</v>
      </c>
      <c r="AA7413" s="235">
        <v>0.7916666666678793</v>
      </c>
      <c r="AB7413" s="234">
        <v>-8.8</v>
      </c>
      <c r="AC7413" s="127">
        <f t="shared" si="130"/>
        <v>-9</v>
      </c>
    </row>
    <row r="7414" ht="14.5" customHeight="1" spans="11:29" x14ac:dyDescent="0.25">
      <c r="K7414" s="128"/>
      <c r="X7414" s="234">
        <v>2022</v>
      </c>
      <c r="Y7414" s="234">
        <v>11</v>
      </c>
      <c r="Z7414" s="234">
        <v>5</v>
      </c>
      <c r="AA7414" s="235">
        <v>0.8333333333321207</v>
      </c>
      <c r="AB7414" s="234">
        <v>-9.5</v>
      </c>
      <c r="AC7414" s="127">
        <f t="shared" si="130"/>
        <v>-10</v>
      </c>
    </row>
    <row r="7415" ht="14.5" customHeight="1" spans="11:29" x14ac:dyDescent="0.25">
      <c r="K7415" s="128"/>
      <c r="X7415" s="234">
        <v>2022</v>
      </c>
      <c r="Y7415" s="234">
        <v>11</v>
      </c>
      <c r="Z7415" s="234">
        <v>5</v>
      </c>
      <c r="AA7415" s="235">
        <v>0.875</v>
      </c>
      <c r="AB7415" s="234">
        <v>-9.8</v>
      </c>
      <c r="AC7415" s="127">
        <f t="shared" si="130"/>
        <v>-10</v>
      </c>
    </row>
    <row r="7416" ht="14.5" customHeight="1" spans="11:29" x14ac:dyDescent="0.25">
      <c r="K7416" s="128"/>
      <c r="X7416" s="234">
        <v>2022</v>
      </c>
      <c r="Y7416" s="234">
        <v>11</v>
      </c>
      <c r="Z7416" s="234">
        <v>5</v>
      </c>
      <c r="AA7416" s="235">
        <v>0.9166666666678793</v>
      </c>
      <c r="AB7416" s="234">
        <v>-10</v>
      </c>
      <c r="AC7416" s="127">
        <f t="shared" si="130"/>
        <v>-10</v>
      </c>
    </row>
    <row r="7417" ht="14.5" customHeight="1" spans="11:29" x14ac:dyDescent="0.25">
      <c r="K7417" s="128"/>
      <c r="X7417" s="234">
        <v>2022</v>
      </c>
      <c r="Y7417" s="234">
        <v>11</v>
      </c>
      <c r="Z7417" s="234">
        <v>5</v>
      </c>
      <c r="AA7417" s="235">
        <v>0.9583333333321207</v>
      </c>
      <c r="AB7417" s="234">
        <v>-10.5</v>
      </c>
      <c r="AC7417" s="127">
        <f t="shared" si="130"/>
        <v>-11</v>
      </c>
    </row>
    <row r="7418" ht="14.5" customHeight="1" spans="11:29" x14ac:dyDescent="0.25">
      <c r="K7418" s="128"/>
      <c r="X7418" s="234">
        <v>2022</v>
      </c>
      <c r="Y7418" s="234">
        <v>11</v>
      </c>
      <c r="Z7418" s="234">
        <v>6</v>
      </c>
      <c r="AA7418" s="235">
        <v>0</v>
      </c>
      <c r="AB7418" s="234">
        <v>-10.9</v>
      </c>
      <c r="AC7418" s="127">
        <f t="shared" si="130"/>
        <v>-11</v>
      </c>
    </row>
    <row r="7419" ht="14.5" customHeight="1" spans="11:29" x14ac:dyDescent="0.25">
      <c r="K7419" s="128"/>
      <c r="X7419" s="234">
        <v>2022</v>
      </c>
      <c r="Y7419" s="234">
        <v>11</v>
      </c>
      <c r="Z7419" s="234">
        <v>6</v>
      </c>
      <c r="AA7419" s="235">
        <v>0.041666666667879326</v>
      </c>
      <c r="AB7419" s="234">
        <v>-11.3</v>
      </c>
      <c r="AC7419" s="127">
        <f t="shared" si="130"/>
        <v>-11</v>
      </c>
    </row>
    <row r="7420" ht="14.5" customHeight="1" spans="11:29" x14ac:dyDescent="0.25">
      <c r="K7420" s="128"/>
      <c r="X7420" s="234">
        <v>2022</v>
      </c>
      <c r="Y7420" s="234">
        <v>11</v>
      </c>
      <c r="Z7420" s="234">
        <v>6</v>
      </c>
      <c r="AA7420" s="235">
        <v>0.08333333333212067</v>
      </c>
      <c r="AB7420" s="234">
        <v>-11.7</v>
      </c>
      <c r="AC7420" s="127">
        <f t="shared" si="130"/>
        <v>-12</v>
      </c>
    </row>
    <row r="7421" ht="14.5" customHeight="1" spans="11:29" x14ac:dyDescent="0.25">
      <c r="K7421" s="128"/>
      <c r="X7421" s="234">
        <v>2022</v>
      </c>
      <c r="Y7421" s="234">
        <v>11</v>
      </c>
      <c r="Z7421" s="234">
        <v>6</v>
      </c>
      <c r="AA7421" s="235">
        <v>0.125</v>
      </c>
      <c r="AB7421" s="234">
        <v>-12.1</v>
      </c>
      <c r="AC7421" s="127">
        <f t="shared" si="130"/>
        <v>-12</v>
      </c>
    </row>
    <row r="7422" ht="14.5" customHeight="1" spans="11:29" x14ac:dyDescent="0.25">
      <c r="K7422" s="128"/>
      <c r="X7422" s="234">
        <v>2022</v>
      </c>
      <c r="Y7422" s="234">
        <v>11</v>
      </c>
      <c r="Z7422" s="234">
        <v>6</v>
      </c>
      <c r="AA7422" s="235">
        <v>0.16666666666787933</v>
      </c>
      <c r="AB7422" s="234">
        <v>-12.4</v>
      </c>
      <c r="AC7422" s="127">
        <f t="shared" si="130"/>
        <v>-12</v>
      </c>
    </row>
    <row r="7423" ht="14.5" customHeight="1" spans="11:29" x14ac:dyDescent="0.25">
      <c r="K7423" s="128"/>
      <c r="X7423" s="234">
        <v>2022</v>
      </c>
      <c r="Y7423" s="234">
        <v>11</v>
      </c>
      <c r="Z7423" s="234">
        <v>6</v>
      </c>
      <c r="AA7423" s="235">
        <v>0.20833333333212067</v>
      </c>
      <c r="AB7423" s="234">
        <v>-12.7</v>
      </c>
      <c r="AC7423" s="127">
        <f t="shared" si="130"/>
        <v>-13</v>
      </c>
    </row>
    <row r="7424" ht="14.5" customHeight="1" spans="11:29" x14ac:dyDescent="0.25">
      <c r="K7424" s="128"/>
      <c r="X7424" s="234">
        <v>2022</v>
      </c>
      <c r="Y7424" s="234">
        <v>11</v>
      </c>
      <c r="Z7424" s="234">
        <v>6</v>
      </c>
      <c r="AA7424" s="235">
        <v>0.25</v>
      </c>
      <c r="AB7424" s="234">
        <v>-13.1</v>
      </c>
      <c r="AC7424" s="127">
        <f t="shared" si="130"/>
        <v>-13</v>
      </c>
    </row>
    <row r="7425" ht="14.5" customHeight="1" spans="11:29" x14ac:dyDescent="0.25">
      <c r="K7425" s="128"/>
      <c r="X7425" s="234">
        <v>2022</v>
      </c>
      <c r="Y7425" s="234">
        <v>11</v>
      </c>
      <c r="Z7425" s="234">
        <v>6</v>
      </c>
      <c r="AA7425" s="235">
        <v>0.2916666666678793</v>
      </c>
      <c r="AB7425" s="234">
        <v>-14</v>
      </c>
      <c r="AC7425" s="127">
        <f t="shared" si="130"/>
        <v>-14</v>
      </c>
    </row>
    <row r="7426" ht="14.5" customHeight="1" spans="11:29" x14ac:dyDescent="0.25">
      <c r="K7426" s="128"/>
      <c r="X7426" s="234">
        <v>2022</v>
      </c>
      <c r="Y7426" s="234">
        <v>11</v>
      </c>
      <c r="Z7426" s="234">
        <v>6</v>
      </c>
      <c r="AA7426" s="235">
        <v>0.3333333333321207</v>
      </c>
      <c r="AB7426" s="234">
        <v>-14.2</v>
      </c>
      <c r="AC7426" s="127">
        <f t="shared" si="130"/>
        <v>-14</v>
      </c>
    </row>
    <row r="7427" ht="14.5" customHeight="1" spans="11:29" x14ac:dyDescent="0.25">
      <c r="K7427" s="128"/>
      <c r="X7427" s="234">
        <v>2022</v>
      </c>
      <c r="Y7427" s="234">
        <v>11</v>
      </c>
      <c r="Z7427" s="234">
        <v>6</v>
      </c>
      <c r="AA7427" s="235">
        <v>0.375</v>
      </c>
      <c r="AB7427" s="234">
        <v>-13.4</v>
      </c>
      <c r="AC7427" s="127">
        <f t="shared" si="130"/>
        <v>-13</v>
      </c>
    </row>
    <row r="7428" ht="14.5" customHeight="1" spans="11:29" x14ac:dyDescent="0.25">
      <c r="K7428" s="128"/>
      <c r="X7428" s="234">
        <v>2022</v>
      </c>
      <c r="Y7428" s="234">
        <v>11</v>
      </c>
      <c r="Z7428" s="234">
        <v>6</v>
      </c>
      <c r="AA7428" s="235">
        <v>0.4166666666678793</v>
      </c>
      <c r="AB7428" s="234">
        <v>-13.3</v>
      </c>
      <c r="AC7428" s="127">
        <f t="shared" si="130"/>
        <v>-13</v>
      </c>
    </row>
    <row r="7429" ht="14.5" customHeight="1" spans="11:29" x14ac:dyDescent="0.25">
      <c r="K7429" s="128"/>
      <c r="X7429" s="234">
        <v>2022</v>
      </c>
      <c r="Y7429" s="234">
        <v>11</v>
      </c>
      <c r="Z7429" s="234">
        <v>6</v>
      </c>
      <c r="AA7429" s="235">
        <v>0.4583333333321207</v>
      </c>
      <c r="AB7429" s="234">
        <v>-13.4</v>
      </c>
      <c r="AC7429" s="127">
        <f t="shared" si="130"/>
        <v>-13</v>
      </c>
    </row>
    <row r="7430" ht="14.5" customHeight="1" spans="11:29" x14ac:dyDescent="0.25">
      <c r="K7430" s="128"/>
      <c r="X7430" s="234">
        <v>2022</v>
      </c>
      <c r="Y7430" s="234">
        <v>11</v>
      </c>
      <c r="Z7430" s="234">
        <v>6</v>
      </c>
      <c r="AA7430" s="235">
        <v>0.5</v>
      </c>
      <c r="AB7430" s="234">
        <v>-13.2</v>
      </c>
      <c r="AC7430" s="127">
        <f t="shared" si="130"/>
        <v>-13</v>
      </c>
    </row>
    <row r="7431" ht="14.5" customHeight="1" spans="11:29" x14ac:dyDescent="0.25">
      <c r="K7431" s="128"/>
      <c r="X7431" s="234">
        <v>2022</v>
      </c>
      <c r="Y7431" s="234">
        <v>11</v>
      </c>
      <c r="Z7431" s="234">
        <v>6</v>
      </c>
      <c r="AA7431" s="235">
        <v>0.5416666666678793</v>
      </c>
      <c r="AB7431" s="234">
        <v>-13.2</v>
      </c>
      <c r="AC7431" s="127">
        <f t="shared" si="130"/>
        <v>-13</v>
      </c>
    </row>
    <row r="7432" ht="14.5" customHeight="1" spans="11:29" x14ac:dyDescent="0.25">
      <c r="K7432" s="128"/>
      <c r="X7432" s="234">
        <v>2022</v>
      </c>
      <c r="Y7432" s="234">
        <v>11</v>
      </c>
      <c r="Z7432" s="234">
        <v>6</v>
      </c>
      <c r="AA7432" s="235">
        <v>0.5833333333321207</v>
      </c>
      <c r="AB7432" s="234">
        <v>-13.1</v>
      </c>
      <c r="AC7432" s="127">
        <f t="shared" si="130"/>
        <v>-13</v>
      </c>
    </row>
    <row r="7433" ht="14.5" customHeight="1" spans="11:29" x14ac:dyDescent="0.25">
      <c r="K7433" s="128"/>
      <c r="X7433" s="234">
        <v>2022</v>
      </c>
      <c r="Y7433" s="234">
        <v>11</v>
      </c>
      <c r="Z7433" s="234">
        <v>6</v>
      </c>
      <c r="AA7433" s="235">
        <v>0.625</v>
      </c>
      <c r="AB7433" s="234">
        <v>-13.4</v>
      </c>
      <c r="AC7433" s="127">
        <f t="shared" si="130"/>
        <v>-13</v>
      </c>
    </row>
    <row r="7434" ht="14.5" customHeight="1" spans="11:29" x14ac:dyDescent="0.25">
      <c r="K7434" s="128"/>
      <c r="X7434" s="234">
        <v>2022</v>
      </c>
      <c r="Y7434" s="234">
        <v>11</v>
      </c>
      <c r="Z7434" s="234">
        <v>6</v>
      </c>
      <c r="AA7434" s="235">
        <v>0.6666666666678793</v>
      </c>
      <c r="AB7434" s="234">
        <v>-13.8</v>
      </c>
      <c r="AC7434" s="127">
        <f t="shared" si="130"/>
        <v>-14</v>
      </c>
    </row>
    <row r="7435" ht="14.5" customHeight="1" spans="11:29" x14ac:dyDescent="0.25">
      <c r="K7435" s="128"/>
      <c r="X7435" s="234">
        <v>2022</v>
      </c>
      <c r="Y7435" s="234">
        <v>11</v>
      </c>
      <c r="Z7435" s="234">
        <v>6</v>
      </c>
      <c r="AA7435" s="235">
        <v>0.7083333333321207</v>
      </c>
      <c r="AB7435" s="234">
        <v>-14.1</v>
      </c>
      <c r="AC7435" s="127">
        <f t="shared" ref="AC7435:AC7498" si="131">ROUND(AB7435,0)</f>
        <v>-14</v>
      </c>
    </row>
    <row r="7436" ht="14.5" customHeight="1" spans="11:29" x14ac:dyDescent="0.25">
      <c r="K7436" s="128"/>
      <c r="X7436" s="234">
        <v>2022</v>
      </c>
      <c r="Y7436" s="234">
        <v>11</v>
      </c>
      <c r="Z7436" s="234">
        <v>6</v>
      </c>
      <c r="AA7436" s="235">
        <v>0.75</v>
      </c>
      <c r="AB7436" s="234">
        <v>-14.6</v>
      </c>
      <c r="AC7436" s="127">
        <f t="shared" si="131"/>
        <v>-15</v>
      </c>
    </row>
    <row r="7437" ht="14.5" customHeight="1" spans="11:29" x14ac:dyDescent="0.25">
      <c r="K7437" s="128"/>
      <c r="X7437" s="234">
        <v>2022</v>
      </c>
      <c r="Y7437" s="234">
        <v>11</v>
      </c>
      <c r="Z7437" s="234">
        <v>6</v>
      </c>
      <c r="AA7437" s="235">
        <v>0.7916666666678793</v>
      </c>
      <c r="AB7437" s="234">
        <v>-14.8</v>
      </c>
      <c r="AC7437" s="127">
        <f t="shared" si="131"/>
        <v>-15</v>
      </c>
    </row>
    <row r="7438" ht="14.5" customHeight="1" spans="11:29" x14ac:dyDescent="0.25">
      <c r="K7438" s="128"/>
      <c r="X7438" s="234">
        <v>2022</v>
      </c>
      <c r="Y7438" s="234">
        <v>11</v>
      </c>
      <c r="Z7438" s="234">
        <v>6</v>
      </c>
      <c r="AA7438" s="235">
        <v>0.8333333333321207</v>
      </c>
      <c r="AB7438" s="234">
        <v>-14.9</v>
      </c>
      <c r="AC7438" s="127">
        <f t="shared" si="131"/>
        <v>-15</v>
      </c>
    </row>
    <row r="7439" ht="14.5" customHeight="1" spans="11:29" x14ac:dyDescent="0.25">
      <c r="K7439" s="128"/>
      <c r="X7439" s="234">
        <v>2022</v>
      </c>
      <c r="Y7439" s="234">
        <v>11</v>
      </c>
      <c r="Z7439" s="234">
        <v>6</v>
      </c>
      <c r="AA7439" s="235">
        <v>0.875</v>
      </c>
      <c r="AB7439" s="234">
        <v>-14.8</v>
      </c>
      <c r="AC7439" s="127">
        <f t="shared" si="131"/>
        <v>-15</v>
      </c>
    </row>
    <row r="7440" ht="14.5" customHeight="1" spans="11:29" x14ac:dyDescent="0.25">
      <c r="K7440" s="128"/>
      <c r="X7440" s="234">
        <v>2022</v>
      </c>
      <c r="Y7440" s="234">
        <v>11</v>
      </c>
      <c r="Z7440" s="234">
        <v>6</v>
      </c>
      <c r="AA7440" s="235">
        <v>0.9166666666678793</v>
      </c>
      <c r="AB7440" s="234">
        <v>-14.8</v>
      </c>
      <c r="AC7440" s="127">
        <f t="shared" si="131"/>
        <v>-15</v>
      </c>
    </row>
    <row r="7441" ht="14.5" customHeight="1" spans="11:29" x14ac:dyDescent="0.25">
      <c r="K7441" s="128"/>
      <c r="X7441" s="234">
        <v>2022</v>
      </c>
      <c r="Y7441" s="234">
        <v>11</v>
      </c>
      <c r="Z7441" s="234">
        <v>6</v>
      </c>
      <c r="AA7441" s="235">
        <v>0.9583333333321207</v>
      </c>
      <c r="AB7441" s="234">
        <v>-15.2</v>
      </c>
      <c r="AC7441" s="127">
        <f t="shared" si="131"/>
        <v>-15</v>
      </c>
    </row>
    <row r="7442" ht="14.5" customHeight="1" spans="11:29" x14ac:dyDescent="0.25">
      <c r="K7442" s="128"/>
      <c r="X7442" s="234">
        <v>2022</v>
      </c>
      <c r="Y7442" s="234">
        <v>11</v>
      </c>
      <c r="Z7442" s="234">
        <v>7</v>
      </c>
      <c r="AA7442" s="235">
        <v>0</v>
      </c>
      <c r="AB7442" s="234">
        <v>-15.7</v>
      </c>
      <c r="AC7442" s="127">
        <f t="shared" si="131"/>
        <v>-16</v>
      </c>
    </row>
    <row r="7443" ht="14.5" customHeight="1" spans="11:29" x14ac:dyDescent="0.25">
      <c r="K7443" s="128"/>
      <c r="X7443" s="234">
        <v>2022</v>
      </c>
      <c r="Y7443" s="234">
        <v>11</v>
      </c>
      <c r="Z7443" s="234">
        <v>7</v>
      </c>
      <c r="AA7443" s="235">
        <v>0.041666666667879326</v>
      </c>
      <c r="AB7443" s="234">
        <v>-16.1</v>
      </c>
      <c r="AC7443" s="127">
        <f t="shared" si="131"/>
        <v>-16</v>
      </c>
    </row>
    <row r="7444" ht="14.5" customHeight="1" spans="11:29" x14ac:dyDescent="0.25">
      <c r="K7444" s="128"/>
      <c r="X7444" s="234">
        <v>2022</v>
      </c>
      <c r="Y7444" s="234">
        <v>11</v>
      </c>
      <c r="Z7444" s="234">
        <v>7</v>
      </c>
      <c r="AA7444" s="235">
        <v>0.08333333333212067</v>
      </c>
      <c r="AB7444" s="234">
        <v>-16.2</v>
      </c>
      <c r="AC7444" s="127">
        <f t="shared" si="131"/>
        <v>-16</v>
      </c>
    </row>
    <row r="7445" ht="14.5" customHeight="1" spans="11:29" x14ac:dyDescent="0.25">
      <c r="K7445" s="128"/>
      <c r="X7445" s="234">
        <v>2022</v>
      </c>
      <c r="Y7445" s="234">
        <v>11</v>
      </c>
      <c r="Z7445" s="234">
        <v>7</v>
      </c>
      <c r="AA7445" s="235">
        <v>0.125</v>
      </c>
      <c r="AB7445" s="234">
        <v>-16.3</v>
      </c>
      <c r="AC7445" s="127">
        <f t="shared" si="131"/>
        <v>-16</v>
      </c>
    </row>
    <row r="7446" ht="14.5" customHeight="1" spans="11:29" x14ac:dyDescent="0.25">
      <c r="K7446" s="128"/>
      <c r="X7446" s="234">
        <v>2022</v>
      </c>
      <c r="Y7446" s="234">
        <v>11</v>
      </c>
      <c r="Z7446" s="234">
        <v>7</v>
      </c>
      <c r="AA7446" s="235">
        <v>0.16666666666787933</v>
      </c>
      <c r="AB7446" s="234">
        <v>-16.6</v>
      </c>
      <c r="AC7446" s="127">
        <f t="shared" si="131"/>
        <v>-17</v>
      </c>
    </row>
    <row r="7447" ht="14.5" customHeight="1" spans="11:29" x14ac:dyDescent="0.25">
      <c r="K7447" s="128"/>
      <c r="X7447" s="234">
        <v>2022</v>
      </c>
      <c r="Y7447" s="234">
        <v>11</v>
      </c>
      <c r="Z7447" s="234">
        <v>7</v>
      </c>
      <c r="AA7447" s="235">
        <v>0.20833333333212067</v>
      </c>
      <c r="AB7447" s="234">
        <v>-16.7</v>
      </c>
      <c r="AC7447" s="127">
        <f t="shared" si="131"/>
        <v>-17</v>
      </c>
    </row>
    <row r="7448" ht="14.5" customHeight="1" spans="11:29" x14ac:dyDescent="0.25">
      <c r="K7448" s="128"/>
      <c r="X7448" s="234">
        <v>2022</v>
      </c>
      <c r="Y7448" s="234">
        <v>11</v>
      </c>
      <c r="Z7448" s="234">
        <v>7</v>
      </c>
      <c r="AA7448" s="235">
        <v>0.25</v>
      </c>
      <c r="AB7448" s="234">
        <v>-17.2</v>
      </c>
      <c r="AC7448" s="127">
        <f t="shared" si="131"/>
        <v>-17</v>
      </c>
    </row>
    <row r="7449" ht="14.5" customHeight="1" spans="11:29" x14ac:dyDescent="0.25">
      <c r="K7449" s="128"/>
      <c r="X7449" s="234">
        <v>2022</v>
      </c>
      <c r="Y7449" s="234">
        <v>11</v>
      </c>
      <c r="Z7449" s="234">
        <v>7</v>
      </c>
      <c r="AA7449" s="235">
        <v>0.2916666666678793</v>
      </c>
      <c r="AB7449" s="234">
        <v>-17.2</v>
      </c>
      <c r="AC7449" s="127">
        <f t="shared" si="131"/>
        <v>-17</v>
      </c>
    </row>
    <row r="7450" ht="14.5" customHeight="1" spans="11:29" x14ac:dyDescent="0.25">
      <c r="K7450" s="128"/>
      <c r="X7450" s="234">
        <v>2022</v>
      </c>
      <c r="Y7450" s="234">
        <v>11</v>
      </c>
      <c r="Z7450" s="234">
        <v>7</v>
      </c>
      <c r="AA7450" s="235">
        <v>0.3333333333321207</v>
      </c>
      <c r="AB7450" s="234">
        <v>-17.5</v>
      </c>
      <c r="AC7450" s="127">
        <f t="shared" si="131"/>
        <v>-18</v>
      </c>
    </row>
    <row r="7451" ht="14.5" customHeight="1" spans="11:29" x14ac:dyDescent="0.25">
      <c r="K7451" s="128"/>
      <c r="X7451" s="234">
        <v>2022</v>
      </c>
      <c r="Y7451" s="234">
        <v>11</v>
      </c>
      <c r="Z7451" s="234">
        <v>7</v>
      </c>
      <c r="AA7451" s="235">
        <v>0.375</v>
      </c>
      <c r="AB7451" s="234">
        <v>-17.4</v>
      </c>
      <c r="AC7451" s="127">
        <f t="shared" si="131"/>
        <v>-17</v>
      </c>
    </row>
    <row r="7452" ht="14.5" customHeight="1" spans="11:29" x14ac:dyDescent="0.25">
      <c r="K7452" s="128"/>
      <c r="X7452" s="234">
        <v>2022</v>
      </c>
      <c r="Y7452" s="234">
        <v>11</v>
      </c>
      <c r="Z7452" s="234">
        <v>7</v>
      </c>
      <c r="AA7452" s="235">
        <v>0.4166666666678793</v>
      </c>
      <c r="AB7452" s="234">
        <v>-17.1</v>
      </c>
      <c r="AC7452" s="127">
        <f t="shared" si="131"/>
        <v>-17</v>
      </c>
    </row>
    <row r="7453" ht="14.5" customHeight="1" spans="11:29" x14ac:dyDescent="0.25">
      <c r="K7453" s="128"/>
      <c r="X7453" s="234">
        <v>2022</v>
      </c>
      <c r="Y7453" s="234">
        <v>11</v>
      </c>
      <c r="Z7453" s="234">
        <v>7</v>
      </c>
      <c r="AA7453" s="235">
        <v>0.4583333333321207</v>
      </c>
      <c r="AB7453" s="234">
        <v>-17.1</v>
      </c>
      <c r="AC7453" s="127">
        <f t="shared" si="131"/>
        <v>-17</v>
      </c>
    </row>
    <row r="7454" ht="14.5" customHeight="1" spans="11:29" x14ac:dyDescent="0.25">
      <c r="K7454" s="128"/>
      <c r="X7454" s="234">
        <v>2022</v>
      </c>
      <c r="Y7454" s="234">
        <v>11</v>
      </c>
      <c r="Z7454" s="234">
        <v>7</v>
      </c>
      <c r="AA7454" s="235">
        <v>0.5</v>
      </c>
      <c r="AB7454" s="234">
        <v>-17</v>
      </c>
      <c r="AC7454" s="127">
        <f t="shared" si="131"/>
        <v>-17</v>
      </c>
    </row>
    <row r="7455" ht="14.5" customHeight="1" spans="11:29" x14ac:dyDescent="0.25">
      <c r="K7455" s="128"/>
      <c r="X7455" s="234">
        <v>2022</v>
      </c>
      <c r="Y7455" s="234">
        <v>11</v>
      </c>
      <c r="Z7455" s="234">
        <v>7</v>
      </c>
      <c r="AA7455" s="235">
        <v>0.5416666666678793</v>
      </c>
      <c r="AB7455" s="234">
        <v>-16.7</v>
      </c>
      <c r="AC7455" s="127">
        <f t="shared" si="131"/>
        <v>-17</v>
      </c>
    </row>
    <row r="7456" ht="14.5" customHeight="1" spans="11:29" x14ac:dyDescent="0.25">
      <c r="K7456" s="128"/>
      <c r="X7456" s="234">
        <v>2022</v>
      </c>
      <c r="Y7456" s="234">
        <v>11</v>
      </c>
      <c r="Z7456" s="234">
        <v>7</v>
      </c>
      <c r="AA7456" s="235">
        <v>0.5833333333321207</v>
      </c>
      <c r="AB7456" s="234">
        <v>-16.7</v>
      </c>
      <c r="AC7456" s="127">
        <f t="shared" si="131"/>
        <v>-17</v>
      </c>
    </row>
    <row r="7457" ht="14.5" customHeight="1" spans="11:29" x14ac:dyDescent="0.25">
      <c r="K7457" s="128"/>
      <c r="X7457" s="234">
        <v>2022</v>
      </c>
      <c r="Y7457" s="234">
        <v>11</v>
      </c>
      <c r="Z7457" s="234">
        <v>7</v>
      </c>
      <c r="AA7457" s="235">
        <v>0.625</v>
      </c>
      <c r="AB7457" s="234">
        <v>-16.6</v>
      </c>
      <c r="AC7457" s="127">
        <f t="shared" si="131"/>
        <v>-17</v>
      </c>
    </row>
    <row r="7458" ht="14.5" customHeight="1" spans="11:29" x14ac:dyDescent="0.25">
      <c r="K7458" s="128"/>
      <c r="X7458" s="234">
        <v>2022</v>
      </c>
      <c r="Y7458" s="234">
        <v>11</v>
      </c>
      <c r="Z7458" s="234">
        <v>7</v>
      </c>
      <c r="AA7458" s="235">
        <v>0.6666666666678793</v>
      </c>
      <c r="AB7458" s="234">
        <v>-16.5</v>
      </c>
      <c r="AC7458" s="127">
        <f t="shared" si="131"/>
        <v>-17</v>
      </c>
    </row>
    <row r="7459" ht="14.5" customHeight="1" spans="11:29" x14ac:dyDescent="0.25">
      <c r="K7459" s="128"/>
      <c r="X7459" s="234">
        <v>2022</v>
      </c>
      <c r="Y7459" s="234">
        <v>11</v>
      </c>
      <c r="Z7459" s="234">
        <v>7</v>
      </c>
      <c r="AA7459" s="235">
        <v>0.7083333333321207</v>
      </c>
      <c r="AB7459" s="234">
        <v>-16.3</v>
      </c>
      <c r="AC7459" s="127">
        <f t="shared" si="131"/>
        <v>-16</v>
      </c>
    </row>
    <row r="7460" ht="14.5" customHeight="1" spans="11:29" x14ac:dyDescent="0.25">
      <c r="K7460" s="128"/>
      <c r="X7460" s="234">
        <v>2022</v>
      </c>
      <c r="Y7460" s="234">
        <v>11</v>
      </c>
      <c r="Z7460" s="234">
        <v>7</v>
      </c>
      <c r="AA7460" s="235">
        <v>0.75</v>
      </c>
      <c r="AB7460" s="234">
        <v>-16.2</v>
      </c>
      <c r="AC7460" s="127">
        <f t="shared" si="131"/>
        <v>-16</v>
      </c>
    </row>
    <row r="7461" ht="14.5" customHeight="1" spans="11:29" x14ac:dyDescent="0.25">
      <c r="K7461" s="128"/>
      <c r="X7461" s="234">
        <v>2022</v>
      </c>
      <c r="Y7461" s="234">
        <v>11</v>
      </c>
      <c r="Z7461" s="234">
        <v>7</v>
      </c>
      <c r="AA7461" s="235">
        <v>0.7916666666678793</v>
      </c>
      <c r="AB7461" s="234">
        <v>-16.1</v>
      </c>
      <c r="AC7461" s="127">
        <f t="shared" si="131"/>
        <v>-16</v>
      </c>
    </row>
    <row r="7462" ht="14.5" customHeight="1" spans="11:29" x14ac:dyDescent="0.25">
      <c r="K7462" s="128"/>
      <c r="X7462" s="234">
        <v>2022</v>
      </c>
      <c r="Y7462" s="234">
        <v>11</v>
      </c>
      <c r="Z7462" s="234">
        <v>7</v>
      </c>
      <c r="AA7462" s="235">
        <v>0.8333333333321207</v>
      </c>
      <c r="AB7462" s="234">
        <v>-16</v>
      </c>
      <c r="AC7462" s="127">
        <f t="shared" si="131"/>
        <v>-16</v>
      </c>
    </row>
    <row r="7463" ht="14.5" customHeight="1" spans="11:29" x14ac:dyDescent="0.25">
      <c r="K7463" s="128"/>
      <c r="X7463" s="234">
        <v>2022</v>
      </c>
      <c r="Y7463" s="234">
        <v>11</v>
      </c>
      <c r="Z7463" s="234">
        <v>7</v>
      </c>
      <c r="AA7463" s="235">
        <v>0.875</v>
      </c>
      <c r="AB7463" s="234">
        <v>-17.2</v>
      </c>
      <c r="AC7463" s="127">
        <f t="shared" si="131"/>
        <v>-17</v>
      </c>
    </row>
    <row r="7464" ht="14.5" customHeight="1" spans="11:29" x14ac:dyDescent="0.25">
      <c r="K7464" s="128"/>
      <c r="X7464" s="234">
        <v>2022</v>
      </c>
      <c r="Y7464" s="234">
        <v>11</v>
      </c>
      <c r="Z7464" s="234">
        <v>7</v>
      </c>
      <c r="AA7464" s="235">
        <v>0.9166666666678793</v>
      </c>
      <c r="AB7464" s="234">
        <v>-18.7</v>
      </c>
      <c r="AC7464" s="127">
        <f t="shared" si="131"/>
        <v>-19</v>
      </c>
    </row>
    <row r="7465" ht="14.5" customHeight="1" spans="11:29" x14ac:dyDescent="0.25">
      <c r="K7465" s="128"/>
      <c r="X7465" s="234">
        <v>2022</v>
      </c>
      <c r="Y7465" s="234">
        <v>11</v>
      </c>
      <c r="Z7465" s="234">
        <v>7</v>
      </c>
      <c r="AA7465" s="235">
        <v>0.9583333333321207</v>
      </c>
      <c r="AB7465" s="234">
        <v>-20.3</v>
      </c>
      <c r="AC7465" s="127">
        <f t="shared" si="131"/>
        <v>-20</v>
      </c>
    </row>
    <row r="7466" ht="14.5" customHeight="1" spans="11:29" x14ac:dyDescent="0.25">
      <c r="K7466" s="128"/>
      <c r="X7466" s="234">
        <v>2022</v>
      </c>
      <c r="Y7466" s="234">
        <v>11</v>
      </c>
      <c r="Z7466" s="234">
        <v>8</v>
      </c>
      <c r="AA7466" s="235">
        <v>0</v>
      </c>
      <c r="AB7466" s="234">
        <v>-21.7</v>
      </c>
      <c r="AC7466" s="127">
        <f t="shared" si="131"/>
        <v>-22</v>
      </c>
    </row>
    <row r="7467" ht="14.5" customHeight="1" spans="11:29" x14ac:dyDescent="0.25">
      <c r="K7467" s="128"/>
      <c r="X7467" s="234">
        <v>2022</v>
      </c>
      <c r="Y7467" s="234">
        <v>11</v>
      </c>
      <c r="Z7467" s="234">
        <v>8</v>
      </c>
      <c r="AA7467" s="235">
        <v>0.041666666667879326</v>
      </c>
      <c r="AB7467" s="234">
        <v>-22.7</v>
      </c>
      <c r="AC7467" s="127">
        <f t="shared" si="131"/>
        <v>-23</v>
      </c>
    </row>
    <row r="7468" ht="14.5" customHeight="1" spans="11:29" x14ac:dyDescent="0.25">
      <c r="K7468" s="128"/>
      <c r="X7468" s="234">
        <v>2022</v>
      </c>
      <c r="Y7468" s="234">
        <v>11</v>
      </c>
      <c r="Z7468" s="234">
        <v>8</v>
      </c>
      <c r="AA7468" s="235">
        <v>0.08333333333212067</v>
      </c>
      <c r="AB7468" s="234">
        <v>-22.1</v>
      </c>
      <c r="AC7468" s="127">
        <f t="shared" si="131"/>
        <v>-22</v>
      </c>
    </row>
    <row r="7469" ht="14.5" customHeight="1" spans="11:29" x14ac:dyDescent="0.25">
      <c r="K7469" s="128"/>
      <c r="X7469" s="234">
        <v>2022</v>
      </c>
      <c r="Y7469" s="234">
        <v>11</v>
      </c>
      <c r="Z7469" s="234">
        <v>8</v>
      </c>
      <c r="AA7469" s="235">
        <v>0.125</v>
      </c>
      <c r="AB7469" s="234">
        <v>-21.4</v>
      </c>
      <c r="AC7469" s="127">
        <f t="shared" si="131"/>
        <v>-21</v>
      </c>
    </row>
    <row r="7470" ht="14.5" customHeight="1" spans="11:29" x14ac:dyDescent="0.25">
      <c r="K7470" s="128"/>
      <c r="X7470" s="234">
        <v>2022</v>
      </c>
      <c r="Y7470" s="234">
        <v>11</v>
      </c>
      <c r="Z7470" s="234">
        <v>8</v>
      </c>
      <c r="AA7470" s="235">
        <v>0.16666666666787933</v>
      </c>
      <c r="AB7470" s="234">
        <v>-20.2</v>
      </c>
      <c r="AC7470" s="127">
        <f t="shared" si="131"/>
        <v>-20</v>
      </c>
    </row>
    <row r="7471" ht="14.5" customHeight="1" spans="11:29" x14ac:dyDescent="0.25">
      <c r="K7471" s="128"/>
      <c r="X7471" s="234">
        <v>2022</v>
      </c>
      <c r="Y7471" s="234">
        <v>11</v>
      </c>
      <c r="Z7471" s="234">
        <v>8</v>
      </c>
      <c r="AA7471" s="235">
        <v>0.20833333333212067</v>
      </c>
      <c r="AB7471" s="234">
        <v>-23</v>
      </c>
      <c r="AC7471" s="127">
        <f t="shared" si="131"/>
        <v>-23</v>
      </c>
    </row>
    <row r="7472" ht="14.5" customHeight="1" spans="11:29" x14ac:dyDescent="0.25">
      <c r="K7472" s="128"/>
      <c r="X7472" s="234">
        <v>2022</v>
      </c>
      <c r="Y7472" s="234">
        <v>11</v>
      </c>
      <c r="Z7472" s="234">
        <v>8</v>
      </c>
      <c r="AA7472" s="235">
        <v>0.25</v>
      </c>
      <c r="AB7472" s="234">
        <v>-22.3</v>
      </c>
      <c r="AC7472" s="127">
        <f t="shared" si="131"/>
        <v>-22</v>
      </c>
    </row>
    <row r="7473" ht="14.5" customHeight="1" spans="11:29" x14ac:dyDescent="0.25">
      <c r="K7473" s="128"/>
      <c r="X7473" s="234">
        <v>2022</v>
      </c>
      <c r="Y7473" s="234">
        <v>11</v>
      </c>
      <c r="Z7473" s="234">
        <v>8</v>
      </c>
      <c r="AA7473" s="235">
        <v>0.2916666666678793</v>
      </c>
      <c r="AB7473" s="234">
        <v>-22.6</v>
      </c>
      <c r="AC7473" s="127">
        <f t="shared" si="131"/>
        <v>-23</v>
      </c>
    </row>
    <row r="7474" ht="14.5" customHeight="1" spans="11:29" x14ac:dyDescent="0.25">
      <c r="K7474" s="128"/>
      <c r="X7474" s="234">
        <v>2022</v>
      </c>
      <c r="Y7474" s="234">
        <v>11</v>
      </c>
      <c r="Z7474" s="234">
        <v>8</v>
      </c>
      <c r="AA7474" s="235">
        <v>0.3333333333321207</v>
      </c>
      <c r="AB7474" s="234">
        <v>-22.2</v>
      </c>
      <c r="AC7474" s="127">
        <f t="shared" si="131"/>
        <v>-22</v>
      </c>
    </row>
    <row r="7475" ht="14.5" customHeight="1" spans="11:29" x14ac:dyDescent="0.25">
      <c r="K7475" s="128"/>
      <c r="X7475" s="234">
        <v>2022</v>
      </c>
      <c r="Y7475" s="234">
        <v>11</v>
      </c>
      <c r="Z7475" s="234">
        <v>8</v>
      </c>
      <c r="AA7475" s="235">
        <v>0.375</v>
      </c>
      <c r="AB7475" s="234">
        <v>-19.9</v>
      </c>
      <c r="AC7475" s="127">
        <f t="shared" si="131"/>
        <v>-20</v>
      </c>
    </row>
    <row r="7476" ht="14.5" customHeight="1" spans="11:29" x14ac:dyDescent="0.25">
      <c r="K7476" s="128"/>
      <c r="X7476" s="234">
        <v>2022</v>
      </c>
      <c r="Y7476" s="234">
        <v>11</v>
      </c>
      <c r="Z7476" s="234">
        <v>8</v>
      </c>
      <c r="AA7476" s="235">
        <v>0.4166666666678793</v>
      </c>
      <c r="AB7476" s="234">
        <v>-18.8</v>
      </c>
      <c r="AC7476" s="127">
        <f t="shared" si="131"/>
        <v>-19</v>
      </c>
    </row>
    <row r="7477" ht="14.5" customHeight="1" spans="11:29" x14ac:dyDescent="0.25">
      <c r="K7477" s="128"/>
      <c r="X7477" s="234">
        <v>2022</v>
      </c>
      <c r="Y7477" s="234">
        <v>11</v>
      </c>
      <c r="Z7477" s="234">
        <v>8</v>
      </c>
      <c r="AA7477" s="235">
        <v>0.4583333333321207</v>
      </c>
      <c r="AB7477" s="234">
        <v>-17.5</v>
      </c>
      <c r="AC7477" s="127">
        <f t="shared" si="131"/>
        <v>-18</v>
      </c>
    </row>
    <row r="7478" ht="14.5" customHeight="1" spans="11:29" x14ac:dyDescent="0.25">
      <c r="K7478" s="128"/>
      <c r="X7478" s="234">
        <v>2022</v>
      </c>
      <c r="Y7478" s="234">
        <v>11</v>
      </c>
      <c r="Z7478" s="234">
        <v>8</v>
      </c>
      <c r="AA7478" s="235">
        <v>0.5</v>
      </c>
      <c r="AB7478" s="234">
        <v>-16.6</v>
      </c>
      <c r="AC7478" s="127">
        <f t="shared" si="131"/>
        <v>-17</v>
      </c>
    </row>
    <row r="7479" ht="14.5" customHeight="1" spans="11:29" x14ac:dyDescent="0.25">
      <c r="K7479" s="128"/>
      <c r="X7479" s="234">
        <v>2022</v>
      </c>
      <c r="Y7479" s="234">
        <v>11</v>
      </c>
      <c r="Z7479" s="234">
        <v>8</v>
      </c>
      <c r="AA7479" s="235">
        <v>0.5416666666678793</v>
      </c>
      <c r="AB7479" s="234">
        <v>-16.1</v>
      </c>
      <c r="AC7479" s="127">
        <f t="shared" si="131"/>
        <v>-16</v>
      </c>
    </row>
    <row r="7480" ht="14.5" customHeight="1" spans="11:29" x14ac:dyDescent="0.25">
      <c r="K7480" s="128"/>
      <c r="X7480" s="234">
        <v>2022</v>
      </c>
      <c r="Y7480" s="234">
        <v>11</v>
      </c>
      <c r="Z7480" s="234">
        <v>8</v>
      </c>
      <c r="AA7480" s="235">
        <v>0.5833333333321207</v>
      </c>
      <c r="AB7480" s="234">
        <v>-16.3</v>
      </c>
      <c r="AC7480" s="127">
        <f t="shared" si="131"/>
        <v>-16</v>
      </c>
    </row>
    <row r="7481" ht="14.5" customHeight="1" spans="11:29" x14ac:dyDescent="0.25">
      <c r="K7481" s="128"/>
      <c r="X7481" s="234">
        <v>2022</v>
      </c>
      <c r="Y7481" s="234">
        <v>11</v>
      </c>
      <c r="Z7481" s="234">
        <v>8</v>
      </c>
      <c r="AA7481" s="235">
        <v>0.625</v>
      </c>
      <c r="AB7481" s="234">
        <v>-16.1</v>
      </c>
      <c r="AC7481" s="127">
        <f t="shared" si="131"/>
        <v>-16</v>
      </c>
    </row>
    <row r="7482" ht="14.5" customHeight="1" spans="11:29" x14ac:dyDescent="0.25">
      <c r="K7482" s="128"/>
      <c r="X7482" s="234">
        <v>2022</v>
      </c>
      <c r="Y7482" s="234">
        <v>11</v>
      </c>
      <c r="Z7482" s="234">
        <v>8</v>
      </c>
      <c r="AA7482" s="235">
        <v>0.6666666666678793</v>
      </c>
      <c r="AB7482" s="234">
        <v>-17.4</v>
      </c>
      <c r="AC7482" s="127">
        <f t="shared" si="131"/>
        <v>-17</v>
      </c>
    </row>
    <row r="7483" ht="14.5" customHeight="1" spans="11:29" x14ac:dyDescent="0.25">
      <c r="K7483" s="128"/>
      <c r="X7483" s="234">
        <v>2022</v>
      </c>
      <c r="Y7483" s="234">
        <v>11</v>
      </c>
      <c r="Z7483" s="234">
        <v>8</v>
      </c>
      <c r="AA7483" s="235">
        <v>0.7083333333321207</v>
      </c>
      <c r="AB7483" s="234">
        <v>-19</v>
      </c>
      <c r="AC7483" s="127">
        <f t="shared" si="131"/>
        <v>-19</v>
      </c>
    </row>
    <row r="7484" ht="14.5" customHeight="1" spans="11:29" x14ac:dyDescent="0.25">
      <c r="K7484" s="128"/>
      <c r="X7484" s="234">
        <v>2022</v>
      </c>
      <c r="Y7484" s="234">
        <v>11</v>
      </c>
      <c r="Z7484" s="234">
        <v>8</v>
      </c>
      <c r="AA7484" s="235">
        <v>0.75</v>
      </c>
      <c r="AB7484" s="234">
        <v>-19.7</v>
      </c>
      <c r="AC7484" s="127">
        <f t="shared" si="131"/>
        <v>-20</v>
      </c>
    </row>
    <row r="7485" ht="14.5" customHeight="1" spans="11:29" x14ac:dyDescent="0.25">
      <c r="K7485" s="128"/>
      <c r="X7485" s="234">
        <v>2022</v>
      </c>
      <c r="Y7485" s="234">
        <v>11</v>
      </c>
      <c r="Z7485" s="234">
        <v>8</v>
      </c>
      <c r="AA7485" s="235">
        <v>0.7916666666678793</v>
      </c>
      <c r="AB7485" s="234">
        <v>-19.9</v>
      </c>
      <c r="AC7485" s="127">
        <f t="shared" si="131"/>
        <v>-20</v>
      </c>
    </row>
    <row r="7486" ht="14.5" customHeight="1" spans="11:29" x14ac:dyDescent="0.25">
      <c r="K7486" s="128"/>
      <c r="X7486" s="234">
        <v>2022</v>
      </c>
      <c r="Y7486" s="234">
        <v>11</v>
      </c>
      <c r="Z7486" s="234">
        <v>8</v>
      </c>
      <c r="AA7486" s="235">
        <v>0.8333333333321207</v>
      </c>
      <c r="AB7486" s="234">
        <v>-19.8</v>
      </c>
      <c r="AC7486" s="127">
        <f t="shared" si="131"/>
        <v>-20</v>
      </c>
    </row>
    <row r="7487" ht="14.5" customHeight="1" spans="11:29" x14ac:dyDescent="0.25">
      <c r="K7487" s="128"/>
      <c r="X7487" s="234">
        <v>2022</v>
      </c>
      <c r="Y7487" s="234">
        <v>11</v>
      </c>
      <c r="Z7487" s="234">
        <v>8</v>
      </c>
      <c r="AA7487" s="235">
        <v>0.875</v>
      </c>
      <c r="AB7487" s="234">
        <v>-20.5</v>
      </c>
      <c r="AC7487" s="127">
        <f t="shared" si="131"/>
        <v>-21</v>
      </c>
    </row>
    <row r="7488" ht="14.5" customHeight="1" spans="11:29" x14ac:dyDescent="0.25">
      <c r="K7488" s="128"/>
      <c r="X7488" s="234">
        <v>2022</v>
      </c>
      <c r="Y7488" s="234">
        <v>11</v>
      </c>
      <c r="Z7488" s="234">
        <v>8</v>
      </c>
      <c r="AA7488" s="235">
        <v>0.9166666666678793</v>
      </c>
      <c r="AB7488" s="234">
        <v>-20.4</v>
      </c>
      <c r="AC7488" s="127">
        <f t="shared" si="131"/>
        <v>-20</v>
      </c>
    </row>
    <row r="7489" ht="14.5" customHeight="1" spans="11:29" x14ac:dyDescent="0.25">
      <c r="K7489" s="128"/>
      <c r="X7489" s="234">
        <v>2022</v>
      </c>
      <c r="Y7489" s="234">
        <v>11</v>
      </c>
      <c r="Z7489" s="234">
        <v>8</v>
      </c>
      <c r="AA7489" s="235">
        <v>0.9583333333321207</v>
      </c>
      <c r="AB7489" s="234">
        <v>-21.2</v>
      </c>
      <c r="AC7489" s="127">
        <f t="shared" si="131"/>
        <v>-21</v>
      </c>
    </row>
    <row r="7490" ht="14.5" customHeight="1" spans="11:29" x14ac:dyDescent="0.25">
      <c r="K7490" s="128"/>
      <c r="X7490" s="234">
        <v>2022</v>
      </c>
      <c r="Y7490" s="234">
        <v>11</v>
      </c>
      <c r="Z7490" s="234">
        <v>9</v>
      </c>
      <c r="AA7490" s="235">
        <v>0</v>
      </c>
      <c r="AB7490" s="234">
        <v>-21.1</v>
      </c>
      <c r="AC7490" s="127">
        <f t="shared" si="131"/>
        <v>-21</v>
      </c>
    </row>
    <row r="7491" ht="14.5" customHeight="1" spans="11:29" x14ac:dyDescent="0.25">
      <c r="K7491" s="128"/>
      <c r="X7491" s="234">
        <v>2022</v>
      </c>
      <c r="Y7491" s="234">
        <v>11</v>
      </c>
      <c r="Z7491" s="234">
        <v>9</v>
      </c>
      <c r="AA7491" s="235">
        <v>0.041666666667879326</v>
      </c>
      <c r="AB7491" s="234">
        <v>-21.1</v>
      </c>
      <c r="AC7491" s="127">
        <f t="shared" si="131"/>
        <v>-21</v>
      </c>
    </row>
    <row r="7492" ht="14.5" customHeight="1" spans="11:29" x14ac:dyDescent="0.25">
      <c r="K7492" s="128"/>
      <c r="X7492" s="234">
        <v>2022</v>
      </c>
      <c r="Y7492" s="234">
        <v>11</v>
      </c>
      <c r="Z7492" s="234">
        <v>9</v>
      </c>
      <c r="AA7492" s="235">
        <v>0.08333333333212067</v>
      </c>
      <c r="AB7492" s="234">
        <v>-21.7</v>
      </c>
      <c r="AC7492" s="127">
        <f t="shared" si="131"/>
        <v>-22</v>
      </c>
    </row>
    <row r="7493" ht="14.5" customHeight="1" spans="11:29" x14ac:dyDescent="0.25">
      <c r="K7493" s="128"/>
      <c r="X7493" s="234">
        <v>2022</v>
      </c>
      <c r="Y7493" s="234">
        <v>11</v>
      </c>
      <c r="Z7493" s="234">
        <v>9</v>
      </c>
      <c r="AA7493" s="235">
        <v>0.125</v>
      </c>
      <c r="AB7493" s="234">
        <v>-22.5</v>
      </c>
      <c r="AC7493" s="127">
        <f t="shared" si="131"/>
        <v>-23</v>
      </c>
    </row>
    <row r="7494" ht="14.5" customHeight="1" spans="11:29" x14ac:dyDescent="0.25">
      <c r="K7494" s="128"/>
      <c r="X7494" s="234">
        <v>2022</v>
      </c>
      <c r="Y7494" s="234">
        <v>11</v>
      </c>
      <c r="Z7494" s="234">
        <v>9</v>
      </c>
      <c r="AA7494" s="235">
        <v>0.16666666666787933</v>
      </c>
      <c r="AB7494" s="234">
        <v>-21.3</v>
      </c>
      <c r="AC7494" s="127">
        <f t="shared" si="131"/>
        <v>-21</v>
      </c>
    </row>
    <row r="7495" ht="14.5" customHeight="1" spans="11:29" x14ac:dyDescent="0.25">
      <c r="K7495" s="128"/>
      <c r="X7495" s="234">
        <v>2022</v>
      </c>
      <c r="Y7495" s="234">
        <v>11</v>
      </c>
      <c r="Z7495" s="234">
        <v>9</v>
      </c>
      <c r="AA7495" s="235">
        <v>0.20833333333212067</v>
      </c>
      <c r="AB7495" s="234">
        <v>-22.4</v>
      </c>
      <c r="AC7495" s="127">
        <f t="shared" si="131"/>
        <v>-22</v>
      </c>
    </row>
    <row r="7496" ht="14.5" customHeight="1" spans="11:29" x14ac:dyDescent="0.25">
      <c r="K7496" s="128"/>
      <c r="X7496" s="234">
        <v>2022</v>
      </c>
      <c r="Y7496" s="234">
        <v>11</v>
      </c>
      <c r="Z7496" s="234">
        <v>9</v>
      </c>
      <c r="AA7496" s="235">
        <v>0.25</v>
      </c>
      <c r="AB7496" s="234">
        <v>-23.1</v>
      </c>
      <c r="AC7496" s="127">
        <f t="shared" si="131"/>
        <v>-23</v>
      </c>
    </row>
    <row r="7497" ht="14.5" customHeight="1" spans="11:29" x14ac:dyDescent="0.25">
      <c r="K7497" s="128"/>
      <c r="X7497" s="234">
        <v>2022</v>
      </c>
      <c r="Y7497" s="234">
        <v>11</v>
      </c>
      <c r="Z7497" s="234">
        <v>9</v>
      </c>
      <c r="AA7497" s="235">
        <v>0.2916666666678793</v>
      </c>
      <c r="AB7497" s="234">
        <v>-21.4</v>
      </c>
      <c r="AC7497" s="127">
        <f t="shared" si="131"/>
        <v>-21</v>
      </c>
    </row>
    <row r="7498" ht="14.5" customHeight="1" spans="11:29" x14ac:dyDescent="0.25">
      <c r="K7498" s="128"/>
      <c r="X7498" s="234">
        <v>2022</v>
      </c>
      <c r="Y7498" s="234">
        <v>11</v>
      </c>
      <c r="Z7498" s="234">
        <v>9</v>
      </c>
      <c r="AA7498" s="235">
        <v>0.3333333333321207</v>
      </c>
      <c r="AB7498" s="234">
        <v>-21.2</v>
      </c>
      <c r="AC7498" s="127">
        <f t="shared" si="131"/>
        <v>-21</v>
      </c>
    </row>
    <row r="7499" ht="14.5" customHeight="1" spans="11:29" x14ac:dyDescent="0.25">
      <c r="K7499" s="128"/>
      <c r="X7499" s="234">
        <v>2022</v>
      </c>
      <c r="Y7499" s="234">
        <v>11</v>
      </c>
      <c r="Z7499" s="234">
        <v>9</v>
      </c>
      <c r="AA7499" s="235">
        <v>0.375</v>
      </c>
      <c r="AB7499" s="234">
        <v>-20.4</v>
      </c>
      <c r="AC7499" s="127">
        <f t="shared" ref="AC7499:AC7562" si="132">ROUND(AB7499,0)</f>
        <v>-20</v>
      </c>
    </row>
    <row r="7500" ht="14.5" customHeight="1" spans="11:29" x14ac:dyDescent="0.25">
      <c r="K7500" s="128"/>
      <c r="X7500" s="234">
        <v>2022</v>
      </c>
      <c r="Y7500" s="234">
        <v>11</v>
      </c>
      <c r="Z7500" s="234">
        <v>9</v>
      </c>
      <c r="AA7500" s="235">
        <v>0.4166666666678793</v>
      </c>
      <c r="AB7500" s="234">
        <v>-18.6</v>
      </c>
      <c r="AC7500" s="127">
        <f t="shared" si="132"/>
        <v>-19</v>
      </c>
    </row>
    <row r="7501" ht="14.5" customHeight="1" spans="11:29" x14ac:dyDescent="0.25">
      <c r="K7501" s="128"/>
      <c r="X7501" s="234">
        <v>2022</v>
      </c>
      <c r="Y7501" s="234">
        <v>11</v>
      </c>
      <c r="Z7501" s="234">
        <v>9</v>
      </c>
      <c r="AA7501" s="235">
        <v>0.4583333333321207</v>
      </c>
      <c r="AB7501" s="234">
        <v>-18</v>
      </c>
      <c r="AC7501" s="127">
        <f t="shared" si="132"/>
        <v>-18</v>
      </c>
    </row>
    <row r="7502" ht="14.5" customHeight="1" spans="11:29" x14ac:dyDescent="0.25">
      <c r="K7502" s="128"/>
      <c r="X7502" s="234">
        <v>2022</v>
      </c>
      <c r="Y7502" s="234">
        <v>11</v>
      </c>
      <c r="Z7502" s="234">
        <v>9</v>
      </c>
      <c r="AA7502" s="235">
        <v>0.5</v>
      </c>
      <c r="AB7502" s="234">
        <v>-17.6</v>
      </c>
      <c r="AC7502" s="127">
        <f t="shared" si="132"/>
        <v>-18</v>
      </c>
    </row>
    <row r="7503" ht="14.5" customHeight="1" spans="11:29" x14ac:dyDescent="0.25">
      <c r="K7503" s="128"/>
      <c r="X7503" s="234">
        <v>2022</v>
      </c>
      <c r="Y7503" s="234">
        <v>11</v>
      </c>
      <c r="Z7503" s="234">
        <v>9</v>
      </c>
      <c r="AA7503" s="235">
        <v>0.5416666666678793</v>
      </c>
      <c r="AB7503" s="234">
        <v>-16.3</v>
      </c>
      <c r="AC7503" s="127">
        <f t="shared" si="132"/>
        <v>-16</v>
      </c>
    </row>
    <row r="7504" ht="14.5" customHeight="1" spans="11:29" x14ac:dyDescent="0.25">
      <c r="K7504" s="128"/>
      <c r="X7504" s="234">
        <v>2022</v>
      </c>
      <c r="Y7504" s="234">
        <v>11</v>
      </c>
      <c r="Z7504" s="234">
        <v>9</v>
      </c>
      <c r="AA7504" s="235">
        <v>0.5833333333321207</v>
      </c>
      <c r="AB7504" s="234">
        <v>-17.1</v>
      </c>
      <c r="AC7504" s="127">
        <f t="shared" si="132"/>
        <v>-17</v>
      </c>
    </row>
    <row r="7505" ht="14.5" customHeight="1" spans="11:29" x14ac:dyDescent="0.25">
      <c r="K7505" s="128"/>
      <c r="X7505" s="234">
        <v>2022</v>
      </c>
      <c r="Y7505" s="234">
        <v>11</v>
      </c>
      <c r="Z7505" s="234">
        <v>9</v>
      </c>
      <c r="AA7505" s="235">
        <v>0.625</v>
      </c>
      <c r="AB7505" s="234">
        <v>-16</v>
      </c>
      <c r="AC7505" s="127">
        <f t="shared" si="132"/>
        <v>-16</v>
      </c>
    </row>
    <row r="7506" ht="14.5" customHeight="1" spans="11:29" x14ac:dyDescent="0.25">
      <c r="K7506" s="128"/>
      <c r="X7506" s="234">
        <v>2022</v>
      </c>
      <c r="Y7506" s="234">
        <v>11</v>
      </c>
      <c r="Z7506" s="234">
        <v>9</v>
      </c>
      <c r="AA7506" s="235">
        <v>0.6666666666678793</v>
      </c>
      <c r="AB7506" s="234">
        <v>-16.4</v>
      </c>
      <c r="AC7506" s="127">
        <f t="shared" si="132"/>
        <v>-16</v>
      </c>
    </row>
    <row r="7507" ht="14.5" customHeight="1" spans="11:29" x14ac:dyDescent="0.25">
      <c r="K7507" s="128"/>
      <c r="X7507" s="234">
        <v>2022</v>
      </c>
      <c r="Y7507" s="234">
        <v>11</v>
      </c>
      <c r="Z7507" s="234">
        <v>9</v>
      </c>
      <c r="AA7507" s="235">
        <v>0.7083333333321207</v>
      </c>
      <c r="AB7507" s="234">
        <v>-18.3</v>
      </c>
      <c r="AC7507" s="127">
        <f t="shared" si="132"/>
        <v>-18</v>
      </c>
    </row>
    <row r="7508" ht="14.5" customHeight="1" spans="11:29" x14ac:dyDescent="0.25">
      <c r="K7508" s="128"/>
      <c r="X7508" s="234">
        <v>2022</v>
      </c>
      <c r="Y7508" s="234">
        <v>11</v>
      </c>
      <c r="Z7508" s="234">
        <v>9</v>
      </c>
      <c r="AA7508" s="235">
        <v>0.75</v>
      </c>
      <c r="AB7508" s="234">
        <v>-20.6</v>
      </c>
      <c r="AC7508" s="127">
        <f t="shared" si="132"/>
        <v>-21</v>
      </c>
    </row>
    <row r="7509" ht="14.5" customHeight="1" spans="11:29" x14ac:dyDescent="0.25">
      <c r="K7509" s="128"/>
      <c r="X7509" s="234">
        <v>2022</v>
      </c>
      <c r="Y7509" s="234">
        <v>11</v>
      </c>
      <c r="Z7509" s="234">
        <v>9</v>
      </c>
      <c r="AA7509" s="235">
        <v>0.7916666666678793</v>
      </c>
      <c r="AB7509" s="234">
        <v>-20.6</v>
      </c>
      <c r="AC7509" s="127">
        <f t="shared" si="132"/>
        <v>-21</v>
      </c>
    </row>
    <row r="7510" ht="14.5" customHeight="1" spans="11:29" x14ac:dyDescent="0.25">
      <c r="K7510" s="128"/>
      <c r="X7510" s="234">
        <v>2022</v>
      </c>
      <c r="Y7510" s="234">
        <v>11</v>
      </c>
      <c r="Z7510" s="234">
        <v>9</v>
      </c>
      <c r="AA7510" s="235">
        <v>0.8333333333321207</v>
      </c>
      <c r="AB7510" s="234">
        <v>-20</v>
      </c>
      <c r="AC7510" s="127">
        <f t="shared" si="132"/>
        <v>-20</v>
      </c>
    </row>
    <row r="7511" ht="14.5" customHeight="1" spans="11:29" x14ac:dyDescent="0.25">
      <c r="K7511" s="128"/>
      <c r="X7511" s="234">
        <v>2022</v>
      </c>
      <c r="Y7511" s="234">
        <v>11</v>
      </c>
      <c r="Z7511" s="234">
        <v>9</v>
      </c>
      <c r="AA7511" s="235">
        <v>0.875</v>
      </c>
      <c r="AB7511" s="234">
        <v>-20</v>
      </c>
      <c r="AC7511" s="127">
        <f t="shared" si="132"/>
        <v>-20</v>
      </c>
    </row>
    <row r="7512" ht="14.5" customHeight="1" spans="11:29" x14ac:dyDescent="0.25">
      <c r="K7512" s="128"/>
      <c r="X7512" s="234">
        <v>2022</v>
      </c>
      <c r="Y7512" s="234">
        <v>11</v>
      </c>
      <c r="Z7512" s="234">
        <v>9</v>
      </c>
      <c r="AA7512" s="235">
        <v>0.9166666666678793</v>
      </c>
      <c r="AB7512" s="234">
        <v>-19.9</v>
      </c>
      <c r="AC7512" s="127">
        <f t="shared" si="132"/>
        <v>-20</v>
      </c>
    </row>
    <row r="7513" ht="14.5" customHeight="1" spans="11:29" x14ac:dyDescent="0.25">
      <c r="K7513" s="128"/>
      <c r="X7513" s="234">
        <v>2022</v>
      </c>
      <c r="Y7513" s="234">
        <v>11</v>
      </c>
      <c r="Z7513" s="234">
        <v>9</v>
      </c>
      <c r="AA7513" s="235">
        <v>0.9583333333321207</v>
      </c>
      <c r="AB7513" s="234">
        <v>-19.9</v>
      </c>
      <c r="AC7513" s="127">
        <f t="shared" si="132"/>
        <v>-20</v>
      </c>
    </row>
    <row r="7514" ht="14.5" customHeight="1" spans="11:29" x14ac:dyDescent="0.25">
      <c r="K7514" s="128"/>
      <c r="X7514" s="234">
        <v>2022</v>
      </c>
      <c r="Y7514" s="234">
        <v>11</v>
      </c>
      <c r="Z7514" s="234">
        <v>10</v>
      </c>
      <c r="AA7514" s="235">
        <v>0</v>
      </c>
      <c r="AB7514" s="234">
        <v>-19.6</v>
      </c>
      <c r="AC7514" s="127">
        <f t="shared" si="132"/>
        <v>-20</v>
      </c>
    </row>
    <row r="7515" ht="14.5" customHeight="1" spans="11:29" x14ac:dyDescent="0.25">
      <c r="K7515" s="128"/>
      <c r="X7515" s="234">
        <v>2022</v>
      </c>
      <c r="Y7515" s="234">
        <v>11</v>
      </c>
      <c r="Z7515" s="234">
        <v>10</v>
      </c>
      <c r="AA7515" s="235">
        <v>0.041666666667879326</v>
      </c>
      <c r="AB7515" s="234">
        <v>-18.3</v>
      </c>
      <c r="AC7515" s="127">
        <f t="shared" si="132"/>
        <v>-18</v>
      </c>
    </row>
    <row r="7516" ht="14.5" customHeight="1" spans="11:29" x14ac:dyDescent="0.25">
      <c r="K7516" s="128"/>
      <c r="X7516" s="234">
        <v>2022</v>
      </c>
      <c r="Y7516" s="234">
        <v>11</v>
      </c>
      <c r="Z7516" s="234">
        <v>10</v>
      </c>
      <c r="AA7516" s="235">
        <v>0.08333333333212067</v>
      </c>
      <c r="AB7516" s="234">
        <v>-18.7</v>
      </c>
      <c r="AC7516" s="127">
        <f t="shared" si="132"/>
        <v>-19</v>
      </c>
    </row>
    <row r="7517" ht="14.5" customHeight="1" spans="11:29" x14ac:dyDescent="0.25">
      <c r="K7517" s="128"/>
      <c r="X7517" s="234">
        <v>2022</v>
      </c>
      <c r="Y7517" s="234">
        <v>11</v>
      </c>
      <c r="Z7517" s="234">
        <v>10</v>
      </c>
      <c r="AA7517" s="235">
        <v>0.125</v>
      </c>
      <c r="AB7517" s="234">
        <v>-18.1</v>
      </c>
      <c r="AC7517" s="127">
        <f t="shared" si="132"/>
        <v>-18</v>
      </c>
    </row>
    <row r="7518" ht="14.5" customHeight="1" spans="11:29" x14ac:dyDescent="0.25">
      <c r="K7518" s="128"/>
      <c r="X7518" s="234">
        <v>2022</v>
      </c>
      <c r="Y7518" s="234">
        <v>11</v>
      </c>
      <c r="Z7518" s="234">
        <v>10</v>
      </c>
      <c r="AA7518" s="235">
        <v>0.16666666666787933</v>
      </c>
      <c r="AB7518" s="234">
        <v>-19.1</v>
      </c>
      <c r="AC7518" s="127">
        <f t="shared" si="132"/>
        <v>-19</v>
      </c>
    </row>
    <row r="7519" ht="14.5" customHeight="1" spans="11:29" x14ac:dyDescent="0.25">
      <c r="K7519" s="128"/>
      <c r="X7519" s="234">
        <v>2022</v>
      </c>
      <c r="Y7519" s="234">
        <v>11</v>
      </c>
      <c r="Z7519" s="234">
        <v>10</v>
      </c>
      <c r="AA7519" s="235">
        <v>0.20833333333212067</v>
      </c>
      <c r="AB7519" s="234">
        <v>-18</v>
      </c>
      <c r="AC7519" s="127">
        <f t="shared" si="132"/>
        <v>-18</v>
      </c>
    </row>
    <row r="7520" ht="14.5" customHeight="1" spans="11:29" x14ac:dyDescent="0.25">
      <c r="K7520" s="128"/>
      <c r="X7520" s="234">
        <v>2022</v>
      </c>
      <c r="Y7520" s="234">
        <v>11</v>
      </c>
      <c r="Z7520" s="234">
        <v>10</v>
      </c>
      <c r="AA7520" s="235">
        <v>0.25</v>
      </c>
      <c r="AB7520" s="234">
        <v>-18.1</v>
      </c>
      <c r="AC7520" s="127">
        <f t="shared" si="132"/>
        <v>-18</v>
      </c>
    </row>
    <row r="7521" ht="14.5" customHeight="1" spans="11:29" x14ac:dyDescent="0.25">
      <c r="K7521" s="128"/>
      <c r="X7521" s="234">
        <v>2022</v>
      </c>
      <c r="Y7521" s="234">
        <v>11</v>
      </c>
      <c r="Z7521" s="234">
        <v>10</v>
      </c>
      <c r="AA7521" s="235">
        <v>0.2916666666678793</v>
      </c>
      <c r="AB7521" s="234">
        <v>-17.8</v>
      </c>
      <c r="AC7521" s="127">
        <f t="shared" si="132"/>
        <v>-18</v>
      </c>
    </row>
    <row r="7522" ht="14.5" customHeight="1" spans="11:29" x14ac:dyDescent="0.25">
      <c r="K7522" s="128"/>
      <c r="X7522" s="234">
        <v>2022</v>
      </c>
      <c r="Y7522" s="234">
        <v>11</v>
      </c>
      <c r="Z7522" s="234">
        <v>10</v>
      </c>
      <c r="AA7522" s="235">
        <v>0.3333333333321207</v>
      </c>
      <c r="AB7522" s="234">
        <v>-18.9</v>
      </c>
      <c r="AC7522" s="127">
        <f t="shared" si="132"/>
        <v>-19</v>
      </c>
    </row>
    <row r="7523" ht="14.5" customHeight="1" spans="11:29" x14ac:dyDescent="0.25">
      <c r="K7523" s="128"/>
      <c r="X7523" s="234">
        <v>2022</v>
      </c>
      <c r="Y7523" s="234">
        <v>11</v>
      </c>
      <c r="Z7523" s="234">
        <v>10</v>
      </c>
      <c r="AA7523" s="235">
        <v>0.375</v>
      </c>
      <c r="AB7523" s="234">
        <v>-15.7</v>
      </c>
      <c r="AC7523" s="127">
        <f t="shared" si="132"/>
        <v>-16</v>
      </c>
    </row>
    <row r="7524" ht="14.5" customHeight="1" spans="11:29" x14ac:dyDescent="0.25">
      <c r="K7524" s="128"/>
      <c r="X7524" s="234">
        <v>2022</v>
      </c>
      <c r="Y7524" s="234">
        <v>11</v>
      </c>
      <c r="Z7524" s="234">
        <v>10</v>
      </c>
      <c r="AA7524" s="235">
        <v>0.4166666666678793</v>
      </c>
      <c r="AB7524" s="234">
        <v>-12.5</v>
      </c>
      <c r="AC7524" s="127">
        <f t="shared" si="132"/>
        <v>-13</v>
      </c>
    </row>
    <row r="7525" ht="14.5" customHeight="1" spans="11:29" x14ac:dyDescent="0.25">
      <c r="K7525" s="128"/>
      <c r="X7525" s="234">
        <v>2022</v>
      </c>
      <c r="Y7525" s="234">
        <v>11</v>
      </c>
      <c r="Z7525" s="234">
        <v>10</v>
      </c>
      <c r="AA7525" s="235">
        <v>0.4583333333321207</v>
      </c>
      <c r="AB7525" s="234">
        <v>-10.1</v>
      </c>
      <c r="AC7525" s="127">
        <f t="shared" si="132"/>
        <v>-10</v>
      </c>
    </row>
    <row r="7526" ht="14.5" customHeight="1" spans="11:29" x14ac:dyDescent="0.25">
      <c r="K7526" s="128"/>
      <c r="X7526" s="234">
        <v>2022</v>
      </c>
      <c r="Y7526" s="234">
        <v>11</v>
      </c>
      <c r="Z7526" s="234">
        <v>10</v>
      </c>
      <c r="AA7526" s="235">
        <v>0.5</v>
      </c>
      <c r="AB7526" s="234">
        <v>-7.9</v>
      </c>
      <c r="AC7526" s="127">
        <f t="shared" si="132"/>
        <v>-8</v>
      </c>
    </row>
    <row r="7527" ht="14.5" customHeight="1" spans="11:29" x14ac:dyDescent="0.25">
      <c r="K7527" s="128"/>
      <c r="X7527" s="234">
        <v>2022</v>
      </c>
      <c r="Y7527" s="234">
        <v>11</v>
      </c>
      <c r="Z7527" s="234">
        <v>10</v>
      </c>
      <c r="AA7527" s="235">
        <v>0.5416666666678793</v>
      </c>
      <c r="AB7527" s="234">
        <v>-6.7</v>
      </c>
      <c r="AC7527" s="127">
        <f t="shared" si="132"/>
        <v>-7</v>
      </c>
    </row>
    <row r="7528" ht="14.5" customHeight="1" spans="11:29" x14ac:dyDescent="0.25">
      <c r="K7528" s="128"/>
      <c r="X7528" s="234">
        <v>2022</v>
      </c>
      <c r="Y7528" s="234">
        <v>11</v>
      </c>
      <c r="Z7528" s="234">
        <v>10</v>
      </c>
      <c r="AA7528" s="235">
        <v>0.5833333333321207</v>
      </c>
      <c r="AB7528" s="234">
        <v>-5.5</v>
      </c>
      <c r="AC7528" s="127">
        <f t="shared" si="132"/>
        <v>-6</v>
      </c>
    </row>
    <row r="7529" ht="14.5" customHeight="1" spans="11:29" x14ac:dyDescent="0.25">
      <c r="K7529" s="128"/>
      <c r="X7529" s="234">
        <v>2022</v>
      </c>
      <c r="Y7529" s="234">
        <v>11</v>
      </c>
      <c r="Z7529" s="234">
        <v>10</v>
      </c>
      <c r="AA7529" s="235">
        <v>0.625</v>
      </c>
      <c r="AB7529" s="234">
        <v>-5.9</v>
      </c>
      <c r="AC7529" s="127">
        <f t="shared" si="132"/>
        <v>-6</v>
      </c>
    </row>
    <row r="7530" ht="14.5" customHeight="1" spans="11:29" x14ac:dyDescent="0.25">
      <c r="K7530" s="128"/>
      <c r="X7530" s="234">
        <v>2022</v>
      </c>
      <c r="Y7530" s="234">
        <v>11</v>
      </c>
      <c r="Z7530" s="234">
        <v>10</v>
      </c>
      <c r="AA7530" s="235">
        <v>0.6666666666678793</v>
      </c>
      <c r="AB7530" s="234">
        <v>-5.9</v>
      </c>
      <c r="AC7530" s="127">
        <f t="shared" si="132"/>
        <v>-6</v>
      </c>
    </row>
    <row r="7531" ht="14.5" customHeight="1" spans="11:29" x14ac:dyDescent="0.25">
      <c r="K7531" s="128"/>
      <c r="X7531" s="234">
        <v>2022</v>
      </c>
      <c r="Y7531" s="234">
        <v>11</v>
      </c>
      <c r="Z7531" s="234">
        <v>10</v>
      </c>
      <c r="AA7531" s="235">
        <v>0.7083333333321207</v>
      </c>
      <c r="AB7531" s="234">
        <v>-9.2</v>
      </c>
      <c r="AC7531" s="127">
        <f t="shared" si="132"/>
        <v>-9</v>
      </c>
    </row>
    <row r="7532" ht="14.5" customHeight="1" spans="11:29" x14ac:dyDescent="0.25">
      <c r="K7532" s="128"/>
      <c r="X7532" s="234">
        <v>2022</v>
      </c>
      <c r="Y7532" s="234">
        <v>11</v>
      </c>
      <c r="Z7532" s="234">
        <v>10</v>
      </c>
      <c r="AA7532" s="235">
        <v>0.75</v>
      </c>
      <c r="AB7532" s="234">
        <v>-11.2</v>
      </c>
      <c r="AC7532" s="127">
        <f t="shared" si="132"/>
        <v>-11</v>
      </c>
    </row>
    <row r="7533" ht="14.5" customHeight="1" spans="11:29" x14ac:dyDescent="0.25">
      <c r="K7533" s="128"/>
      <c r="X7533" s="234">
        <v>2022</v>
      </c>
      <c r="Y7533" s="234">
        <v>11</v>
      </c>
      <c r="Z7533" s="234">
        <v>10</v>
      </c>
      <c r="AA7533" s="235">
        <v>0.7916666666678793</v>
      </c>
      <c r="AB7533" s="234">
        <v>-13.3</v>
      </c>
      <c r="AC7533" s="127">
        <f t="shared" si="132"/>
        <v>-13</v>
      </c>
    </row>
    <row r="7534" ht="14.5" customHeight="1" spans="11:29" x14ac:dyDescent="0.25">
      <c r="K7534" s="128"/>
      <c r="X7534" s="234">
        <v>2022</v>
      </c>
      <c r="Y7534" s="234">
        <v>11</v>
      </c>
      <c r="Z7534" s="234">
        <v>10</v>
      </c>
      <c r="AA7534" s="235">
        <v>0.8333333333321207</v>
      </c>
      <c r="AB7534" s="234">
        <v>-14.1</v>
      </c>
      <c r="AC7534" s="127">
        <f t="shared" si="132"/>
        <v>-14</v>
      </c>
    </row>
    <row r="7535" ht="14.5" customHeight="1" spans="11:29" x14ac:dyDescent="0.25">
      <c r="K7535" s="128"/>
      <c r="X7535" s="234">
        <v>2022</v>
      </c>
      <c r="Y7535" s="234">
        <v>11</v>
      </c>
      <c r="Z7535" s="234">
        <v>10</v>
      </c>
      <c r="AA7535" s="235">
        <v>0.875</v>
      </c>
      <c r="AB7535" s="234">
        <v>-13.2</v>
      </c>
      <c r="AC7535" s="127">
        <f t="shared" si="132"/>
        <v>-13</v>
      </c>
    </row>
    <row r="7536" ht="14.5" customHeight="1" spans="11:29" x14ac:dyDescent="0.25">
      <c r="K7536" s="128"/>
      <c r="X7536" s="234">
        <v>2022</v>
      </c>
      <c r="Y7536" s="234">
        <v>11</v>
      </c>
      <c r="Z7536" s="234">
        <v>10</v>
      </c>
      <c r="AA7536" s="235">
        <v>0.9166666666678793</v>
      </c>
      <c r="AB7536" s="234">
        <v>-12.9</v>
      </c>
      <c r="AC7536" s="127">
        <f t="shared" si="132"/>
        <v>-13</v>
      </c>
    </row>
    <row r="7537" ht="14.5" customHeight="1" spans="11:29" x14ac:dyDescent="0.25">
      <c r="K7537" s="128"/>
      <c r="X7537" s="234">
        <v>2022</v>
      </c>
      <c r="Y7537" s="234">
        <v>11</v>
      </c>
      <c r="Z7537" s="234">
        <v>10</v>
      </c>
      <c r="AA7537" s="235">
        <v>0.9583333333321207</v>
      </c>
      <c r="AB7537" s="234">
        <v>-13.8</v>
      </c>
      <c r="AC7537" s="127">
        <f t="shared" si="132"/>
        <v>-14</v>
      </c>
    </row>
    <row r="7538" ht="14.5" customHeight="1" spans="11:29" x14ac:dyDescent="0.25">
      <c r="K7538" s="128"/>
      <c r="X7538" s="234">
        <v>2022</v>
      </c>
      <c r="Y7538" s="234">
        <v>11</v>
      </c>
      <c r="Z7538" s="234">
        <v>11</v>
      </c>
      <c r="AA7538" s="235">
        <v>0</v>
      </c>
      <c r="AB7538" s="234">
        <v>-11.7</v>
      </c>
      <c r="AC7538" s="127">
        <f t="shared" si="132"/>
        <v>-12</v>
      </c>
    </row>
    <row r="7539" ht="14.5" customHeight="1" spans="11:29" x14ac:dyDescent="0.25">
      <c r="K7539" s="128"/>
      <c r="X7539" s="234">
        <v>2022</v>
      </c>
      <c r="Y7539" s="234">
        <v>11</v>
      </c>
      <c r="Z7539" s="234">
        <v>11</v>
      </c>
      <c r="AA7539" s="235">
        <v>0.041666666667879326</v>
      </c>
      <c r="AB7539" s="234">
        <v>-13.2</v>
      </c>
      <c r="AC7539" s="127">
        <f t="shared" si="132"/>
        <v>-13</v>
      </c>
    </row>
    <row r="7540" ht="14.5" customHeight="1" spans="11:29" x14ac:dyDescent="0.25">
      <c r="K7540" s="128"/>
      <c r="X7540" s="234">
        <v>2022</v>
      </c>
      <c r="Y7540" s="234">
        <v>11</v>
      </c>
      <c r="Z7540" s="234">
        <v>11</v>
      </c>
      <c r="AA7540" s="235">
        <v>0.08333333333212067</v>
      </c>
      <c r="AB7540" s="234">
        <v>-13.4</v>
      </c>
      <c r="AC7540" s="127">
        <f t="shared" si="132"/>
        <v>-13</v>
      </c>
    </row>
    <row r="7541" ht="14.5" customHeight="1" spans="11:29" x14ac:dyDescent="0.25">
      <c r="K7541" s="128"/>
      <c r="X7541" s="234">
        <v>2022</v>
      </c>
      <c r="Y7541" s="234">
        <v>11</v>
      </c>
      <c r="Z7541" s="234">
        <v>11</v>
      </c>
      <c r="AA7541" s="235">
        <v>0.125</v>
      </c>
      <c r="AB7541" s="234">
        <v>-12.7</v>
      </c>
      <c r="AC7541" s="127">
        <f t="shared" si="132"/>
        <v>-13</v>
      </c>
    </row>
    <row r="7542" ht="14.5" customHeight="1" spans="11:29" x14ac:dyDescent="0.25">
      <c r="K7542" s="128"/>
      <c r="X7542" s="234">
        <v>2022</v>
      </c>
      <c r="Y7542" s="234">
        <v>11</v>
      </c>
      <c r="Z7542" s="234">
        <v>11</v>
      </c>
      <c r="AA7542" s="235">
        <v>0.16666666666787933</v>
      </c>
      <c r="AB7542" s="234">
        <v>-13.2</v>
      </c>
      <c r="AC7542" s="127">
        <f t="shared" si="132"/>
        <v>-13</v>
      </c>
    </row>
    <row r="7543" ht="14.5" customHeight="1" spans="11:29" x14ac:dyDescent="0.25">
      <c r="K7543" s="128"/>
      <c r="X7543" s="234">
        <v>2022</v>
      </c>
      <c r="Y7543" s="234">
        <v>11</v>
      </c>
      <c r="Z7543" s="234">
        <v>11</v>
      </c>
      <c r="AA7543" s="235">
        <v>0.20833333333212067</v>
      </c>
      <c r="AB7543" s="234">
        <v>-11.6</v>
      </c>
      <c r="AC7543" s="127">
        <f t="shared" si="132"/>
        <v>-12</v>
      </c>
    </row>
    <row r="7544" ht="14.5" customHeight="1" spans="11:29" x14ac:dyDescent="0.25">
      <c r="K7544" s="128"/>
      <c r="X7544" s="234">
        <v>2022</v>
      </c>
      <c r="Y7544" s="234">
        <v>11</v>
      </c>
      <c r="Z7544" s="234">
        <v>11</v>
      </c>
      <c r="AA7544" s="235">
        <v>0.25</v>
      </c>
      <c r="AB7544" s="234">
        <v>-11.8</v>
      </c>
      <c r="AC7544" s="127">
        <f t="shared" si="132"/>
        <v>-12</v>
      </c>
    </row>
    <row r="7545" ht="14.5" customHeight="1" spans="11:29" x14ac:dyDescent="0.25">
      <c r="K7545" s="128"/>
      <c r="X7545" s="234">
        <v>2022</v>
      </c>
      <c r="Y7545" s="234">
        <v>11</v>
      </c>
      <c r="Z7545" s="234">
        <v>11</v>
      </c>
      <c r="AA7545" s="235">
        <v>0.2916666666678793</v>
      </c>
      <c r="AB7545" s="234">
        <v>-10.2</v>
      </c>
      <c r="AC7545" s="127">
        <f t="shared" si="132"/>
        <v>-10</v>
      </c>
    </row>
    <row r="7546" ht="14.5" customHeight="1" spans="11:29" x14ac:dyDescent="0.25">
      <c r="K7546" s="128"/>
      <c r="X7546" s="234">
        <v>2022</v>
      </c>
      <c r="Y7546" s="234">
        <v>11</v>
      </c>
      <c r="Z7546" s="234">
        <v>11</v>
      </c>
      <c r="AA7546" s="235">
        <v>0.3333333333321207</v>
      </c>
      <c r="AB7546" s="234">
        <v>-10.6</v>
      </c>
      <c r="AC7546" s="127">
        <f t="shared" si="132"/>
        <v>-11</v>
      </c>
    </row>
    <row r="7547" ht="14.5" customHeight="1" spans="11:29" x14ac:dyDescent="0.25">
      <c r="K7547" s="128"/>
      <c r="X7547" s="234">
        <v>2022</v>
      </c>
      <c r="Y7547" s="234">
        <v>11</v>
      </c>
      <c r="Z7547" s="234">
        <v>11</v>
      </c>
      <c r="AA7547" s="235">
        <v>0.375</v>
      </c>
      <c r="AB7547" s="234">
        <v>-9.5</v>
      </c>
      <c r="AC7547" s="127">
        <f t="shared" si="132"/>
        <v>-10</v>
      </c>
    </row>
    <row r="7548" ht="14.5" customHeight="1" spans="11:29" x14ac:dyDescent="0.25">
      <c r="K7548" s="128"/>
      <c r="X7548" s="234">
        <v>2022</v>
      </c>
      <c r="Y7548" s="234">
        <v>11</v>
      </c>
      <c r="Z7548" s="234">
        <v>11</v>
      </c>
      <c r="AA7548" s="235">
        <v>0.4166666666678793</v>
      </c>
      <c r="AB7548" s="234">
        <v>-7</v>
      </c>
      <c r="AC7548" s="127">
        <f t="shared" si="132"/>
        <v>-7</v>
      </c>
    </row>
    <row r="7549" ht="14.5" customHeight="1" spans="11:29" x14ac:dyDescent="0.25">
      <c r="K7549" s="128"/>
      <c r="X7549" s="234">
        <v>2022</v>
      </c>
      <c r="Y7549" s="234">
        <v>11</v>
      </c>
      <c r="Z7549" s="234">
        <v>11</v>
      </c>
      <c r="AA7549" s="235">
        <v>0.4583333333321207</v>
      </c>
      <c r="AB7549" s="234">
        <v>-5.3</v>
      </c>
      <c r="AC7549" s="127">
        <f t="shared" si="132"/>
        <v>-5</v>
      </c>
    </row>
    <row r="7550" ht="14.5" customHeight="1" spans="11:29" x14ac:dyDescent="0.25">
      <c r="K7550" s="128"/>
      <c r="X7550" s="234">
        <v>2022</v>
      </c>
      <c r="Y7550" s="234">
        <v>11</v>
      </c>
      <c r="Z7550" s="234">
        <v>11</v>
      </c>
      <c r="AA7550" s="235">
        <v>0.5</v>
      </c>
      <c r="AB7550" s="234">
        <v>-3</v>
      </c>
      <c r="AC7550" s="127">
        <f t="shared" si="132"/>
        <v>-3</v>
      </c>
    </row>
    <row r="7551" ht="14.5" customHeight="1" spans="11:29" x14ac:dyDescent="0.25">
      <c r="K7551" s="128"/>
      <c r="X7551" s="234">
        <v>2022</v>
      </c>
      <c r="Y7551" s="234">
        <v>11</v>
      </c>
      <c r="Z7551" s="234">
        <v>11</v>
      </c>
      <c r="AA7551" s="235">
        <v>0.5416666666678793</v>
      </c>
      <c r="AB7551" s="234">
        <v>-0.8</v>
      </c>
      <c r="AC7551" s="127">
        <f t="shared" si="132"/>
        <v>-1</v>
      </c>
    </row>
    <row r="7552" ht="14.5" customHeight="1" spans="11:29" x14ac:dyDescent="0.25">
      <c r="K7552" s="128"/>
      <c r="X7552" s="234">
        <v>2022</v>
      </c>
      <c r="Y7552" s="234">
        <v>11</v>
      </c>
      <c r="Z7552" s="234">
        <v>11</v>
      </c>
      <c r="AA7552" s="235">
        <v>0.5833333333321207</v>
      </c>
      <c r="AB7552" s="234">
        <v>-0.3</v>
      </c>
      <c r="AC7552" s="127">
        <f t="shared" si="132"/>
        <v>0</v>
      </c>
    </row>
    <row r="7553" ht="14.5" customHeight="1" spans="11:29" x14ac:dyDescent="0.25">
      <c r="K7553" s="128"/>
      <c r="X7553" s="234">
        <v>2022</v>
      </c>
      <c r="Y7553" s="234">
        <v>11</v>
      </c>
      <c r="Z7553" s="234">
        <v>11</v>
      </c>
      <c r="AA7553" s="235">
        <v>0.625</v>
      </c>
      <c r="AB7553" s="234">
        <v>-0.3</v>
      </c>
      <c r="AC7553" s="127">
        <f t="shared" si="132"/>
        <v>0</v>
      </c>
    </row>
    <row r="7554" ht="14.5" customHeight="1" spans="11:29" x14ac:dyDescent="0.25">
      <c r="K7554" s="128"/>
      <c r="X7554" s="234">
        <v>2022</v>
      </c>
      <c r="Y7554" s="234">
        <v>11</v>
      </c>
      <c r="Z7554" s="234">
        <v>11</v>
      </c>
      <c r="AA7554" s="235">
        <v>0.6666666666678793</v>
      </c>
      <c r="AB7554" s="234">
        <v>-4</v>
      </c>
      <c r="AC7554" s="127">
        <f t="shared" si="132"/>
        <v>-4</v>
      </c>
    </row>
    <row r="7555" ht="14.5" customHeight="1" spans="11:29" x14ac:dyDescent="0.25">
      <c r="K7555" s="128"/>
      <c r="X7555" s="234">
        <v>2022</v>
      </c>
      <c r="Y7555" s="234">
        <v>11</v>
      </c>
      <c r="Z7555" s="234">
        <v>11</v>
      </c>
      <c r="AA7555" s="235">
        <v>0.7083333333321207</v>
      </c>
      <c r="AB7555" s="234">
        <v>-5.6</v>
      </c>
      <c r="AC7555" s="127">
        <f t="shared" si="132"/>
        <v>-6</v>
      </c>
    </row>
    <row r="7556" ht="14.5" customHeight="1" spans="11:29" x14ac:dyDescent="0.25">
      <c r="K7556" s="128"/>
      <c r="X7556" s="234">
        <v>2022</v>
      </c>
      <c r="Y7556" s="234">
        <v>11</v>
      </c>
      <c r="Z7556" s="234">
        <v>11</v>
      </c>
      <c r="AA7556" s="235">
        <v>0.75</v>
      </c>
      <c r="AB7556" s="234">
        <v>-8.4</v>
      </c>
      <c r="AC7556" s="127">
        <f t="shared" si="132"/>
        <v>-8</v>
      </c>
    </row>
    <row r="7557" ht="14.5" customHeight="1" spans="11:29" x14ac:dyDescent="0.25">
      <c r="K7557" s="128"/>
      <c r="X7557" s="234">
        <v>2022</v>
      </c>
      <c r="Y7557" s="234">
        <v>11</v>
      </c>
      <c r="Z7557" s="234">
        <v>11</v>
      </c>
      <c r="AA7557" s="235">
        <v>0.7916666666678793</v>
      </c>
      <c r="AB7557" s="234">
        <v>-8.6</v>
      </c>
      <c r="AC7557" s="127">
        <f t="shared" si="132"/>
        <v>-9</v>
      </c>
    </row>
    <row r="7558" ht="14.5" customHeight="1" spans="11:29" x14ac:dyDescent="0.25">
      <c r="K7558" s="128"/>
      <c r="X7558" s="234">
        <v>2022</v>
      </c>
      <c r="Y7558" s="234">
        <v>11</v>
      </c>
      <c r="Z7558" s="234">
        <v>11</v>
      </c>
      <c r="AA7558" s="235">
        <v>0.8333333333321207</v>
      </c>
      <c r="AB7558" s="234">
        <v>-11.3</v>
      </c>
      <c r="AC7558" s="127">
        <f t="shared" si="132"/>
        <v>-11</v>
      </c>
    </row>
    <row r="7559" ht="14.5" customHeight="1" spans="11:29" x14ac:dyDescent="0.25">
      <c r="K7559" s="128"/>
      <c r="X7559" s="234">
        <v>2022</v>
      </c>
      <c r="Y7559" s="234">
        <v>11</v>
      </c>
      <c r="Z7559" s="234">
        <v>11</v>
      </c>
      <c r="AA7559" s="235">
        <v>0.875</v>
      </c>
      <c r="AB7559" s="234">
        <v>-10.8</v>
      </c>
      <c r="AC7559" s="127">
        <f t="shared" si="132"/>
        <v>-11</v>
      </c>
    </row>
    <row r="7560" ht="14.5" customHeight="1" spans="11:29" x14ac:dyDescent="0.25">
      <c r="K7560" s="128"/>
      <c r="X7560" s="234">
        <v>2022</v>
      </c>
      <c r="Y7560" s="234">
        <v>11</v>
      </c>
      <c r="Z7560" s="234">
        <v>11</v>
      </c>
      <c r="AA7560" s="235">
        <v>0.9166666666678793</v>
      </c>
      <c r="AB7560" s="234">
        <v>-11.9</v>
      </c>
      <c r="AC7560" s="127">
        <f t="shared" si="132"/>
        <v>-12</v>
      </c>
    </row>
    <row r="7561" ht="14.5" customHeight="1" spans="11:29" x14ac:dyDescent="0.25">
      <c r="K7561" s="128"/>
      <c r="X7561" s="234">
        <v>2022</v>
      </c>
      <c r="Y7561" s="234">
        <v>11</v>
      </c>
      <c r="Z7561" s="234">
        <v>11</v>
      </c>
      <c r="AA7561" s="235">
        <v>0.9583333333321207</v>
      </c>
      <c r="AB7561" s="234">
        <v>-12.5</v>
      </c>
      <c r="AC7561" s="127">
        <f t="shared" si="132"/>
        <v>-13</v>
      </c>
    </row>
    <row r="7562" ht="14.5" customHeight="1" spans="11:29" x14ac:dyDescent="0.25">
      <c r="K7562" s="128"/>
      <c r="X7562" s="234">
        <v>2022</v>
      </c>
      <c r="Y7562" s="234">
        <v>11</v>
      </c>
      <c r="Z7562" s="234">
        <v>12</v>
      </c>
      <c r="AA7562" s="235">
        <v>0</v>
      </c>
      <c r="AB7562" s="234">
        <v>-11.6</v>
      </c>
      <c r="AC7562" s="127">
        <f t="shared" si="132"/>
        <v>-12</v>
      </c>
    </row>
    <row r="7563" ht="14.5" customHeight="1" spans="11:29" x14ac:dyDescent="0.25">
      <c r="K7563" s="128"/>
      <c r="X7563" s="234">
        <v>2022</v>
      </c>
      <c r="Y7563" s="234">
        <v>11</v>
      </c>
      <c r="Z7563" s="234">
        <v>12</v>
      </c>
      <c r="AA7563" s="235">
        <v>0.041666666667879326</v>
      </c>
      <c r="AB7563" s="234">
        <v>-11</v>
      </c>
      <c r="AC7563" s="127">
        <f t="shared" ref="AC7563:AC7626" si="133">ROUND(AB7563,0)</f>
        <v>-11</v>
      </c>
    </row>
    <row r="7564" ht="14.5" customHeight="1" spans="11:29" x14ac:dyDescent="0.25">
      <c r="K7564" s="128"/>
      <c r="X7564" s="234">
        <v>2022</v>
      </c>
      <c r="Y7564" s="234">
        <v>11</v>
      </c>
      <c r="Z7564" s="234">
        <v>12</v>
      </c>
      <c r="AA7564" s="235">
        <v>0.08333333333212067</v>
      </c>
      <c r="AB7564" s="234">
        <v>-10.2</v>
      </c>
      <c r="AC7564" s="127">
        <f t="shared" si="133"/>
        <v>-10</v>
      </c>
    </row>
    <row r="7565" ht="14.5" customHeight="1" spans="11:29" x14ac:dyDescent="0.25">
      <c r="K7565" s="128"/>
      <c r="X7565" s="234">
        <v>2022</v>
      </c>
      <c r="Y7565" s="234">
        <v>11</v>
      </c>
      <c r="Z7565" s="234">
        <v>12</v>
      </c>
      <c r="AA7565" s="235">
        <v>0.125</v>
      </c>
      <c r="AB7565" s="234">
        <v>-10.8</v>
      </c>
      <c r="AC7565" s="127">
        <f t="shared" si="133"/>
        <v>-11</v>
      </c>
    </row>
    <row r="7566" ht="14.5" customHeight="1" spans="11:29" x14ac:dyDescent="0.25">
      <c r="K7566" s="128"/>
      <c r="X7566" s="234">
        <v>2022</v>
      </c>
      <c r="Y7566" s="234">
        <v>11</v>
      </c>
      <c r="Z7566" s="234">
        <v>12</v>
      </c>
      <c r="AA7566" s="235">
        <v>0.16666666666787933</v>
      </c>
      <c r="AB7566" s="234">
        <v>-11.4</v>
      </c>
      <c r="AC7566" s="127">
        <f t="shared" si="133"/>
        <v>-11</v>
      </c>
    </row>
    <row r="7567" ht="14.5" customHeight="1" spans="11:29" x14ac:dyDescent="0.25">
      <c r="K7567" s="128"/>
      <c r="X7567" s="234">
        <v>2022</v>
      </c>
      <c r="Y7567" s="234">
        <v>11</v>
      </c>
      <c r="Z7567" s="234">
        <v>12</v>
      </c>
      <c r="AA7567" s="235">
        <v>0.20833333333212067</v>
      </c>
      <c r="AB7567" s="234">
        <v>-10.4</v>
      </c>
      <c r="AC7567" s="127">
        <f t="shared" si="133"/>
        <v>-10</v>
      </c>
    </row>
    <row r="7568" ht="14.5" customHeight="1" spans="11:29" x14ac:dyDescent="0.25">
      <c r="K7568" s="128"/>
      <c r="X7568" s="234">
        <v>2022</v>
      </c>
      <c r="Y7568" s="234">
        <v>11</v>
      </c>
      <c r="Z7568" s="234">
        <v>12</v>
      </c>
      <c r="AA7568" s="235">
        <v>0.25</v>
      </c>
      <c r="AB7568" s="234">
        <v>-7.1</v>
      </c>
      <c r="AC7568" s="127">
        <f t="shared" si="133"/>
        <v>-7</v>
      </c>
    </row>
    <row r="7569" ht="14.5" customHeight="1" spans="11:29" x14ac:dyDescent="0.25">
      <c r="K7569" s="128"/>
      <c r="X7569" s="234">
        <v>2022</v>
      </c>
      <c r="Y7569" s="234">
        <v>11</v>
      </c>
      <c r="Z7569" s="234">
        <v>12</v>
      </c>
      <c r="AA7569" s="235">
        <v>0.2916666666678793</v>
      </c>
      <c r="AB7569" s="234">
        <v>-3.3</v>
      </c>
      <c r="AC7569" s="127">
        <f t="shared" si="133"/>
        <v>-3</v>
      </c>
    </row>
    <row r="7570" ht="14.5" customHeight="1" spans="11:29" x14ac:dyDescent="0.25">
      <c r="K7570" s="128"/>
      <c r="X7570" s="234">
        <v>2022</v>
      </c>
      <c r="Y7570" s="234">
        <v>11</v>
      </c>
      <c r="Z7570" s="234">
        <v>12</v>
      </c>
      <c r="AA7570" s="235">
        <v>0.3333333333321207</v>
      </c>
      <c r="AB7570" s="234">
        <v>-3.4</v>
      </c>
      <c r="AC7570" s="127">
        <f t="shared" si="133"/>
        <v>-3</v>
      </c>
    </row>
    <row r="7571" ht="14.5" customHeight="1" spans="11:29" x14ac:dyDescent="0.25">
      <c r="K7571" s="128"/>
      <c r="X7571" s="234">
        <v>2022</v>
      </c>
      <c r="Y7571" s="234">
        <v>11</v>
      </c>
      <c r="Z7571" s="234">
        <v>12</v>
      </c>
      <c r="AA7571" s="235">
        <v>0.375</v>
      </c>
      <c r="AB7571" s="234">
        <v>-2.5</v>
      </c>
      <c r="AC7571" s="127">
        <f t="shared" si="133"/>
        <v>-3</v>
      </c>
    </row>
    <row r="7572" ht="14.5" customHeight="1" spans="11:29" x14ac:dyDescent="0.25">
      <c r="K7572" s="128"/>
      <c r="X7572" s="234">
        <v>2022</v>
      </c>
      <c r="Y7572" s="234">
        <v>11</v>
      </c>
      <c r="Z7572" s="234">
        <v>12</v>
      </c>
      <c r="AA7572" s="235">
        <v>0.4166666666678793</v>
      </c>
      <c r="AB7572" s="234">
        <v>-1.2</v>
      </c>
      <c r="AC7572" s="127">
        <f t="shared" si="133"/>
        <v>-1</v>
      </c>
    </row>
    <row r="7573" ht="14.5" customHeight="1" spans="11:29" x14ac:dyDescent="0.25">
      <c r="K7573" s="128"/>
      <c r="X7573" s="234">
        <v>2022</v>
      </c>
      <c r="Y7573" s="234">
        <v>11</v>
      </c>
      <c r="Z7573" s="234">
        <v>12</v>
      </c>
      <c r="AA7573" s="235">
        <v>0.4583333333321207</v>
      </c>
      <c r="AB7573" s="234">
        <v>-0.8</v>
      </c>
      <c r="AC7573" s="127">
        <f t="shared" si="133"/>
        <v>-1</v>
      </c>
    </row>
    <row r="7574" ht="14.5" customHeight="1" spans="11:29" x14ac:dyDescent="0.25">
      <c r="K7574" s="128"/>
      <c r="X7574" s="234">
        <v>2022</v>
      </c>
      <c r="Y7574" s="234">
        <v>11</v>
      </c>
      <c r="Z7574" s="234">
        <v>12</v>
      </c>
      <c r="AA7574" s="235">
        <v>0.5</v>
      </c>
      <c r="AB7574" s="234">
        <v>-1.2</v>
      </c>
      <c r="AC7574" s="127">
        <f t="shared" si="133"/>
        <v>-1</v>
      </c>
    </row>
    <row r="7575" ht="14.5" customHeight="1" spans="11:29" x14ac:dyDescent="0.25">
      <c r="K7575" s="128"/>
      <c r="X7575" s="234">
        <v>2022</v>
      </c>
      <c r="Y7575" s="234">
        <v>11</v>
      </c>
      <c r="Z7575" s="234">
        <v>12</v>
      </c>
      <c r="AA7575" s="235">
        <v>0.5416666666678793</v>
      </c>
      <c r="AB7575" s="234">
        <v>-1.5</v>
      </c>
      <c r="AC7575" s="127">
        <f t="shared" si="133"/>
        <v>-2</v>
      </c>
    </row>
    <row r="7576" ht="14.5" customHeight="1" spans="11:29" x14ac:dyDescent="0.25">
      <c r="K7576" s="128"/>
      <c r="X7576" s="234">
        <v>2022</v>
      </c>
      <c r="Y7576" s="234">
        <v>11</v>
      </c>
      <c r="Z7576" s="234">
        <v>12</v>
      </c>
      <c r="AA7576" s="235">
        <v>0.5833333333321207</v>
      </c>
      <c r="AB7576" s="234">
        <v>-1.2</v>
      </c>
      <c r="AC7576" s="127">
        <f t="shared" si="133"/>
        <v>-1</v>
      </c>
    </row>
    <row r="7577" ht="14.5" customHeight="1" spans="11:29" x14ac:dyDescent="0.25">
      <c r="K7577" s="128"/>
      <c r="X7577" s="234">
        <v>2022</v>
      </c>
      <c r="Y7577" s="234">
        <v>11</v>
      </c>
      <c r="Z7577" s="234">
        <v>12</v>
      </c>
      <c r="AA7577" s="235">
        <v>0.625</v>
      </c>
      <c r="AB7577" s="234">
        <v>-1.2</v>
      </c>
      <c r="AC7577" s="127">
        <f t="shared" si="133"/>
        <v>-1</v>
      </c>
    </row>
    <row r="7578" ht="14.5" customHeight="1" spans="11:29" x14ac:dyDescent="0.25">
      <c r="K7578" s="128"/>
      <c r="X7578" s="234">
        <v>2022</v>
      </c>
      <c r="Y7578" s="234">
        <v>11</v>
      </c>
      <c r="Z7578" s="234">
        <v>12</v>
      </c>
      <c r="AA7578" s="235">
        <v>0.6666666666678793</v>
      </c>
      <c r="AB7578" s="234">
        <v>-0.9</v>
      </c>
      <c r="AC7578" s="127">
        <f t="shared" si="133"/>
        <v>-1</v>
      </c>
    </row>
    <row r="7579" ht="14.5" customHeight="1" spans="11:29" x14ac:dyDescent="0.25">
      <c r="K7579" s="128"/>
      <c r="X7579" s="234">
        <v>2022</v>
      </c>
      <c r="Y7579" s="234">
        <v>11</v>
      </c>
      <c r="Z7579" s="234">
        <v>12</v>
      </c>
      <c r="AA7579" s="235">
        <v>0.7083333333321207</v>
      </c>
      <c r="AB7579" s="234">
        <v>-1.4</v>
      </c>
      <c r="AC7579" s="127">
        <f t="shared" si="133"/>
        <v>-1</v>
      </c>
    </row>
    <row r="7580" ht="14.5" customHeight="1" spans="11:29" x14ac:dyDescent="0.25">
      <c r="K7580" s="128"/>
      <c r="X7580" s="234">
        <v>2022</v>
      </c>
      <c r="Y7580" s="234">
        <v>11</v>
      </c>
      <c r="Z7580" s="234">
        <v>12</v>
      </c>
      <c r="AA7580" s="235">
        <v>0.75</v>
      </c>
      <c r="AB7580" s="234">
        <v>-1.6</v>
      </c>
      <c r="AC7580" s="127">
        <f t="shared" si="133"/>
        <v>-2</v>
      </c>
    </row>
    <row r="7581" ht="14.5" customHeight="1" spans="11:29" x14ac:dyDescent="0.25">
      <c r="K7581" s="128"/>
      <c r="X7581" s="234">
        <v>2022</v>
      </c>
      <c r="Y7581" s="234">
        <v>11</v>
      </c>
      <c r="Z7581" s="234">
        <v>12</v>
      </c>
      <c r="AA7581" s="235">
        <v>0.7916666666678793</v>
      </c>
      <c r="AB7581" s="234">
        <v>-1.5</v>
      </c>
      <c r="AC7581" s="127">
        <f t="shared" si="133"/>
        <v>-2</v>
      </c>
    </row>
    <row r="7582" ht="14.5" customHeight="1" spans="11:29" x14ac:dyDescent="0.25">
      <c r="K7582" s="128"/>
      <c r="X7582" s="234">
        <v>2022</v>
      </c>
      <c r="Y7582" s="234">
        <v>11</v>
      </c>
      <c r="Z7582" s="234">
        <v>12</v>
      </c>
      <c r="AA7582" s="235">
        <v>0.8333333333321207</v>
      </c>
      <c r="AB7582" s="234">
        <v>-2</v>
      </c>
      <c r="AC7582" s="127">
        <f t="shared" si="133"/>
        <v>-2</v>
      </c>
    </row>
    <row r="7583" ht="14.5" customHeight="1" spans="11:29" x14ac:dyDescent="0.25">
      <c r="K7583" s="128"/>
      <c r="X7583" s="234">
        <v>2022</v>
      </c>
      <c r="Y7583" s="234">
        <v>11</v>
      </c>
      <c r="Z7583" s="234">
        <v>12</v>
      </c>
      <c r="AA7583" s="235">
        <v>0.875</v>
      </c>
      <c r="AB7583" s="234">
        <v>-1.8</v>
      </c>
      <c r="AC7583" s="127">
        <f t="shared" si="133"/>
        <v>-2</v>
      </c>
    </row>
    <row r="7584" ht="14.5" customHeight="1" spans="11:29" x14ac:dyDescent="0.25">
      <c r="K7584" s="128"/>
      <c r="X7584" s="234">
        <v>2022</v>
      </c>
      <c r="Y7584" s="234">
        <v>11</v>
      </c>
      <c r="Z7584" s="234">
        <v>12</v>
      </c>
      <c r="AA7584" s="235">
        <v>0.9166666666678793</v>
      </c>
      <c r="AB7584" s="234">
        <v>-1.5</v>
      </c>
      <c r="AC7584" s="127">
        <f t="shared" si="133"/>
        <v>-2</v>
      </c>
    </row>
    <row r="7585" ht="14.5" customHeight="1" spans="11:29" x14ac:dyDescent="0.25">
      <c r="K7585" s="128"/>
      <c r="X7585" s="234">
        <v>2022</v>
      </c>
      <c r="Y7585" s="234">
        <v>11</v>
      </c>
      <c r="Z7585" s="234">
        <v>12</v>
      </c>
      <c r="AA7585" s="235">
        <v>0.9583333333321207</v>
      </c>
      <c r="AB7585" s="234">
        <v>-2</v>
      </c>
      <c r="AC7585" s="127">
        <f t="shared" si="133"/>
        <v>-2</v>
      </c>
    </row>
    <row r="7586" ht="14.5" customHeight="1" spans="11:29" x14ac:dyDescent="0.25">
      <c r="K7586" s="128"/>
      <c r="X7586" s="234">
        <v>2022</v>
      </c>
      <c r="Y7586" s="234">
        <v>11</v>
      </c>
      <c r="Z7586" s="234">
        <v>13</v>
      </c>
      <c r="AA7586" s="235">
        <v>0</v>
      </c>
      <c r="AB7586" s="234">
        <v>-3</v>
      </c>
      <c r="AC7586" s="127">
        <f t="shared" si="133"/>
        <v>-3</v>
      </c>
    </row>
    <row r="7587" ht="14.5" customHeight="1" spans="11:29" x14ac:dyDescent="0.25">
      <c r="K7587" s="128"/>
      <c r="X7587" s="234">
        <v>2022</v>
      </c>
      <c r="Y7587" s="234">
        <v>11</v>
      </c>
      <c r="Z7587" s="234">
        <v>13</v>
      </c>
      <c r="AA7587" s="235">
        <v>0.041666666667879326</v>
      </c>
      <c r="AB7587" s="234">
        <v>-5.3</v>
      </c>
      <c r="AC7587" s="127">
        <f t="shared" si="133"/>
        <v>-5</v>
      </c>
    </row>
    <row r="7588" ht="14.5" customHeight="1" spans="11:29" x14ac:dyDescent="0.25">
      <c r="K7588" s="128"/>
      <c r="X7588" s="234">
        <v>2022</v>
      </c>
      <c r="Y7588" s="234">
        <v>11</v>
      </c>
      <c r="Z7588" s="234">
        <v>13</v>
      </c>
      <c r="AA7588" s="235">
        <v>0.08333333333212067</v>
      </c>
      <c r="AB7588" s="234">
        <v>-7.1</v>
      </c>
      <c r="AC7588" s="127">
        <f t="shared" si="133"/>
        <v>-7</v>
      </c>
    </row>
    <row r="7589" ht="14.5" customHeight="1" spans="11:29" x14ac:dyDescent="0.25">
      <c r="K7589" s="128"/>
      <c r="X7589" s="234">
        <v>2022</v>
      </c>
      <c r="Y7589" s="234">
        <v>11</v>
      </c>
      <c r="Z7589" s="234">
        <v>13</v>
      </c>
      <c r="AA7589" s="235">
        <v>0.125</v>
      </c>
      <c r="AB7589" s="234">
        <v>-8.3</v>
      </c>
      <c r="AC7589" s="127">
        <f t="shared" si="133"/>
        <v>-8</v>
      </c>
    </row>
    <row r="7590" ht="14.5" customHeight="1" spans="11:29" x14ac:dyDescent="0.25">
      <c r="K7590" s="128"/>
      <c r="X7590" s="234">
        <v>2022</v>
      </c>
      <c r="Y7590" s="234">
        <v>11</v>
      </c>
      <c r="Z7590" s="234">
        <v>13</v>
      </c>
      <c r="AA7590" s="235">
        <v>0.16666666666787933</v>
      </c>
      <c r="AB7590" s="234">
        <v>-8.6</v>
      </c>
      <c r="AC7590" s="127">
        <f t="shared" si="133"/>
        <v>-9</v>
      </c>
    </row>
    <row r="7591" ht="14.5" customHeight="1" spans="11:29" x14ac:dyDescent="0.25">
      <c r="K7591" s="128"/>
      <c r="X7591" s="234">
        <v>2022</v>
      </c>
      <c r="Y7591" s="234">
        <v>11</v>
      </c>
      <c r="Z7591" s="234">
        <v>13</v>
      </c>
      <c r="AA7591" s="235">
        <v>0.20833333333212067</v>
      </c>
      <c r="AB7591" s="234">
        <v>-10.5</v>
      </c>
      <c r="AC7591" s="127">
        <f t="shared" si="133"/>
        <v>-11</v>
      </c>
    </row>
    <row r="7592" ht="14.5" customHeight="1" spans="11:29" x14ac:dyDescent="0.25">
      <c r="K7592" s="128"/>
      <c r="X7592" s="234">
        <v>2022</v>
      </c>
      <c r="Y7592" s="234">
        <v>11</v>
      </c>
      <c r="Z7592" s="234">
        <v>13</v>
      </c>
      <c r="AA7592" s="235">
        <v>0.25</v>
      </c>
      <c r="AB7592" s="234">
        <v>-11.6</v>
      </c>
      <c r="AC7592" s="127">
        <f t="shared" si="133"/>
        <v>-12</v>
      </c>
    </row>
    <row r="7593" ht="14.5" customHeight="1" spans="11:29" x14ac:dyDescent="0.25">
      <c r="K7593" s="128"/>
      <c r="X7593" s="234">
        <v>2022</v>
      </c>
      <c r="Y7593" s="234">
        <v>11</v>
      </c>
      <c r="Z7593" s="234">
        <v>13</v>
      </c>
      <c r="AA7593" s="235">
        <v>0.2916666666678793</v>
      </c>
      <c r="AB7593" s="234">
        <v>-10.1</v>
      </c>
      <c r="AC7593" s="127">
        <f t="shared" si="133"/>
        <v>-10</v>
      </c>
    </row>
    <row r="7594" ht="14.5" customHeight="1" spans="11:29" x14ac:dyDescent="0.25">
      <c r="K7594" s="128"/>
      <c r="X7594" s="234">
        <v>2022</v>
      </c>
      <c r="Y7594" s="234">
        <v>11</v>
      </c>
      <c r="Z7594" s="234">
        <v>13</v>
      </c>
      <c r="AA7594" s="235">
        <v>0.3333333333321207</v>
      </c>
      <c r="AB7594" s="234">
        <v>-11</v>
      </c>
      <c r="AC7594" s="127">
        <f t="shared" si="133"/>
        <v>-11</v>
      </c>
    </row>
    <row r="7595" ht="14.5" customHeight="1" spans="11:29" x14ac:dyDescent="0.25">
      <c r="K7595" s="128"/>
      <c r="X7595" s="234">
        <v>2022</v>
      </c>
      <c r="Y7595" s="234">
        <v>11</v>
      </c>
      <c r="Z7595" s="234">
        <v>13</v>
      </c>
      <c r="AA7595" s="235">
        <v>0.375</v>
      </c>
      <c r="AB7595" s="234">
        <v>-8</v>
      </c>
      <c r="AC7595" s="127">
        <f t="shared" si="133"/>
        <v>-8</v>
      </c>
    </row>
    <row r="7596" ht="14.5" customHeight="1" spans="11:29" x14ac:dyDescent="0.25">
      <c r="K7596" s="128"/>
      <c r="X7596" s="234">
        <v>2022</v>
      </c>
      <c r="Y7596" s="234">
        <v>11</v>
      </c>
      <c r="Z7596" s="234">
        <v>13</v>
      </c>
      <c r="AA7596" s="235">
        <v>0.4166666666678793</v>
      </c>
      <c r="AB7596" s="234">
        <v>-6.4</v>
      </c>
      <c r="AC7596" s="127">
        <f t="shared" si="133"/>
        <v>-6</v>
      </c>
    </row>
    <row r="7597" ht="14.5" customHeight="1" spans="11:29" x14ac:dyDescent="0.25">
      <c r="K7597" s="128"/>
      <c r="X7597" s="234">
        <v>2022</v>
      </c>
      <c r="Y7597" s="234">
        <v>11</v>
      </c>
      <c r="Z7597" s="234">
        <v>13</v>
      </c>
      <c r="AA7597" s="235">
        <v>0.4583333333321207</v>
      </c>
      <c r="AB7597" s="234">
        <v>-3</v>
      </c>
      <c r="AC7597" s="127">
        <f t="shared" si="133"/>
        <v>-3</v>
      </c>
    </row>
    <row r="7598" ht="14.5" customHeight="1" spans="11:29" x14ac:dyDescent="0.25">
      <c r="K7598" s="128"/>
      <c r="X7598" s="234">
        <v>2022</v>
      </c>
      <c r="Y7598" s="234">
        <v>11</v>
      </c>
      <c r="Z7598" s="234">
        <v>13</v>
      </c>
      <c r="AA7598" s="235">
        <v>0.5</v>
      </c>
      <c r="AB7598" s="234">
        <v>-1.9</v>
      </c>
      <c r="AC7598" s="127">
        <f t="shared" si="133"/>
        <v>-2</v>
      </c>
    </row>
    <row r="7599" ht="14.5" customHeight="1" spans="11:29" x14ac:dyDescent="0.25">
      <c r="K7599" s="128"/>
      <c r="X7599" s="234">
        <v>2022</v>
      </c>
      <c r="Y7599" s="234">
        <v>11</v>
      </c>
      <c r="Z7599" s="234">
        <v>13</v>
      </c>
      <c r="AA7599" s="235">
        <v>0.5416666666678793</v>
      </c>
      <c r="AB7599" s="234">
        <v>0.2</v>
      </c>
      <c r="AC7599" s="127">
        <f t="shared" si="133"/>
        <v>0</v>
      </c>
    </row>
    <row r="7600" ht="14.5" customHeight="1" spans="11:29" x14ac:dyDescent="0.25">
      <c r="K7600" s="128"/>
      <c r="X7600" s="234">
        <v>2022</v>
      </c>
      <c r="Y7600" s="234">
        <v>11</v>
      </c>
      <c r="Z7600" s="234">
        <v>13</v>
      </c>
      <c r="AA7600" s="235">
        <v>0.5833333333321207</v>
      </c>
      <c r="AB7600" s="234">
        <v>0.2</v>
      </c>
      <c r="AC7600" s="127">
        <f t="shared" si="133"/>
        <v>0</v>
      </c>
    </row>
    <row r="7601" ht="14.5" customHeight="1" spans="11:29" x14ac:dyDescent="0.25">
      <c r="K7601" s="128"/>
      <c r="X7601" s="234">
        <v>2022</v>
      </c>
      <c r="Y7601" s="234">
        <v>11</v>
      </c>
      <c r="Z7601" s="234">
        <v>13</v>
      </c>
      <c r="AA7601" s="235">
        <v>0.625</v>
      </c>
      <c r="AB7601" s="234">
        <v>1.8</v>
      </c>
      <c r="AC7601" s="127">
        <f t="shared" si="133"/>
        <v>2</v>
      </c>
    </row>
    <row r="7602" ht="14.5" customHeight="1" spans="11:29" x14ac:dyDescent="0.25">
      <c r="K7602" s="128"/>
      <c r="X7602" s="234">
        <v>2022</v>
      </c>
      <c r="Y7602" s="234">
        <v>11</v>
      </c>
      <c r="Z7602" s="234">
        <v>13</v>
      </c>
      <c r="AA7602" s="235">
        <v>0.6666666666678793</v>
      </c>
      <c r="AB7602" s="234">
        <v>1</v>
      </c>
      <c r="AC7602" s="127">
        <f t="shared" si="133"/>
        <v>1</v>
      </c>
    </row>
    <row r="7603" ht="14.5" customHeight="1" spans="11:29" x14ac:dyDescent="0.25">
      <c r="K7603" s="128"/>
      <c r="X7603" s="234">
        <v>2022</v>
      </c>
      <c r="Y7603" s="234">
        <v>11</v>
      </c>
      <c r="Z7603" s="234">
        <v>13</v>
      </c>
      <c r="AA7603" s="235">
        <v>0.7083333333321207</v>
      </c>
      <c r="AB7603" s="234">
        <v>-1.4</v>
      </c>
      <c r="AC7603" s="127">
        <f t="shared" si="133"/>
        <v>-1</v>
      </c>
    </row>
    <row r="7604" ht="14.5" customHeight="1" spans="11:29" x14ac:dyDescent="0.25">
      <c r="K7604" s="128"/>
      <c r="X7604" s="234">
        <v>2022</v>
      </c>
      <c r="Y7604" s="234">
        <v>11</v>
      </c>
      <c r="Z7604" s="234">
        <v>13</v>
      </c>
      <c r="AA7604" s="235">
        <v>0.75</v>
      </c>
      <c r="AB7604" s="234">
        <v>-3.1</v>
      </c>
      <c r="AC7604" s="127">
        <f t="shared" si="133"/>
        <v>-3</v>
      </c>
    </row>
    <row r="7605" ht="14.5" customHeight="1" spans="11:29" x14ac:dyDescent="0.25">
      <c r="K7605" s="128"/>
      <c r="X7605" s="234">
        <v>2022</v>
      </c>
      <c r="Y7605" s="234">
        <v>11</v>
      </c>
      <c r="Z7605" s="234">
        <v>13</v>
      </c>
      <c r="AA7605" s="235">
        <v>0.7916666666678793</v>
      </c>
      <c r="AB7605" s="234">
        <v>-4.3</v>
      </c>
      <c r="AC7605" s="127">
        <f t="shared" si="133"/>
        <v>-4</v>
      </c>
    </row>
    <row r="7606" ht="14.5" customHeight="1" spans="11:29" x14ac:dyDescent="0.25">
      <c r="K7606" s="128"/>
      <c r="X7606" s="234">
        <v>2022</v>
      </c>
      <c r="Y7606" s="234">
        <v>11</v>
      </c>
      <c r="Z7606" s="234">
        <v>13</v>
      </c>
      <c r="AA7606" s="235">
        <v>0.8333333333321207</v>
      </c>
      <c r="AB7606" s="234">
        <v>-3.9</v>
      </c>
      <c r="AC7606" s="127">
        <f t="shared" si="133"/>
        <v>-4</v>
      </c>
    </row>
    <row r="7607" ht="14.5" customHeight="1" spans="11:29" x14ac:dyDescent="0.25">
      <c r="K7607" s="128"/>
      <c r="X7607" s="234">
        <v>2022</v>
      </c>
      <c r="Y7607" s="234">
        <v>11</v>
      </c>
      <c r="Z7607" s="234">
        <v>13</v>
      </c>
      <c r="AA7607" s="235">
        <v>0.875</v>
      </c>
      <c r="AB7607" s="234">
        <v>-4</v>
      </c>
      <c r="AC7607" s="127">
        <f t="shared" si="133"/>
        <v>-4</v>
      </c>
    </row>
    <row r="7608" ht="14.5" customHeight="1" spans="11:29" x14ac:dyDescent="0.25">
      <c r="K7608" s="128"/>
      <c r="X7608" s="234">
        <v>2022</v>
      </c>
      <c r="Y7608" s="234">
        <v>11</v>
      </c>
      <c r="Z7608" s="234">
        <v>13</v>
      </c>
      <c r="AA7608" s="235">
        <v>0.9166666666678793</v>
      </c>
      <c r="AB7608" s="234">
        <v>-0.4</v>
      </c>
      <c r="AC7608" s="127">
        <f t="shared" si="133"/>
        <v>0</v>
      </c>
    </row>
    <row r="7609" ht="14.5" customHeight="1" spans="11:29" x14ac:dyDescent="0.25">
      <c r="K7609" s="128"/>
      <c r="X7609" s="234">
        <v>2022</v>
      </c>
      <c r="Y7609" s="234">
        <v>11</v>
      </c>
      <c r="Z7609" s="234">
        <v>13</v>
      </c>
      <c r="AA7609" s="235">
        <v>0.9583333333321207</v>
      </c>
      <c r="AB7609" s="234">
        <v>1</v>
      </c>
      <c r="AC7609" s="127">
        <f t="shared" si="133"/>
        <v>1</v>
      </c>
    </row>
    <row r="7610" ht="14.5" customHeight="1" spans="11:29" x14ac:dyDescent="0.25">
      <c r="K7610" s="128"/>
      <c r="X7610" s="234">
        <v>2022</v>
      </c>
      <c r="Y7610" s="234">
        <v>11</v>
      </c>
      <c r="Z7610" s="234">
        <v>14</v>
      </c>
      <c r="AA7610" s="235">
        <v>0</v>
      </c>
      <c r="AB7610" s="234">
        <v>0.8</v>
      </c>
      <c r="AC7610" s="127">
        <f t="shared" si="133"/>
        <v>1</v>
      </c>
    </row>
    <row r="7611" ht="14.5" customHeight="1" spans="11:29" x14ac:dyDescent="0.25">
      <c r="K7611" s="128"/>
      <c r="X7611" s="234">
        <v>2022</v>
      </c>
      <c r="Y7611" s="234">
        <v>11</v>
      </c>
      <c r="Z7611" s="234">
        <v>14</v>
      </c>
      <c r="AA7611" s="235">
        <v>0.041666666667879326</v>
      </c>
      <c r="AB7611" s="234">
        <v>0.1</v>
      </c>
      <c r="AC7611" s="127">
        <f t="shared" si="133"/>
        <v>0</v>
      </c>
    </row>
    <row r="7612" ht="14.5" customHeight="1" spans="11:29" x14ac:dyDescent="0.25">
      <c r="K7612" s="128"/>
      <c r="X7612" s="234">
        <v>2022</v>
      </c>
      <c r="Y7612" s="234">
        <v>11</v>
      </c>
      <c r="Z7612" s="234">
        <v>14</v>
      </c>
      <c r="AA7612" s="235">
        <v>0.08333333333212067</v>
      </c>
      <c r="AB7612" s="234">
        <v>0.1</v>
      </c>
      <c r="AC7612" s="127">
        <f t="shared" si="133"/>
        <v>0</v>
      </c>
    </row>
    <row r="7613" ht="14.5" customHeight="1" spans="11:29" x14ac:dyDescent="0.25">
      <c r="K7613" s="128"/>
      <c r="X7613" s="234">
        <v>2022</v>
      </c>
      <c r="Y7613" s="234">
        <v>11</v>
      </c>
      <c r="Z7613" s="234">
        <v>14</v>
      </c>
      <c r="AA7613" s="235">
        <v>0.125</v>
      </c>
      <c r="AB7613" s="234">
        <v>0.1</v>
      </c>
      <c r="AC7613" s="127">
        <f t="shared" si="133"/>
        <v>0</v>
      </c>
    </row>
    <row r="7614" ht="14.5" customHeight="1" spans="11:29" x14ac:dyDescent="0.25">
      <c r="K7614" s="128"/>
      <c r="X7614" s="234">
        <v>2022</v>
      </c>
      <c r="Y7614" s="234">
        <v>11</v>
      </c>
      <c r="Z7614" s="234">
        <v>14</v>
      </c>
      <c r="AA7614" s="235">
        <v>0.16666666666787933</v>
      </c>
      <c r="AB7614" s="234">
        <v>-0.8</v>
      </c>
      <c r="AC7614" s="127">
        <f t="shared" si="133"/>
        <v>-1</v>
      </c>
    </row>
    <row r="7615" ht="14.5" customHeight="1" spans="11:29" x14ac:dyDescent="0.25">
      <c r="K7615" s="128"/>
      <c r="X7615" s="234">
        <v>2022</v>
      </c>
      <c r="Y7615" s="234">
        <v>11</v>
      </c>
      <c r="Z7615" s="234">
        <v>14</v>
      </c>
      <c r="AA7615" s="235">
        <v>0.20833333333212067</v>
      </c>
      <c r="AB7615" s="234">
        <v>0.6</v>
      </c>
      <c r="AC7615" s="127">
        <f t="shared" si="133"/>
        <v>1</v>
      </c>
    </row>
    <row r="7616" ht="14.5" customHeight="1" spans="11:29" x14ac:dyDescent="0.25">
      <c r="K7616" s="128"/>
      <c r="X7616" s="234">
        <v>2022</v>
      </c>
      <c r="Y7616" s="234">
        <v>11</v>
      </c>
      <c r="Z7616" s="234">
        <v>14</v>
      </c>
      <c r="AA7616" s="235">
        <v>0.25</v>
      </c>
      <c r="AB7616" s="234">
        <v>0.8</v>
      </c>
      <c r="AC7616" s="127">
        <f t="shared" si="133"/>
        <v>1</v>
      </c>
    </row>
    <row r="7617" ht="14.5" customHeight="1" spans="11:29" x14ac:dyDescent="0.25">
      <c r="K7617" s="128"/>
      <c r="X7617" s="234">
        <v>2022</v>
      </c>
      <c r="Y7617" s="234">
        <v>11</v>
      </c>
      <c r="Z7617" s="234">
        <v>14</v>
      </c>
      <c r="AA7617" s="235">
        <v>0.2916666666678793</v>
      </c>
      <c r="AB7617" s="234">
        <v>1.4</v>
      </c>
      <c r="AC7617" s="127">
        <f t="shared" si="133"/>
        <v>1</v>
      </c>
    </row>
    <row r="7618" ht="14.5" customHeight="1" spans="11:29" x14ac:dyDescent="0.25">
      <c r="K7618" s="128"/>
      <c r="X7618" s="234">
        <v>2022</v>
      </c>
      <c r="Y7618" s="234">
        <v>11</v>
      </c>
      <c r="Z7618" s="234">
        <v>14</v>
      </c>
      <c r="AA7618" s="235">
        <v>0.3333333333321207</v>
      </c>
      <c r="AB7618" s="234">
        <v>1.3</v>
      </c>
      <c r="AC7618" s="127">
        <f t="shared" si="133"/>
        <v>1</v>
      </c>
    </row>
    <row r="7619" ht="14.5" customHeight="1" spans="11:29" x14ac:dyDescent="0.25">
      <c r="K7619" s="128"/>
      <c r="X7619" s="234">
        <v>2022</v>
      </c>
      <c r="Y7619" s="234">
        <v>11</v>
      </c>
      <c r="Z7619" s="234">
        <v>14</v>
      </c>
      <c r="AA7619" s="235">
        <v>0.375</v>
      </c>
      <c r="AB7619" s="234">
        <v>1</v>
      </c>
      <c r="AC7619" s="127">
        <f t="shared" si="133"/>
        <v>1</v>
      </c>
    </row>
    <row r="7620" ht="14.5" customHeight="1" spans="11:29" x14ac:dyDescent="0.25">
      <c r="K7620" s="128"/>
      <c r="X7620" s="234">
        <v>2022</v>
      </c>
      <c r="Y7620" s="234">
        <v>11</v>
      </c>
      <c r="Z7620" s="234">
        <v>14</v>
      </c>
      <c r="AA7620" s="235">
        <v>0.4166666666678793</v>
      </c>
      <c r="AB7620" s="234">
        <v>1</v>
      </c>
      <c r="AC7620" s="127">
        <f t="shared" si="133"/>
        <v>1</v>
      </c>
    </row>
    <row r="7621" ht="14.5" customHeight="1" spans="11:29" x14ac:dyDescent="0.25">
      <c r="K7621" s="128"/>
      <c r="X7621" s="234">
        <v>2022</v>
      </c>
      <c r="Y7621" s="234">
        <v>11</v>
      </c>
      <c r="Z7621" s="234">
        <v>14</v>
      </c>
      <c r="AA7621" s="235">
        <v>0.4583333333321207</v>
      </c>
      <c r="AB7621" s="234">
        <v>1.7</v>
      </c>
      <c r="AC7621" s="127">
        <f t="shared" si="133"/>
        <v>2</v>
      </c>
    </row>
    <row r="7622" ht="14.5" customHeight="1" spans="11:29" x14ac:dyDescent="0.25">
      <c r="K7622" s="128"/>
      <c r="X7622" s="234">
        <v>2022</v>
      </c>
      <c r="Y7622" s="234">
        <v>11</v>
      </c>
      <c r="Z7622" s="234">
        <v>14</v>
      </c>
      <c r="AA7622" s="235">
        <v>0.5</v>
      </c>
      <c r="AB7622" s="234">
        <v>1.6</v>
      </c>
      <c r="AC7622" s="127">
        <f t="shared" si="133"/>
        <v>2</v>
      </c>
    </row>
    <row r="7623" ht="14.5" customHeight="1" spans="11:29" x14ac:dyDescent="0.25">
      <c r="K7623" s="128"/>
      <c r="X7623" s="234">
        <v>2022</v>
      </c>
      <c r="Y7623" s="234">
        <v>11</v>
      </c>
      <c r="Z7623" s="234">
        <v>14</v>
      </c>
      <c r="AA7623" s="235">
        <v>0.5416666666678793</v>
      </c>
      <c r="AB7623" s="234">
        <v>1.8</v>
      </c>
      <c r="AC7623" s="127">
        <f t="shared" si="133"/>
        <v>2</v>
      </c>
    </row>
    <row r="7624" ht="14.5" customHeight="1" spans="11:29" x14ac:dyDescent="0.25">
      <c r="K7624" s="128"/>
      <c r="X7624" s="234">
        <v>2022</v>
      </c>
      <c r="Y7624" s="234">
        <v>11</v>
      </c>
      <c r="Z7624" s="234">
        <v>14</v>
      </c>
      <c r="AA7624" s="235">
        <v>0.5833333333321207</v>
      </c>
      <c r="AB7624" s="234">
        <v>1.6</v>
      </c>
      <c r="AC7624" s="127">
        <f t="shared" si="133"/>
        <v>2</v>
      </c>
    </row>
    <row r="7625" ht="14.5" customHeight="1" spans="11:29" x14ac:dyDescent="0.25">
      <c r="K7625" s="128"/>
      <c r="X7625" s="234">
        <v>2022</v>
      </c>
      <c r="Y7625" s="234">
        <v>11</v>
      </c>
      <c r="Z7625" s="234">
        <v>14</v>
      </c>
      <c r="AA7625" s="235">
        <v>0.625</v>
      </c>
      <c r="AB7625" s="234">
        <v>1.1</v>
      </c>
      <c r="AC7625" s="127">
        <f t="shared" si="133"/>
        <v>1</v>
      </c>
    </row>
    <row r="7626" ht="14.5" customHeight="1" spans="11:29" x14ac:dyDescent="0.25">
      <c r="K7626" s="128"/>
      <c r="X7626" s="234">
        <v>2022</v>
      </c>
      <c r="Y7626" s="234">
        <v>11</v>
      </c>
      <c r="Z7626" s="234">
        <v>14</v>
      </c>
      <c r="AA7626" s="235">
        <v>0.6666666666678793</v>
      </c>
      <c r="AB7626" s="234">
        <v>0.1</v>
      </c>
      <c r="AC7626" s="127">
        <f t="shared" si="133"/>
        <v>0</v>
      </c>
    </row>
    <row r="7627" ht="14.5" customHeight="1" spans="11:29" x14ac:dyDescent="0.25">
      <c r="K7627" s="128"/>
      <c r="X7627" s="234">
        <v>2022</v>
      </c>
      <c r="Y7627" s="234">
        <v>11</v>
      </c>
      <c r="Z7627" s="234">
        <v>14</v>
      </c>
      <c r="AA7627" s="235">
        <v>0.7083333333321207</v>
      </c>
      <c r="AB7627" s="234">
        <v>-1.2</v>
      </c>
      <c r="AC7627" s="127">
        <f t="shared" ref="AC7627:AC7690" si="134">ROUND(AB7627,0)</f>
        <v>-1</v>
      </c>
    </row>
    <row r="7628" ht="14.5" customHeight="1" spans="11:29" x14ac:dyDescent="0.25">
      <c r="K7628" s="128"/>
      <c r="X7628" s="234">
        <v>2022</v>
      </c>
      <c r="Y7628" s="234">
        <v>11</v>
      </c>
      <c r="Z7628" s="234">
        <v>14</v>
      </c>
      <c r="AA7628" s="235">
        <v>0.75</v>
      </c>
      <c r="AB7628" s="234">
        <v>-3.5</v>
      </c>
      <c r="AC7628" s="127">
        <f t="shared" si="134"/>
        <v>-4</v>
      </c>
    </row>
    <row r="7629" ht="14.5" customHeight="1" spans="11:29" x14ac:dyDescent="0.25">
      <c r="K7629" s="128"/>
      <c r="X7629" s="234">
        <v>2022</v>
      </c>
      <c r="Y7629" s="234">
        <v>11</v>
      </c>
      <c r="Z7629" s="234">
        <v>14</v>
      </c>
      <c r="AA7629" s="235">
        <v>0.7916666666678793</v>
      </c>
      <c r="AB7629" s="234">
        <v>-3.9</v>
      </c>
      <c r="AC7629" s="127">
        <f t="shared" si="134"/>
        <v>-4</v>
      </c>
    </row>
    <row r="7630" ht="14.5" customHeight="1" spans="11:29" x14ac:dyDescent="0.25">
      <c r="K7630" s="128"/>
      <c r="X7630" s="234">
        <v>2022</v>
      </c>
      <c r="Y7630" s="234">
        <v>11</v>
      </c>
      <c r="Z7630" s="234">
        <v>14</v>
      </c>
      <c r="AA7630" s="235">
        <v>0.8333333333321207</v>
      </c>
      <c r="AB7630" s="234">
        <v>-5.7</v>
      </c>
      <c r="AC7630" s="127">
        <f t="shared" si="134"/>
        <v>-6</v>
      </c>
    </row>
    <row r="7631" ht="14.5" customHeight="1" spans="11:29" x14ac:dyDescent="0.25">
      <c r="K7631" s="128"/>
      <c r="X7631" s="234">
        <v>2022</v>
      </c>
      <c r="Y7631" s="234">
        <v>11</v>
      </c>
      <c r="Z7631" s="234">
        <v>14</v>
      </c>
      <c r="AA7631" s="235">
        <v>0.875</v>
      </c>
      <c r="AB7631" s="234">
        <v>-7.4</v>
      </c>
      <c r="AC7631" s="127">
        <f t="shared" si="134"/>
        <v>-7</v>
      </c>
    </row>
    <row r="7632" ht="14.5" customHeight="1" spans="11:29" x14ac:dyDescent="0.25">
      <c r="K7632" s="128"/>
      <c r="X7632" s="234">
        <v>2022</v>
      </c>
      <c r="Y7632" s="234">
        <v>11</v>
      </c>
      <c r="Z7632" s="234">
        <v>14</v>
      </c>
      <c r="AA7632" s="235">
        <v>0.9166666666678793</v>
      </c>
      <c r="AB7632" s="234">
        <v>-7.8</v>
      </c>
      <c r="AC7632" s="127">
        <f t="shared" si="134"/>
        <v>-8</v>
      </c>
    </row>
    <row r="7633" ht="14.5" customHeight="1" spans="11:29" x14ac:dyDescent="0.25">
      <c r="K7633" s="128"/>
      <c r="X7633" s="234">
        <v>2022</v>
      </c>
      <c r="Y7633" s="234">
        <v>11</v>
      </c>
      <c r="Z7633" s="234">
        <v>14</v>
      </c>
      <c r="AA7633" s="235">
        <v>0.9583333333321207</v>
      </c>
      <c r="AB7633" s="234">
        <v>-8.5</v>
      </c>
      <c r="AC7633" s="127">
        <f t="shared" si="134"/>
        <v>-9</v>
      </c>
    </row>
    <row r="7634" ht="14.5" customHeight="1" spans="11:29" x14ac:dyDescent="0.25">
      <c r="K7634" s="128"/>
      <c r="X7634" s="234">
        <v>2022</v>
      </c>
      <c r="Y7634" s="234">
        <v>11</v>
      </c>
      <c r="Z7634" s="234">
        <v>15</v>
      </c>
      <c r="AA7634" s="235">
        <v>0</v>
      </c>
      <c r="AB7634" s="234">
        <v>-7.4</v>
      </c>
      <c r="AC7634" s="127">
        <f t="shared" si="134"/>
        <v>-7</v>
      </c>
    </row>
    <row r="7635" ht="14.5" customHeight="1" spans="11:29" x14ac:dyDescent="0.25">
      <c r="K7635" s="128"/>
      <c r="X7635" s="234">
        <v>2022</v>
      </c>
      <c r="Y7635" s="234">
        <v>11</v>
      </c>
      <c r="Z7635" s="234">
        <v>15</v>
      </c>
      <c r="AA7635" s="235">
        <v>0.041666666667879326</v>
      </c>
      <c r="AB7635" s="234">
        <v>-7.3</v>
      </c>
      <c r="AC7635" s="127">
        <f t="shared" si="134"/>
        <v>-7</v>
      </c>
    </row>
    <row r="7636" ht="14.5" customHeight="1" spans="11:29" x14ac:dyDescent="0.25">
      <c r="K7636" s="128"/>
      <c r="X7636" s="234">
        <v>2022</v>
      </c>
      <c r="Y7636" s="234">
        <v>11</v>
      </c>
      <c r="Z7636" s="234">
        <v>15</v>
      </c>
      <c r="AA7636" s="235">
        <v>0.08333333333212067</v>
      </c>
      <c r="AB7636" s="234">
        <v>-6.3</v>
      </c>
      <c r="AC7636" s="127">
        <f t="shared" si="134"/>
        <v>-6</v>
      </c>
    </row>
    <row r="7637" ht="14.5" customHeight="1" spans="11:29" x14ac:dyDescent="0.25">
      <c r="K7637" s="128"/>
      <c r="X7637" s="234">
        <v>2022</v>
      </c>
      <c r="Y7637" s="234">
        <v>11</v>
      </c>
      <c r="Z7637" s="234">
        <v>15</v>
      </c>
      <c r="AA7637" s="235">
        <v>0.125</v>
      </c>
      <c r="AB7637" s="234">
        <v>-5.6</v>
      </c>
      <c r="AC7637" s="127">
        <f t="shared" si="134"/>
        <v>-6</v>
      </c>
    </row>
    <row r="7638" ht="14.5" customHeight="1" spans="11:29" x14ac:dyDescent="0.25">
      <c r="K7638" s="128"/>
      <c r="X7638" s="234">
        <v>2022</v>
      </c>
      <c r="Y7638" s="234">
        <v>11</v>
      </c>
      <c r="Z7638" s="234">
        <v>15</v>
      </c>
      <c r="AA7638" s="235">
        <v>0.16666666666787933</v>
      </c>
      <c r="AB7638" s="234">
        <v>-4.8</v>
      </c>
      <c r="AC7638" s="127">
        <f t="shared" si="134"/>
        <v>-5</v>
      </c>
    </row>
    <row r="7639" ht="14.5" customHeight="1" spans="11:29" x14ac:dyDescent="0.25">
      <c r="K7639" s="128"/>
      <c r="X7639" s="234">
        <v>2022</v>
      </c>
      <c r="Y7639" s="234">
        <v>11</v>
      </c>
      <c r="Z7639" s="234">
        <v>15</v>
      </c>
      <c r="AA7639" s="235">
        <v>0.20833333333212067</v>
      </c>
      <c r="AB7639" s="234">
        <v>-5</v>
      </c>
      <c r="AC7639" s="127">
        <f t="shared" si="134"/>
        <v>-5</v>
      </c>
    </row>
    <row r="7640" ht="14.5" customHeight="1" spans="11:29" x14ac:dyDescent="0.25">
      <c r="K7640" s="128"/>
      <c r="X7640" s="234">
        <v>2022</v>
      </c>
      <c r="Y7640" s="234">
        <v>11</v>
      </c>
      <c r="Z7640" s="234">
        <v>15</v>
      </c>
      <c r="AA7640" s="235">
        <v>0.25</v>
      </c>
      <c r="AB7640" s="234">
        <v>-4.8</v>
      </c>
      <c r="AC7640" s="127">
        <f t="shared" si="134"/>
        <v>-5</v>
      </c>
    </row>
    <row r="7641" ht="14.5" customHeight="1" spans="11:29" x14ac:dyDescent="0.25">
      <c r="K7641" s="128"/>
      <c r="X7641" s="234">
        <v>2022</v>
      </c>
      <c r="Y7641" s="234">
        <v>11</v>
      </c>
      <c r="Z7641" s="234">
        <v>15</v>
      </c>
      <c r="AA7641" s="235">
        <v>0.2916666666678793</v>
      </c>
      <c r="AB7641" s="234">
        <v>-4.7</v>
      </c>
      <c r="AC7641" s="127">
        <f t="shared" si="134"/>
        <v>-5</v>
      </c>
    </row>
    <row r="7642" ht="14.5" customHeight="1" spans="11:29" x14ac:dyDescent="0.25">
      <c r="K7642" s="128"/>
      <c r="X7642" s="234">
        <v>2022</v>
      </c>
      <c r="Y7642" s="234">
        <v>11</v>
      </c>
      <c r="Z7642" s="234">
        <v>15</v>
      </c>
      <c r="AA7642" s="235">
        <v>0.3333333333321207</v>
      </c>
      <c r="AB7642" s="234">
        <v>-2.1</v>
      </c>
      <c r="AC7642" s="127">
        <f t="shared" si="134"/>
        <v>-2</v>
      </c>
    </row>
    <row r="7643" ht="14.5" customHeight="1" spans="11:29" x14ac:dyDescent="0.25">
      <c r="K7643" s="128"/>
      <c r="X7643" s="234">
        <v>2022</v>
      </c>
      <c r="Y7643" s="234">
        <v>11</v>
      </c>
      <c r="Z7643" s="234">
        <v>15</v>
      </c>
      <c r="AA7643" s="235">
        <v>0.375</v>
      </c>
      <c r="AB7643" s="234">
        <v>-0.2</v>
      </c>
      <c r="AC7643" s="127">
        <f t="shared" si="134"/>
        <v>0</v>
      </c>
    </row>
    <row r="7644" ht="14.5" customHeight="1" spans="11:29" x14ac:dyDescent="0.25">
      <c r="K7644" s="128"/>
      <c r="X7644" s="234">
        <v>2022</v>
      </c>
      <c r="Y7644" s="234">
        <v>11</v>
      </c>
      <c r="Z7644" s="234">
        <v>15</v>
      </c>
      <c r="AA7644" s="235">
        <v>0.4166666666678793</v>
      </c>
      <c r="AB7644" s="234">
        <v>2</v>
      </c>
      <c r="AC7644" s="127">
        <f t="shared" si="134"/>
        <v>2</v>
      </c>
    </row>
    <row r="7645" ht="14.5" customHeight="1" spans="11:29" x14ac:dyDescent="0.25">
      <c r="K7645" s="128"/>
      <c r="X7645" s="234">
        <v>2022</v>
      </c>
      <c r="Y7645" s="234">
        <v>11</v>
      </c>
      <c r="Z7645" s="234">
        <v>15</v>
      </c>
      <c r="AA7645" s="235">
        <v>0.4583333333321207</v>
      </c>
      <c r="AB7645" s="234">
        <v>4.3</v>
      </c>
      <c r="AC7645" s="127">
        <f t="shared" si="134"/>
        <v>4</v>
      </c>
    </row>
    <row r="7646" ht="14.5" customHeight="1" spans="11:29" x14ac:dyDescent="0.25">
      <c r="K7646" s="128"/>
      <c r="X7646" s="234">
        <v>2022</v>
      </c>
      <c r="Y7646" s="234">
        <v>11</v>
      </c>
      <c r="Z7646" s="234">
        <v>15</v>
      </c>
      <c r="AA7646" s="235">
        <v>0.5</v>
      </c>
      <c r="AB7646" s="234">
        <v>4.5</v>
      </c>
      <c r="AC7646" s="127">
        <f t="shared" si="134"/>
        <v>5</v>
      </c>
    </row>
    <row r="7647" ht="14.5" customHeight="1" spans="11:29" x14ac:dyDescent="0.25">
      <c r="K7647" s="128"/>
      <c r="X7647" s="234">
        <v>2022</v>
      </c>
      <c r="Y7647" s="234">
        <v>11</v>
      </c>
      <c r="Z7647" s="234">
        <v>15</v>
      </c>
      <c r="AA7647" s="235">
        <v>0.5416666666678793</v>
      </c>
      <c r="AB7647" s="234">
        <v>4.4</v>
      </c>
      <c r="AC7647" s="127">
        <f t="shared" si="134"/>
        <v>4</v>
      </c>
    </row>
    <row r="7648" ht="14.5" customHeight="1" spans="11:29" x14ac:dyDescent="0.25">
      <c r="K7648" s="128"/>
      <c r="X7648" s="234">
        <v>2022</v>
      </c>
      <c r="Y7648" s="234">
        <v>11</v>
      </c>
      <c r="Z7648" s="234">
        <v>15</v>
      </c>
      <c r="AA7648" s="235">
        <v>0.5833333333321207</v>
      </c>
      <c r="AB7648" s="234">
        <v>5</v>
      </c>
      <c r="AC7648" s="127">
        <f t="shared" si="134"/>
        <v>5</v>
      </c>
    </row>
    <row r="7649" ht="14.5" customHeight="1" spans="11:29" x14ac:dyDescent="0.25">
      <c r="K7649" s="128"/>
      <c r="X7649" s="234">
        <v>2022</v>
      </c>
      <c r="Y7649" s="234">
        <v>11</v>
      </c>
      <c r="Z7649" s="234">
        <v>15</v>
      </c>
      <c r="AA7649" s="235">
        <v>0.625</v>
      </c>
      <c r="AB7649" s="234">
        <v>5</v>
      </c>
      <c r="AC7649" s="127">
        <f t="shared" si="134"/>
        <v>5</v>
      </c>
    </row>
    <row r="7650" ht="14.5" customHeight="1" spans="11:29" x14ac:dyDescent="0.25">
      <c r="K7650" s="128"/>
      <c r="X7650" s="234">
        <v>2022</v>
      </c>
      <c r="Y7650" s="234">
        <v>11</v>
      </c>
      <c r="Z7650" s="234">
        <v>15</v>
      </c>
      <c r="AA7650" s="235">
        <v>0.6666666666678793</v>
      </c>
      <c r="AB7650" s="234">
        <v>4.2</v>
      </c>
      <c r="AC7650" s="127">
        <f t="shared" si="134"/>
        <v>4</v>
      </c>
    </row>
    <row r="7651" ht="14.5" customHeight="1" spans="11:29" x14ac:dyDescent="0.25">
      <c r="K7651" s="128"/>
      <c r="X7651" s="234">
        <v>2022</v>
      </c>
      <c r="Y7651" s="234">
        <v>11</v>
      </c>
      <c r="Z7651" s="234">
        <v>15</v>
      </c>
      <c r="AA7651" s="235">
        <v>0.7083333333321207</v>
      </c>
      <c r="AB7651" s="234">
        <v>3.3</v>
      </c>
      <c r="AC7651" s="127">
        <f t="shared" si="134"/>
        <v>3</v>
      </c>
    </row>
    <row r="7652" ht="14.5" customHeight="1" spans="11:29" x14ac:dyDescent="0.25">
      <c r="K7652" s="128"/>
      <c r="X7652" s="234">
        <v>2022</v>
      </c>
      <c r="Y7652" s="234">
        <v>11</v>
      </c>
      <c r="Z7652" s="234">
        <v>15</v>
      </c>
      <c r="AA7652" s="235">
        <v>0.75</v>
      </c>
      <c r="AB7652" s="234">
        <v>1.6</v>
      </c>
      <c r="AC7652" s="127">
        <f t="shared" si="134"/>
        <v>2</v>
      </c>
    </row>
    <row r="7653" ht="14.5" customHeight="1" spans="11:29" x14ac:dyDescent="0.25">
      <c r="K7653" s="128"/>
      <c r="X7653" s="234">
        <v>2022</v>
      </c>
      <c r="Y7653" s="234">
        <v>11</v>
      </c>
      <c r="Z7653" s="234">
        <v>15</v>
      </c>
      <c r="AA7653" s="235">
        <v>0.7916666666678793</v>
      </c>
      <c r="AB7653" s="234">
        <v>0.2</v>
      </c>
      <c r="AC7653" s="127">
        <f t="shared" si="134"/>
        <v>0</v>
      </c>
    </row>
    <row r="7654" ht="14.5" customHeight="1" spans="11:29" x14ac:dyDescent="0.25">
      <c r="K7654" s="128"/>
      <c r="X7654" s="234">
        <v>2022</v>
      </c>
      <c r="Y7654" s="234">
        <v>11</v>
      </c>
      <c r="Z7654" s="234">
        <v>15</v>
      </c>
      <c r="AA7654" s="235">
        <v>0.8333333333321207</v>
      </c>
      <c r="AB7654" s="234">
        <v>1</v>
      </c>
      <c r="AC7654" s="127">
        <f t="shared" si="134"/>
        <v>1</v>
      </c>
    </row>
    <row r="7655" ht="14.5" customHeight="1" spans="11:29" x14ac:dyDescent="0.25">
      <c r="K7655" s="128"/>
      <c r="X7655" s="234">
        <v>2022</v>
      </c>
      <c r="Y7655" s="234">
        <v>11</v>
      </c>
      <c r="Z7655" s="234">
        <v>15</v>
      </c>
      <c r="AA7655" s="235">
        <v>0.875</v>
      </c>
      <c r="AB7655" s="234">
        <v>0.1</v>
      </c>
      <c r="AC7655" s="127">
        <f t="shared" si="134"/>
        <v>0</v>
      </c>
    </row>
    <row r="7656" ht="14.5" customHeight="1" spans="11:29" x14ac:dyDescent="0.25">
      <c r="K7656" s="128"/>
      <c r="X7656" s="234">
        <v>2022</v>
      </c>
      <c r="Y7656" s="234">
        <v>11</v>
      </c>
      <c r="Z7656" s="234">
        <v>15</v>
      </c>
      <c r="AA7656" s="235">
        <v>0.9166666666678793</v>
      </c>
      <c r="AB7656" s="234">
        <v>-1.8</v>
      </c>
      <c r="AC7656" s="127">
        <f t="shared" si="134"/>
        <v>-2</v>
      </c>
    </row>
    <row r="7657" ht="14.5" customHeight="1" spans="11:29" x14ac:dyDescent="0.25">
      <c r="K7657" s="128"/>
      <c r="X7657" s="234">
        <v>2022</v>
      </c>
      <c r="Y7657" s="234">
        <v>11</v>
      </c>
      <c r="Z7657" s="234">
        <v>15</v>
      </c>
      <c r="AA7657" s="235">
        <v>0.9583333333321207</v>
      </c>
      <c r="AB7657" s="234">
        <v>-1.6</v>
      </c>
      <c r="AC7657" s="127">
        <f t="shared" si="134"/>
        <v>-2</v>
      </c>
    </row>
    <row r="7658" ht="14.5" customHeight="1" spans="11:29" x14ac:dyDescent="0.25">
      <c r="K7658" s="128"/>
      <c r="X7658" s="234">
        <v>2022</v>
      </c>
      <c r="Y7658" s="234">
        <v>11</v>
      </c>
      <c r="Z7658" s="234">
        <v>16</v>
      </c>
      <c r="AA7658" s="235">
        <v>0</v>
      </c>
      <c r="AB7658" s="234">
        <v>-2.6</v>
      </c>
      <c r="AC7658" s="127">
        <f t="shared" si="134"/>
        <v>-3</v>
      </c>
    </row>
    <row r="7659" ht="14.5" customHeight="1" spans="11:29" x14ac:dyDescent="0.25">
      <c r="K7659" s="128"/>
      <c r="X7659" s="234">
        <v>2022</v>
      </c>
      <c r="Y7659" s="234">
        <v>11</v>
      </c>
      <c r="Z7659" s="234">
        <v>16</v>
      </c>
      <c r="AA7659" s="235">
        <v>0.041666666667879326</v>
      </c>
      <c r="AB7659" s="234">
        <v>-3.3</v>
      </c>
      <c r="AC7659" s="127">
        <f t="shared" si="134"/>
        <v>-3</v>
      </c>
    </row>
    <row r="7660" ht="14.5" customHeight="1" spans="11:29" x14ac:dyDescent="0.25">
      <c r="K7660" s="128"/>
      <c r="X7660" s="234">
        <v>2022</v>
      </c>
      <c r="Y7660" s="234">
        <v>11</v>
      </c>
      <c r="Z7660" s="234">
        <v>16</v>
      </c>
      <c r="AA7660" s="235">
        <v>0.08333333333212067</v>
      </c>
      <c r="AB7660" s="234">
        <v>-5.6</v>
      </c>
      <c r="AC7660" s="127">
        <f t="shared" si="134"/>
        <v>-6</v>
      </c>
    </row>
    <row r="7661" ht="14.5" customHeight="1" spans="11:29" x14ac:dyDescent="0.25">
      <c r="K7661" s="128"/>
      <c r="X7661" s="234">
        <v>2022</v>
      </c>
      <c r="Y7661" s="234">
        <v>11</v>
      </c>
      <c r="Z7661" s="234">
        <v>16</v>
      </c>
      <c r="AA7661" s="235">
        <v>0.125</v>
      </c>
      <c r="AB7661" s="234">
        <v>-4.8</v>
      </c>
      <c r="AC7661" s="127">
        <f t="shared" si="134"/>
        <v>-5</v>
      </c>
    </row>
    <row r="7662" ht="14.5" customHeight="1" spans="11:29" x14ac:dyDescent="0.25">
      <c r="K7662" s="128"/>
      <c r="X7662" s="234">
        <v>2022</v>
      </c>
      <c r="Y7662" s="234">
        <v>11</v>
      </c>
      <c r="Z7662" s="234">
        <v>16</v>
      </c>
      <c r="AA7662" s="235">
        <v>0.16666666666787933</v>
      </c>
      <c r="AB7662" s="234">
        <v>-5</v>
      </c>
      <c r="AC7662" s="127">
        <f t="shared" si="134"/>
        <v>-5</v>
      </c>
    </row>
    <row r="7663" ht="14.5" customHeight="1" spans="11:29" x14ac:dyDescent="0.25">
      <c r="K7663" s="128"/>
      <c r="X7663" s="234">
        <v>2022</v>
      </c>
      <c r="Y7663" s="234">
        <v>11</v>
      </c>
      <c r="Z7663" s="234">
        <v>16</v>
      </c>
      <c r="AA7663" s="235">
        <v>0.20833333333212067</v>
      </c>
      <c r="AB7663" s="234">
        <v>-3.5</v>
      </c>
      <c r="AC7663" s="127">
        <f t="shared" si="134"/>
        <v>-4</v>
      </c>
    </row>
    <row r="7664" ht="14.5" customHeight="1" spans="11:29" x14ac:dyDescent="0.25">
      <c r="K7664" s="128"/>
      <c r="X7664" s="234">
        <v>2022</v>
      </c>
      <c r="Y7664" s="234">
        <v>11</v>
      </c>
      <c r="Z7664" s="234">
        <v>16</v>
      </c>
      <c r="AA7664" s="235">
        <v>0.25</v>
      </c>
      <c r="AB7664" s="234">
        <v>-0.9</v>
      </c>
      <c r="AC7664" s="127">
        <f t="shared" si="134"/>
        <v>-1</v>
      </c>
    </row>
    <row r="7665" ht="14.5" customHeight="1" spans="11:29" x14ac:dyDescent="0.25">
      <c r="K7665" s="128"/>
      <c r="X7665" s="234">
        <v>2022</v>
      </c>
      <c r="Y7665" s="234">
        <v>11</v>
      </c>
      <c r="Z7665" s="234">
        <v>16</v>
      </c>
      <c r="AA7665" s="235">
        <v>0.2916666666678793</v>
      </c>
      <c r="AB7665" s="234">
        <v>0.2</v>
      </c>
      <c r="AC7665" s="127">
        <f t="shared" si="134"/>
        <v>0</v>
      </c>
    </row>
    <row r="7666" ht="14.5" customHeight="1" spans="11:29" x14ac:dyDescent="0.25">
      <c r="K7666" s="128"/>
      <c r="X7666" s="234">
        <v>2022</v>
      </c>
      <c r="Y7666" s="234">
        <v>11</v>
      </c>
      <c r="Z7666" s="234">
        <v>16</v>
      </c>
      <c r="AA7666" s="235">
        <v>0.3333333333321207</v>
      </c>
      <c r="AB7666" s="234">
        <v>-0.9</v>
      </c>
      <c r="AC7666" s="127">
        <f t="shared" si="134"/>
        <v>-1</v>
      </c>
    </row>
    <row r="7667" ht="14.5" customHeight="1" spans="11:29" x14ac:dyDescent="0.25">
      <c r="K7667" s="128"/>
      <c r="X7667" s="234">
        <v>2022</v>
      </c>
      <c r="Y7667" s="234">
        <v>11</v>
      </c>
      <c r="Z7667" s="234">
        <v>16</v>
      </c>
      <c r="AA7667" s="235">
        <v>0.375</v>
      </c>
      <c r="AB7667" s="234">
        <v>-1.1</v>
      </c>
      <c r="AC7667" s="127">
        <f t="shared" si="134"/>
        <v>-1</v>
      </c>
    </row>
    <row r="7668" ht="14.5" customHeight="1" spans="11:29" x14ac:dyDescent="0.25">
      <c r="K7668" s="128"/>
      <c r="X7668" s="234">
        <v>2022</v>
      </c>
      <c r="Y7668" s="234">
        <v>11</v>
      </c>
      <c r="Z7668" s="234">
        <v>16</v>
      </c>
      <c r="AA7668" s="235">
        <v>0.4166666666678793</v>
      </c>
      <c r="AB7668" s="234">
        <v>-0.9</v>
      </c>
      <c r="AC7668" s="127">
        <f t="shared" si="134"/>
        <v>-1</v>
      </c>
    </row>
    <row r="7669" ht="14.5" customHeight="1" spans="11:29" x14ac:dyDescent="0.25">
      <c r="K7669" s="128"/>
      <c r="X7669" s="234">
        <v>2022</v>
      </c>
      <c r="Y7669" s="234">
        <v>11</v>
      </c>
      <c r="Z7669" s="234">
        <v>16</v>
      </c>
      <c r="AA7669" s="235">
        <v>0.4583333333321207</v>
      </c>
      <c r="AB7669" s="234">
        <v>-1</v>
      </c>
      <c r="AC7669" s="127">
        <f t="shared" si="134"/>
        <v>-1</v>
      </c>
    </row>
    <row r="7670" ht="14.5" customHeight="1" spans="11:29" x14ac:dyDescent="0.25">
      <c r="K7670" s="128"/>
      <c r="X7670" s="234">
        <v>2022</v>
      </c>
      <c r="Y7670" s="234">
        <v>11</v>
      </c>
      <c r="Z7670" s="234">
        <v>16</v>
      </c>
      <c r="AA7670" s="235">
        <v>0.5</v>
      </c>
      <c r="AB7670" s="234">
        <v>-1.7</v>
      </c>
      <c r="AC7670" s="127">
        <f t="shared" si="134"/>
        <v>-2</v>
      </c>
    </row>
    <row r="7671" ht="14.5" customHeight="1" spans="11:29" x14ac:dyDescent="0.25">
      <c r="K7671" s="128"/>
      <c r="X7671" s="234">
        <v>2022</v>
      </c>
      <c r="Y7671" s="234">
        <v>11</v>
      </c>
      <c r="Z7671" s="234">
        <v>16</v>
      </c>
      <c r="AA7671" s="235">
        <v>0.5416666666678793</v>
      </c>
      <c r="AB7671" s="234">
        <v>-1.7</v>
      </c>
      <c r="AC7671" s="127">
        <f t="shared" si="134"/>
        <v>-2</v>
      </c>
    </row>
    <row r="7672" ht="14.5" customHeight="1" spans="11:29" x14ac:dyDescent="0.25">
      <c r="K7672" s="128"/>
      <c r="X7672" s="234">
        <v>2022</v>
      </c>
      <c r="Y7672" s="234">
        <v>11</v>
      </c>
      <c r="Z7672" s="234">
        <v>16</v>
      </c>
      <c r="AA7672" s="235">
        <v>0.5833333333321207</v>
      </c>
      <c r="AB7672" s="234">
        <v>-1.8</v>
      </c>
      <c r="AC7672" s="127">
        <f t="shared" si="134"/>
        <v>-2</v>
      </c>
    </row>
    <row r="7673" ht="14.5" customHeight="1" spans="11:29" x14ac:dyDescent="0.25">
      <c r="K7673" s="128"/>
      <c r="X7673" s="234">
        <v>2022</v>
      </c>
      <c r="Y7673" s="234">
        <v>11</v>
      </c>
      <c r="Z7673" s="234">
        <v>16</v>
      </c>
      <c r="AA7673" s="235">
        <v>0.625</v>
      </c>
      <c r="AB7673" s="234">
        <v>-2.3</v>
      </c>
      <c r="AC7673" s="127">
        <f t="shared" si="134"/>
        <v>-2</v>
      </c>
    </row>
    <row r="7674" ht="14.5" customHeight="1" spans="11:29" x14ac:dyDescent="0.25">
      <c r="K7674" s="128"/>
      <c r="X7674" s="234">
        <v>2022</v>
      </c>
      <c r="Y7674" s="234">
        <v>11</v>
      </c>
      <c r="Z7674" s="234">
        <v>16</v>
      </c>
      <c r="AA7674" s="235">
        <v>0.6666666666678793</v>
      </c>
      <c r="AB7674" s="234">
        <v>-2.5</v>
      </c>
      <c r="AC7674" s="127">
        <f t="shared" si="134"/>
        <v>-3</v>
      </c>
    </row>
    <row r="7675" ht="14.5" customHeight="1" spans="11:29" x14ac:dyDescent="0.25">
      <c r="K7675" s="128"/>
      <c r="X7675" s="234">
        <v>2022</v>
      </c>
      <c r="Y7675" s="234">
        <v>11</v>
      </c>
      <c r="Z7675" s="234">
        <v>16</v>
      </c>
      <c r="AA7675" s="235">
        <v>0.7083333333321207</v>
      </c>
      <c r="AB7675" s="234">
        <v>-4.1</v>
      </c>
      <c r="AC7675" s="127">
        <f t="shared" si="134"/>
        <v>-4</v>
      </c>
    </row>
    <row r="7676" ht="14.5" customHeight="1" spans="11:29" x14ac:dyDescent="0.25">
      <c r="K7676" s="128"/>
      <c r="X7676" s="234">
        <v>2022</v>
      </c>
      <c r="Y7676" s="234">
        <v>11</v>
      </c>
      <c r="Z7676" s="234">
        <v>16</v>
      </c>
      <c r="AA7676" s="235">
        <v>0.75</v>
      </c>
      <c r="AB7676" s="234">
        <v>-5.2</v>
      </c>
      <c r="AC7676" s="127">
        <f t="shared" si="134"/>
        <v>-5</v>
      </c>
    </row>
    <row r="7677" ht="14.5" customHeight="1" spans="11:29" x14ac:dyDescent="0.25">
      <c r="K7677" s="128"/>
      <c r="X7677" s="234">
        <v>2022</v>
      </c>
      <c r="Y7677" s="234">
        <v>11</v>
      </c>
      <c r="Z7677" s="234">
        <v>16</v>
      </c>
      <c r="AA7677" s="235">
        <v>0.7916666666678793</v>
      </c>
      <c r="AB7677" s="234">
        <v>-5.1</v>
      </c>
      <c r="AC7677" s="127">
        <f t="shared" si="134"/>
        <v>-5</v>
      </c>
    </row>
    <row r="7678" ht="14.5" customHeight="1" spans="11:29" x14ac:dyDescent="0.25">
      <c r="K7678" s="128"/>
      <c r="X7678" s="234">
        <v>2022</v>
      </c>
      <c r="Y7678" s="234">
        <v>11</v>
      </c>
      <c r="Z7678" s="234">
        <v>16</v>
      </c>
      <c r="AA7678" s="235">
        <v>0.8333333333321207</v>
      </c>
      <c r="AB7678" s="234">
        <v>-6</v>
      </c>
      <c r="AC7678" s="127">
        <f t="shared" si="134"/>
        <v>-6</v>
      </c>
    </row>
    <row r="7679" ht="14.5" customHeight="1" spans="11:29" x14ac:dyDescent="0.25">
      <c r="K7679" s="128"/>
      <c r="X7679" s="234">
        <v>2022</v>
      </c>
      <c r="Y7679" s="234">
        <v>11</v>
      </c>
      <c r="Z7679" s="234">
        <v>16</v>
      </c>
      <c r="AA7679" s="235">
        <v>0.875</v>
      </c>
      <c r="AB7679" s="234">
        <v>-6.6</v>
      </c>
      <c r="AC7679" s="127">
        <f t="shared" si="134"/>
        <v>-7</v>
      </c>
    </row>
    <row r="7680" ht="14.5" customHeight="1" spans="11:29" x14ac:dyDescent="0.25">
      <c r="K7680" s="128"/>
      <c r="X7680" s="234">
        <v>2022</v>
      </c>
      <c r="Y7680" s="234">
        <v>11</v>
      </c>
      <c r="Z7680" s="234">
        <v>16</v>
      </c>
      <c r="AA7680" s="235">
        <v>0.9166666666678793</v>
      </c>
      <c r="AB7680" s="234">
        <v>-6.4</v>
      </c>
      <c r="AC7680" s="127">
        <f t="shared" si="134"/>
        <v>-6</v>
      </c>
    </row>
    <row r="7681" ht="14.5" customHeight="1" spans="11:29" x14ac:dyDescent="0.25">
      <c r="K7681" s="128"/>
      <c r="X7681" s="234">
        <v>2022</v>
      </c>
      <c r="Y7681" s="234">
        <v>11</v>
      </c>
      <c r="Z7681" s="234">
        <v>16</v>
      </c>
      <c r="AA7681" s="235">
        <v>0.9583333333321207</v>
      </c>
      <c r="AB7681" s="234">
        <v>-7.3</v>
      </c>
      <c r="AC7681" s="127">
        <f t="shared" si="134"/>
        <v>-7</v>
      </c>
    </row>
    <row r="7682" ht="14.5" customHeight="1" spans="11:29" x14ac:dyDescent="0.25">
      <c r="K7682" s="128"/>
      <c r="X7682" s="234">
        <v>2022</v>
      </c>
      <c r="Y7682" s="234">
        <v>11</v>
      </c>
      <c r="Z7682" s="234">
        <v>17</v>
      </c>
      <c r="AA7682" s="235">
        <v>0</v>
      </c>
      <c r="AB7682" s="234">
        <v>-7.7</v>
      </c>
      <c r="AC7682" s="127">
        <f t="shared" si="134"/>
        <v>-8</v>
      </c>
    </row>
    <row r="7683" ht="14.5" customHeight="1" spans="11:29" x14ac:dyDescent="0.25">
      <c r="K7683" s="128"/>
      <c r="X7683" s="234">
        <v>2022</v>
      </c>
      <c r="Y7683" s="234">
        <v>11</v>
      </c>
      <c r="Z7683" s="234">
        <v>17</v>
      </c>
      <c r="AA7683" s="235">
        <v>0.041666666667879326</v>
      </c>
      <c r="AB7683" s="234">
        <v>-9</v>
      </c>
      <c r="AC7683" s="127">
        <f t="shared" si="134"/>
        <v>-9</v>
      </c>
    </row>
    <row r="7684" ht="14.5" customHeight="1" spans="11:29" x14ac:dyDescent="0.25">
      <c r="K7684" s="128"/>
      <c r="X7684" s="234">
        <v>2022</v>
      </c>
      <c r="Y7684" s="234">
        <v>11</v>
      </c>
      <c r="Z7684" s="234">
        <v>17</v>
      </c>
      <c r="AA7684" s="235">
        <v>0.08333333333212067</v>
      </c>
      <c r="AB7684" s="234">
        <v>-9.7</v>
      </c>
      <c r="AC7684" s="127">
        <f t="shared" si="134"/>
        <v>-10</v>
      </c>
    </row>
    <row r="7685" ht="14.5" customHeight="1" spans="11:29" x14ac:dyDescent="0.25">
      <c r="K7685" s="128"/>
      <c r="X7685" s="234">
        <v>2022</v>
      </c>
      <c r="Y7685" s="234">
        <v>11</v>
      </c>
      <c r="Z7685" s="234">
        <v>17</v>
      </c>
      <c r="AA7685" s="235">
        <v>0.125</v>
      </c>
      <c r="AB7685" s="234">
        <v>-10.3</v>
      </c>
      <c r="AC7685" s="127">
        <f t="shared" si="134"/>
        <v>-10</v>
      </c>
    </row>
    <row r="7686" ht="14.5" customHeight="1" spans="11:29" x14ac:dyDescent="0.25">
      <c r="K7686" s="128"/>
      <c r="X7686" s="234">
        <v>2022</v>
      </c>
      <c r="Y7686" s="234">
        <v>11</v>
      </c>
      <c r="Z7686" s="234">
        <v>17</v>
      </c>
      <c r="AA7686" s="235">
        <v>0.16666666666787933</v>
      </c>
      <c r="AB7686" s="234">
        <v>-11.4</v>
      </c>
      <c r="AC7686" s="127">
        <f t="shared" si="134"/>
        <v>-11</v>
      </c>
    </row>
    <row r="7687" ht="14.5" customHeight="1" spans="11:29" x14ac:dyDescent="0.25">
      <c r="K7687" s="128"/>
      <c r="X7687" s="234">
        <v>2022</v>
      </c>
      <c r="Y7687" s="234">
        <v>11</v>
      </c>
      <c r="Z7687" s="234">
        <v>17</v>
      </c>
      <c r="AA7687" s="235">
        <v>0.20833333333212067</v>
      </c>
      <c r="AB7687" s="234">
        <v>-12</v>
      </c>
      <c r="AC7687" s="127">
        <f t="shared" si="134"/>
        <v>-12</v>
      </c>
    </row>
    <row r="7688" ht="14.5" customHeight="1" spans="11:29" x14ac:dyDescent="0.25">
      <c r="K7688" s="128"/>
      <c r="X7688" s="234">
        <v>2022</v>
      </c>
      <c r="Y7688" s="234">
        <v>11</v>
      </c>
      <c r="Z7688" s="234">
        <v>17</v>
      </c>
      <c r="AA7688" s="235">
        <v>0.25</v>
      </c>
      <c r="AB7688" s="234">
        <v>-12.3</v>
      </c>
      <c r="AC7688" s="127">
        <f t="shared" si="134"/>
        <v>-12</v>
      </c>
    </row>
    <row r="7689" ht="14.5" customHeight="1" spans="11:29" x14ac:dyDescent="0.25">
      <c r="K7689" s="128"/>
      <c r="X7689" s="234">
        <v>2022</v>
      </c>
      <c r="Y7689" s="234">
        <v>11</v>
      </c>
      <c r="Z7689" s="234">
        <v>17</v>
      </c>
      <c r="AA7689" s="235">
        <v>0.2916666666678793</v>
      </c>
      <c r="AB7689" s="234">
        <v>-12.6</v>
      </c>
      <c r="AC7689" s="127">
        <f t="shared" si="134"/>
        <v>-13</v>
      </c>
    </row>
    <row r="7690" ht="14.5" customHeight="1" spans="11:29" x14ac:dyDescent="0.25">
      <c r="K7690" s="128"/>
      <c r="X7690" s="234">
        <v>2022</v>
      </c>
      <c r="Y7690" s="234">
        <v>11</v>
      </c>
      <c r="Z7690" s="234">
        <v>17</v>
      </c>
      <c r="AA7690" s="235">
        <v>0.3333333333321207</v>
      </c>
      <c r="AB7690" s="234">
        <v>-13.7</v>
      </c>
      <c r="AC7690" s="127">
        <f t="shared" si="134"/>
        <v>-14</v>
      </c>
    </row>
    <row r="7691" ht="14.5" customHeight="1" spans="11:29" x14ac:dyDescent="0.25">
      <c r="K7691" s="128"/>
      <c r="X7691" s="234">
        <v>2022</v>
      </c>
      <c r="Y7691" s="234">
        <v>11</v>
      </c>
      <c r="Z7691" s="234">
        <v>17</v>
      </c>
      <c r="AA7691" s="235">
        <v>0.375</v>
      </c>
      <c r="AB7691" s="234">
        <v>-12.9</v>
      </c>
      <c r="AC7691" s="127">
        <f t="shared" ref="AC7691:AC7754" si="135">ROUND(AB7691,0)</f>
        <v>-13</v>
      </c>
    </row>
    <row r="7692" ht="14.5" customHeight="1" spans="11:29" x14ac:dyDescent="0.25">
      <c r="K7692" s="128"/>
      <c r="X7692" s="234">
        <v>2022</v>
      </c>
      <c r="Y7692" s="234">
        <v>11</v>
      </c>
      <c r="Z7692" s="234">
        <v>17</v>
      </c>
      <c r="AA7692" s="235">
        <v>0.4166666666678793</v>
      </c>
      <c r="AB7692" s="234">
        <v>-11.2</v>
      </c>
      <c r="AC7692" s="127">
        <f t="shared" si="135"/>
        <v>-11</v>
      </c>
    </row>
    <row r="7693" ht="14.5" customHeight="1" spans="11:29" x14ac:dyDescent="0.25">
      <c r="K7693" s="128"/>
      <c r="X7693" s="234">
        <v>2022</v>
      </c>
      <c r="Y7693" s="234">
        <v>11</v>
      </c>
      <c r="Z7693" s="234">
        <v>17</v>
      </c>
      <c r="AA7693" s="235">
        <v>0.4583333333321207</v>
      </c>
      <c r="AB7693" s="234">
        <v>-10.2</v>
      </c>
      <c r="AC7693" s="127">
        <f t="shared" si="135"/>
        <v>-10</v>
      </c>
    </row>
    <row r="7694" ht="14.5" customHeight="1" spans="11:29" x14ac:dyDescent="0.25">
      <c r="K7694" s="128"/>
      <c r="X7694" s="234">
        <v>2022</v>
      </c>
      <c r="Y7694" s="234">
        <v>11</v>
      </c>
      <c r="Z7694" s="234">
        <v>17</v>
      </c>
      <c r="AA7694" s="235">
        <v>0.5</v>
      </c>
      <c r="AB7694" s="234">
        <v>-8.7</v>
      </c>
      <c r="AC7694" s="127">
        <f t="shared" si="135"/>
        <v>-9</v>
      </c>
    </row>
    <row r="7695" ht="14.5" customHeight="1" spans="11:29" x14ac:dyDescent="0.25">
      <c r="K7695" s="128"/>
      <c r="X7695" s="234">
        <v>2022</v>
      </c>
      <c r="Y7695" s="234">
        <v>11</v>
      </c>
      <c r="Z7695" s="234">
        <v>17</v>
      </c>
      <c r="AA7695" s="235">
        <v>0.5416666666678793</v>
      </c>
      <c r="AB7695" s="234">
        <v>-7.3</v>
      </c>
      <c r="AC7695" s="127">
        <f t="shared" si="135"/>
        <v>-7</v>
      </c>
    </row>
    <row r="7696" ht="14.5" customHeight="1" spans="11:29" x14ac:dyDescent="0.25">
      <c r="K7696" s="128"/>
      <c r="X7696" s="234">
        <v>2022</v>
      </c>
      <c r="Y7696" s="234">
        <v>11</v>
      </c>
      <c r="Z7696" s="234">
        <v>17</v>
      </c>
      <c r="AA7696" s="235">
        <v>0.5833333333321207</v>
      </c>
      <c r="AB7696" s="234">
        <v>-6.4</v>
      </c>
      <c r="AC7696" s="127">
        <f t="shared" si="135"/>
        <v>-6</v>
      </c>
    </row>
    <row r="7697" ht="14.5" customHeight="1" spans="11:29" x14ac:dyDescent="0.25">
      <c r="K7697" s="128"/>
      <c r="X7697" s="234">
        <v>2022</v>
      </c>
      <c r="Y7697" s="234">
        <v>11</v>
      </c>
      <c r="Z7697" s="234">
        <v>17</v>
      </c>
      <c r="AA7697" s="235">
        <v>0.625</v>
      </c>
      <c r="AB7697" s="234">
        <v>-7.6</v>
      </c>
      <c r="AC7697" s="127">
        <f t="shared" si="135"/>
        <v>-8</v>
      </c>
    </row>
    <row r="7698" ht="14.5" customHeight="1" spans="11:29" x14ac:dyDescent="0.25">
      <c r="K7698" s="128"/>
      <c r="X7698" s="234">
        <v>2022</v>
      </c>
      <c r="Y7698" s="234">
        <v>11</v>
      </c>
      <c r="Z7698" s="234">
        <v>17</v>
      </c>
      <c r="AA7698" s="235">
        <v>0.6666666666678793</v>
      </c>
      <c r="AB7698" s="234">
        <v>-8.2</v>
      </c>
      <c r="AC7698" s="127">
        <f t="shared" si="135"/>
        <v>-8</v>
      </c>
    </row>
    <row r="7699" ht="14.5" customHeight="1" spans="11:29" x14ac:dyDescent="0.25">
      <c r="K7699" s="128"/>
      <c r="X7699" s="234">
        <v>2022</v>
      </c>
      <c r="Y7699" s="234">
        <v>11</v>
      </c>
      <c r="Z7699" s="234">
        <v>17</v>
      </c>
      <c r="AA7699" s="235">
        <v>0.7083333333321207</v>
      </c>
      <c r="AB7699" s="234">
        <v>-8.9</v>
      </c>
      <c r="AC7699" s="127">
        <f t="shared" si="135"/>
        <v>-9</v>
      </c>
    </row>
    <row r="7700" ht="14.5" customHeight="1" spans="11:29" x14ac:dyDescent="0.25">
      <c r="K7700" s="128"/>
      <c r="X7700" s="234">
        <v>2022</v>
      </c>
      <c r="Y7700" s="234">
        <v>11</v>
      </c>
      <c r="Z7700" s="234">
        <v>17</v>
      </c>
      <c r="AA7700" s="235">
        <v>0.75</v>
      </c>
      <c r="AB7700" s="234">
        <v>-9.5</v>
      </c>
      <c r="AC7700" s="127">
        <f t="shared" si="135"/>
        <v>-10</v>
      </c>
    </row>
    <row r="7701" ht="14.5" customHeight="1" spans="11:29" x14ac:dyDescent="0.25">
      <c r="K7701" s="128"/>
      <c r="X7701" s="234">
        <v>2022</v>
      </c>
      <c r="Y7701" s="234">
        <v>11</v>
      </c>
      <c r="Z7701" s="234">
        <v>17</v>
      </c>
      <c r="AA7701" s="235">
        <v>0.7916666666678793</v>
      </c>
      <c r="AB7701" s="234">
        <v>-10.4</v>
      </c>
      <c r="AC7701" s="127">
        <f t="shared" si="135"/>
        <v>-10</v>
      </c>
    </row>
    <row r="7702" ht="14.5" customHeight="1" spans="11:29" x14ac:dyDescent="0.25">
      <c r="K7702" s="128"/>
      <c r="X7702" s="234">
        <v>2022</v>
      </c>
      <c r="Y7702" s="234">
        <v>11</v>
      </c>
      <c r="Z7702" s="234">
        <v>17</v>
      </c>
      <c r="AA7702" s="235">
        <v>0.8333333333321207</v>
      </c>
      <c r="AB7702" s="234">
        <v>-9.6</v>
      </c>
      <c r="AC7702" s="127">
        <f t="shared" si="135"/>
        <v>-10</v>
      </c>
    </row>
    <row r="7703" ht="14.5" customHeight="1" spans="11:29" x14ac:dyDescent="0.25">
      <c r="K7703" s="128"/>
      <c r="X7703" s="234">
        <v>2022</v>
      </c>
      <c r="Y7703" s="234">
        <v>11</v>
      </c>
      <c r="Z7703" s="234">
        <v>17</v>
      </c>
      <c r="AA7703" s="235">
        <v>0.875</v>
      </c>
      <c r="AB7703" s="234">
        <v>-9.3</v>
      </c>
      <c r="AC7703" s="127">
        <f t="shared" si="135"/>
        <v>-9</v>
      </c>
    </row>
    <row r="7704" ht="14.5" customHeight="1" spans="11:29" x14ac:dyDescent="0.25">
      <c r="K7704" s="128"/>
      <c r="X7704" s="234">
        <v>2022</v>
      </c>
      <c r="Y7704" s="234">
        <v>11</v>
      </c>
      <c r="Z7704" s="234">
        <v>17</v>
      </c>
      <c r="AA7704" s="235">
        <v>0.9166666666678793</v>
      </c>
      <c r="AB7704" s="234">
        <v>-10.5</v>
      </c>
      <c r="AC7704" s="127">
        <f t="shared" si="135"/>
        <v>-11</v>
      </c>
    </row>
    <row r="7705" ht="14.5" customHeight="1" spans="11:29" x14ac:dyDescent="0.25">
      <c r="K7705" s="128"/>
      <c r="X7705" s="234">
        <v>2022</v>
      </c>
      <c r="Y7705" s="234">
        <v>11</v>
      </c>
      <c r="Z7705" s="234">
        <v>17</v>
      </c>
      <c r="AA7705" s="235">
        <v>0.9583333333321207</v>
      </c>
      <c r="AB7705" s="234">
        <v>-10</v>
      </c>
      <c r="AC7705" s="127">
        <f t="shared" si="135"/>
        <v>-10</v>
      </c>
    </row>
    <row r="7706" ht="14.5" customHeight="1" spans="11:29" x14ac:dyDescent="0.25">
      <c r="K7706" s="128"/>
      <c r="X7706" s="234">
        <v>2022</v>
      </c>
      <c r="Y7706" s="234">
        <v>11</v>
      </c>
      <c r="Z7706" s="234">
        <v>18</v>
      </c>
      <c r="AA7706" s="235">
        <v>0</v>
      </c>
      <c r="AB7706" s="234">
        <v>-9.1</v>
      </c>
      <c r="AC7706" s="127">
        <f t="shared" si="135"/>
        <v>-9</v>
      </c>
    </row>
    <row r="7707" ht="14.5" customHeight="1" spans="11:29" x14ac:dyDescent="0.25">
      <c r="K7707" s="128"/>
      <c r="X7707" s="234">
        <v>2022</v>
      </c>
      <c r="Y7707" s="234">
        <v>11</v>
      </c>
      <c r="Z7707" s="234">
        <v>18</v>
      </c>
      <c r="AA7707" s="235">
        <v>0.041666666667879326</v>
      </c>
      <c r="AB7707" s="234">
        <v>-9.6</v>
      </c>
      <c r="AC7707" s="127">
        <f t="shared" si="135"/>
        <v>-10</v>
      </c>
    </row>
    <row r="7708" ht="14.5" customHeight="1" spans="11:29" x14ac:dyDescent="0.25">
      <c r="K7708" s="128"/>
      <c r="X7708" s="234">
        <v>2022</v>
      </c>
      <c r="Y7708" s="234">
        <v>11</v>
      </c>
      <c r="Z7708" s="234">
        <v>18</v>
      </c>
      <c r="AA7708" s="235">
        <v>0.08333333333212067</v>
      </c>
      <c r="AB7708" s="234">
        <v>-10.2</v>
      </c>
      <c r="AC7708" s="127">
        <f t="shared" si="135"/>
        <v>-10</v>
      </c>
    </row>
    <row r="7709" ht="14.5" customHeight="1" spans="11:29" x14ac:dyDescent="0.25">
      <c r="K7709" s="128"/>
      <c r="X7709" s="234">
        <v>2022</v>
      </c>
      <c r="Y7709" s="234">
        <v>11</v>
      </c>
      <c r="Z7709" s="234">
        <v>18</v>
      </c>
      <c r="AA7709" s="235">
        <v>0.125</v>
      </c>
      <c r="AB7709" s="234">
        <v>-9.8</v>
      </c>
      <c r="AC7709" s="127">
        <f t="shared" si="135"/>
        <v>-10</v>
      </c>
    </row>
    <row r="7710" ht="14.5" customHeight="1" spans="11:29" x14ac:dyDescent="0.25">
      <c r="K7710" s="128"/>
      <c r="X7710" s="234">
        <v>2022</v>
      </c>
      <c r="Y7710" s="234">
        <v>11</v>
      </c>
      <c r="Z7710" s="234">
        <v>18</v>
      </c>
      <c r="AA7710" s="235">
        <v>0.16666666666787933</v>
      </c>
      <c r="AB7710" s="234">
        <v>-9.1</v>
      </c>
      <c r="AC7710" s="127">
        <f t="shared" si="135"/>
        <v>-9</v>
      </c>
    </row>
    <row r="7711" ht="14.5" customHeight="1" spans="11:29" x14ac:dyDescent="0.25">
      <c r="K7711" s="128"/>
      <c r="X7711" s="234">
        <v>2022</v>
      </c>
      <c r="Y7711" s="234">
        <v>11</v>
      </c>
      <c r="Z7711" s="234">
        <v>18</v>
      </c>
      <c r="AA7711" s="235">
        <v>0.20833333333212067</v>
      </c>
      <c r="AB7711" s="234">
        <v>-9.1</v>
      </c>
      <c r="AC7711" s="127">
        <f t="shared" si="135"/>
        <v>-9</v>
      </c>
    </row>
    <row r="7712" ht="14.5" customHeight="1" spans="11:29" x14ac:dyDescent="0.25">
      <c r="K7712" s="128"/>
      <c r="X7712" s="234">
        <v>2022</v>
      </c>
      <c r="Y7712" s="234">
        <v>11</v>
      </c>
      <c r="Z7712" s="234">
        <v>18</v>
      </c>
      <c r="AA7712" s="235">
        <v>0.25</v>
      </c>
      <c r="AB7712" s="234">
        <v>-7.3</v>
      </c>
      <c r="AC7712" s="127">
        <f t="shared" si="135"/>
        <v>-7</v>
      </c>
    </row>
    <row r="7713" ht="14.5" customHeight="1" spans="11:29" x14ac:dyDescent="0.25">
      <c r="K7713" s="128"/>
      <c r="X7713" s="234">
        <v>2022</v>
      </c>
      <c r="Y7713" s="234">
        <v>11</v>
      </c>
      <c r="Z7713" s="234">
        <v>18</v>
      </c>
      <c r="AA7713" s="235">
        <v>0.2916666666678793</v>
      </c>
      <c r="AB7713" s="234">
        <v>-5</v>
      </c>
      <c r="AC7713" s="127">
        <f t="shared" si="135"/>
        <v>-5</v>
      </c>
    </row>
    <row r="7714" ht="14.5" customHeight="1" spans="11:29" x14ac:dyDescent="0.25">
      <c r="K7714" s="128"/>
      <c r="X7714" s="234">
        <v>2022</v>
      </c>
      <c r="Y7714" s="234">
        <v>11</v>
      </c>
      <c r="Z7714" s="234">
        <v>18</v>
      </c>
      <c r="AA7714" s="235">
        <v>0.3333333333321207</v>
      </c>
      <c r="AB7714" s="234">
        <v>-7.6</v>
      </c>
      <c r="AC7714" s="127">
        <f t="shared" si="135"/>
        <v>-8</v>
      </c>
    </row>
    <row r="7715" ht="14.5" customHeight="1" spans="11:29" x14ac:dyDescent="0.25">
      <c r="K7715" s="128"/>
      <c r="X7715" s="234">
        <v>2022</v>
      </c>
      <c r="Y7715" s="234">
        <v>11</v>
      </c>
      <c r="Z7715" s="234">
        <v>18</v>
      </c>
      <c r="AA7715" s="235">
        <v>0.375</v>
      </c>
      <c r="AB7715" s="234">
        <v>-6.5</v>
      </c>
      <c r="AC7715" s="127">
        <f t="shared" si="135"/>
        <v>-7</v>
      </c>
    </row>
    <row r="7716" ht="14.5" customHeight="1" spans="11:29" x14ac:dyDescent="0.25">
      <c r="K7716" s="128"/>
      <c r="X7716" s="234">
        <v>2022</v>
      </c>
      <c r="Y7716" s="234">
        <v>11</v>
      </c>
      <c r="Z7716" s="234">
        <v>18</v>
      </c>
      <c r="AA7716" s="235">
        <v>0.4166666666678793</v>
      </c>
      <c r="AB7716" s="234">
        <v>-4.4</v>
      </c>
      <c r="AC7716" s="127">
        <f t="shared" si="135"/>
        <v>-4</v>
      </c>
    </row>
    <row r="7717" ht="14.5" customHeight="1" spans="11:29" x14ac:dyDescent="0.25">
      <c r="K7717" s="128"/>
      <c r="X7717" s="234">
        <v>2022</v>
      </c>
      <c r="Y7717" s="234">
        <v>11</v>
      </c>
      <c r="Z7717" s="234">
        <v>18</v>
      </c>
      <c r="AA7717" s="235">
        <v>0.4583333333321207</v>
      </c>
      <c r="AB7717" s="234">
        <v>-2.3</v>
      </c>
      <c r="AC7717" s="127">
        <f t="shared" si="135"/>
        <v>-2</v>
      </c>
    </row>
    <row r="7718" ht="14.5" customHeight="1" spans="11:29" x14ac:dyDescent="0.25">
      <c r="K7718" s="128"/>
      <c r="X7718" s="234">
        <v>2022</v>
      </c>
      <c r="Y7718" s="234">
        <v>11</v>
      </c>
      <c r="Z7718" s="234">
        <v>18</v>
      </c>
      <c r="AA7718" s="235">
        <v>0.5</v>
      </c>
      <c r="AB7718" s="234">
        <v>-1.4</v>
      </c>
      <c r="AC7718" s="127">
        <f t="shared" si="135"/>
        <v>-1</v>
      </c>
    </row>
    <row r="7719" ht="14.5" customHeight="1" spans="11:29" x14ac:dyDescent="0.25">
      <c r="K7719" s="128"/>
      <c r="X7719" s="234">
        <v>2022</v>
      </c>
      <c r="Y7719" s="234">
        <v>11</v>
      </c>
      <c r="Z7719" s="234">
        <v>18</v>
      </c>
      <c r="AA7719" s="235">
        <v>0.5416666666678793</v>
      </c>
      <c r="AB7719" s="234">
        <v>-0.4</v>
      </c>
      <c r="AC7719" s="127">
        <f t="shared" si="135"/>
        <v>0</v>
      </c>
    </row>
    <row r="7720" ht="14.5" customHeight="1" spans="11:29" x14ac:dyDescent="0.25">
      <c r="K7720" s="128"/>
      <c r="X7720" s="234">
        <v>2022</v>
      </c>
      <c r="Y7720" s="234">
        <v>11</v>
      </c>
      <c r="Z7720" s="234">
        <v>18</v>
      </c>
      <c r="AA7720" s="235">
        <v>0.5833333333321207</v>
      </c>
      <c r="AB7720" s="234">
        <v>-0.2</v>
      </c>
      <c r="AC7720" s="127">
        <f t="shared" si="135"/>
        <v>0</v>
      </c>
    </row>
    <row r="7721" ht="14.5" customHeight="1" spans="11:29" x14ac:dyDescent="0.25">
      <c r="K7721" s="128"/>
      <c r="X7721" s="234">
        <v>2022</v>
      </c>
      <c r="Y7721" s="234">
        <v>11</v>
      </c>
      <c r="Z7721" s="234">
        <v>18</v>
      </c>
      <c r="AA7721" s="235">
        <v>0.625</v>
      </c>
      <c r="AB7721" s="234">
        <v>-0.6</v>
      </c>
      <c r="AC7721" s="127">
        <f t="shared" si="135"/>
        <v>-1</v>
      </c>
    </row>
    <row r="7722" ht="14.5" customHeight="1" spans="11:29" x14ac:dyDescent="0.25">
      <c r="K7722" s="128"/>
      <c r="X7722" s="234">
        <v>2022</v>
      </c>
      <c r="Y7722" s="234">
        <v>11</v>
      </c>
      <c r="Z7722" s="234">
        <v>18</v>
      </c>
      <c r="AA7722" s="235">
        <v>0.6666666666678793</v>
      </c>
      <c r="AB7722" s="234">
        <v>-1.6</v>
      </c>
      <c r="AC7722" s="127">
        <f t="shared" si="135"/>
        <v>-2</v>
      </c>
    </row>
    <row r="7723" ht="14.5" customHeight="1" spans="11:29" x14ac:dyDescent="0.25">
      <c r="K7723" s="128"/>
      <c r="X7723" s="234">
        <v>2022</v>
      </c>
      <c r="Y7723" s="234">
        <v>11</v>
      </c>
      <c r="Z7723" s="234">
        <v>18</v>
      </c>
      <c r="AA7723" s="235">
        <v>0.7083333333321207</v>
      </c>
      <c r="AB7723" s="234">
        <v>-5.6</v>
      </c>
      <c r="AC7723" s="127">
        <f t="shared" si="135"/>
        <v>-6</v>
      </c>
    </row>
    <row r="7724" ht="14.5" customHeight="1" spans="11:29" x14ac:dyDescent="0.25">
      <c r="K7724" s="128"/>
      <c r="X7724" s="234">
        <v>2022</v>
      </c>
      <c r="Y7724" s="234">
        <v>11</v>
      </c>
      <c r="Z7724" s="234">
        <v>18</v>
      </c>
      <c r="AA7724" s="235">
        <v>0.75</v>
      </c>
      <c r="AB7724" s="234">
        <v>-7.2</v>
      </c>
      <c r="AC7724" s="127">
        <f t="shared" si="135"/>
        <v>-7</v>
      </c>
    </row>
    <row r="7725" ht="14.5" customHeight="1" spans="11:29" x14ac:dyDescent="0.25">
      <c r="K7725" s="128"/>
      <c r="X7725" s="234">
        <v>2022</v>
      </c>
      <c r="Y7725" s="234">
        <v>11</v>
      </c>
      <c r="Z7725" s="234">
        <v>18</v>
      </c>
      <c r="AA7725" s="235">
        <v>0.7916666666678793</v>
      </c>
      <c r="AB7725" s="234">
        <v>-8.4</v>
      </c>
      <c r="AC7725" s="127">
        <f t="shared" si="135"/>
        <v>-8</v>
      </c>
    </row>
    <row r="7726" ht="14.5" customHeight="1" spans="11:29" x14ac:dyDescent="0.25">
      <c r="K7726" s="128"/>
      <c r="X7726" s="234">
        <v>2022</v>
      </c>
      <c r="Y7726" s="234">
        <v>11</v>
      </c>
      <c r="Z7726" s="234">
        <v>18</v>
      </c>
      <c r="AA7726" s="235">
        <v>0.8333333333321207</v>
      </c>
      <c r="AB7726" s="234">
        <v>-11.3</v>
      </c>
      <c r="AC7726" s="127">
        <f t="shared" si="135"/>
        <v>-11</v>
      </c>
    </row>
    <row r="7727" ht="14.5" customHeight="1" spans="11:29" x14ac:dyDescent="0.25">
      <c r="K7727" s="128"/>
      <c r="X7727" s="234">
        <v>2022</v>
      </c>
      <c r="Y7727" s="234">
        <v>11</v>
      </c>
      <c r="Z7727" s="234">
        <v>18</v>
      </c>
      <c r="AA7727" s="235">
        <v>0.875</v>
      </c>
      <c r="AB7727" s="234">
        <v>-11.2</v>
      </c>
      <c r="AC7727" s="127">
        <f t="shared" si="135"/>
        <v>-11</v>
      </c>
    </row>
    <row r="7728" ht="14.5" customHeight="1" spans="11:29" x14ac:dyDescent="0.25">
      <c r="K7728" s="128"/>
      <c r="X7728" s="234">
        <v>2022</v>
      </c>
      <c r="Y7728" s="234">
        <v>11</v>
      </c>
      <c r="Z7728" s="234">
        <v>18</v>
      </c>
      <c r="AA7728" s="235">
        <v>0.9166666666678793</v>
      </c>
      <c r="AB7728" s="234">
        <v>-10.7</v>
      </c>
      <c r="AC7728" s="127">
        <f t="shared" si="135"/>
        <v>-11</v>
      </c>
    </row>
    <row r="7729" ht="14.5" customHeight="1" spans="11:29" x14ac:dyDescent="0.25">
      <c r="K7729" s="128"/>
      <c r="X7729" s="234">
        <v>2022</v>
      </c>
      <c r="Y7729" s="234">
        <v>11</v>
      </c>
      <c r="Z7729" s="234">
        <v>18</v>
      </c>
      <c r="AA7729" s="235">
        <v>0.9583333333321207</v>
      </c>
      <c r="AB7729" s="234">
        <v>-11.4</v>
      </c>
      <c r="AC7729" s="127">
        <f t="shared" si="135"/>
        <v>-11</v>
      </c>
    </row>
    <row r="7730" ht="14.5" customHeight="1" spans="11:29" x14ac:dyDescent="0.25">
      <c r="K7730" s="128"/>
      <c r="X7730" s="234">
        <v>2022</v>
      </c>
      <c r="Y7730" s="234">
        <v>11</v>
      </c>
      <c r="Z7730" s="234">
        <v>19</v>
      </c>
      <c r="AA7730" s="235">
        <v>0</v>
      </c>
      <c r="AB7730" s="234">
        <v>-11.4</v>
      </c>
      <c r="AC7730" s="127">
        <f t="shared" si="135"/>
        <v>-11</v>
      </c>
    </row>
    <row r="7731" ht="14.5" customHeight="1" spans="11:29" x14ac:dyDescent="0.25">
      <c r="K7731" s="128"/>
      <c r="X7731" s="234">
        <v>2022</v>
      </c>
      <c r="Y7731" s="234">
        <v>11</v>
      </c>
      <c r="Z7731" s="234">
        <v>19</v>
      </c>
      <c r="AA7731" s="235">
        <v>0.041666666667879326</v>
      </c>
      <c r="AB7731" s="234">
        <v>-13.3</v>
      </c>
      <c r="AC7731" s="127">
        <f t="shared" si="135"/>
        <v>-13</v>
      </c>
    </row>
    <row r="7732" ht="14.5" customHeight="1" spans="11:29" x14ac:dyDescent="0.25">
      <c r="K7732" s="128"/>
      <c r="X7732" s="234">
        <v>2022</v>
      </c>
      <c r="Y7732" s="234">
        <v>11</v>
      </c>
      <c r="Z7732" s="234">
        <v>19</v>
      </c>
      <c r="AA7732" s="235">
        <v>0.08333333333212067</v>
      </c>
      <c r="AB7732" s="234">
        <v>-13.2</v>
      </c>
      <c r="AC7732" s="127">
        <f t="shared" si="135"/>
        <v>-13</v>
      </c>
    </row>
    <row r="7733" ht="14.5" customHeight="1" spans="11:29" x14ac:dyDescent="0.25">
      <c r="K7733" s="128"/>
      <c r="X7733" s="234">
        <v>2022</v>
      </c>
      <c r="Y7733" s="234">
        <v>11</v>
      </c>
      <c r="Z7733" s="234">
        <v>19</v>
      </c>
      <c r="AA7733" s="235">
        <v>0.125</v>
      </c>
      <c r="AB7733" s="234">
        <v>-12.8</v>
      </c>
      <c r="AC7733" s="127">
        <f t="shared" si="135"/>
        <v>-13</v>
      </c>
    </row>
    <row r="7734" ht="14.5" customHeight="1" spans="11:29" x14ac:dyDescent="0.25">
      <c r="K7734" s="128"/>
      <c r="X7734" s="234">
        <v>2022</v>
      </c>
      <c r="Y7734" s="234">
        <v>11</v>
      </c>
      <c r="Z7734" s="234">
        <v>19</v>
      </c>
      <c r="AA7734" s="235">
        <v>0.16666666666787933</v>
      </c>
      <c r="AB7734" s="234">
        <v>-13.4</v>
      </c>
      <c r="AC7734" s="127">
        <f t="shared" si="135"/>
        <v>-13</v>
      </c>
    </row>
    <row r="7735" ht="14.5" customHeight="1" spans="11:29" x14ac:dyDescent="0.25">
      <c r="K7735" s="128"/>
      <c r="X7735" s="234">
        <v>2022</v>
      </c>
      <c r="Y7735" s="234">
        <v>11</v>
      </c>
      <c r="Z7735" s="234">
        <v>19</v>
      </c>
      <c r="AA7735" s="235">
        <v>0.20833333333212067</v>
      </c>
      <c r="AB7735" s="234">
        <v>-11.1</v>
      </c>
      <c r="AC7735" s="127">
        <f t="shared" si="135"/>
        <v>-11</v>
      </c>
    </row>
    <row r="7736" ht="14.5" customHeight="1" spans="11:29" x14ac:dyDescent="0.25">
      <c r="K7736" s="128"/>
      <c r="X7736" s="234">
        <v>2022</v>
      </c>
      <c r="Y7736" s="234">
        <v>11</v>
      </c>
      <c r="Z7736" s="234">
        <v>19</v>
      </c>
      <c r="AA7736" s="235">
        <v>0.25</v>
      </c>
      <c r="AB7736" s="234">
        <v>-11.5</v>
      </c>
      <c r="AC7736" s="127">
        <f t="shared" si="135"/>
        <v>-12</v>
      </c>
    </row>
    <row r="7737" ht="14.5" customHeight="1" spans="11:29" x14ac:dyDescent="0.25">
      <c r="K7737" s="128"/>
      <c r="X7737" s="234">
        <v>2022</v>
      </c>
      <c r="Y7737" s="234">
        <v>11</v>
      </c>
      <c r="Z7737" s="234">
        <v>19</v>
      </c>
      <c r="AA7737" s="235">
        <v>0.2916666666678793</v>
      </c>
      <c r="AB7737" s="234">
        <v>-9.6</v>
      </c>
      <c r="AC7737" s="127">
        <f t="shared" si="135"/>
        <v>-10</v>
      </c>
    </row>
    <row r="7738" ht="14.5" customHeight="1" spans="11:29" x14ac:dyDescent="0.25">
      <c r="K7738" s="128"/>
      <c r="X7738" s="234">
        <v>2022</v>
      </c>
      <c r="Y7738" s="234">
        <v>11</v>
      </c>
      <c r="Z7738" s="234">
        <v>19</v>
      </c>
      <c r="AA7738" s="235">
        <v>0.3333333333321207</v>
      </c>
      <c r="AB7738" s="234">
        <v>-9.4</v>
      </c>
      <c r="AC7738" s="127">
        <f t="shared" si="135"/>
        <v>-9</v>
      </c>
    </row>
    <row r="7739" ht="14.5" customHeight="1" spans="11:29" x14ac:dyDescent="0.25">
      <c r="K7739" s="128"/>
      <c r="X7739" s="234">
        <v>2022</v>
      </c>
      <c r="Y7739" s="234">
        <v>11</v>
      </c>
      <c r="Z7739" s="234">
        <v>19</v>
      </c>
      <c r="AA7739" s="235">
        <v>0.375</v>
      </c>
      <c r="AB7739" s="234">
        <v>-4.8</v>
      </c>
      <c r="AC7739" s="127">
        <f t="shared" si="135"/>
        <v>-5</v>
      </c>
    </row>
    <row r="7740" ht="14.5" customHeight="1" spans="11:29" x14ac:dyDescent="0.25">
      <c r="K7740" s="128"/>
      <c r="X7740" s="234">
        <v>2022</v>
      </c>
      <c r="Y7740" s="234">
        <v>11</v>
      </c>
      <c r="Z7740" s="234">
        <v>19</v>
      </c>
      <c r="AA7740" s="235">
        <v>0.4166666666678793</v>
      </c>
      <c r="AB7740" s="234">
        <v>1</v>
      </c>
      <c r="AC7740" s="127">
        <f t="shared" si="135"/>
        <v>1</v>
      </c>
    </row>
    <row r="7741" ht="14.5" customHeight="1" spans="11:29" x14ac:dyDescent="0.25">
      <c r="K7741" s="128"/>
      <c r="X7741" s="234">
        <v>2022</v>
      </c>
      <c r="Y7741" s="234">
        <v>11</v>
      </c>
      <c r="Z7741" s="234">
        <v>19</v>
      </c>
      <c r="AA7741" s="235">
        <v>0.4583333333321207</v>
      </c>
      <c r="AB7741" s="234">
        <v>4</v>
      </c>
      <c r="AC7741" s="127">
        <f t="shared" si="135"/>
        <v>4</v>
      </c>
    </row>
    <row r="7742" ht="14.5" customHeight="1" spans="11:29" x14ac:dyDescent="0.25">
      <c r="K7742" s="128"/>
      <c r="X7742" s="234">
        <v>2022</v>
      </c>
      <c r="Y7742" s="234">
        <v>11</v>
      </c>
      <c r="Z7742" s="234">
        <v>19</v>
      </c>
      <c r="AA7742" s="235">
        <v>0.5</v>
      </c>
      <c r="AB7742" s="234">
        <v>4.9</v>
      </c>
      <c r="AC7742" s="127">
        <f t="shared" si="135"/>
        <v>5</v>
      </c>
    </row>
    <row r="7743" ht="14.5" customHeight="1" spans="11:29" x14ac:dyDescent="0.25">
      <c r="K7743" s="128"/>
      <c r="X7743" s="234">
        <v>2022</v>
      </c>
      <c r="Y7743" s="234">
        <v>11</v>
      </c>
      <c r="Z7743" s="234">
        <v>19</v>
      </c>
      <c r="AA7743" s="235">
        <v>0.5416666666678793</v>
      </c>
      <c r="AB7743" s="234">
        <v>5.4</v>
      </c>
      <c r="AC7743" s="127">
        <f t="shared" si="135"/>
        <v>5</v>
      </c>
    </row>
    <row r="7744" ht="14.5" customHeight="1" spans="11:29" x14ac:dyDescent="0.25">
      <c r="K7744" s="128"/>
      <c r="X7744" s="234">
        <v>2022</v>
      </c>
      <c r="Y7744" s="234">
        <v>11</v>
      </c>
      <c r="Z7744" s="234">
        <v>19</v>
      </c>
      <c r="AA7744" s="235">
        <v>0.5833333333321207</v>
      </c>
      <c r="AB7744" s="234">
        <v>6.7</v>
      </c>
      <c r="AC7744" s="127">
        <f t="shared" si="135"/>
        <v>7</v>
      </c>
    </row>
    <row r="7745" ht="14.5" customHeight="1" spans="11:29" x14ac:dyDescent="0.25">
      <c r="K7745" s="128"/>
      <c r="X7745" s="234">
        <v>2022</v>
      </c>
      <c r="Y7745" s="234">
        <v>11</v>
      </c>
      <c r="Z7745" s="234">
        <v>19</v>
      </c>
      <c r="AA7745" s="235">
        <v>0.625</v>
      </c>
      <c r="AB7745" s="234">
        <v>6.9</v>
      </c>
      <c r="AC7745" s="127">
        <f t="shared" si="135"/>
        <v>7</v>
      </c>
    </row>
    <row r="7746" ht="14.5" customHeight="1" spans="11:29" x14ac:dyDescent="0.25">
      <c r="K7746" s="128"/>
      <c r="X7746" s="234">
        <v>2022</v>
      </c>
      <c r="Y7746" s="234">
        <v>11</v>
      </c>
      <c r="Z7746" s="234">
        <v>19</v>
      </c>
      <c r="AA7746" s="235">
        <v>0.6666666666678793</v>
      </c>
      <c r="AB7746" s="234">
        <v>6.3</v>
      </c>
      <c r="AC7746" s="127">
        <f t="shared" si="135"/>
        <v>6</v>
      </c>
    </row>
    <row r="7747" ht="14.5" customHeight="1" spans="11:29" x14ac:dyDescent="0.25">
      <c r="K7747" s="128"/>
      <c r="X7747" s="234">
        <v>2022</v>
      </c>
      <c r="Y7747" s="234">
        <v>11</v>
      </c>
      <c r="Z7747" s="234">
        <v>19</v>
      </c>
      <c r="AA7747" s="235">
        <v>0.7083333333321207</v>
      </c>
      <c r="AB7747" s="234">
        <v>4.8</v>
      </c>
      <c r="AC7747" s="127">
        <f t="shared" si="135"/>
        <v>5</v>
      </c>
    </row>
    <row r="7748" ht="14.5" customHeight="1" spans="11:29" x14ac:dyDescent="0.25">
      <c r="K7748" s="128"/>
      <c r="X7748" s="234">
        <v>2022</v>
      </c>
      <c r="Y7748" s="234">
        <v>11</v>
      </c>
      <c r="Z7748" s="234">
        <v>19</v>
      </c>
      <c r="AA7748" s="235">
        <v>0.75</v>
      </c>
      <c r="AB7748" s="234">
        <v>3.7</v>
      </c>
      <c r="AC7748" s="127">
        <f t="shared" si="135"/>
        <v>4</v>
      </c>
    </row>
    <row r="7749" ht="14.5" customHeight="1" spans="11:29" x14ac:dyDescent="0.25">
      <c r="K7749" s="128"/>
      <c r="X7749" s="234">
        <v>2022</v>
      </c>
      <c r="Y7749" s="234">
        <v>11</v>
      </c>
      <c r="Z7749" s="234">
        <v>19</v>
      </c>
      <c r="AA7749" s="235">
        <v>0.7916666666678793</v>
      </c>
      <c r="AB7749" s="234">
        <v>-0.9</v>
      </c>
      <c r="AC7749" s="127">
        <f t="shared" si="135"/>
        <v>-1</v>
      </c>
    </row>
    <row r="7750" ht="14.5" customHeight="1" spans="11:29" x14ac:dyDescent="0.25">
      <c r="K7750" s="128"/>
      <c r="X7750" s="234">
        <v>2022</v>
      </c>
      <c r="Y7750" s="234">
        <v>11</v>
      </c>
      <c r="Z7750" s="234">
        <v>19</v>
      </c>
      <c r="AA7750" s="235">
        <v>0.8333333333321207</v>
      </c>
      <c r="AB7750" s="234">
        <v>-1.8</v>
      </c>
      <c r="AC7750" s="127">
        <f t="shared" si="135"/>
        <v>-2</v>
      </c>
    </row>
    <row r="7751" ht="14.5" customHeight="1" spans="11:29" x14ac:dyDescent="0.25">
      <c r="K7751" s="128"/>
      <c r="X7751" s="234">
        <v>2022</v>
      </c>
      <c r="Y7751" s="234">
        <v>11</v>
      </c>
      <c r="Z7751" s="234">
        <v>19</v>
      </c>
      <c r="AA7751" s="235">
        <v>0.875</v>
      </c>
      <c r="AB7751" s="234">
        <v>-3.7</v>
      </c>
      <c r="AC7751" s="127">
        <f t="shared" si="135"/>
        <v>-4</v>
      </c>
    </row>
    <row r="7752" ht="14.5" customHeight="1" spans="11:29" x14ac:dyDescent="0.25">
      <c r="K7752" s="128"/>
      <c r="X7752" s="234">
        <v>2022</v>
      </c>
      <c r="Y7752" s="234">
        <v>11</v>
      </c>
      <c r="Z7752" s="234">
        <v>19</v>
      </c>
      <c r="AA7752" s="235">
        <v>0.9166666666678793</v>
      </c>
      <c r="AB7752" s="234">
        <v>-4.9</v>
      </c>
      <c r="AC7752" s="127">
        <f t="shared" si="135"/>
        <v>-5</v>
      </c>
    </row>
    <row r="7753" ht="14.5" customHeight="1" spans="11:29" x14ac:dyDescent="0.25">
      <c r="K7753" s="128"/>
      <c r="X7753" s="234">
        <v>2022</v>
      </c>
      <c r="Y7753" s="234">
        <v>11</v>
      </c>
      <c r="Z7753" s="234">
        <v>19</v>
      </c>
      <c r="AA7753" s="235">
        <v>0.9583333333321207</v>
      </c>
      <c r="AB7753" s="234">
        <v>-2.1</v>
      </c>
      <c r="AC7753" s="127">
        <f t="shared" si="135"/>
        <v>-2</v>
      </c>
    </row>
    <row r="7754" ht="14.5" customHeight="1" spans="11:29" x14ac:dyDescent="0.25">
      <c r="K7754" s="128"/>
      <c r="X7754" s="234">
        <v>2022</v>
      </c>
      <c r="Y7754" s="234">
        <v>11</v>
      </c>
      <c r="Z7754" s="234">
        <v>20</v>
      </c>
      <c r="AA7754" s="235">
        <v>0</v>
      </c>
      <c r="AB7754" s="234">
        <v>-4.1</v>
      </c>
      <c r="AC7754" s="127">
        <f t="shared" si="135"/>
        <v>-4</v>
      </c>
    </row>
    <row r="7755" ht="14.5" customHeight="1" spans="11:29" x14ac:dyDescent="0.25">
      <c r="K7755" s="128"/>
      <c r="X7755" s="234">
        <v>2022</v>
      </c>
      <c r="Y7755" s="234">
        <v>11</v>
      </c>
      <c r="Z7755" s="234">
        <v>20</v>
      </c>
      <c r="AA7755" s="235">
        <v>0.041666666667879326</v>
      </c>
      <c r="AB7755" s="234">
        <v>-5.6</v>
      </c>
      <c r="AC7755" s="127">
        <f t="shared" ref="AC7755:AC7818" si="136">ROUND(AB7755,0)</f>
        <v>-6</v>
      </c>
    </row>
    <row r="7756" ht="14.5" customHeight="1" spans="11:29" x14ac:dyDescent="0.25">
      <c r="K7756" s="128"/>
      <c r="X7756" s="234">
        <v>2022</v>
      </c>
      <c r="Y7756" s="234">
        <v>11</v>
      </c>
      <c r="Z7756" s="234">
        <v>20</v>
      </c>
      <c r="AA7756" s="235">
        <v>0.08333333333212067</v>
      </c>
      <c r="AB7756" s="234">
        <v>-3</v>
      </c>
      <c r="AC7756" s="127">
        <f t="shared" si="136"/>
        <v>-3</v>
      </c>
    </row>
    <row r="7757" ht="14.5" customHeight="1" spans="11:29" x14ac:dyDescent="0.25">
      <c r="K7757" s="128"/>
      <c r="X7757" s="234">
        <v>2022</v>
      </c>
      <c r="Y7757" s="234">
        <v>11</v>
      </c>
      <c r="Z7757" s="234">
        <v>20</v>
      </c>
      <c r="AA7757" s="235">
        <v>0.125</v>
      </c>
      <c r="AB7757" s="234">
        <v>-5.4</v>
      </c>
      <c r="AC7757" s="127">
        <f t="shared" si="136"/>
        <v>-5</v>
      </c>
    </row>
    <row r="7758" ht="14.5" customHeight="1" spans="11:29" x14ac:dyDescent="0.25">
      <c r="K7758" s="128"/>
      <c r="X7758" s="234">
        <v>2022</v>
      </c>
      <c r="Y7758" s="234">
        <v>11</v>
      </c>
      <c r="Z7758" s="234">
        <v>20</v>
      </c>
      <c r="AA7758" s="235">
        <v>0.16666666666787933</v>
      </c>
      <c r="AB7758" s="234">
        <v>-4.2</v>
      </c>
      <c r="AC7758" s="127">
        <f t="shared" si="136"/>
        <v>-4</v>
      </c>
    </row>
    <row r="7759" ht="14.5" customHeight="1" spans="11:29" x14ac:dyDescent="0.25">
      <c r="K7759" s="128"/>
      <c r="X7759" s="234">
        <v>2022</v>
      </c>
      <c r="Y7759" s="234">
        <v>11</v>
      </c>
      <c r="Z7759" s="234">
        <v>20</v>
      </c>
      <c r="AA7759" s="235">
        <v>0.20833333333212067</v>
      </c>
      <c r="AB7759" s="234">
        <v>1.5</v>
      </c>
      <c r="AC7759" s="127">
        <f t="shared" si="136"/>
        <v>2</v>
      </c>
    </row>
    <row r="7760" ht="14.5" customHeight="1" spans="11:29" x14ac:dyDescent="0.25">
      <c r="K7760" s="128"/>
      <c r="X7760" s="234">
        <v>2022</v>
      </c>
      <c r="Y7760" s="234">
        <v>11</v>
      </c>
      <c r="Z7760" s="234">
        <v>20</v>
      </c>
      <c r="AA7760" s="235">
        <v>0.25</v>
      </c>
      <c r="AB7760" s="234">
        <v>2.2</v>
      </c>
      <c r="AC7760" s="127">
        <f t="shared" si="136"/>
        <v>2</v>
      </c>
    </row>
    <row r="7761" ht="14.5" customHeight="1" spans="11:29" x14ac:dyDescent="0.25">
      <c r="K7761" s="128"/>
      <c r="X7761" s="234">
        <v>2022</v>
      </c>
      <c r="Y7761" s="234">
        <v>11</v>
      </c>
      <c r="Z7761" s="234">
        <v>20</v>
      </c>
      <c r="AA7761" s="235">
        <v>0.2916666666678793</v>
      </c>
      <c r="AB7761" s="234">
        <v>3.3</v>
      </c>
      <c r="AC7761" s="127">
        <f t="shared" si="136"/>
        <v>3</v>
      </c>
    </row>
    <row r="7762" ht="14.5" customHeight="1" spans="11:29" x14ac:dyDescent="0.25">
      <c r="K7762" s="128"/>
      <c r="X7762" s="234">
        <v>2022</v>
      </c>
      <c r="Y7762" s="234">
        <v>11</v>
      </c>
      <c r="Z7762" s="234">
        <v>20</v>
      </c>
      <c r="AA7762" s="235">
        <v>0.3333333333321207</v>
      </c>
      <c r="AB7762" s="234">
        <v>2.9</v>
      </c>
      <c r="AC7762" s="127">
        <f t="shared" si="136"/>
        <v>3</v>
      </c>
    </row>
    <row r="7763" ht="14.5" customHeight="1" spans="11:29" x14ac:dyDescent="0.25">
      <c r="K7763" s="128"/>
      <c r="X7763" s="234">
        <v>2022</v>
      </c>
      <c r="Y7763" s="234">
        <v>11</v>
      </c>
      <c r="Z7763" s="234">
        <v>20</v>
      </c>
      <c r="AA7763" s="235">
        <v>0.375</v>
      </c>
      <c r="AB7763" s="234">
        <v>2.3</v>
      </c>
      <c r="AC7763" s="127">
        <f t="shared" si="136"/>
        <v>2</v>
      </c>
    </row>
    <row r="7764" ht="14.5" customHeight="1" spans="11:29" x14ac:dyDescent="0.25">
      <c r="K7764" s="128"/>
      <c r="X7764" s="234">
        <v>2022</v>
      </c>
      <c r="Y7764" s="234">
        <v>11</v>
      </c>
      <c r="Z7764" s="234">
        <v>20</v>
      </c>
      <c r="AA7764" s="235">
        <v>0.4166666666678793</v>
      </c>
      <c r="AB7764" s="234">
        <v>2.1</v>
      </c>
      <c r="AC7764" s="127">
        <f t="shared" si="136"/>
        <v>2</v>
      </c>
    </row>
    <row r="7765" ht="14.5" customHeight="1" spans="11:29" x14ac:dyDescent="0.25">
      <c r="K7765" s="128"/>
      <c r="X7765" s="234">
        <v>2022</v>
      </c>
      <c r="Y7765" s="234">
        <v>11</v>
      </c>
      <c r="Z7765" s="234">
        <v>20</v>
      </c>
      <c r="AA7765" s="235">
        <v>0.4583333333321207</v>
      </c>
      <c r="AB7765" s="234">
        <v>3</v>
      </c>
      <c r="AC7765" s="127">
        <f t="shared" si="136"/>
        <v>3</v>
      </c>
    </row>
    <row r="7766" ht="14.5" customHeight="1" spans="11:29" x14ac:dyDescent="0.25">
      <c r="K7766" s="128"/>
      <c r="X7766" s="234">
        <v>2022</v>
      </c>
      <c r="Y7766" s="234">
        <v>11</v>
      </c>
      <c r="Z7766" s="234">
        <v>20</v>
      </c>
      <c r="AA7766" s="235">
        <v>0.5</v>
      </c>
      <c r="AB7766" s="234">
        <v>3</v>
      </c>
      <c r="AC7766" s="127">
        <f t="shared" si="136"/>
        <v>3</v>
      </c>
    </row>
    <row r="7767" ht="14.5" customHeight="1" spans="11:29" x14ac:dyDescent="0.25">
      <c r="K7767" s="128"/>
      <c r="X7767" s="234">
        <v>2022</v>
      </c>
      <c r="Y7767" s="234">
        <v>11</v>
      </c>
      <c r="Z7767" s="234">
        <v>20</v>
      </c>
      <c r="AA7767" s="235">
        <v>0.5416666666678793</v>
      </c>
      <c r="AB7767" s="234">
        <v>3.4</v>
      </c>
      <c r="AC7767" s="127">
        <f t="shared" si="136"/>
        <v>3</v>
      </c>
    </row>
    <row r="7768" ht="14.5" customHeight="1" spans="11:29" x14ac:dyDescent="0.25">
      <c r="K7768" s="128"/>
      <c r="X7768" s="234">
        <v>2022</v>
      </c>
      <c r="Y7768" s="234">
        <v>11</v>
      </c>
      <c r="Z7768" s="234">
        <v>20</v>
      </c>
      <c r="AA7768" s="235">
        <v>0.5833333333321207</v>
      </c>
      <c r="AB7768" s="234">
        <v>4.4</v>
      </c>
      <c r="AC7768" s="127">
        <f t="shared" si="136"/>
        <v>4</v>
      </c>
    </row>
    <row r="7769" ht="14.5" customHeight="1" spans="11:29" x14ac:dyDescent="0.25">
      <c r="K7769" s="128"/>
      <c r="X7769" s="234">
        <v>2022</v>
      </c>
      <c r="Y7769" s="234">
        <v>11</v>
      </c>
      <c r="Z7769" s="234">
        <v>20</v>
      </c>
      <c r="AA7769" s="235">
        <v>0.625</v>
      </c>
      <c r="AB7769" s="234">
        <v>4.4</v>
      </c>
      <c r="AC7769" s="127">
        <f t="shared" si="136"/>
        <v>4</v>
      </c>
    </row>
    <row r="7770" ht="14.5" customHeight="1" spans="11:29" x14ac:dyDescent="0.25">
      <c r="K7770" s="128"/>
      <c r="X7770" s="234">
        <v>2022</v>
      </c>
      <c r="Y7770" s="234">
        <v>11</v>
      </c>
      <c r="Z7770" s="234">
        <v>20</v>
      </c>
      <c r="AA7770" s="235">
        <v>0.6666666666678793</v>
      </c>
      <c r="AB7770" s="234">
        <v>0.8</v>
      </c>
      <c r="AC7770" s="127">
        <f t="shared" si="136"/>
        <v>1</v>
      </c>
    </row>
    <row r="7771" ht="14.5" customHeight="1" spans="11:29" x14ac:dyDescent="0.25">
      <c r="K7771" s="128"/>
      <c r="X7771" s="234">
        <v>2022</v>
      </c>
      <c r="Y7771" s="234">
        <v>11</v>
      </c>
      <c r="Z7771" s="234">
        <v>20</v>
      </c>
      <c r="AA7771" s="235">
        <v>0.7083333333321207</v>
      </c>
      <c r="AB7771" s="234">
        <v>0.1</v>
      </c>
      <c r="AC7771" s="127">
        <f t="shared" si="136"/>
        <v>0</v>
      </c>
    </row>
    <row r="7772" ht="14.5" customHeight="1" spans="11:29" x14ac:dyDescent="0.25">
      <c r="K7772" s="128"/>
      <c r="X7772" s="234">
        <v>2022</v>
      </c>
      <c r="Y7772" s="234">
        <v>11</v>
      </c>
      <c r="Z7772" s="234">
        <v>20</v>
      </c>
      <c r="AA7772" s="235">
        <v>0.75</v>
      </c>
      <c r="AB7772" s="234">
        <v>0</v>
      </c>
      <c r="AC7772" s="127">
        <f t="shared" si="136"/>
        <v>0</v>
      </c>
    </row>
    <row r="7773" ht="14.5" customHeight="1" spans="11:29" x14ac:dyDescent="0.25">
      <c r="K7773" s="128"/>
      <c r="X7773" s="234">
        <v>2022</v>
      </c>
      <c r="Y7773" s="234">
        <v>11</v>
      </c>
      <c r="Z7773" s="234">
        <v>20</v>
      </c>
      <c r="AA7773" s="235">
        <v>0.7916666666678793</v>
      </c>
      <c r="AB7773" s="234">
        <v>-1.5</v>
      </c>
      <c r="AC7773" s="127">
        <f t="shared" si="136"/>
        <v>-2</v>
      </c>
    </row>
    <row r="7774" ht="14.5" customHeight="1" spans="11:29" x14ac:dyDescent="0.25">
      <c r="K7774" s="128"/>
      <c r="X7774" s="234">
        <v>2022</v>
      </c>
      <c r="Y7774" s="234">
        <v>11</v>
      </c>
      <c r="Z7774" s="234">
        <v>20</v>
      </c>
      <c r="AA7774" s="235">
        <v>0.8333333333321207</v>
      </c>
      <c r="AB7774" s="234">
        <v>-1.3</v>
      </c>
      <c r="AC7774" s="127">
        <f t="shared" si="136"/>
        <v>-1</v>
      </c>
    </row>
    <row r="7775" ht="14.5" customHeight="1" spans="11:29" x14ac:dyDescent="0.25">
      <c r="K7775" s="128"/>
      <c r="X7775" s="234">
        <v>2022</v>
      </c>
      <c r="Y7775" s="234">
        <v>11</v>
      </c>
      <c r="Z7775" s="234">
        <v>20</v>
      </c>
      <c r="AA7775" s="235">
        <v>0.875</v>
      </c>
      <c r="AB7775" s="234">
        <v>-4.7</v>
      </c>
      <c r="AC7775" s="127">
        <f t="shared" si="136"/>
        <v>-5</v>
      </c>
    </row>
    <row r="7776" ht="14.5" customHeight="1" spans="11:29" x14ac:dyDescent="0.25">
      <c r="K7776" s="128"/>
      <c r="X7776" s="234">
        <v>2022</v>
      </c>
      <c r="Y7776" s="234">
        <v>11</v>
      </c>
      <c r="Z7776" s="234">
        <v>20</v>
      </c>
      <c r="AA7776" s="235">
        <v>0.9166666666678793</v>
      </c>
      <c r="AB7776" s="234">
        <v>-5.1</v>
      </c>
      <c r="AC7776" s="127">
        <f t="shared" si="136"/>
        <v>-5</v>
      </c>
    </row>
    <row r="7777" ht="14.5" customHeight="1" spans="11:29" x14ac:dyDescent="0.25">
      <c r="K7777" s="128"/>
      <c r="X7777" s="234">
        <v>2022</v>
      </c>
      <c r="Y7777" s="234">
        <v>11</v>
      </c>
      <c r="Z7777" s="234">
        <v>20</v>
      </c>
      <c r="AA7777" s="235">
        <v>0.9583333333321207</v>
      </c>
      <c r="AB7777" s="234">
        <v>-5.4</v>
      </c>
      <c r="AC7777" s="127">
        <f t="shared" si="136"/>
        <v>-5</v>
      </c>
    </row>
    <row r="7778" ht="14.5" customHeight="1" spans="11:29" x14ac:dyDescent="0.25">
      <c r="K7778" s="128"/>
      <c r="X7778" s="234">
        <v>2022</v>
      </c>
      <c r="Y7778" s="234">
        <v>11</v>
      </c>
      <c r="Z7778" s="234">
        <v>21</v>
      </c>
      <c r="AA7778" s="235">
        <v>0</v>
      </c>
      <c r="AB7778" s="234">
        <v>-6.1</v>
      </c>
      <c r="AC7778" s="127">
        <f t="shared" si="136"/>
        <v>-6</v>
      </c>
    </row>
    <row r="7779" ht="14.5" customHeight="1" spans="11:29" x14ac:dyDescent="0.25">
      <c r="K7779" s="128"/>
      <c r="X7779" s="234">
        <v>2022</v>
      </c>
      <c r="Y7779" s="234">
        <v>11</v>
      </c>
      <c r="Z7779" s="234">
        <v>21</v>
      </c>
      <c r="AA7779" s="235">
        <v>0.041666666667879326</v>
      </c>
      <c r="AB7779" s="234">
        <v>-6</v>
      </c>
      <c r="AC7779" s="127">
        <f t="shared" si="136"/>
        <v>-6</v>
      </c>
    </row>
    <row r="7780" ht="14.5" customHeight="1" spans="11:29" x14ac:dyDescent="0.25">
      <c r="K7780" s="128"/>
      <c r="X7780" s="234">
        <v>2022</v>
      </c>
      <c r="Y7780" s="234">
        <v>11</v>
      </c>
      <c r="Z7780" s="234">
        <v>21</v>
      </c>
      <c r="AA7780" s="235">
        <v>0.08333333333212067</v>
      </c>
      <c r="AB7780" s="234">
        <v>-4.9</v>
      </c>
      <c r="AC7780" s="127">
        <f t="shared" si="136"/>
        <v>-5</v>
      </c>
    </row>
    <row r="7781" ht="14.5" customHeight="1" spans="11:29" x14ac:dyDescent="0.25">
      <c r="K7781" s="128"/>
      <c r="X7781" s="234">
        <v>2022</v>
      </c>
      <c r="Y7781" s="234">
        <v>11</v>
      </c>
      <c r="Z7781" s="234">
        <v>21</v>
      </c>
      <c r="AA7781" s="235">
        <v>0.125</v>
      </c>
      <c r="AB7781" s="234">
        <v>-6.2</v>
      </c>
      <c r="AC7781" s="127">
        <f t="shared" si="136"/>
        <v>-6</v>
      </c>
    </row>
    <row r="7782" ht="14.5" customHeight="1" spans="11:29" x14ac:dyDescent="0.25">
      <c r="K7782" s="128"/>
      <c r="X7782" s="234">
        <v>2022</v>
      </c>
      <c r="Y7782" s="234">
        <v>11</v>
      </c>
      <c r="Z7782" s="234">
        <v>21</v>
      </c>
      <c r="AA7782" s="235">
        <v>0.16666666666787933</v>
      </c>
      <c r="AB7782" s="234">
        <v>-4.2</v>
      </c>
      <c r="AC7782" s="127">
        <f t="shared" si="136"/>
        <v>-4</v>
      </c>
    </row>
    <row r="7783" ht="14.5" customHeight="1" spans="11:29" x14ac:dyDescent="0.25">
      <c r="K7783" s="128"/>
      <c r="X7783" s="234">
        <v>2022</v>
      </c>
      <c r="Y7783" s="234">
        <v>11</v>
      </c>
      <c r="Z7783" s="234">
        <v>21</v>
      </c>
      <c r="AA7783" s="235">
        <v>0.20833333333212067</v>
      </c>
      <c r="AB7783" s="234">
        <v>-1.8</v>
      </c>
      <c r="AC7783" s="127">
        <f t="shared" si="136"/>
        <v>-2</v>
      </c>
    </row>
    <row r="7784" ht="14.5" customHeight="1" spans="11:29" x14ac:dyDescent="0.25">
      <c r="K7784" s="128"/>
      <c r="X7784" s="234">
        <v>2022</v>
      </c>
      <c r="Y7784" s="234">
        <v>11</v>
      </c>
      <c r="Z7784" s="234">
        <v>21</v>
      </c>
      <c r="AA7784" s="235">
        <v>0.25</v>
      </c>
      <c r="AB7784" s="234">
        <v>-1</v>
      </c>
      <c r="AC7784" s="127">
        <f t="shared" si="136"/>
        <v>-1</v>
      </c>
    </row>
    <row r="7785" ht="14.5" customHeight="1" spans="11:29" x14ac:dyDescent="0.25">
      <c r="K7785" s="128"/>
      <c r="X7785" s="234">
        <v>2022</v>
      </c>
      <c r="Y7785" s="234">
        <v>11</v>
      </c>
      <c r="Z7785" s="234">
        <v>21</v>
      </c>
      <c r="AA7785" s="235">
        <v>0.2916666666678793</v>
      </c>
      <c r="AB7785" s="234">
        <v>1.3</v>
      </c>
      <c r="AC7785" s="127">
        <f t="shared" si="136"/>
        <v>1</v>
      </c>
    </row>
    <row r="7786" ht="14.5" customHeight="1" spans="11:29" x14ac:dyDescent="0.25">
      <c r="K7786" s="128"/>
      <c r="X7786" s="234">
        <v>2022</v>
      </c>
      <c r="Y7786" s="234">
        <v>11</v>
      </c>
      <c r="Z7786" s="234">
        <v>21</v>
      </c>
      <c r="AA7786" s="235">
        <v>0.3333333333321207</v>
      </c>
      <c r="AB7786" s="234">
        <v>0.3</v>
      </c>
      <c r="AC7786" s="127">
        <f t="shared" si="136"/>
        <v>0</v>
      </c>
    </row>
    <row r="7787" ht="14.5" customHeight="1" spans="11:29" x14ac:dyDescent="0.25">
      <c r="K7787" s="128"/>
      <c r="X7787" s="234">
        <v>2022</v>
      </c>
      <c r="Y7787" s="234">
        <v>11</v>
      </c>
      <c r="Z7787" s="234">
        <v>21</v>
      </c>
      <c r="AA7787" s="235">
        <v>0.375</v>
      </c>
      <c r="AB7787" s="234">
        <v>0.2</v>
      </c>
      <c r="AC7787" s="127">
        <f t="shared" si="136"/>
        <v>0</v>
      </c>
    </row>
    <row r="7788" ht="14.5" customHeight="1" spans="11:29" x14ac:dyDescent="0.25">
      <c r="K7788" s="128"/>
      <c r="X7788" s="234">
        <v>2022</v>
      </c>
      <c r="Y7788" s="234">
        <v>11</v>
      </c>
      <c r="Z7788" s="234">
        <v>21</v>
      </c>
      <c r="AA7788" s="235">
        <v>0.4166666666678793</v>
      </c>
      <c r="AB7788" s="234">
        <v>2.9</v>
      </c>
      <c r="AC7788" s="127">
        <f t="shared" si="136"/>
        <v>3</v>
      </c>
    </row>
    <row r="7789" ht="14.5" customHeight="1" spans="11:29" x14ac:dyDescent="0.25">
      <c r="K7789" s="128"/>
      <c r="X7789" s="234">
        <v>2022</v>
      </c>
      <c r="Y7789" s="234">
        <v>11</v>
      </c>
      <c r="Z7789" s="234">
        <v>21</v>
      </c>
      <c r="AA7789" s="235">
        <v>0.4583333333321207</v>
      </c>
      <c r="AB7789" s="234">
        <v>4.4</v>
      </c>
      <c r="AC7789" s="127">
        <f t="shared" si="136"/>
        <v>4</v>
      </c>
    </row>
    <row r="7790" ht="14.5" customHeight="1" spans="11:29" x14ac:dyDescent="0.25">
      <c r="K7790" s="128"/>
      <c r="X7790" s="234">
        <v>2022</v>
      </c>
      <c r="Y7790" s="234">
        <v>11</v>
      </c>
      <c r="Z7790" s="234">
        <v>21</v>
      </c>
      <c r="AA7790" s="235">
        <v>0.5</v>
      </c>
      <c r="AB7790" s="234">
        <v>6.5</v>
      </c>
      <c r="AC7790" s="127">
        <f t="shared" si="136"/>
        <v>7</v>
      </c>
    </row>
    <row r="7791" ht="14.5" customHeight="1" spans="11:29" x14ac:dyDescent="0.25">
      <c r="K7791" s="128"/>
      <c r="X7791" s="234">
        <v>2022</v>
      </c>
      <c r="Y7791" s="234">
        <v>11</v>
      </c>
      <c r="Z7791" s="234">
        <v>21</v>
      </c>
      <c r="AA7791" s="235">
        <v>0.5416666666678793</v>
      </c>
      <c r="AB7791" s="234">
        <v>7.3</v>
      </c>
      <c r="AC7791" s="127">
        <f t="shared" si="136"/>
        <v>7</v>
      </c>
    </row>
    <row r="7792" ht="14.5" customHeight="1" spans="11:29" x14ac:dyDescent="0.25">
      <c r="K7792" s="128"/>
      <c r="X7792" s="234">
        <v>2022</v>
      </c>
      <c r="Y7792" s="234">
        <v>11</v>
      </c>
      <c r="Z7792" s="234">
        <v>21</v>
      </c>
      <c r="AA7792" s="235">
        <v>0.5833333333321207</v>
      </c>
      <c r="AB7792" s="234">
        <v>7.5</v>
      </c>
      <c r="AC7792" s="127">
        <f t="shared" si="136"/>
        <v>8</v>
      </c>
    </row>
    <row r="7793" ht="14.5" customHeight="1" spans="11:29" x14ac:dyDescent="0.25">
      <c r="K7793" s="128"/>
      <c r="X7793" s="234">
        <v>2022</v>
      </c>
      <c r="Y7793" s="234">
        <v>11</v>
      </c>
      <c r="Z7793" s="234">
        <v>21</v>
      </c>
      <c r="AA7793" s="235">
        <v>0.625</v>
      </c>
      <c r="AB7793" s="234">
        <v>7.4</v>
      </c>
      <c r="AC7793" s="127">
        <f t="shared" si="136"/>
        <v>7</v>
      </c>
    </row>
    <row r="7794" ht="14.5" customHeight="1" spans="11:29" x14ac:dyDescent="0.25">
      <c r="K7794" s="128"/>
      <c r="X7794" s="234">
        <v>2022</v>
      </c>
      <c r="Y7794" s="234">
        <v>11</v>
      </c>
      <c r="Z7794" s="234">
        <v>21</v>
      </c>
      <c r="AA7794" s="235">
        <v>0.6666666666678793</v>
      </c>
      <c r="AB7794" s="234">
        <v>7</v>
      </c>
      <c r="AC7794" s="127">
        <f t="shared" si="136"/>
        <v>7</v>
      </c>
    </row>
    <row r="7795" ht="14.5" customHeight="1" spans="11:29" x14ac:dyDescent="0.25">
      <c r="K7795" s="128"/>
      <c r="X7795" s="234">
        <v>2022</v>
      </c>
      <c r="Y7795" s="234">
        <v>11</v>
      </c>
      <c r="Z7795" s="234">
        <v>21</v>
      </c>
      <c r="AA7795" s="235">
        <v>0.7083333333321207</v>
      </c>
      <c r="AB7795" s="234">
        <v>5.7</v>
      </c>
      <c r="AC7795" s="127">
        <f t="shared" si="136"/>
        <v>6</v>
      </c>
    </row>
    <row r="7796" ht="14.5" customHeight="1" spans="11:29" x14ac:dyDescent="0.25">
      <c r="K7796" s="128"/>
      <c r="X7796" s="234">
        <v>2022</v>
      </c>
      <c r="Y7796" s="234">
        <v>11</v>
      </c>
      <c r="Z7796" s="234">
        <v>21</v>
      </c>
      <c r="AA7796" s="235">
        <v>0.75</v>
      </c>
      <c r="AB7796" s="234">
        <v>5.3</v>
      </c>
      <c r="AC7796" s="127">
        <f t="shared" si="136"/>
        <v>5</v>
      </c>
    </row>
    <row r="7797" ht="14.5" customHeight="1" spans="11:29" x14ac:dyDescent="0.25">
      <c r="K7797" s="128"/>
      <c r="X7797" s="234">
        <v>2022</v>
      </c>
      <c r="Y7797" s="234">
        <v>11</v>
      </c>
      <c r="Z7797" s="234">
        <v>21</v>
      </c>
      <c r="AA7797" s="235">
        <v>0.7916666666678793</v>
      </c>
      <c r="AB7797" s="234">
        <v>5.3</v>
      </c>
      <c r="AC7797" s="127">
        <f t="shared" si="136"/>
        <v>5</v>
      </c>
    </row>
    <row r="7798" ht="14.5" customHeight="1" spans="11:29" x14ac:dyDescent="0.25">
      <c r="K7798" s="128"/>
      <c r="X7798" s="234">
        <v>2022</v>
      </c>
      <c r="Y7798" s="234">
        <v>11</v>
      </c>
      <c r="Z7798" s="234">
        <v>21</v>
      </c>
      <c r="AA7798" s="235">
        <v>0.8333333333321207</v>
      </c>
      <c r="AB7798" s="234">
        <v>5.6</v>
      </c>
      <c r="AC7798" s="127">
        <f t="shared" si="136"/>
        <v>6</v>
      </c>
    </row>
    <row r="7799" ht="14.5" customHeight="1" spans="11:29" x14ac:dyDescent="0.25">
      <c r="K7799" s="128"/>
      <c r="X7799" s="234">
        <v>2022</v>
      </c>
      <c r="Y7799" s="234">
        <v>11</v>
      </c>
      <c r="Z7799" s="234">
        <v>21</v>
      </c>
      <c r="AA7799" s="235">
        <v>0.875</v>
      </c>
      <c r="AB7799" s="234">
        <v>5.5</v>
      </c>
      <c r="AC7799" s="127">
        <f t="shared" si="136"/>
        <v>6</v>
      </c>
    </row>
    <row r="7800" ht="14.5" customHeight="1" spans="11:29" x14ac:dyDescent="0.25">
      <c r="K7800" s="128"/>
      <c r="X7800" s="234">
        <v>2022</v>
      </c>
      <c r="Y7800" s="234">
        <v>11</v>
      </c>
      <c r="Z7800" s="234">
        <v>21</v>
      </c>
      <c r="AA7800" s="235">
        <v>0.9166666666678793</v>
      </c>
      <c r="AB7800" s="234">
        <v>5.4</v>
      </c>
      <c r="AC7800" s="127">
        <f t="shared" si="136"/>
        <v>5</v>
      </c>
    </row>
    <row r="7801" ht="14.5" customHeight="1" spans="11:29" x14ac:dyDescent="0.25">
      <c r="K7801" s="128"/>
      <c r="X7801" s="234">
        <v>2022</v>
      </c>
      <c r="Y7801" s="234">
        <v>11</v>
      </c>
      <c r="Z7801" s="234">
        <v>21</v>
      </c>
      <c r="AA7801" s="235">
        <v>0.9583333333321207</v>
      </c>
      <c r="AB7801" s="234">
        <v>5.5</v>
      </c>
      <c r="AC7801" s="127">
        <f t="shared" si="136"/>
        <v>6</v>
      </c>
    </row>
    <row r="7802" ht="14.5" customHeight="1" spans="11:29" x14ac:dyDescent="0.25">
      <c r="K7802" s="128"/>
      <c r="X7802" s="234">
        <v>2022</v>
      </c>
      <c r="Y7802" s="234">
        <v>11</v>
      </c>
      <c r="Z7802" s="234">
        <v>22</v>
      </c>
      <c r="AA7802" s="235">
        <v>0</v>
      </c>
      <c r="AB7802" s="234">
        <v>5.7</v>
      </c>
      <c r="AC7802" s="127">
        <f t="shared" si="136"/>
        <v>6</v>
      </c>
    </row>
    <row r="7803" ht="14.5" customHeight="1" spans="11:29" x14ac:dyDescent="0.25">
      <c r="K7803" s="128"/>
      <c r="X7803" s="234">
        <v>2022</v>
      </c>
      <c r="Y7803" s="234">
        <v>11</v>
      </c>
      <c r="Z7803" s="234">
        <v>22</v>
      </c>
      <c r="AA7803" s="235">
        <v>0.041666666667879326</v>
      </c>
      <c r="AB7803" s="234">
        <v>4.5</v>
      </c>
      <c r="AC7803" s="127">
        <f t="shared" si="136"/>
        <v>5</v>
      </c>
    </row>
    <row r="7804" ht="14.5" customHeight="1" spans="11:29" x14ac:dyDescent="0.25">
      <c r="K7804" s="128"/>
      <c r="X7804" s="234">
        <v>2022</v>
      </c>
      <c r="Y7804" s="234">
        <v>11</v>
      </c>
      <c r="Z7804" s="234">
        <v>22</v>
      </c>
      <c r="AA7804" s="235">
        <v>0.08333333333212067</v>
      </c>
      <c r="AB7804" s="234">
        <v>5</v>
      </c>
      <c r="AC7804" s="127">
        <f t="shared" si="136"/>
        <v>5</v>
      </c>
    </row>
    <row r="7805" ht="14.5" customHeight="1" spans="11:29" x14ac:dyDescent="0.25">
      <c r="K7805" s="128"/>
      <c r="X7805" s="234">
        <v>2022</v>
      </c>
      <c r="Y7805" s="234">
        <v>11</v>
      </c>
      <c r="Z7805" s="234">
        <v>22</v>
      </c>
      <c r="AA7805" s="235">
        <v>0.125</v>
      </c>
      <c r="AB7805" s="234">
        <v>5</v>
      </c>
      <c r="AC7805" s="127">
        <f t="shared" si="136"/>
        <v>5</v>
      </c>
    </row>
    <row r="7806" ht="14.5" customHeight="1" spans="11:29" x14ac:dyDescent="0.25">
      <c r="K7806" s="128"/>
      <c r="X7806" s="234">
        <v>2022</v>
      </c>
      <c r="Y7806" s="234">
        <v>11</v>
      </c>
      <c r="Z7806" s="234">
        <v>22</v>
      </c>
      <c r="AA7806" s="235">
        <v>0.16666666666787933</v>
      </c>
      <c r="AB7806" s="234">
        <v>4.2</v>
      </c>
      <c r="AC7806" s="127">
        <f t="shared" si="136"/>
        <v>4</v>
      </c>
    </row>
    <row r="7807" ht="14.5" customHeight="1" spans="11:29" x14ac:dyDescent="0.25">
      <c r="K7807" s="128"/>
      <c r="X7807" s="234">
        <v>2022</v>
      </c>
      <c r="Y7807" s="234">
        <v>11</v>
      </c>
      <c r="Z7807" s="234">
        <v>22</v>
      </c>
      <c r="AA7807" s="235">
        <v>0.20833333333212067</v>
      </c>
      <c r="AB7807" s="234">
        <v>5.9</v>
      </c>
      <c r="AC7807" s="127">
        <f t="shared" si="136"/>
        <v>6</v>
      </c>
    </row>
    <row r="7808" ht="14.5" customHeight="1" spans="11:29" x14ac:dyDescent="0.25">
      <c r="K7808" s="128"/>
      <c r="X7808" s="234">
        <v>2022</v>
      </c>
      <c r="Y7808" s="234">
        <v>11</v>
      </c>
      <c r="Z7808" s="234">
        <v>22</v>
      </c>
      <c r="AA7808" s="235">
        <v>0.25</v>
      </c>
      <c r="AB7808" s="234">
        <v>4.2</v>
      </c>
      <c r="AC7808" s="127">
        <f t="shared" si="136"/>
        <v>4</v>
      </c>
    </row>
    <row r="7809" ht="14.5" customHeight="1" spans="11:29" x14ac:dyDescent="0.25">
      <c r="K7809" s="128"/>
      <c r="X7809" s="234">
        <v>2022</v>
      </c>
      <c r="Y7809" s="234">
        <v>11</v>
      </c>
      <c r="Z7809" s="234">
        <v>22</v>
      </c>
      <c r="AA7809" s="235">
        <v>0.2916666666678793</v>
      </c>
      <c r="AB7809" s="234">
        <v>5.1</v>
      </c>
      <c r="AC7809" s="127">
        <f t="shared" si="136"/>
        <v>5</v>
      </c>
    </row>
    <row r="7810" ht="14.5" customHeight="1" spans="11:29" x14ac:dyDescent="0.25">
      <c r="K7810" s="128"/>
      <c r="X7810" s="234">
        <v>2022</v>
      </c>
      <c r="Y7810" s="234">
        <v>11</v>
      </c>
      <c r="Z7810" s="234">
        <v>22</v>
      </c>
      <c r="AA7810" s="235">
        <v>0.3333333333321207</v>
      </c>
      <c r="AB7810" s="234">
        <v>6</v>
      </c>
      <c r="AC7810" s="127">
        <f t="shared" si="136"/>
        <v>6</v>
      </c>
    </row>
    <row r="7811" ht="14.5" customHeight="1" spans="11:29" x14ac:dyDescent="0.25">
      <c r="K7811" s="128"/>
      <c r="X7811" s="234">
        <v>2022</v>
      </c>
      <c r="Y7811" s="234">
        <v>11</v>
      </c>
      <c r="Z7811" s="234">
        <v>22</v>
      </c>
      <c r="AA7811" s="235">
        <v>0.375</v>
      </c>
      <c r="AB7811" s="234">
        <v>6.7</v>
      </c>
      <c r="AC7811" s="127">
        <f t="shared" si="136"/>
        <v>7</v>
      </c>
    </row>
    <row r="7812" ht="14.5" customHeight="1" spans="11:29" x14ac:dyDescent="0.25">
      <c r="K7812" s="128"/>
      <c r="X7812" s="234">
        <v>2022</v>
      </c>
      <c r="Y7812" s="234">
        <v>11</v>
      </c>
      <c r="Z7812" s="234">
        <v>22</v>
      </c>
      <c r="AA7812" s="235">
        <v>0.4166666666678793</v>
      </c>
      <c r="AB7812" s="234">
        <v>6.9</v>
      </c>
      <c r="AC7812" s="127">
        <f t="shared" si="136"/>
        <v>7</v>
      </c>
    </row>
    <row r="7813" ht="14.5" customHeight="1" spans="11:29" x14ac:dyDescent="0.25">
      <c r="K7813" s="128"/>
      <c r="X7813" s="234">
        <v>2022</v>
      </c>
      <c r="Y7813" s="234">
        <v>11</v>
      </c>
      <c r="Z7813" s="234">
        <v>22</v>
      </c>
      <c r="AA7813" s="235">
        <v>0.4583333333321207</v>
      </c>
      <c r="AB7813" s="234">
        <v>5.1</v>
      </c>
      <c r="AC7813" s="127">
        <f t="shared" si="136"/>
        <v>5</v>
      </c>
    </row>
    <row r="7814" ht="14.5" customHeight="1" spans="11:29" x14ac:dyDescent="0.25">
      <c r="K7814" s="128"/>
      <c r="X7814" s="234">
        <v>2022</v>
      </c>
      <c r="Y7814" s="234">
        <v>11</v>
      </c>
      <c r="Z7814" s="234">
        <v>22</v>
      </c>
      <c r="AA7814" s="235">
        <v>0.5</v>
      </c>
      <c r="AB7814" s="234">
        <v>4.7</v>
      </c>
      <c r="AC7814" s="127">
        <f t="shared" si="136"/>
        <v>5</v>
      </c>
    </row>
    <row r="7815" ht="14.5" customHeight="1" spans="11:29" x14ac:dyDescent="0.25">
      <c r="K7815" s="128"/>
      <c r="X7815" s="234">
        <v>2022</v>
      </c>
      <c r="Y7815" s="234">
        <v>11</v>
      </c>
      <c r="Z7815" s="234">
        <v>22</v>
      </c>
      <c r="AA7815" s="235">
        <v>0.5416666666678793</v>
      </c>
      <c r="AB7815" s="234">
        <v>6.1</v>
      </c>
      <c r="AC7815" s="127">
        <f t="shared" si="136"/>
        <v>6</v>
      </c>
    </row>
    <row r="7816" ht="14.5" customHeight="1" spans="11:29" x14ac:dyDescent="0.25">
      <c r="K7816" s="128"/>
      <c r="X7816" s="234">
        <v>2022</v>
      </c>
      <c r="Y7816" s="234">
        <v>11</v>
      </c>
      <c r="Z7816" s="234">
        <v>22</v>
      </c>
      <c r="AA7816" s="235">
        <v>0.5833333333321207</v>
      </c>
      <c r="AB7816" s="234">
        <v>7.1</v>
      </c>
      <c r="AC7816" s="127">
        <f t="shared" si="136"/>
        <v>7</v>
      </c>
    </row>
    <row r="7817" ht="14.5" customHeight="1" spans="11:29" x14ac:dyDescent="0.25">
      <c r="K7817" s="128"/>
      <c r="X7817" s="234">
        <v>2022</v>
      </c>
      <c r="Y7817" s="234">
        <v>11</v>
      </c>
      <c r="Z7817" s="234">
        <v>22</v>
      </c>
      <c r="AA7817" s="235">
        <v>0.625</v>
      </c>
      <c r="AB7817" s="234">
        <v>7.2</v>
      </c>
      <c r="AC7817" s="127">
        <f t="shared" si="136"/>
        <v>7</v>
      </c>
    </row>
    <row r="7818" ht="14.5" customHeight="1" spans="11:29" x14ac:dyDescent="0.25">
      <c r="K7818" s="128"/>
      <c r="X7818" s="234">
        <v>2022</v>
      </c>
      <c r="Y7818" s="234">
        <v>11</v>
      </c>
      <c r="Z7818" s="234">
        <v>22</v>
      </c>
      <c r="AA7818" s="235">
        <v>0.6666666666678793</v>
      </c>
      <c r="AB7818" s="234">
        <v>7.1</v>
      </c>
      <c r="AC7818" s="127">
        <f t="shared" si="136"/>
        <v>7</v>
      </c>
    </row>
    <row r="7819" ht="14.5" customHeight="1" spans="11:29" x14ac:dyDescent="0.25">
      <c r="K7819" s="128"/>
      <c r="X7819" s="234">
        <v>2022</v>
      </c>
      <c r="Y7819" s="234">
        <v>11</v>
      </c>
      <c r="Z7819" s="234">
        <v>22</v>
      </c>
      <c r="AA7819" s="235">
        <v>0.7083333333321207</v>
      </c>
      <c r="AB7819" s="234">
        <v>6.6</v>
      </c>
      <c r="AC7819" s="127">
        <f t="shared" ref="AC7819:AC7882" si="137">ROUND(AB7819,0)</f>
        <v>7</v>
      </c>
    </row>
    <row r="7820" ht="14.5" customHeight="1" spans="11:29" x14ac:dyDescent="0.25">
      <c r="K7820" s="128"/>
      <c r="X7820" s="234">
        <v>2022</v>
      </c>
      <c r="Y7820" s="234">
        <v>11</v>
      </c>
      <c r="Z7820" s="234">
        <v>22</v>
      </c>
      <c r="AA7820" s="235">
        <v>0.75</v>
      </c>
      <c r="AB7820" s="234">
        <v>5.3</v>
      </c>
      <c r="AC7820" s="127">
        <f t="shared" si="137"/>
        <v>5</v>
      </c>
    </row>
    <row r="7821" ht="14.5" customHeight="1" spans="11:29" x14ac:dyDescent="0.25">
      <c r="K7821" s="128"/>
      <c r="X7821" s="234">
        <v>2022</v>
      </c>
      <c r="Y7821" s="234">
        <v>11</v>
      </c>
      <c r="Z7821" s="234">
        <v>22</v>
      </c>
      <c r="AA7821" s="235">
        <v>0.7916666666678793</v>
      </c>
      <c r="AB7821" s="234">
        <v>3.8</v>
      </c>
      <c r="AC7821" s="127">
        <f t="shared" si="137"/>
        <v>4</v>
      </c>
    </row>
    <row r="7822" ht="14.5" customHeight="1" spans="11:29" x14ac:dyDescent="0.25">
      <c r="K7822" s="128"/>
      <c r="X7822" s="234">
        <v>2022</v>
      </c>
      <c r="Y7822" s="234">
        <v>11</v>
      </c>
      <c r="Z7822" s="234">
        <v>22</v>
      </c>
      <c r="AA7822" s="235">
        <v>0.8333333333321207</v>
      </c>
      <c r="AB7822" s="234">
        <v>3.6</v>
      </c>
      <c r="AC7822" s="127">
        <f t="shared" si="137"/>
        <v>4</v>
      </c>
    </row>
    <row r="7823" ht="14.5" customHeight="1" spans="11:29" x14ac:dyDescent="0.25">
      <c r="K7823" s="128"/>
      <c r="X7823" s="234">
        <v>2022</v>
      </c>
      <c r="Y7823" s="234">
        <v>11</v>
      </c>
      <c r="Z7823" s="234">
        <v>22</v>
      </c>
      <c r="AA7823" s="235">
        <v>0.875</v>
      </c>
      <c r="AB7823" s="234">
        <v>3.5</v>
      </c>
      <c r="AC7823" s="127">
        <f t="shared" si="137"/>
        <v>4</v>
      </c>
    </row>
    <row r="7824" ht="14.5" customHeight="1" spans="11:29" x14ac:dyDescent="0.25">
      <c r="K7824" s="128"/>
      <c r="X7824" s="234">
        <v>2022</v>
      </c>
      <c r="Y7824" s="234">
        <v>11</v>
      </c>
      <c r="Z7824" s="234">
        <v>22</v>
      </c>
      <c r="AA7824" s="235">
        <v>0.9166666666678793</v>
      </c>
      <c r="AB7824" s="234">
        <v>5.1</v>
      </c>
      <c r="AC7824" s="127">
        <f t="shared" si="137"/>
        <v>5</v>
      </c>
    </row>
    <row r="7825" ht="14.5" customHeight="1" spans="11:29" x14ac:dyDescent="0.25">
      <c r="K7825" s="128"/>
      <c r="X7825" s="234">
        <v>2022</v>
      </c>
      <c r="Y7825" s="234">
        <v>11</v>
      </c>
      <c r="Z7825" s="234">
        <v>22</v>
      </c>
      <c r="AA7825" s="235">
        <v>0.9583333333321207</v>
      </c>
      <c r="AB7825" s="234">
        <v>5</v>
      </c>
      <c r="AC7825" s="127">
        <f t="shared" si="137"/>
        <v>5</v>
      </c>
    </row>
    <row r="7826" ht="14.5" customHeight="1" spans="11:29" x14ac:dyDescent="0.25">
      <c r="K7826" s="128"/>
      <c r="X7826" s="234">
        <v>2022</v>
      </c>
      <c r="Y7826" s="234">
        <v>11</v>
      </c>
      <c r="Z7826" s="234">
        <v>23</v>
      </c>
      <c r="AA7826" s="235">
        <v>0</v>
      </c>
      <c r="AB7826" s="234">
        <v>3.7</v>
      </c>
      <c r="AC7826" s="127">
        <f t="shared" si="137"/>
        <v>4</v>
      </c>
    </row>
    <row r="7827" ht="14.5" customHeight="1" spans="11:29" x14ac:dyDescent="0.25">
      <c r="K7827" s="128"/>
      <c r="X7827" s="234">
        <v>2022</v>
      </c>
      <c r="Y7827" s="234">
        <v>11</v>
      </c>
      <c r="Z7827" s="234">
        <v>23</v>
      </c>
      <c r="AA7827" s="235">
        <v>0.041666666667879326</v>
      </c>
      <c r="AB7827" s="234">
        <v>2.1</v>
      </c>
      <c r="AC7827" s="127">
        <f t="shared" si="137"/>
        <v>2</v>
      </c>
    </row>
    <row r="7828" ht="14.5" customHeight="1" spans="11:29" x14ac:dyDescent="0.25">
      <c r="K7828" s="128"/>
      <c r="X7828" s="234">
        <v>2022</v>
      </c>
      <c r="Y7828" s="234">
        <v>11</v>
      </c>
      <c r="Z7828" s="234">
        <v>23</v>
      </c>
      <c r="AA7828" s="235">
        <v>0.08333333333212067</v>
      </c>
      <c r="AB7828" s="234">
        <v>1.1</v>
      </c>
      <c r="AC7828" s="127">
        <f t="shared" si="137"/>
        <v>1</v>
      </c>
    </row>
    <row r="7829" ht="14.5" customHeight="1" spans="11:29" x14ac:dyDescent="0.25">
      <c r="K7829" s="128"/>
      <c r="X7829" s="234">
        <v>2022</v>
      </c>
      <c r="Y7829" s="234">
        <v>11</v>
      </c>
      <c r="Z7829" s="234">
        <v>23</v>
      </c>
      <c r="AA7829" s="235">
        <v>0.125</v>
      </c>
      <c r="AB7829" s="234">
        <v>1</v>
      </c>
      <c r="AC7829" s="127">
        <f t="shared" si="137"/>
        <v>1</v>
      </c>
    </row>
    <row r="7830" ht="14.5" customHeight="1" spans="11:29" x14ac:dyDescent="0.25">
      <c r="K7830" s="128"/>
      <c r="X7830" s="234">
        <v>2022</v>
      </c>
      <c r="Y7830" s="234">
        <v>11</v>
      </c>
      <c r="Z7830" s="234">
        <v>23</v>
      </c>
      <c r="AA7830" s="235">
        <v>0.16666666666787933</v>
      </c>
      <c r="AB7830" s="234">
        <v>1</v>
      </c>
      <c r="AC7830" s="127">
        <f t="shared" si="137"/>
        <v>1</v>
      </c>
    </row>
    <row r="7831" ht="14.5" customHeight="1" spans="11:29" x14ac:dyDescent="0.25">
      <c r="K7831" s="128"/>
      <c r="X7831" s="234">
        <v>2022</v>
      </c>
      <c r="Y7831" s="234">
        <v>11</v>
      </c>
      <c r="Z7831" s="234">
        <v>23</v>
      </c>
      <c r="AA7831" s="235">
        <v>0.20833333333212067</v>
      </c>
      <c r="AB7831" s="234">
        <v>1.2</v>
      </c>
      <c r="AC7831" s="127">
        <f t="shared" si="137"/>
        <v>1</v>
      </c>
    </row>
    <row r="7832" ht="14.5" customHeight="1" spans="11:29" x14ac:dyDescent="0.25">
      <c r="K7832" s="128"/>
      <c r="X7832" s="234">
        <v>2022</v>
      </c>
      <c r="Y7832" s="234">
        <v>11</v>
      </c>
      <c r="Z7832" s="234">
        <v>23</v>
      </c>
      <c r="AA7832" s="235">
        <v>0.25</v>
      </c>
      <c r="AB7832" s="234">
        <v>0.3</v>
      </c>
      <c r="AC7832" s="127">
        <f t="shared" si="137"/>
        <v>0</v>
      </c>
    </row>
    <row r="7833" ht="14.5" customHeight="1" spans="11:29" x14ac:dyDescent="0.25">
      <c r="K7833" s="128"/>
      <c r="X7833" s="234">
        <v>2022</v>
      </c>
      <c r="Y7833" s="234">
        <v>11</v>
      </c>
      <c r="Z7833" s="234">
        <v>23</v>
      </c>
      <c r="AA7833" s="235">
        <v>0.2916666666678793</v>
      </c>
      <c r="AB7833" s="234">
        <v>1.1</v>
      </c>
      <c r="AC7833" s="127">
        <f t="shared" si="137"/>
        <v>1</v>
      </c>
    </row>
    <row r="7834" ht="14.5" customHeight="1" spans="11:29" x14ac:dyDescent="0.25">
      <c r="K7834" s="128"/>
      <c r="X7834" s="234">
        <v>2022</v>
      </c>
      <c r="Y7834" s="234">
        <v>11</v>
      </c>
      <c r="Z7834" s="234">
        <v>23</v>
      </c>
      <c r="AA7834" s="235">
        <v>0.3333333333321207</v>
      </c>
      <c r="AB7834" s="234">
        <v>0.5</v>
      </c>
      <c r="AC7834" s="127">
        <f t="shared" si="137"/>
        <v>1</v>
      </c>
    </row>
    <row r="7835" ht="14.5" customHeight="1" spans="11:29" x14ac:dyDescent="0.25">
      <c r="K7835" s="128"/>
      <c r="X7835" s="234">
        <v>2022</v>
      </c>
      <c r="Y7835" s="234">
        <v>11</v>
      </c>
      <c r="Z7835" s="234">
        <v>23</v>
      </c>
      <c r="AA7835" s="235">
        <v>0.375</v>
      </c>
      <c r="AB7835" s="234">
        <v>1.6</v>
      </c>
      <c r="AC7835" s="127">
        <f t="shared" si="137"/>
        <v>2</v>
      </c>
    </row>
    <row r="7836" ht="14.5" customHeight="1" spans="11:29" x14ac:dyDescent="0.25">
      <c r="K7836" s="128"/>
      <c r="X7836" s="234">
        <v>2022</v>
      </c>
      <c r="Y7836" s="234">
        <v>11</v>
      </c>
      <c r="Z7836" s="234">
        <v>23</v>
      </c>
      <c r="AA7836" s="235">
        <v>0.4166666666678793</v>
      </c>
      <c r="AB7836" s="234">
        <v>2.9</v>
      </c>
      <c r="AC7836" s="127">
        <f t="shared" si="137"/>
        <v>3</v>
      </c>
    </row>
    <row r="7837" ht="14.5" customHeight="1" spans="11:29" x14ac:dyDescent="0.25">
      <c r="K7837" s="128"/>
      <c r="X7837" s="234">
        <v>2022</v>
      </c>
      <c r="Y7837" s="234">
        <v>11</v>
      </c>
      <c r="Z7837" s="234">
        <v>23</v>
      </c>
      <c r="AA7837" s="235">
        <v>0.4583333333321207</v>
      </c>
      <c r="AB7837" s="234">
        <v>3.4</v>
      </c>
      <c r="AC7837" s="127">
        <f t="shared" si="137"/>
        <v>3</v>
      </c>
    </row>
    <row r="7838" ht="14.5" customHeight="1" spans="11:29" x14ac:dyDescent="0.25">
      <c r="K7838" s="128"/>
      <c r="X7838" s="234">
        <v>2022</v>
      </c>
      <c r="Y7838" s="234">
        <v>11</v>
      </c>
      <c r="Z7838" s="234">
        <v>23</v>
      </c>
      <c r="AA7838" s="235">
        <v>0.5</v>
      </c>
      <c r="AB7838" s="234">
        <v>4.4</v>
      </c>
      <c r="AC7838" s="127">
        <f t="shared" si="137"/>
        <v>4</v>
      </c>
    </row>
    <row r="7839" ht="14.5" customHeight="1" spans="11:29" x14ac:dyDescent="0.25">
      <c r="K7839" s="128"/>
      <c r="X7839" s="234">
        <v>2022</v>
      </c>
      <c r="Y7839" s="234">
        <v>11</v>
      </c>
      <c r="Z7839" s="234">
        <v>23</v>
      </c>
      <c r="AA7839" s="235">
        <v>0.5416666666678793</v>
      </c>
      <c r="AB7839" s="234">
        <v>5</v>
      </c>
      <c r="AC7839" s="127">
        <f t="shared" si="137"/>
        <v>5</v>
      </c>
    </row>
    <row r="7840" ht="14.5" customHeight="1" spans="11:29" x14ac:dyDescent="0.25">
      <c r="K7840" s="128"/>
      <c r="X7840" s="234">
        <v>2022</v>
      </c>
      <c r="Y7840" s="234">
        <v>11</v>
      </c>
      <c r="Z7840" s="234">
        <v>23</v>
      </c>
      <c r="AA7840" s="235">
        <v>0.5833333333321207</v>
      </c>
      <c r="AB7840" s="234">
        <v>5.5</v>
      </c>
      <c r="AC7840" s="127">
        <f t="shared" si="137"/>
        <v>6</v>
      </c>
    </row>
    <row r="7841" ht="14.5" customHeight="1" spans="11:29" x14ac:dyDescent="0.25">
      <c r="K7841" s="128"/>
      <c r="X7841" s="234">
        <v>2022</v>
      </c>
      <c r="Y7841" s="234">
        <v>11</v>
      </c>
      <c r="Z7841" s="234">
        <v>23</v>
      </c>
      <c r="AA7841" s="235">
        <v>0.625</v>
      </c>
      <c r="AB7841" s="234">
        <v>5.2</v>
      </c>
      <c r="AC7841" s="127">
        <f t="shared" si="137"/>
        <v>5</v>
      </c>
    </row>
    <row r="7842" ht="14.5" customHeight="1" spans="11:29" x14ac:dyDescent="0.25">
      <c r="K7842" s="128"/>
      <c r="X7842" s="234">
        <v>2022</v>
      </c>
      <c r="Y7842" s="234">
        <v>11</v>
      </c>
      <c r="Z7842" s="234">
        <v>23</v>
      </c>
      <c r="AA7842" s="235">
        <v>0.6666666666678793</v>
      </c>
      <c r="AB7842" s="234">
        <v>4.1</v>
      </c>
      <c r="AC7842" s="127">
        <f t="shared" si="137"/>
        <v>4</v>
      </c>
    </row>
    <row r="7843" ht="14.5" customHeight="1" spans="11:29" x14ac:dyDescent="0.25">
      <c r="K7843" s="128"/>
      <c r="X7843" s="234">
        <v>2022</v>
      </c>
      <c r="Y7843" s="234">
        <v>11</v>
      </c>
      <c r="Z7843" s="234">
        <v>23</v>
      </c>
      <c r="AA7843" s="235">
        <v>0.7083333333321207</v>
      </c>
      <c r="AB7843" s="234">
        <v>2.6</v>
      </c>
      <c r="AC7843" s="127">
        <f t="shared" si="137"/>
        <v>3</v>
      </c>
    </row>
    <row r="7844" ht="14.5" customHeight="1" spans="11:29" x14ac:dyDescent="0.25">
      <c r="K7844" s="128"/>
      <c r="X7844" s="234">
        <v>2022</v>
      </c>
      <c r="Y7844" s="234">
        <v>11</v>
      </c>
      <c r="Z7844" s="234">
        <v>23</v>
      </c>
      <c r="AA7844" s="235">
        <v>0.75</v>
      </c>
      <c r="AB7844" s="234">
        <v>0.8</v>
      </c>
      <c r="AC7844" s="127">
        <f t="shared" si="137"/>
        <v>1</v>
      </c>
    </row>
    <row r="7845" ht="14.5" customHeight="1" spans="11:29" x14ac:dyDescent="0.25">
      <c r="K7845" s="128"/>
      <c r="X7845" s="234">
        <v>2022</v>
      </c>
      <c r="Y7845" s="234">
        <v>11</v>
      </c>
      <c r="Z7845" s="234">
        <v>23</v>
      </c>
      <c r="AA7845" s="235">
        <v>0.7916666666678793</v>
      </c>
      <c r="AB7845" s="234">
        <v>0.3</v>
      </c>
      <c r="AC7845" s="127">
        <f t="shared" si="137"/>
        <v>0</v>
      </c>
    </row>
    <row r="7846" ht="14.5" customHeight="1" spans="11:29" x14ac:dyDescent="0.25">
      <c r="K7846" s="128"/>
      <c r="X7846" s="234">
        <v>2022</v>
      </c>
      <c r="Y7846" s="234">
        <v>11</v>
      </c>
      <c r="Z7846" s="234">
        <v>23</v>
      </c>
      <c r="AA7846" s="235">
        <v>0.8333333333321207</v>
      </c>
      <c r="AB7846" s="234">
        <v>0.1</v>
      </c>
      <c r="AC7846" s="127">
        <f t="shared" si="137"/>
        <v>0</v>
      </c>
    </row>
    <row r="7847" ht="14.5" customHeight="1" spans="11:29" x14ac:dyDescent="0.25">
      <c r="K7847" s="128"/>
      <c r="X7847" s="234">
        <v>2022</v>
      </c>
      <c r="Y7847" s="234">
        <v>11</v>
      </c>
      <c r="Z7847" s="234">
        <v>23</v>
      </c>
      <c r="AA7847" s="235">
        <v>0.875</v>
      </c>
      <c r="AB7847" s="234">
        <v>0.3</v>
      </c>
      <c r="AC7847" s="127">
        <f t="shared" si="137"/>
        <v>0</v>
      </c>
    </row>
    <row r="7848" ht="14.5" customHeight="1" spans="11:29" x14ac:dyDescent="0.25">
      <c r="K7848" s="128"/>
      <c r="X7848" s="234">
        <v>2022</v>
      </c>
      <c r="Y7848" s="234">
        <v>11</v>
      </c>
      <c r="Z7848" s="234">
        <v>23</v>
      </c>
      <c r="AA7848" s="235">
        <v>0.9166666666678793</v>
      </c>
      <c r="AB7848" s="234">
        <v>-0.1</v>
      </c>
      <c r="AC7848" s="127">
        <f t="shared" si="137"/>
        <v>0</v>
      </c>
    </row>
    <row r="7849" ht="14.5" customHeight="1" spans="11:29" x14ac:dyDescent="0.25">
      <c r="K7849" s="128"/>
      <c r="X7849" s="234">
        <v>2022</v>
      </c>
      <c r="Y7849" s="234">
        <v>11</v>
      </c>
      <c r="Z7849" s="234">
        <v>23</v>
      </c>
      <c r="AA7849" s="235">
        <v>0.9583333333321207</v>
      </c>
      <c r="AB7849" s="234">
        <v>0.5</v>
      </c>
      <c r="AC7849" s="127">
        <f t="shared" si="137"/>
        <v>1</v>
      </c>
    </row>
    <row r="7850" ht="14.5" customHeight="1" spans="11:29" x14ac:dyDescent="0.25">
      <c r="K7850" s="128"/>
      <c r="X7850" s="234">
        <v>2022</v>
      </c>
      <c r="Y7850" s="234">
        <v>11</v>
      </c>
      <c r="Z7850" s="234">
        <v>24</v>
      </c>
      <c r="AA7850" s="235">
        <v>0</v>
      </c>
      <c r="AB7850" s="234">
        <v>0.6</v>
      </c>
      <c r="AC7850" s="127">
        <f t="shared" si="137"/>
        <v>1</v>
      </c>
    </row>
    <row r="7851" ht="14.5" customHeight="1" spans="11:29" x14ac:dyDescent="0.25">
      <c r="K7851" s="128"/>
      <c r="X7851" s="234">
        <v>2022</v>
      </c>
      <c r="Y7851" s="234">
        <v>11</v>
      </c>
      <c r="Z7851" s="234">
        <v>24</v>
      </c>
      <c r="AA7851" s="235">
        <v>0.041666666667879326</v>
      </c>
      <c r="AB7851" s="234">
        <v>1.7</v>
      </c>
      <c r="AC7851" s="127">
        <f t="shared" si="137"/>
        <v>2</v>
      </c>
    </row>
    <row r="7852" ht="14.5" customHeight="1" spans="11:29" x14ac:dyDescent="0.25">
      <c r="K7852" s="128"/>
      <c r="X7852" s="234">
        <v>2022</v>
      </c>
      <c r="Y7852" s="234">
        <v>11</v>
      </c>
      <c r="Z7852" s="234">
        <v>24</v>
      </c>
      <c r="AA7852" s="235">
        <v>0.08333333333212067</v>
      </c>
      <c r="AB7852" s="234">
        <v>1.8</v>
      </c>
      <c r="AC7852" s="127">
        <f t="shared" si="137"/>
        <v>2</v>
      </c>
    </row>
    <row r="7853" ht="14.5" customHeight="1" spans="11:29" x14ac:dyDescent="0.25">
      <c r="K7853" s="128"/>
      <c r="X7853" s="234">
        <v>2022</v>
      </c>
      <c r="Y7853" s="234">
        <v>11</v>
      </c>
      <c r="Z7853" s="234">
        <v>24</v>
      </c>
      <c r="AA7853" s="235">
        <v>0.125</v>
      </c>
      <c r="AB7853" s="234">
        <v>0.6</v>
      </c>
      <c r="AC7853" s="127">
        <f t="shared" si="137"/>
        <v>1</v>
      </c>
    </row>
    <row r="7854" ht="14.5" customHeight="1" spans="11:29" x14ac:dyDescent="0.25">
      <c r="K7854" s="128"/>
      <c r="X7854" s="234">
        <v>2022</v>
      </c>
      <c r="Y7854" s="234">
        <v>11</v>
      </c>
      <c r="Z7854" s="234">
        <v>24</v>
      </c>
      <c r="AA7854" s="235">
        <v>0.16666666666787933</v>
      </c>
      <c r="AB7854" s="234">
        <v>2.4</v>
      </c>
      <c r="AC7854" s="127">
        <f t="shared" si="137"/>
        <v>2</v>
      </c>
    </row>
    <row r="7855" ht="14.5" customHeight="1" spans="11:29" x14ac:dyDescent="0.25">
      <c r="K7855" s="128"/>
      <c r="X7855" s="234">
        <v>2022</v>
      </c>
      <c r="Y7855" s="234">
        <v>11</v>
      </c>
      <c r="Z7855" s="234">
        <v>24</v>
      </c>
      <c r="AA7855" s="235">
        <v>0.20833333333212067</v>
      </c>
      <c r="AB7855" s="234">
        <v>6.9</v>
      </c>
      <c r="AC7855" s="127">
        <f t="shared" si="137"/>
        <v>7</v>
      </c>
    </row>
    <row r="7856" ht="14.5" customHeight="1" spans="11:29" x14ac:dyDescent="0.25">
      <c r="K7856" s="128"/>
      <c r="X7856" s="234">
        <v>2022</v>
      </c>
      <c r="Y7856" s="234">
        <v>11</v>
      </c>
      <c r="Z7856" s="234">
        <v>24</v>
      </c>
      <c r="AA7856" s="235">
        <v>0.25</v>
      </c>
      <c r="AB7856" s="234">
        <v>9.1</v>
      </c>
      <c r="AC7856" s="127">
        <f t="shared" si="137"/>
        <v>9</v>
      </c>
    </row>
    <row r="7857" ht="14.5" customHeight="1" spans="11:29" x14ac:dyDescent="0.25">
      <c r="K7857" s="128"/>
      <c r="X7857" s="234">
        <v>2022</v>
      </c>
      <c r="Y7857" s="234">
        <v>11</v>
      </c>
      <c r="Z7857" s="234">
        <v>24</v>
      </c>
      <c r="AA7857" s="235">
        <v>0.2916666666678793</v>
      </c>
      <c r="AB7857" s="234">
        <v>8.6</v>
      </c>
      <c r="AC7857" s="127">
        <f t="shared" si="137"/>
        <v>9</v>
      </c>
    </row>
    <row r="7858" ht="14.5" customHeight="1" spans="11:29" x14ac:dyDescent="0.25">
      <c r="K7858" s="128"/>
      <c r="X7858" s="234">
        <v>2022</v>
      </c>
      <c r="Y7858" s="234">
        <v>11</v>
      </c>
      <c r="Z7858" s="234">
        <v>24</v>
      </c>
      <c r="AA7858" s="235">
        <v>0.3333333333321207</v>
      </c>
      <c r="AB7858" s="234">
        <v>8.6</v>
      </c>
      <c r="AC7858" s="127">
        <f t="shared" si="137"/>
        <v>9</v>
      </c>
    </row>
    <row r="7859" ht="14.5" customHeight="1" spans="11:29" x14ac:dyDescent="0.25">
      <c r="K7859" s="128"/>
      <c r="X7859" s="234">
        <v>2022</v>
      </c>
      <c r="Y7859" s="234">
        <v>11</v>
      </c>
      <c r="Z7859" s="234">
        <v>24</v>
      </c>
      <c r="AA7859" s="235">
        <v>0.375</v>
      </c>
      <c r="AB7859" s="234">
        <v>8.2</v>
      </c>
      <c r="AC7859" s="127">
        <f t="shared" si="137"/>
        <v>8</v>
      </c>
    </row>
    <row r="7860" ht="14.5" customHeight="1" spans="11:29" x14ac:dyDescent="0.25">
      <c r="K7860" s="128"/>
      <c r="X7860" s="234">
        <v>2022</v>
      </c>
      <c r="Y7860" s="234">
        <v>11</v>
      </c>
      <c r="Z7860" s="234">
        <v>24</v>
      </c>
      <c r="AA7860" s="235">
        <v>0.4166666666678793</v>
      </c>
      <c r="AB7860" s="234">
        <v>8.3</v>
      </c>
      <c r="AC7860" s="127">
        <f t="shared" si="137"/>
        <v>8</v>
      </c>
    </row>
    <row r="7861" ht="14.5" customHeight="1" spans="11:29" x14ac:dyDescent="0.25">
      <c r="K7861" s="128"/>
      <c r="X7861" s="234">
        <v>2022</v>
      </c>
      <c r="Y7861" s="234">
        <v>11</v>
      </c>
      <c r="Z7861" s="234">
        <v>24</v>
      </c>
      <c r="AA7861" s="235">
        <v>0.4583333333321207</v>
      </c>
      <c r="AB7861" s="234">
        <v>7.8</v>
      </c>
      <c r="AC7861" s="127">
        <f t="shared" si="137"/>
        <v>8</v>
      </c>
    </row>
    <row r="7862" ht="14.5" customHeight="1" spans="11:29" x14ac:dyDescent="0.25">
      <c r="K7862" s="128"/>
      <c r="X7862" s="234">
        <v>2022</v>
      </c>
      <c r="Y7862" s="234">
        <v>11</v>
      </c>
      <c r="Z7862" s="234">
        <v>24</v>
      </c>
      <c r="AA7862" s="235">
        <v>0.5</v>
      </c>
      <c r="AB7862" s="234">
        <v>9.2</v>
      </c>
      <c r="AC7862" s="127">
        <f t="shared" si="137"/>
        <v>9</v>
      </c>
    </row>
    <row r="7863" ht="14.5" customHeight="1" spans="11:29" x14ac:dyDescent="0.25">
      <c r="K7863" s="128"/>
      <c r="X7863" s="234">
        <v>2022</v>
      </c>
      <c r="Y7863" s="234">
        <v>11</v>
      </c>
      <c r="Z7863" s="234">
        <v>24</v>
      </c>
      <c r="AA7863" s="235">
        <v>0.5416666666678793</v>
      </c>
      <c r="AB7863" s="234">
        <v>7.5</v>
      </c>
      <c r="AC7863" s="127">
        <f t="shared" si="137"/>
        <v>8</v>
      </c>
    </row>
    <row r="7864" ht="14.5" customHeight="1" spans="11:29" x14ac:dyDescent="0.25">
      <c r="K7864" s="128"/>
      <c r="X7864" s="234">
        <v>2022</v>
      </c>
      <c r="Y7864" s="234">
        <v>11</v>
      </c>
      <c r="Z7864" s="234">
        <v>24</v>
      </c>
      <c r="AA7864" s="235">
        <v>0.5833333333321207</v>
      </c>
      <c r="AB7864" s="234">
        <v>7.4</v>
      </c>
      <c r="AC7864" s="127">
        <f t="shared" si="137"/>
        <v>7</v>
      </c>
    </row>
    <row r="7865" ht="14.5" customHeight="1" spans="11:29" x14ac:dyDescent="0.25">
      <c r="K7865" s="128"/>
      <c r="X7865" s="234">
        <v>2022</v>
      </c>
      <c r="Y7865" s="234">
        <v>11</v>
      </c>
      <c r="Z7865" s="234">
        <v>24</v>
      </c>
      <c r="AA7865" s="235">
        <v>0.625</v>
      </c>
      <c r="AB7865" s="234">
        <v>7.3</v>
      </c>
      <c r="AC7865" s="127">
        <f t="shared" si="137"/>
        <v>7</v>
      </c>
    </row>
    <row r="7866" ht="14.5" customHeight="1" spans="11:29" x14ac:dyDescent="0.25">
      <c r="K7866" s="128"/>
      <c r="X7866" s="234">
        <v>2022</v>
      </c>
      <c r="Y7866" s="234">
        <v>11</v>
      </c>
      <c r="Z7866" s="234">
        <v>24</v>
      </c>
      <c r="AA7866" s="235">
        <v>0.6666666666678793</v>
      </c>
      <c r="AB7866" s="234">
        <v>7.8</v>
      </c>
      <c r="AC7866" s="127">
        <f t="shared" si="137"/>
        <v>8</v>
      </c>
    </row>
    <row r="7867" ht="14.5" customHeight="1" spans="11:29" x14ac:dyDescent="0.25">
      <c r="K7867" s="128"/>
      <c r="X7867" s="234">
        <v>2022</v>
      </c>
      <c r="Y7867" s="234">
        <v>11</v>
      </c>
      <c r="Z7867" s="234">
        <v>24</v>
      </c>
      <c r="AA7867" s="235">
        <v>0.7083333333321207</v>
      </c>
      <c r="AB7867" s="234">
        <v>6.1</v>
      </c>
      <c r="AC7867" s="127">
        <f t="shared" si="137"/>
        <v>6</v>
      </c>
    </row>
    <row r="7868" ht="14.5" customHeight="1" spans="11:29" x14ac:dyDescent="0.25">
      <c r="K7868" s="128"/>
      <c r="X7868" s="234">
        <v>2022</v>
      </c>
      <c r="Y7868" s="234">
        <v>11</v>
      </c>
      <c r="Z7868" s="234">
        <v>24</v>
      </c>
      <c r="AA7868" s="235">
        <v>0.75</v>
      </c>
      <c r="AB7868" s="234">
        <v>5.5</v>
      </c>
      <c r="AC7868" s="127">
        <f t="shared" si="137"/>
        <v>6</v>
      </c>
    </row>
    <row r="7869" ht="14.5" customHeight="1" spans="11:29" x14ac:dyDescent="0.25">
      <c r="K7869" s="128"/>
      <c r="X7869" s="234">
        <v>2022</v>
      </c>
      <c r="Y7869" s="234">
        <v>11</v>
      </c>
      <c r="Z7869" s="234">
        <v>24</v>
      </c>
      <c r="AA7869" s="235">
        <v>0.7916666666678793</v>
      </c>
      <c r="AB7869" s="234">
        <v>2.4</v>
      </c>
      <c r="AC7869" s="127">
        <f t="shared" si="137"/>
        <v>2</v>
      </c>
    </row>
    <row r="7870" ht="14.5" customHeight="1" spans="11:29" x14ac:dyDescent="0.25">
      <c r="K7870" s="128"/>
      <c r="X7870" s="234">
        <v>2022</v>
      </c>
      <c r="Y7870" s="234">
        <v>11</v>
      </c>
      <c r="Z7870" s="234">
        <v>24</v>
      </c>
      <c r="AA7870" s="235">
        <v>0.8333333333321207</v>
      </c>
      <c r="AB7870" s="234">
        <v>5</v>
      </c>
      <c r="AC7870" s="127">
        <f t="shared" si="137"/>
        <v>5</v>
      </c>
    </row>
    <row r="7871" ht="14.5" customHeight="1" spans="11:29" x14ac:dyDescent="0.25">
      <c r="K7871" s="128"/>
      <c r="X7871" s="234">
        <v>2022</v>
      </c>
      <c r="Y7871" s="234">
        <v>11</v>
      </c>
      <c r="Z7871" s="234">
        <v>24</v>
      </c>
      <c r="AA7871" s="235">
        <v>0.875</v>
      </c>
      <c r="AB7871" s="234">
        <v>2.2</v>
      </c>
      <c r="AC7871" s="127">
        <f t="shared" si="137"/>
        <v>2</v>
      </c>
    </row>
    <row r="7872" ht="14.5" customHeight="1" spans="11:29" x14ac:dyDescent="0.25">
      <c r="K7872" s="128"/>
      <c r="X7872" s="234">
        <v>2022</v>
      </c>
      <c r="Y7872" s="234">
        <v>11</v>
      </c>
      <c r="Z7872" s="234">
        <v>24</v>
      </c>
      <c r="AA7872" s="235">
        <v>0.9166666666678793</v>
      </c>
      <c r="AB7872" s="234">
        <v>4</v>
      </c>
      <c r="AC7872" s="127">
        <f t="shared" si="137"/>
        <v>4</v>
      </c>
    </row>
    <row r="7873" ht="14.5" customHeight="1" spans="11:29" x14ac:dyDescent="0.25">
      <c r="K7873" s="128"/>
      <c r="X7873" s="234">
        <v>2022</v>
      </c>
      <c r="Y7873" s="234">
        <v>11</v>
      </c>
      <c r="Z7873" s="234">
        <v>24</v>
      </c>
      <c r="AA7873" s="235">
        <v>0.9583333333321207</v>
      </c>
      <c r="AB7873" s="234">
        <v>5.1</v>
      </c>
      <c r="AC7873" s="127">
        <f t="shared" si="137"/>
        <v>5</v>
      </c>
    </row>
    <row r="7874" ht="14.5" customHeight="1" spans="11:29" x14ac:dyDescent="0.25">
      <c r="K7874" s="128"/>
      <c r="X7874" s="234">
        <v>2022</v>
      </c>
      <c r="Y7874" s="234">
        <v>11</v>
      </c>
      <c r="Z7874" s="234">
        <v>25</v>
      </c>
      <c r="AA7874" s="235">
        <v>0</v>
      </c>
      <c r="AB7874" s="234">
        <v>8</v>
      </c>
      <c r="AC7874" s="127">
        <f t="shared" si="137"/>
        <v>8</v>
      </c>
    </row>
    <row r="7875" ht="14.5" customHeight="1" spans="11:29" x14ac:dyDescent="0.25">
      <c r="K7875" s="128"/>
      <c r="X7875" s="234">
        <v>2022</v>
      </c>
      <c r="Y7875" s="234">
        <v>11</v>
      </c>
      <c r="Z7875" s="234">
        <v>25</v>
      </c>
      <c r="AA7875" s="235">
        <v>0.041666666667879326</v>
      </c>
      <c r="AB7875" s="234">
        <v>8.5</v>
      </c>
      <c r="AC7875" s="127">
        <f t="shared" si="137"/>
        <v>9</v>
      </c>
    </row>
    <row r="7876" ht="14.5" customHeight="1" spans="11:29" x14ac:dyDescent="0.25">
      <c r="K7876" s="128"/>
      <c r="X7876" s="234">
        <v>2022</v>
      </c>
      <c r="Y7876" s="234">
        <v>11</v>
      </c>
      <c r="Z7876" s="234">
        <v>25</v>
      </c>
      <c r="AA7876" s="235">
        <v>0.08333333333212067</v>
      </c>
      <c r="AB7876" s="234">
        <v>8.5</v>
      </c>
      <c r="AC7876" s="127">
        <f t="shared" si="137"/>
        <v>9</v>
      </c>
    </row>
    <row r="7877" ht="14.5" customHeight="1" spans="11:29" x14ac:dyDescent="0.25">
      <c r="K7877" s="128"/>
      <c r="X7877" s="234">
        <v>2022</v>
      </c>
      <c r="Y7877" s="234">
        <v>11</v>
      </c>
      <c r="Z7877" s="234">
        <v>25</v>
      </c>
      <c r="AA7877" s="235">
        <v>0.125</v>
      </c>
      <c r="AB7877" s="234">
        <v>7.4</v>
      </c>
      <c r="AC7877" s="127">
        <f t="shared" si="137"/>
        <v>7</v>
      </c>
    </row>
    <row r="7878" ht="14.5" customHeight="1" spans="11:29" x14ac:dyDescent="0.25">
      <c r="K7878" s="128"/>
      <c r="X7878" s="234">
        <v>2022</v>
      </c>
      <c r="Y7878" s="234">
        <v>11</v>
      </c>
      <c r="Z7878" s="234">
        <v>25</v>
      </c>
      <c r="AA7878" s="235">
        <v>0.16666666666787933</v>
      </c>
      <c r="AB7878" s="234">
        <v>8.7</v>
      </c>
      <c r="AC7878" s="127">
        <f t="shared" si="137"/>
        <v>9</v>
      </c>
    </row>
    <row r="7879" ht="14.5" customHeight="1" spans="11:29" x14ac:dyDescent="0.25">
      <c r="K7879" s="128"/>
      <c r="X7879" s="234">
        <v>2022</v>
      </c>
      <c r="Y7879" s="234">
        <v>11</v>
      </c>
      <c r="Z7879" s="234">
        <v>25</v>
      </c>
      <c r="AA7879" s="235">
        <v>0.20833333333212067</v>
      </c>
      <c r="AB7879" s="234">
        <v>7.6</v>
      </c>
      <c r="AC7879" s="127">
        <f t="shared" si="137"/>
        <v>8</v>
      </c>
    </row>
    <row r="7880" ht="14.5" customHeight="1" spans="11:29" x14ac:dyDescent="0.25">
      <c r="K7880" s="128"/>
      <c r="X7880" s="234">
        <v>2022</v>
      </c>
      <c r="Y7880" s="234">
        <v>11</v>
      </c>
      <c r="Z7880" s="234">
        <v>25</v>
      </c>
      <c r="AA7880" s="235">
        <v>0.25</v>
      </c>
      <c r="AB7880" s="234">
        <v>8.9</v>
      </c>
      <c r="AC7880" s="127">
        <f t="shared" si="137"/>
        <v>9</v>
      </c>
    </row>
    <row r="7881" ht="14.5" customHeight="1" spans="11:29" x14ac:dyDescent="0.25">
      <c r="K7881" s="128"/>
      <c r="X7881" s="234">
        <v>2022</v>
      </c>
      <c r="Y7881" s="234">
        <v>11</v>
      </c>
      <c r="Z7881" s="234">
        <v>25</v>
      </c>
      <c r="AA7881" s="235">
        <v>0.2916666666678793</v>
      </c>
      <c r="AB7881" s="234">
        <v>9.4</v>
      </c>
      <c r="AC7881" s="127">
        <f t="shared" si="137"/>
        <v>9</v>
      </c>
    </row>
    <row r="7882" ht="14.5" customHeight="1" spans="11:29" x14ac:dyDescent="0.25">
      <c r="K7882" s="128"/>
      <c r="X7882" s="234">
        <v>2022</v>
      </c>
      <c r="Y7882" s="234">
        <v>11</v>
      </c>
      <c r="Z7882" s="234">
        <v>25</v>
      </c>
      <c r="AA7882" s="235">
        <v>0.3333333333321207</v>
      </c>
      <c r="AB7882" s="234">
        <v>9.8</v>
      </c>
      <c r="AC7882" s="127">
        <f t="shared" si="137"/>
        <v>10</v>
      </c>
    </row>
    <row r="7883" ht="14.5" customHeight="1" spans="11:29" x14ac:dyDescent="0.25">
      <c r="K7883" s="128"/>
      <c r="X7883" s="234">
        <v>2022</v>
      </c>
      <c r="Y7883" s="234">
        <v>11</v>
      </c>
      <c r="Z7883" s="234">
        <v>25</v>
      </c>
      <c r="AA7883" s="235">
        <v>0.375</v>
      </c>
      <c r="AB7883" s="234">
        <v>8.6</v>
      </c>
      <c r="AC7883" s="127">
        <f t="shared" ref="AC7883:AC7946" si="138">ROUND(AB7883,0)</f>
        <v>9</v>
      </c>
    </row>
    <row r="7884" ht="14.5" customHeight="1" spans="11:29" x14ac:dyDescent="0.25">
      <c r="K7884" s="128"/>
      <c r="X7884" s="234">
        <v>2022</v>
      </c>
      <c r="Y7884" s="234">
        <v>11</v>
      </c>
      <c r="Z7884" s="234">
        <v>25</v>
      </c>
      <c r="AA7884" s="235">
        <v>0.4166666666678793</v>
      </c>
      <c r="AB7884" s="234">
        <v>7.3</v>
      </c>
      <c r="AC7884" s="127">
        <f t="shared" si="138"/>
        <v>7</v>
      </c>
    </row>
    <row r="7885" ht="14.5" customHeight="1" spans="11:29" x14ac:dyDescent="0.25">
      <c r="K7885" s="128"/>
      <c r="X7885" s="234">
        <v>2022</v>
      </c>
      <c r="Y7885" s="234">
        <v>11</v>
      </c>
      <c r="Z7885" s="234">
        <v>25</v>
      </c>
      <c r="AA7885" s="235">
        <v>0.4583333333321207</v>
      </c>
      <c r="AB7885" s="234">
        <v>10.1</v>
      </c>
      <c r="AC7885" s="127">
        <f t="shared" si="138"/>
        <v>10</v>
      </c>
    </row>
    <row r="7886" ht="14.5" customHeight="1" spans="11:29" x14ac:dyDescent="0.25">
      <c r="K7886" s="128"/>
      <c r="X7886" s="234">
        <v>2022</v>
      </c>
      <c r="Y7886" s="234">
        <v>11</v>
      </c>
      <c r="Z7886" s="234">
        <v>25</v>
      </c>
      <c r="AA7886" s="235">
        <v>0.5</v>
      </c>
      <c r="AB7886" s="234">
        <v>10.9</v>
      </c>
      <c r="AC7886" s="127">
        <f t="shared" si="138"/>
        <v>11</v>
      </c>
    </row>
    <row r="7887" ht="14.5" customHeight="1" spans="11:29" x14ac:dyDescent="0.25">
      <c r="K7887" s="128"/>
      <c r="X7887" s="234">
        <v>2022</v>
      </c>
      <c r="Y7887" s="234">
        <v>11</v>
      </c>
      <c r="Z7887" s="234">
        <v>25</v>
      </c>
      <c r="AA7887" s="235">
        <v>0.5416666666678793</v>
      </c>
      <c r="AB7887" s="234">
        <v>10</v>
      </c>
      <c r="AC7887" s="127">
        <f t="shared" si="138"/>
        <v>10</v>
      </c>
    </row>
    <row r="7888" ht="14.5" customHeight="1" spans="11:29" x14ac:dyDescent="0.25">
      <c r="K7888" s="128"/>
      <c r="X7888" s="234">
        <v>2022</v>
      </c>
      <c r="Y7888" s="234">
        <v>11</v>
      </c>
      <c r="Z7888" s="234">
        <v>25</v>
      </c>
      <c r="AA7888" s="235">
        <v>0.5833333333321207</v>
      </c>
      <c r="AB7888" s="234">
        <v>5.8</v>
      </c>
      <c r="AC7888" s="127">
        <f t="shared" si="138"/>
        <v>6</v>
      </c>
    </row>
    <row r="7889" ht="14.5" customHeight="1" spans="11:29" x14ac:dyDescent="0.25">
      <c r="K7889" s="128"/>
      <c r="X7889" s="234">
        <v>2022</v>
      </c>
      <c r="Y7889" s="234">
        <v>11</v>
      </c>
      <c r="Z7889" s="234">
        <v>25</v>
      </c>
      <c r="AA7889" s="235">
        <v>0.625</v>
      </c>
      <c r="AB7889" s="234">
        <v>1.8</v>
      </c>
      <c r="AC7889" s="127">
        <f t="shared" si="138"/>
        <v>2</v>
      </c>
    </row>
    <row r="7890" ht="14.5" customHeight="1" spans="11:29" x14ac:dyDescent="0.25">
      <c r="K7890" s="128"/>
      <c r="X7890" s="234">
        <v>2022</v>
      </c>
      <c r="Y7890" s="234">
        <v>11</v>
      </c>
      <c r="Z7890" s="234">
        <v>25</v>
      </c>
      <c r="AA7890" s="235">
        <v>0.6666666666678793</v>
      </c>
      <c r="AB7890" s="234">
        <v>0.8</v>
      </c>
      <c r="AC7890" s="127">
        <f t="shared" si="138"/>
        <v>1</v>
      </c>
    </row>
    <row r="7891" ht="14.5" customHeight="1" spans="11:29" x14ac:dyDescent="0.25">
      <c r="K7891" s="128"/>
      <c r="X7891" s="234">
        <v>2022</v>
      </c>
      <c r="Y7891" s="234">
        <v>11</v>
      </c>
      <c r="Z7891" s="234">
        <v>25</v>
      </c>
      <c r="AA7891" s="235">
        <v>0.7083333333321207</v>
      </c>
      <c r="AB7891" s="234">
        <v>0.5</v>
      </c>
      <c r="AC7891" s="127">
        <f t="shared" si="138"/>
        <v>1</v>
      </c>
    </row>
    <row r="7892" ht="14.5" customHeight="1" spans="11:29" x14ac:dyDescent="0.25">
      <c r="K7892" s="128"/>
      <c r="X7892" s="234">
        <v>2022</v>
      </c>
      <c r="Y7892" s="234">
        <v>11</v>
      </c>
      <c r="Z7892" s="234">
        <v>25</v>
      </c>
      <c r="AA7892" s="235">
        <v>0.75</v>
      </c>
      <c r="AB7892" s="234">
        <v>0.5</v>
      </c>
      <c r="AC7892" s="127">
        <f t="shared" si="138"/>
        <v>1</v>
      </c>
    </row>
    <row r="7893" ht="14.5" customHeight="1" spans="11:29" x14ac:dyDescent="0.25">
      <c r="K7893" s="128"/>
      <c r="X7893" s="234">
        <v>2022</v>
      </c>
      <c r="Y7893" s="234">
        <v>11</v>
      </c>
      <c r="Z7893" s="234">
        <v>25</v>
      </c>
      <c r="AA7893" s="235">
        <v>0.7916666666678793</v>
      </c>
      <c r="AB7893" s="234">
        <v>0.5</v>
      </c>
      <c r="AC7893" s="127">
        <f t="shared" si="138"/>
        <v>1</v>
      </c>
    </row>
    <row r="7894" ht="14.5" customHeight="1" spans="11:29" x14ac:dyDescent="0.25">
      <c r="K7894" s="128"/>
      <c r="X7894" s="234">
        <v>2022</v>
      </c>
      <c r="Y7894" s="234">
        <v>11</v>
      </c>
      <c r="Z7894" s="234">
        <v>25</v>
      </c>
      <c r="AA7894" s="235">
        <v>0.8333333333321207</v>
      </c>
      <c r="AB7894" s="234">
        <v>0.4</v>
      </c>
      <c r="AC7894" s="127">
        <f t="shared" si="138"/>
        <v>0</v>
      </c>
    </row>
    <row r="7895" ht="14.5" customHeight="1" spans="11:29" x14ac:dyDescent="0.25">
      <c r="K7895" s="128"/>
      <c r="X7895" s="234">
        <v>2022</v>
      </c>
      <c r="Y7895" s="234">
        <v>11</v>
      </c>
      <c r="Z7895" s="234">
        <v>25</v>
      </c>
      <c r="AA7895" s="235">
        <v>0.875</v>
      </c>
      <c r="AB7895" s="234">
        <v>0.5</v>
      </c>
      <c r="AC7895" s="127">
        <f t="shared" si="138"/>
        <v>1</v>
      </c>
    </row>
    <row r="7896" ht="14.5" customHeight="1" spans="11:29" x14ac:dyDescent="0.25">
      <c r="K7896" s="128"/>
      <c r="X7896" s="234">
        <v>2022</v>
      </c>
      <c r="Y7896" s="234">
        <v>11</v>
      </c>
      <c r="Z7896" s="234">
        <v>25</v>
      </c>
      <c r="AA7896" s="235">
        <v>0.9166666666678793</v>
      </c>
      <c r="AB7896" s="234">
        <v>-0.2</v>
      </c>
      <c r="AC7896" s="127">
        <f t="shared" si="138"/>
        <v>0</v>
      </c>
    </row>
    <row r="7897" ht="14.5" customHeight="1" spans="11:29" x14ac:dyDescent="0.25">
      <c r="K7897" s="128"/>
      <c r="X7897" s="234">
        <v>2022</v>
      </c>
      <c r="Y7897" s="234">
        <v>11</v>
      </c>
      <c r="Z7897" s="234">
        <v>25</v>
      </c>
      <c r="AA7897" s="235">
        <v>0.9583333333321207</v>
      </c>
      <c r="AB7897" s="234">
        <v>-1.5</v>
      </c>
      <c r="AC7897" s="127">
        <f t="shared" si="138"/>
        <v>-2</v>
      </c>
    </row>
    <row r="7898" ht="14.5" customHeight="1" spans="11:29" x14ac:dyDescent="0.25">
      <c r="K7898" s="128"/>
      <c r="X7898" s="234">
        <v>2022</v>
      </c>
      <c r="Y7898" s="234">
        <v>11</v>
      </c>
      <c r="Z7898" s="234">
        <v>26</v>
      </c>
      <c r="AA7898" s="235">
        <v>0</v>
      </c>
      <c r="AB7898" s="234">
        <v>-2.3</v>
      </c>
      <c r="AC7898" s="127">
        <f t="shared" si="138"/>
        <v>-2</v>
      </c>
    </row>
    <row r="7899" ht="14.5" customHeight="1" spans="11:29" x14ac:dyDescent="0.25">
      <c r="K7899" s="128"/>
      <c r="X7899" s="234">
        <v>2022</v>
      </c>
      <c r="Y7899" s="234">
        <v>11</v>
      </c>
      <c r="Z7899" s="234">
        <v>26</v>
      </c>
      <c r="AA7899" s="235">
        <v>0.041666666667879326</v>
      </c>
      <c r="AB7899" s="234">
        <v>-2.4</v>
      </c>
      <c r="AC7899" s="127">
        <f t="shared" si="138"/>
        <v>-2</v>
      </c>
    </row>
    <row r="7900" ht="14.5" customHeight="1" spans="11:29" x14ac:dyDescent="0.25">
      <c r="K7900" s="128"/>
      <c r="X7900" s="234">
        <v>2022</v>
      </c>
      <c r="Y7900" s="234">
        <v>11</v>
      </c>
      <c r="Z7900" s="234">
        <v>26</v>
      </c>
      <c r="AA7900" s="235">
        <v>0.08333333333212067</v>
      </c>
      <c r="AB7900" s="234">
        <v>-1.8</v>
      </c>
      <c r="AC7900" s="127">
        <f t="shared" si="138"/>
        <v>-2</v>
      </c>
    </row>
    <row r="7901" ht="14.5" customHeight="1" spans="11:29" x14ac:dyDescent="0.25">
      <c r="K7901" s="128"/>
      <c r="X7901" s="234">
        <v>2022</v>
      </c>
      <c r="Y7901" s="234">
        <v>11</v>
      </c>
      <c r="Z7901" s="234">
        <v>26</v>
      </c>
      <c r="AA7901" s="235">
        <v>0.125</v>
      </c>
      <c r="AB7901" s="234">
        <v>-2.8</v>
      </c>
      <c r="AC7901" s="127">
        <f t="shared" si="138"/>
        <v>-3</v>
      </c>
    </row>
    <row r="7902" ht="14.5" customHeight="1" spans="11:29" x14ac:dyDescent="0.25">
      <c r="K7902" s="128"/>
      <c r="X7902" s="234">
        <v>2022</v>
      </c>
      <c r="Y7902" s="234">
        <v>11</v>
      </c>
      <c r="Z7902" s="234">
        <v>26</v>
      </c>
      <c r="AA7902" s="235">
        <v>0.16666666666787933</v>
      </c>
      <c r="AB7902" s="234">
        <v>-2.9</v>
      </c>
      <c r="AC7902" s="127">
        <f t="shared" si="138"/>
        <v>-3</v>
      </c>
    </row>
    <row r="7903" ht="14.5" customHeight="1" spans="11:29" x14ac:dyDescent="0.25">
      <c r="K7903" s="128"/>
      <c r="X7903" s="234">
        <v>2022</v>
      </c>
      <c r="Y7903" s="234">
        <v>11</v>
      </c>
      <c r="Z7903" s="234">
        <v>26</v>
      </c>
      <c r="AA7903" s="235">
        <v>0.20833333333212067</v>
      </c>
      <c r="AB7903" s="234">
        <v>-3.3</v>
      </c>
      <c r="AC7903" s="127">
        <f t="shared" si="138"/>
        <v>-3</v>
      </c>
    </row>
    <row r="7904" ht="14.5" customHeight="1" spans="11:29" x14ac:dyDescent="0.25">
      <c r="K7904" s="128"/>
      <c r="X7904" s="234">
        <v>2022</v>
      </c>
      <c r="Y7904" s="234">
        <v>11</v>
      </c>
      <c r="Z7904" s="234">
        <v>26</v>
      </c>
      <c r="AA7904" s="235">
        <v>0.25</v>
      </c>
      <c r="AB7904" s="234">
        <v>-3.2</v>
      </c>
      <c r="AC7904" s="127">
        <f t="shared" si="138"/>
        <v>-3</v>
      </c>
    </row>
    <row r="7905" ht="14.5" customHeight="1" spans="11:29" x14ac:dyDescent="0.25">
      <c r="K7905" s="128"/>
      <c r="X7905" s="234">
        <v>2022</v>
      </c>
      <c r="Y7905" s="234">
        <v>11</v>
      </c>
      <c r="Z7905" s="234">
        <v>26</v>
      </c>
      <c r="AA7905" s="235">
        <v>0.2916666666678793</v>
      </c>
      <c r="AB7905" s="234">
        <v>-3</v>
      </c>
      <c r="AC7905" s="127">
        <f t="shared" si="138"/>
        <v>-3</v>
      </c>
    </row>
    <row r="7906" ht="14.5" customHeight="1" spans="11:29" x14ac:dyDescent="0.25">
      <c r="K7906" s="128"/>
      <c r="X7906" s="234">
        <v>2022</v>
      </c>
      <c r="Y7906" s="234">
        <v>11</v>
      </c>
      <c r="Z7906" s="234">
        <v>26</v>
      </c>
      <c r="AA7906" s="235">
        <v>0.3333333333321207</v>
      </c>
      <c r="AB7906" s="234">
        <v>-2</v>
      </c>
      <c r="AC7906" s="127">
        <f t="shared" si="138"/>
        <v>-2</v>
      </c>
    </row>
    <row r="7907" ht="14.5" customHeight="1" spans="11:29" x14ac:dyDescent="0.25">
      <c r="K7907" s="128"/>
      <c r="X7907" s="234">
        <v>2022</v>
      </c>
      <c r="Y7907" s="234">
        <v>11</v>
      </c>
      <c r="Z7907" s="234">
        <v>26</v>
      </c>
      <c r="AA7907" s="235">
        <v>0.375</v>
      </c>
      <c r="AB7907" s="234">
        <v>-1.8</v>
      </c>
      <c r="AC7907" s="127">
        <f t="shared" si="138"/>
        <v>-2</v>
      </c>
    </row>
    <row r="7908" ht="14.5" customHeight="1" spans="11:29" x14ac:dyDescent="0.25">
      <c r="K7908" s="128"/>
      <c r="X7908" s="234">
        <v>2022</v>
      </c>
      <c r="Y7908" s="234">
        <v>11</v>
      </c>
      <c r="Z7908" s="234">
        <v>26</v>
      </c>
      <c r="AA7908" s="235">
        <v>0.4166666666678793</v>
      </c>
      <c r="AB7908" s="234">
        <v>0.8</v>
      </c>
      <c r="AC7908" s="127">
        <f t="shared" si="138"/>
        <v>1</v>
      </c>
    </row>
    <row r="7909" ht="14.5" customHeight="1" spans="11:29" x14ac:dyDescent="0.25">
      <c r="K7909" s="128"/>
      <c r="X7909" s="234">
        <v>2022</v>
      </c>
      <c r="Y7909" s="234">
        <v>11</v>
      </c>
      <c r="Z7909" s="234">
        <v>26</v>
      </c>
      <c r="AA7909" s="235">
        <v>0.4583333333321207</v>
      </c>
      <c r="AB7909" s="234">
        <v>1.9</v>
      </c>
      <c r="AC7909" s="127">
        <f t="shared" si="138"/>
        <v>2</v>
      </c>
    </row>
    <row r="7910" ht="14.5" customHeight="1" spans="11:29" x14ac:dyDescent="0.25">
      <c r="K7910" s="128"/>
      <c r="X7910" s="234">
        <v>2022</v>
      </c>
      <c r="Y7910" s="234">
        <v>11</v>
      </c>
      <c r="Z7910" s="234">
        <v>26</v>
      </c>
      <c r="AA7910" s="235">
        <v>0.5</v>
      </c>
      <c r="AB7910" s="234">
        <v>3.8</v>
      </c>
      <c r="AC7910" s="127">
        <f t="shared" si="138"/>
        <v>4</v>
      </c>
    </row>
    <row r="7911" ht="14.5" customHeight="1" spans="11:29" x14ac:dyDescent="0.25">
      <c r="K7911" s="128"/>
      <c r="X7911" s="234">
        <v>2022</v>
      </c>
      <c r="Y7911" s="234">
        <v>11</v>
      </c>
      <c r="Z7911" s="234">
        <v>26</v>
      </c>
      <c r="AA7911" s="235">
        <v>0.5416666666678793</v>
      </c>
      <c r="AB7911" s="234">
        <v>4.9</v>
      </c>
      <c r="AC7911" s="127">
        <f t="shared" si="138"/>
        <v>5</v>
      </c>
    </row>
    <row r="7912" ht="14.5" customHeight="1" spans="11:29" x14ac:dyDescent="0.25">
      <c r="K7912" s="128"/>
      <c r="X7912" s="234">
        <v>2022</v>
      </c>
      <c r="Y7912" s="234">
        <v>11</v>
      </c>
      <c r="Z7912" s="234">
        <v>26</v>
      </c>
      <c r="AA7912" s="235">
        <v>0.5833333333321207</v>
      </c>
      <c r="AB7912" s="234">
        <v>5.2</v>
      </c>
      <c r="AC7912" s="127">
        <f t="shared" si="138"/>
        <v>5</v>
      </c>
    </row>
    <row r="7913" ht="14.5" customHeight="1" spans="11:29" x14ac:dyDescent="0.25">
      <c r="K7913" s="128"/>
      <c r="X7913" s="234">
        <v>2022</v>
      </c>
      <c r="Y7913" s="234">
        <v>11</v>
      </c>
      <c r="Z7913" s="234">
        <v>26</v>
      </c>
      <c r="AA7913" s="235">
        <v>0.625</v>
      </c>
      <c r="AB7913" s="234">
        <v>4.8</v>
      </c>
      <c r="AC7913" s="127">
        <f t="shared" si="138"/>
        <v>5</v>
      </c>
    </row>
    <row r="7914" ht="14.5" customHeight="1" spans="11:29" x14ac:dyDescent="0.25">
      <c r="K7914" s="128"/>
      <c r="X7914" s="234">
        <v>2022</v>
      </c>
      <c r="Y7914" s="234">
        <v>11</v>
      </c>
      <c r="Z7914" s="234">
        <v>26</v>
      </c>
      <c r="AA7914" s="235">
        <v>0.6666666666678793</v>
      </c>
      <c r="AB7914" s="234">
        <v>3.5</v>
      </c>
      <c r="AC7914" s="127">
        <f t="shared" si="138"/>
        <v>4</v>
      </c>
    </row>
    <row r="7915" ht="14.5" customHeight="1" spans="11:29" x14ac:dyDescent="0.25">
      <c r="K7915" s="128"/>
      <c r="X7915" s="234">
        <v>2022</v>
      </c>
      <c r="Y7915" s="234">
        <v>11</v>
      </c>
      <c r="Z7915" s="234">
        <v>26</v>
      </c>
      <c r="AA7915" s="235">
        <v>0.7083333333321207</v>
      </c>
      <c r="AB7915" s="234">
        <v>2.7</v>
      </c>
      <c r="AC7915" s="127">
        <f t="shared" si="138"/>
        <v>3</v>
      </c>
    </row>
    <row r="7916" ht="14.5" customHeight="1" spans="11:29" x14ac:dyDescent="0.25">
      <c r="K7916" s="128"/>
      <c r="X7916" s="234">
        <v>2022</v>
      </c>
      <c r="Y7916" s="234">
        <v>11</v>
      </c>
      <c r="Z7916" s="234">
        <v>26</v>
      </c>
      <c r="AA7916" s="235">
        <v>0.75</v>
      </c>
      <c r="AB7916" s="234">
        <v>2.6</v>
      </c>
      <c r="AC7916" s="127">
        <f t="shared" si="138"/>
        <v>3</v>
      </c>
    </row>
    <row r="7917" ht="14.5" customHeight="1" spans="11:29" x14ac:dyDescent="0.25">
      <c r="K7917" s="128"/>
      <c r="X7917" s="234">
        <v>2022</v>
      </c>
      <c r="Y7917" s="234">
        <v>11</v>
      </c>
      <c r="Z7917" s="234">
        <v>26</v>
      </c>
      <c r="AA7917" s="235">
        <v>0.7916666666678793</v>
      </c>
      <c r="AB7917" s="234">
        <v>3.1</v>
      </c>
      <c r="AC7917" s="127">
        <f t="shared" si="138"/>
        <v>3</v>
      </c>
    </row>
    <row r="7918" ht="14.5" customHeight="1" spans="11:29" x14ac:dyDescent="0.25">
      <c r="K7918" s="128"/>
      <c r="X7918" s="234">
        <v>2022</v>
      </c>
      <c r="Y7918" s="234">
        <v>11</v>
      </c>
      <c r="Z7918" s="234">
        <v>26</v>
      </c>
      <c r="AA7918" s="235">
        <v>0.8333333333321207</v>
      </c>
      <c r="AB7918" s="234">
        <v>1.6</v>
      </c>
      <c r="AC7918" s="127">
        <f t="shared" si="138"/>
        <v>2</v>
      </c>
    </row>
    <row r="7919" ht="14.5" customHeight="1" spans="11:29" x14ac:dyDescent="0.25">
      <c r="K7919" s="128"/>
      <c r="X7919" s="234">
        <v>2022</v>
      </c>
      <c r="Y7919" s="234">
        <v>11</v>
      </c>
      <c r="Z7919" s="234">
        <v>26</v>
      </c>
      <c r="AA7919" s="235">
        <v>0.875</v>
      </c>
      <c r="AB7919" s="234">
        <v>1.2</v>
      </c>
      <c r="AC7919" s="127">
        <f t="shared" si="138"/>
        <v>1</v>
      </c>
    </row>
    <row r="7920" ht="14.5" customHeight="1" spans="11:29" x14ac:dyDescent="0.25">
      <c r="K7920" s="128"/>
      <c r="X7920" s="234">
        <v>2022</v>
      </c>
      <c r="Y7920" s="234">
        <v>11</v>
      </c>
      <c r="Z7920" s="234">
        <v>26</v>
      </c>
      <c r="AA7920" s="235">
        <v>0.9166666666678793</v>
      </c>
      <c r="AB7920" s="234">
        <v>0.6</v>
      </c>
      <c r="AC7920" s="127">
        <f t="shared" si="138"/>
        <v>1</v>
      </c>
    </row>
    <row r="7921" ht="14.5" customHeight="1" spans="11:29" x14ac:dyDescent="0.25">
      <c r="K7921" s="128"/>
      <c r="X7921" s="234">
        <v>2022</v>
      </c>
      <c r="Y7921" s="234">
        <v>11</v>
      </c>
      <c r="Z7921" s="234">
        <v>26</v>
      </c>
      <c r="AA7921" s="235">
        <v>0.9583333333321207</v>
      </c>
      <c r="AB7921" s="234">
        <v>-0.3</v>
      </c>
      <c r="AC7921" s="127">
        <f t="shared" si="138"/>
        <v>0</v>
      </c>
    </row>
    <row r="7922" ht="14.5" customHeight="1" spans="11:29" x14ac:dyDescent="0.25">
      <c r="K7922" s="128"/>
      <c r="X7922" s="234">
        <v>2022</v>
      </c>
      <c r="Y7922" s="234">
        <v>11</v>
      </c>
      <c r="Z7922" s="234">
        <v>27</v>
      </c>
      <c r="AA7922" s="235">
        <v>0</v>
      </c>
      <c r="AB7922" s="234">
        <v>2.5</v>
      </c>
      <c r="AC7922" s="127">
        <f t="shared" si="138"/>
        <v>3</v>
      </c>
    </row>
    <row r="7923" ht="14.5" customHeight="1" spans="11:29" x14ac:dyDescent="0.25">
      <c r="K7923" s="128"/>
      <c r="X7923" s="234">
        <v>2022</v>
      </c>
      <c r="Y7923" s="234">
        <v>11</v>
      </c>
      <c r="Z7923" s="234">
        <v>27</v>
      </c>
      <c r="AA7923" s="235">
        <v>0.041666666667879326</v>
      </c>
      <c r="AB7923" s="234">
        <v>2</v>
      </c>
      <c r="AC7923" s="127">
        <f t="shared" si="138"/>
        <v>2</v>
      </c>
    </row>
    <row r="7924" ht="14.5" customHeight="1" spans="11:29" x14ac:dyDescent="0.25">
      <c r="K7924" s="128"/>
      <c r="X7924" s="234">
        <v>2022</v>
      </c>
      <c r="Y7924" s="234">
        <v>11</v>
      </c>
      <c r="Z7924" s="234">
        <v>27</v>
      </c>
      <c r="AA7924" s="235">
        <v>0.08333333333212067</v>
      </c>
      <c r="AB7924" s="234">
        <v>1.8</v>
      </c>
      <c r="AC7924" s="127">
        <f t="shared" si="138"/>
        <v>2</v>
      </c>
    </row>
    <row r="7925" ht="14.5" customHeight="1" spans="11:29" x14ac:dyDescent="0.25">
      <c r="K7925" s="128"/>
      <c r="X7925" s="234">
        <v>2022</v>
      </c>
      <c r="Y7925" s="234">
        <v>11</v>
      </c>
      <c r="Z7925" s="234">
        <v>27</v>
      </c>
      <c r="AA7925" s="235">
        <v>0.125</v>
      </c>
      <c r="AB7925" s="234">
        <v>1.5</v>
      </c>
      <c r="AC7925" s="127">
        <f t="shared" si="138"/>
        <v>2</v>
      </c>
    </row>
    <row r="7926" ht="14.5" customHeight="1" spans="11:29" x14ac:dyDescent="0.25">
      <c r="K7926" s="128"/>
      <c r="X7926" s="234">
        <v>2022</v>
      </c>
      <c r="Y7926" s="234">
        <v>11</v>
      </c>
      <c r="Z7926" s="234">
        <v>27</v>
      </c>
      <c r="AA7926" s="235">
        <v>0.16666666666787933</v>
      </c>
      <c r="AB7926" s="234">
        <v>1.2</v>
      </c>
      <c r="AC7926" s="127">
        <f t="shared" si="138"/>
        <v>1</v>
      </c>
    </row>
    <row r="7927" ht="14.5" customHeight="1" spans="11:29" x14ac:dyDescent="0.25">
      <c r="K7927" s="128"/>
      <c r="X7927" s="234">
        <v>2022</v>
      </c>
      <c r="Y7927" s="234">
        <v>11</v>
      </c>
      <c r="Z7927" s="234">
        <v>27</v>
      </c>
      <c r="AA7927" s="235">
        <v>0.20833333333212067</v>
      </c>
      <c r="AB7927" s="234">
        <v>2.5</v>
      </c>
      <c r="AC7927" s="127">
        <f t="shared" si="138"/>
        <v>3</v>
      </c>
    </row>
    <row r="7928" ht="14.5" customHeight="1" spans="11:29" x14ac:dyDescent="0.25">
      <c r="K7928" s="128"/>
      <c r="X7928" s="234">
        <v>2022</v>
      </c>
      <c r="Y7928" s="234">
        <v>11</v>
      </c>
      <c r="Z7928" s="234">
        <v>27</v>
      </c>
      <c r="AA7928" s="235">
        <v>0.25</v>
      </c>
      <c r="AB7928" s="234">
        <v>3</v>
      </c>
      <c r="AC7928" s="127">
        <f t="shared" si="138"/>
        <v>3</v>
      </c>
    </row>
    <row r="7929" ht="14.5" customHeight="1" spans="11:29" x14ac:dyDescent="0.25">
      <c r="K7929" s="128"/>
      <c r="X7929" s="234">
        <v>2022</v>
      </c>
      <c r="Y7929" s="234">
        <v>11</v>
      </c>
      <c r="Z7929" s="234">
        <v>27</v>
      </c>
      <c r="AA7929" s="235">
        <v>0.2916666666678793</v>
      </c>
      <c r="AB7929" s="234">
        <v>1.6</v>
      </c>
      <c r="AC7929" s="127">
        <f t="shared" si="138"/>
        <v>2</v>
      </c>
    </row>
    <row r="7930" ht="14.5" customHeight="1" spans="11:29" x14ac:dyDescent="0.25">
      <c r="K7930" s="128"/>
      <c r="X7930" s="234">
        <v>2022</v>
      </c>
      <c r="Y7930" s="234">
        <v>11</v>
      </c>
      <c r="Z7930" s="234">
        <v>27</v>
      </c>
      <c r="AA7930" s="235">
        <v>0.3333333333321207</v>
      </c>
      <c r="AB7930" s="234">
        <v>0.1</v>
      </c>
      <c r="AC7930" s="127">
        <f t="shared" si="138"/>
        <v>0</v>
      </c>
    </row>
    <row r="7931" ht="14.5" customHeight="1" spans="11:29" x14ac:dyDescent="0.25">
      <c r="K7931" s="128"/>
      <c r="X7931" s="234">
        <v>2022</v>
      </c>
      <c r="Y7931" s="234">
        <v>11</v>
      </c>
      <c r="Z7931" s="234">
        <v>27</v>
      </c>
      <c r="AA7931" s="235">
        <v>0.375</v>
      </c>
      <c r="AB7931" s="234">
        <v>-1.1</v>
      </c>
      <c r="AC7931" s="127">
        <f t="shared" si="138"/>
        <v>-1</v>
      </c>
    </row>
    <row r="7932" ht="14.5" customHeight="1" spans="11:29" x14ac:dyDescent="0.25">
      <c r="K7932" s="128"/>
      <c r="X7932" s="234">
        <v>2022</v>
      </c>
      <c r="Y7932" s="234">
        <v>11</v>
      </c>
      <c r="Z7932" s="234">
        <v>27</v>
      </c>
      <c r="AA7932" s="235">
        <v>0.4166666666678793</v>
      </c>
      <c r="AB7932" s="234">
        <v>-0.9</v>
      </c>
      <c r="AC7932" s="127">
        <f t="shared" si="138"/>
        <v>-1</v>
      </c>
    </row>
    <row r="7933" ht="14.5" customHeight="1" spans="11:29" x14ac:dyDescent="0.25">
      <c r="K7933" s="128"/>
      <c r="X7933" s="234">
        <v>2022</v>
      </c>
      <c r="Y7933" s="234">
        <v>11</v>
      </c>
      <c r="Z7933" s="234">
        <v>27</v>
      </c>
      <c r="AA7933" s="235">
        <v>0.4583333333321207</v>
      </c>
      <c r="AB7933" s="234">
        <v>-1.5</v>
      </c>
      <c r="AC7933" s="127">
        <f t="shared" si="138"/>
        <v>-2</v>
      </c>
    </row>
    <row r="7934" ht="14.5" customHeight="1" spans="11:29" x14ac:dyDescent="0.25">
      <c r="K7934" s="128"/>
      <c r="X7934" s="234">
        <v>2022</v>
      </c>
      <c r="Y7934" s="234">
        <v>11</v>
      </c>
      <c r="Z7934" s="234">
        <v>27</v>
      </c>
      <c r="AA7934" s="235">
        <v>0.5</v>
      </c>
      <c r="AB7934" s="234">
        <v>-3.4</v>
      </c>
      <c r="AC7934" s="127">
        <f t="shared" si="138"/>
        <v>-3</v>
      </c>
    </row>
    <row r="7935" ht="14.5" customHeight="1" spans="11:29" x14ac:dyDescent="0.25">
      <c r="K7935" s="128"/>
      <c r="X7935" s="234">
        <v>2022</v>
      </c>
      <c r="Y7935" s="234">
        <v>11</v>
      </c>
      <c r="Z7935" s="234">
        <v>27</v>
      </c>
      <c r="AA7935" s="235">
        <v>0.5416666666678793</v>
      </c>
      <c r="AB7935" s="234">
        <v>-3.7</v>
      </c>
      <c r="AC7935" s="127">
        <f t="shared" si="138"/>
        <v>-4</v>
      </c>
    </row>
    <row r="7936" ht="14.5" customHeight="1" spans="11:29" x14ac:dyDescent="0.25">
      <c r="K7936" s="128"/>
      <c r="X7936" s="234">
        <v>2022</v>
      </c>
      <c r="Y7936" s="234">
        <v>11</v>
      </c>
      <c r="Z7936" s="234">
        <v>27</v>
      </c>
      <c r="AA7936" s="235">
        <v>0.5833333333321207</v>
      </c>
      <c r="AB7936" s="234">
        <v>-3.5</v>
      </c>
      <c r="AC7936" s="127">
        <f t="shared" si="138"/>
        <v>-4</v>
      </c>
    </row>
    <row r="7937" ht="14.5" customHeight="1" spans="11:29" x14ac:dyDescent="0.25">
      <c r="K7937" s="128"/>
      <c r="X7937" s="234">
        <v>2022</v>
      </c>
      <c r="Y7937" s="234">
        <v>11</v>
      </c>
      <c r="Z7937" s="234">
        <v>27</v>
      </c>
      <c r="AA7937" s="235">
        <v>0.625</v>
      </c>
      <c r="AB7937" s="234">
        <v>-3.6</v>
      </c>
      <c r="AC7937" s="127">
        <f t="shared" si="138"/>
        <v>-4</v>
      </c>
    </row>
    <row r="7938" ht="14.5" customHeight="1" spans="11:29" x14ac:dyDescent="0.25">
      <c r="K7938" s="128"/>
      <c r="X7938" s="234">
        <v>2022</v>
      </c>
      <c r="Y7938" s="234">
        <v>11</v>
      </c>
      <c r="Z7938" s="234">
        <v>27</v>
      </c>
      <c r="AA7938" s="235">
        <v>0.6666666666678793</v>
      </c>
      <c r="AB7938" s="234">
        <v>-4.8</v>
      </c>
      <c r="AC7938" s="127">
        <f t="shared" si="138"/>
        <v>-5</v>
      </c>
    </row>
    <row r="7939" ht="14.5" customHeight="1" spans="11:29" x14ac:dyDescent="0.25">
      <c r="K7939" s="128"/>
      <c r="X7939" s="234">
        <v>2022</v>
      </c>
      <c r="Y7939" s="234">
        <v>11</v>
      </c>
      <c r="Z7939" s="234">
        <v>27</v>
      </c>
      <c r="AA7939" s="235">
        <v>0.7083333333321207</v>
      </c>
      <c r="AB7939" s="234">
        <v>-5</v>
      </c>
      <c r="AC7939" s="127">
        <f t="shared" si="138"/>
        <v>-5</v>
      </c>
    </row>
    <row r="7940" ht="14.5" customHeight="1" spans="11:29" x14ac:dyDescent="0.25">
      <c r="K7940" s="128"/>
      <c r="X7940" s="234">
        <v>2022</v>
      </c>
      <c r="Y7940" s="234">
        <v>11</v>
      </c>
      <c r="Z7940" s="234">
        <v>27</v>
      </c>
      <c r="AA7940" s="235">
        <v>0.75</v>
      </c>
      <c r="AB7940" s="234">
        <v>-6.8</v>
      </c>
      <c r="AC7940" s="127">
        <f t="shared" si="138"/>
        <v>-7</v>
      </c>
    </row>
    <row r="7941" ht="14.5" customHeight="1" spans="11:29" x14ac:dyDescent="0.25">
      <c r="K7941" s="128"/>
      <c r="X7941" s="234">
        <v>2022</v>
      </c>
      <c r="Y7941" s="234">
        <v>11</v>
      </c>
      <c r="Z7941" s="234">
        <v>27</v>
      </c>
      <c r="AA7941" s="235">
        <v>0.7916666666678793</v>
      </c>
      <c r="AB7941" s="234">
        <v>-5.9</v>
      </c>
      <c r="AC7941" s="127">
        <f t="shared" si="138"/>
        <v>-6</v>
      </c>
    </row>
    <row r="7942" ht="14.5" customHeight="1" spans="11:29" x14ac:dyDescent="0.25">
      <c r="K7942" s="128"/>
      <c r="X7942" s="234">
        <v>2022</v>
      </c>
      <c r="Y7942" s="234">
        <v>11</v>
      </c>
      <c r="Z7942" s="234">
        <v>27</v>
      </c>
      <c r="AA7942" s="235">
        <v>0.8333333333321207</v>
      </c>
      <c r="AB7942" s="234">
        <v>-7.5</v>
      </c>
      <c r="AC7942" s="127">
        <f t="shared" si="138"/>
        <v>-8</v>
      </c>
    </row>
    <row r="7943" ht="14.5" customHeight="1" spans="11:29" x14ac:dyDescent="0.25">
      <c r="K7943" s="128"/>
      <c r="X7943" s="234">
        <v>2022</v>
      </c>
      <c r="Y7943" s="234">
        <v>11</v>
      </c>
      <c r="Z7943" s="234">
        <v>27</v>
      </c>
      <c r="AA7943" s="235">
        <v>0.875</v>
      </c>
      <c r="AB7943" s="234">
        <v>-9</v>
      </c>
      <c r="AC7943" s="127">
        <f t="shared" si="138"/>
        <v>-9</v>
      </c>
    </row>
    <row r="7944" ht="14.5" customHeight="1" spans="11:29" x14ac:dyDescent="0.25">
      <c r="K7944" s="128"/>
      <c r="X7944" s="234">
        <v>2022</v>
      </c>
      <c r="Y7944" s="234">
        <v>11</v>
      </c>
      <c r="Z7944" s="234">
        <v>27</v>
      </c>
      <c r="AA7944" s="235">
        <v>0.9166666666678793</v>
      </c>
      <c r="AB7944" s="234">
        <v>-10.1</v>
      </c>
      <c r="AC7944" s="127">
        <f t="shared" si="138"/>
        <v>-10</v>
      </c>
    </row>
    <row r="7945" ht="14.5" customHeight="1" spans="11:29" x14ac:dyDescent="0.25">
      <c r="K7945" s="128"/>
      <c r="X7945" s="234">
        <v>2022</v>
      </c>
      <c r="Y7945" s="234">
        <v>11</v>
      </c>
      <c r="Z7945" s="234">
        <v>27</v>
      </c>
      <c r="AA7945" s="235">
        <v>0.9583333333321207</v>
      </c>
      <c r="AB7945" s="234">
        <v>-10.9</v>
      </c>
      <c r="AC7945" s="127">
        <f t="shared" si="138"/>
        <v>-11</v>
      </c>
    </row>
    <row r="7946" ht="14.5" customHeight="1" spans="11:29" x14ac:dyDescent="0.25">
      <c r="K7946" s="128"/>
      <c r="X7946" s="234">
        <v>2022</v>
      </c>
      <c r="Y7946" s="234">
        <v>11</v>
      </c>
      <c r="Z7946" s="234">
        <v>28</v>
      </c>
      <c r="AA7946" s="235">
        <v>0</v>
      </c>
      <c r="AB7946" s="234">
        <v>-11.5</v>
      </c>
      <c r="AC7946" s="127">
        <f t="shared" si="138"/>
        <v>-12</v>
      </c>
    </row>
    <row r="7947" ht="14.5" customHeight="1" spans="11:29" x14ac:dyDescent="0.25">
      <c r="K7947" s="128"/>
      <c r="X7947" s="234">
        <v>2022</v>
      </c>
      <c r="Y7947" s="234">
        <v>11</v>
      </c>
      <c r="Z7947" s="234">
        <v>28</v>
      </c>
      <c r="AA7947" s="235">
        <v>0.041666666667879326</v>
      </c>
      <c r="AB7947" s="234">
        <v>-12</v>
      </c>
      <c r="AC7947" s="127">
        <f t="shared" ref="AC7947:AC8010" si="139">ROUND(AB7947,0)</f>
        <v>-12</v>
      </c>
    </row>
    <row r="7948" ht="14.5" customHeight="1" spans="11:29" x14ac:dyDescent="0.25">
      <c r="K7948" s="128"/>
      <c r="X7948" s="234">
        <v>2022</v>
      </c>
      <c r="Y7948" s="234">
        <v>11</v>
      </c>
      <c r="Z7948" s="234">
        <v>28</v>
      </c>
      <c r="AA7948" s="235">
        <v>0.08333333333212067</v>
      </c>
      <c r="AB7948" s="234">
        <v>-12.8</v>
      </c>
      <c r="AC7948" s="127">
        <f t="shared" si="139"/>
        <v>-13</v>
      </c>
    </row>
    <row r="7949" ht="14.5" customHeight="1" spans="11:29" x14ac:dyDescent="0.25">
      <c r="K7949" s="128"/>
      <c r="X7949" s="234">
        <v>2022</v>
      </c>
      <c r="Y7949" s="234">
        <v>11</v>
      </c>
      <c r="Z7949" s="234">
        <v>28</v>
      </c>
      <c r="AA7949" s="235">
        <v>0.125</v>
      </c>
      <c r="AB7949" s="234">
        <v>-12.8</v>
      </c>
      <c r="AC7949" s="127">
        <f t="shared" si="139"/>
        <v>-13</v>
      </c>
    </row>
    <row r="7950" ht="14.5" customHeight="1" spans="11:29" x14ac:dyDescent="0.25">
      <c r="K7950" s="128"/>
      <c r="X7950" s="234">
        <v>2022</v>
      </c>
      <c r="Y7950" s="234">
        <v>11</v>
      </c>
      <c r="Z7950" s="234">
        <v>28</v>
      </c>
      <c r="AA7950" s="235">
        <v>0.16666666666787933</v>
      </c>
      <c r="AB7950" s="234">
        <v>-12.9</v>
      </c>
      <c r="AC7950" s="127">
        <f t="shared" si="139"/>
        <v>-13</v>
      </c>
    </row>
    <row r="7951" ht="14.5" customHeight="1" spans="11:29" x14ac:dyDescent="0.25">
      <c r="K7951" s="128"/>
      <c r="X7951" s="234">
        <v>2022</v>
      </c>
      <c r="Y7951" s="234">
        <v>11</v>
      </c>
      <c r="Z7951" s="234">
        <v>28</v>
      </c>
      <c r="AA7951" s="235">
        <v>0.20833333333212067</v>
      </c>
      <c r="AB7951" s="234">
        <v>-13</v>
      </c>
      <c r="AC7951" s="127">
        <f t="shared" si="139"/>
        <v>-13</v>
      </c>
    </row>
    <row r="7952" ht="14.5" customHeight="1" spans="11:29" x14ac:dyDescent="0.25">
      <c r="K7952" s="128"/>
      <c r="X7952" s="234">
        <v>2022</v>
      </c>
      <c r="Y7952" s="234">
        <v>11</v>
      </c>
      <c r="Z7952" s="234">
        <v>28</v>
      </c>
      <c r="AA7952" s="235">
        <v>0.25</v>
      </c>
      <c r="AB7952" s="234">
        <v>-13.2</v>
      </c>
      <c r="AC7952" s="127">
        <f t="shared" si="139"/>
        <v>-13</v>
      </c>
    </row>
    <row r="7953" ht="14.5" customHeight="1" spans="11:29" x14ac:dyDescent="0.25">
      <c r="K7953" s="128"/>
      <c r="X7953" s="234">
        <v>2022</v>
      </c>
      <c r="Y7953" s="234">
        <v>11</v>
      </c>
      <c r="Z7953" s="234">
        <v>28</v>
      </c>
      <c r="AA7953" s="235">
        <v>0.2916666666678793</v>
      </c>
      <c r="AB7953" s="234">
        <v>-13.5</v>
      </c>
      <c r="AC7953" s="127">
        <f t="shared" si="139"/>
        <v>-14</v>
      </c>
    </row>
    <row r="7954" ht="14.5" customHeight="1" spans="11:29" x14ac:dyDescent="0.25">
      <c r="K7954" s="128"/>
      <c r="X7954" s="234">
        <v>2022</v>
      </c>
      <c r="Y7954" s="234">
        <v>11</v>
      </c>
      <c r="Z7954" s="234">
        <v>28</v>
      </c>
      <c r="AA7954" s="235">
        <v>0.3333333333321207</v>
      </c>
      <c r="AB7954" s="234">
        <v>-13.6</v>
      </c>
      <c r="AC7954" s="127">
        <f t="shared" si="139"/>
        <v>-14</v>
      </c>
    </row>
    <row r="7955" ht="14.5" customHeight="1" spans="11:29" x14ac:dyDescent="0.25">
      <c r="K7955" s="128"/>
      <c r="X7955" s="234">
        <v>2022</v>
      </c>
      <c r="Y7955" s="234">
        <v>11</v>
      </c>
      <c r="Z7955" s="234">
        <v>28</v>
      </c>
      <c r="AA7955" s="235">
        <v>0.375</v>
      </c>
      <c r="AB7955" s="234">
        <v>-13.6</v>
      </c>
      <c r="AC7955" s="127">
        <f t="shared" si="139"/>
        <v>-14</v>
      </c>
    </row>
    <row r="7956" ht="14.5" customHeight="1" spans="11:29" x14ac:dyDescent="0.25">
      <c r="K7956" s="128"/>
      <c r="X7956" s="234">
        <v>2022</v>
      </c>
      <c r="Y7956" s="234">
        <v>11</v>
      </c>
      <c r="Z7956" s="234">
        <v>28</v>
      </c>
      <c r="AA7956" s="235">
        <v>0.4166666666678793</v>
      </c>
      <c r="AB7956" s="234">
        <v>-12.9</v>
      </c>
      <c r="AC7956" s="127">
        <f t="shared" si="139"/>
        <v>-13</v>
      </c>
    </row>
    <row r="7957" ht="14.5" customHeight="1" spans="11:29" x14ac:dyDescent="0.25">
      <c r="K7957" s="128"/>
      <c r="X7957" s="234">
        <v>2022</v>
      </c>
      <c r="Y7957" s="234">
        <v>11</v>
      </c>
      <c r="Z7957" s="234">
        <v>28</v>
      </c>
      <c r="AA7957" s="235">
        <v>0.4583333333321207</v>
      </c>
      <c r="AB7957" s="234">
        <v>-12.2</v>
      </c>
      <c r="AC7957" s="127">
        <f t="shared" si="139"/>
        <v>-12</v>
      </c>
    </row>
    <row r="7958" ht="14.5" customHeight="1" spans="11:29" x14ac:dyDescent="0.25">
      <c r="K7958" s="128"/>
      <c r="X7958" s="234">
        <v>2022</v>
      </c>
      <c r="Y7958" s="234">
        <v>11</v>
      </c>
      <c r="Z7958" s="234">
        <v>28</v>
      </c>
      <c r="AA7958" s="235">
        <v>0.5</v>
      </c>
      <c r="AB7958" s="234">
        <v>-11.8</v>
      </c>
      <c r="AC7958" s="127">
        <f t="shared" si="139"/>
        <v>-12</v>
      </c>
    </row>
    <row r="7959" ht="14.5" customHeight="1" spans="11:29" x14ac:dyDescent="0.25">
      <c r="K7959" s="128"/>
      <c r="X7959" s="234">
        <v>2022</v>
      </c>
      <c r="Y7959" s="234">
        <v>11</v>
      </c>
      <c r="Z7959" s="234">
        <v>28</v>
      </c>
      <c r="AA7959" s="235">
        <v>0.5416666666678793</v>
      </c>
      <c r="AB7959" s="234">
        <v>-11.8</v>
      </c>
      <c r="AC7959" s="127">
        <f t="shared" si="139"/>
        <v>-12</v>
      </c>
    </row>
    <row r="7960" ht="14.5" customHeight="1" spans="11:29" x14ac:dyDescent="0.25">
      <c r="K7960" s="128"/>
      <c r="X7960" s="234">
        <v>2022</v>
      </c>
      <c r="Y7960" s="234">
        <v>11</v>
      </c>
      <c r="Z7960" s="234">
        <v>28</v>
      </c>
      <c r="AA7960" s="235">
        <v>0.5833333333321207</v>
      </c>
      <c r="AB7960" s="234">
        <v>-11.2</v>
      </c>
      <c r="AC7960" s="127">
        <f t="shared" si="139"/>
        <v>-11</v>
      </c>
    </row>
    <row r="7961" ht="14.5" customHeight="1" spans="11:29" x14ac:dyDescent="0.25">
      <c r="K7961" s="128"/>
      <c r="X7961" s="234">
        <v>2022</v>
      </c>
      <c r="Y7961" s="234">
        <v>11</v>
      </c>
      <c r="Z7961" s="234">
        <v>28</v>
      </c>
      <c r="AA7961" s="235">
        <v>0.625</v>
      </c>
      <c r="AB7961" s="234">
        <v>-12</v>
      </c>
      <c r="AC7961" s="127">
        <f t="shared" si="139"/>
        <v>-12</v>
      </c>
    </row>
    <row r="7962" ht="14.5" customHeight="1" spans="11:29" x14ac:dyDescent="0.25">
      <c r="K7962" s="128"/>
      <c r="X7962" s="234">
        <v>2022</v>
      </c>
      <c r="Y7962" s="234">
        <v>11</v>
      </c>
      <c r="Z7962" s="234">
        <v>28</v>
      </c>
      <c r="AA7962" s="235">
        <v>0.6666666666678793</v>
      </c>
      <c r="AB7962" s="234">
        <v>-12.6</v>
      </c>
      <c r="AC7962" s="127">
        <f t="shared" si="139"/>
        <v>-13</v>
      </c>
    </row>
    <row r="7963" ht="14.5" customHeight="1" spans="11:29" x14ac:dyDescent="0.25">
      <c r="K7963" s="128"/>
      <c r="X7963" s="234">
        <v>2022</v>
      </c>
      <c r="Y7963" s="234">
        <v>11</v>
      </c>
      <c r="Z7963" s="234">
        <v>28</v>
      </c>
      <c r="AA7963" s="235">
        <v>0.7083333333321207</v>
      </c>
      <c r="AB7963" s="234">
        <v>-12.9</v>
      </c>
      <c r="AC7963" s="127">
        <f t="shared" si="139"/>
        <v>-13</v>
      </c>
    </row>
    <row r="7964" ht="14.5" customHeight="1" spans="11:29" x14ac:dyDescent="0.25">
      <c r="K7964" s="128"/>
      <c r="X7964" s="234">
        <v>2022</v>
      </c>
      <c r="Y7964" s="234">
        <v>11</v>
      </c>
      <c r="Z7964" s="234">
        <v>28</v>
      </c>
      <c r="AA7964" s="235">
        <v>0.75</v>
      </c>
      <c r="AB7964" s="234">
        <v>-12.6</v>
      </c>
      <c r="AC7964" s="127">
        <f t="shared" si="139"/>
        <v>-13</v>
      </c>
    </row>
    <row r="7965" ht="14.5" customHeight="1" spans="11:29" x14ac:dyDescent="0.25">
      <c r="K7965" s="128"/>
      <c r="X7965" s="234">
        <v>2022</v>
      </c>
      <c r="Y7965" s="234">
        <v>11</v>
      </c>
      <c r="Z7965" s="234">
        <v>28</v>
      </c>
      <c r="AA7965" s="235">
        <v>0.7916666666678793</v>
      </c>
      <c r="AB7965" s="234">
        <v>-13</v>
      </c>
      <c r="AC7965" s="127">
        <f t="shared" si="139"/>
        <v>-13</v>
      </c>
    </row>
    <row r="7966" ht="14.5" customHeight="1" spans="11:29" x14ac:dyDescent="0.25">
      <c r="K7966" s="128"/>
      <c r="X7966" s="234">
        <v>2022</v>
      </c>
      <c r="Y7966" s="234">
        <v>11</v>
      </c>
      <c r="Z7966" s="234">
        <v>28</v>
      </c>
      <c r="AA7966" s="235">
        <v>0.8333333333321207</v>
      </c>
      <c r="AB7966" s="234">
        <v>-13.4</v>
      </c>
      <c r="AC7966" s="127">
        <f t="shared" si="139"/>
        <v>-13</v>
      </c>
    </row>
    <row r="7967" ht="14.5" customHeight="1" spans="11:29" x14ac:dyDescent="0.25">
      <c r="K7967" s="128"/>
      <c r="X7967" s="234">
        <v>2022</v>
      </c>
      <c r="Y7967" s="234">
        <v>11</v>
      </c>
      <c r="Z7967" s="234">
        <v>28</v>
      </c>
      <c r="AA7967" s="235">
        <v>0.875</v>
      </c>
      <c r="AB7967" s="234">
        <v>-13.8</v>
      </c>
      <c r="AC7967" s="127">
        <f t="shared" si="139"/>
        <v>-14</v>
      </c>
    </row>
    <row r="7968" ht="14.5" customHeight="1" spans="11:29" x14ac:dyDescent="0.25">
      <c r="K7968" s="128"/>
      <c r="X7968" s="234">
        <v>2022</v>
      </c>
      <c r="Y7968" s="234">
        <v>11</v>
      </c>
      <c r="Z7968" s="234">
        <v>28</v>
      </c>
      <c r="AA7968" s="235">
        <v>0.9166666666678793</v>
      </c>
      <c r="AB7968" s="234">
        <v>-13.9</v>
      </c>
      <c r="AC7968" s="127">
        <f t="shared" si="139"/>
        <v>-14</v>
      </c>
    </row>
    <row r="7969" ht="14.5" customHeight="1" spans="11:29" x14ac:dyDescent="0.25">
      <c r="K7969" s="128"/>
      <c r="X7969" s="234">
        <v>2022</v>
      </c>
      <c r="Y7969" s="234">
        <v>11</v>
      </c>
      <c r="Z7969" s="234">
        <v>28</v>
      </c>
      <c r="AA7969" s="235">
        <v>0.9583333333321207</v>
      </c>
      <c r="AB7969" s="234">
        <v>-14.4</v>
      </c>
      <c r="AC7969" s="127">
        <f t="shared" si="139"/>
        <v>-14</v>
      </c>
    </row>
    <row r="7970" ht="14.5" customHeight="1" spans="11:29" x14ac:dyDescent="0.25">
      <c r="K7970" s="128"/>
      <c r="X7970" s="234">
        <v>2022</v>
      </c>
      <c r="Y7970" s="234">
        <v>11</v>
      </c>
      <c r="Z7970" s="234">
        <v>29</v>
      </c>
      <c r="AA7970" s="235">
        <v>0</v>
      </c>
      <c r="AB7970" s="234">
        <v>-14.7</v>
      </c>
      <c r="AC7970" s="127">
        <f t="shared" si="139"/>
        <v>-15</v>
      </c>
    </row>
    <row r="7971" ht="14.5" customHeight="1" spans="11:29" x14ac:dyDescent="0.25">
      <c r="K7971" s="128"/>
      <c r="X7971" s="234">
        <v>2022</v>
      </c>
      <c r="Y7971" s="234">
        <v>11</v>
      </c>
      <c r="Z7971" s="234">
        <v>29</v>
      </c>
      <c r="AA7971" s="235">
        <v>0.041666666667879326</v>
      </c>
      <c r="AB7971" s="234">
        <v>-15.1</v>
      </c>
      <c r="AC7971" s="127">
        <f t="shared" si="139"/>
        <v>-15</v>
      </c>
    </row>
    <row r="7972" ht="14.5" customHeight="1" spans="11:29" x14ac:dyDescent="0.25">
      <c r="K7972" s="128"/>
      <c r="X7972" s="234">
        <v>2022</v>
      </c>
      <c r="Y7972" s="234">
        <v>11</v>
      </c>
      <c r="Z7972" s="234">
        <v>29</v>
      </c>
      <c r="AA7972" s="235">
        <v>0.08333333333212067</v>
      </c>
      <c r="AB7972" s="234">
        <v>-15.6</v>
      </c>
      <c r="AC7972" s="127">
        <f t="shared" si="139"/>
        <v>-16</v>
      </c>
    </row>
    <row r="7973" ht="14.5" customHeight="1" spans="11:29" x14ac:dyDescent="0.25">
      <c r="K7973" s="128"/>
      <c r="X7973" s="234">
        <v>2022</v>
      </c>
      <c r="Y7973" s="234">
        <v>11</v>
      </c>
      <c r="Z7973" s="234">
        <v>29</v>
      </c>
      <c r="AA7973" s="235">
        <v>0.125</v>
      </c>
      <c r="AB7973" s="234">
        <v>-16.3</v>
      </c>
      <c r="AC7973" s="127">
        <f t="shared" si="139"/>
        <v>-16</v>
      </c>
    </row>
    <row r="7974" ht="14.5" customHeight="1" spans="11:29" x14ac:dyDescent="0.25">
      <c r="K7974" s="128"/>
      <c r="X7974" s="234">
        <v>2022</v>
      </c>
      <c r="Y7974" s="234">
        <v>11</v>
      </c>
      <c r="Z7974" s="234">
        <v>29</v>
      </c>
      <c r="AA7974" s="235">
        <v>0.16666666666787933</v>
      </c>
      <c r="AB7974" s="234">
        <v>-17.1</v>
      </c>
      <c r="AC7974" s="127">
        <f t="shared" si="139"/>
        <v>-17</v>
      </c>
    </row>
    <row r="7975" ht="14.5" customHeight="1" spans="11:29" x14ac:dyDescent="0.25">
      <c r="K7975" s="128"/>
      <c r="X7975" s="234">
        <v>2022</v>
      </c>
      <c r="Y7975" s="234">
        <v>11</v>
      </c>
      <c r="Z7975" s="234">
        <v>29</v>
      </c>
      <c r="AA7975" s="235">
        <v>0.20833333333212067</v>
      </c>
      <c r="AB7975" s="234">
        <v>-17.5</v>
      </c>
      <c r="AC7975" s="127">
        <f t="shared" si="139"/>
        <v>-18</v>
      </c>
    </row>
    <row r="7976" ht="14.5" customHeight="1" spans="11:29" x14ac:dyDescent="0.25">
      <c r="K7976" s="128"/>
      <c r="X7976" s="234">
        <v>2022</v>
      </c>
      <c r="Y7976" s="234">
        <v>11</v>
      </c>
      <c r="Z7976" s="234">
        <v>29</v>
      </c>
      <c r="AA7976" s="235">
        <v>0.25</v>
      </c>
      <c r="AB7976" s="234">
        <v>-18</v>
      </c>
      <c r="AC7976" s="127">
        <f t="shared" si="139"/>
        <v>-18</v>
      </c>
    </row>
    <row r="7977" ht="14.5" customHeight="1" spans="11:29" x14ac:dyDescent="0.25">
      <c r="K7977" s="128"/>
      <c r="X7977" s="234">
        <v>2022</v>
      </c>
      <c r="Y7977" s="234">
        <v>11</v>
      </c>
      <c r="Z7977" s="234">
        <v>29</v>
      </c>
      <c r="AA7977" s="235">
        <v>0.2916666666678793</v>
      </c>
      <c r="AB7977" s="234">
        <v>-18.5</v>
      </c>
      <c r="AC7977" s="127">
        <f t="shared" si="139"/>
        <v>-19</v>
      </c>
    </row>
    <row r="7978" ht="14.5" customHeight="1" spans="11:29" x14ac:dyDescent="0.25">
      <c r="K7978" s="128"/>
      <c r="X7978" s="234">
        <v>2022</v>
      </c>
      <c r="Y7978" s="234">
        <v>11</v>
      </c>
      <c r="Z7978" s="234">
        <v>29</v>
      </c>
      <c r="AA7978" s="235">
        <v>0.3333333333321207</v>
      </c>
      <c r="AB7978" s="234">
        <v>-18.8</v>
      </c>
      <c r="AC7978" s="127">
        <f t="shared" si="139"/>
        <v>-19</v>
      </c>
    </row>
    <row r="7979" ht="14.5" customHeight="1" spans="11:29" x14ac:dyDescent="0.25">
      <c r="K7979" s="128"/>
      <c r="X7979" s="234">
        <v>2022</v>
      </c>
      <c r="Y7979" s="234">
        <v>11</v>
      </c>
      <c r="Z7979" s="234">
        <v>29</v>
      </c>
      <c r="AA7979" s="235">
        <v>0.375</v>
      </c>
      <c r="AB7979" s="234">
        <v>-18.2</v>
      </c>
      <c r="AC7979" s="127">
        <f t="shared" si="139"/>
        <v>-18</v>
      </c>
    </row>
    <row r="7980" ht="14.5" customHeight="1" spans="11:29" x14ac:dyDescent="0.25">
      <c r="K7980" s="128"/>
      <c r="X7980" s="234">
        <v>2022</v>
      </c>
      <c r="Y7980" s="234">
        <v>11</v>
      </c>
      <c r="Z7980" s="234">
        <v>29</v>
      </c>
      <c r="AA7980" s="235">
        <v>0.4166666666678793</v>
      </c>
      <c r="AB7980" s="234">
        <v>-17.4</v>
      </c>
      <c r="AC7980" s="127">
        <f t="shared" si="139"/>
        <v>-17</v>
      </c>
    </row>
    <row r="7981" ht="14.5" customHeight="1" spans="11:29" x14ac:dyDescent="0.25">
      <c r="K7981" s="128"/>
      <c r="X7981" s="234">
        <v>2022</v>
      </c>
      <c r="Y7981" s="234">
        <v>11</v>
      </c>
      <c r="Z7981" s="234">
        <v>29</v>
      </c>
      <c r="AA7981" s="235">
        <v>0.4583333333321207</v>
      </c>
      <c r="AB7981" s="234">
        <v>-16.7</v>
      </c>
      <c r="AC7981" s="127">
        <f t="shared" si="139"/>
        <v>-17</v>
      </c>
    </row>
    <row r="7982" ht="14.5" customHeight="1" spans="11:29" x14ac:dyDescent="0.25">
      <c r="K7982" s="128"/>
      <c r="X7982" s="234">
        <v>2022</v>
      </c>
      <c r="Y7982" s="234">
        <v>11</v>
      </c>
      <c r="Z7982" s="234">
        <v>29</v>
      </c>
      <c r="AA7982" s="235">
        <v>0.5</v>
      </c>
      <c r="AB7982" s="234">
        <v>-16.3</v>
      </c>
      <c r="AC7982" s="127">
        <f t="shared" si="139"/>
        <v>-16</v>
      </c>
    </row>
    <row r="7983" ht="14.5" customHeight="1" spans="11:29" x14ac:dyDescent="0.25">
      <c r="K7983" s="128"/>
      <c r="X7983" s="234">
        <v>2022</v>
      </c>
      <c r="Y7983" s="234">
        <v>11</v>
      </c>
      <c r="Z7983" s="234">
        <v>29</v>
      </c>
      <c r="AA7983" s="235">
        <v>0.5416666666678793</v>
      </c>
      <c r="AB7983" s="234">
        <v>-15.6</v>
      </c>
      <c r="AC7983" s="127">
        <f t="shared" si="139"/>
        <v>-16</v>
      </c>
    </row>
    <row r="7984" ht="14.5" customHeight="1" spans="11:29" x14ac:dyDescent="0.25">
      <c r="K7984" s="128"/>
      <c r="X7984" s="234">
        <v>2022</v>
      </c>
      <c r="Y7984" s="234">
        <v>11</v>
      </c>
      <c r="Z7984" s="234">
        <v>29</v>
      </c>
      <c r="AA7984" s="235">
        <v>0.5833333333321207</v>
      </c>
      <c r="AB7984" s="234">
        <v>-15.7</v>
      </c>
      <c r="AC7984" s="127">
        <f t="shared" si="139"/>
        <v>-16</v>
      </c>
    </row>
    <row r="7985" ht="14.5" customHeight="1" spans="11:29" x14ac:dyDescent="0.25">
      <c r="K7985" s="128"/>
      <c r="X7985" s="234">
        <v>2022</v>
      </c>
      <c r="Y7985" s="234">
        <v>11</v>
      </c>
      <c r="Z7985" s="234">
        <v>29</v>
      </c>
      <c r="AA7985" s="235">
        <v>0.625</v>
      </c>
      <c r="AB7985" s="234">
        <v>-15.6</v>
      </c>
      <c r="AC7985" s="127">
        <f t="shared" si="139"/>
        <v>-16</v>
      </c>
    </row>
    <row r="7986" ht="14.5" customHeight="1" spans="11:29" x14ac:dyDescent="0.25">
      <c r="K7986" s="128"/>
      <c r="X7986" s="234">
        <v>2022</v>
      </c>
      <c r="Y7986" s="234">
        <v>11</v>
      </c>
      <c r="Z7986" s="234">
        <v>29</v>
      </c>
      <c r="AA7986" s="235">
        <v>0.6666666666678793</v>
      </c>
      <c r="AB7986" s="234">
        <v>-16.2</v>
      </c>
      <c r="AC7986" s="127">
        <f t="shared" si="139"/>
        <v>-16</v>
      </c>
    </row>
    <row r="7987" ht="14.5" customHeight="1" spans="11:29" x14ac:dyDescent="0.25">
      <c r="K7987" s="128"/>
      <c r="X7987" s="234">
        <v>2022</v>
      </c>
      <c r="Y7987" s="234">
        <v>11</v>
      </c>
      <c r="Z7987" s="234">
        <v>29</v>
      </c>
      <c r="AA7987" s="235">
        <v>0.7083333333321207</v>
      </c>
      <c r="AB7987" s="234">
        <v>-16.7</v>
      </c>
      <c r="AC7987" s="127">
        <f t="shared" si="139"/>
        <v>-17</v>
      </c>
    </row>
    <row r="7988" ht="14.5" customHeight="1" spans="11:29" x14ac:dyDescent="0.25">
      <c r="K7988" s="128"/>
      <c r="X7988" s="234">
        <v>2022</v>
      </c>
      <c r="Y7988" s="234">
        <v>11</v>
      </c>
      <c r="Z7988" s="234">
        <v>29</v>
      </c>
      <c r="AA7988" s="235">
        <v>0.75</v>
      </c>
      <c r="AB7988" s="234">
        <v>-17.2</v>
      </c>
      <c r="AC7988" s="127">
        <f t="shared" si="139"/>
        <v>-17</v>
      </c>
    </row>
    <row r="7989" ht="14.5" customHeight="1" spans="11:29" x14ac:dyDescent="0.25">
      <c r="K7989" s="128"/>
      <c r="X7989" s="234">
        <v>2022</v>
      </c>
      <c r="Y7989" s="234">
        <v>11</v>
      </c>
      <c r="Z7989" s="234">
        <v>29</v>
      </c>
      <c r="AA7989" s="235">
        <v>0.7916666666678793</v>
      </c>
      <c r="AB7989" s="234">
        <v>-17.4</v>
      </c>
      <c r="AC7989" s="127">
        <f t="shared" si="139"/>
        <v>-17</v>
      </c>
    </row>
    <row r="7990" ht="14.5" customHeight="1" spans="11:29" x14ac:dyDescent="0.25">
      <c r="K7990" s="128"/>
      <c r="X7990" s="234">
        <v>2022</v>
      </c>
      <c r="Y7990" s="234">
        <v>11</v>
      </c>
      <c r="Z7990" s="234">
        <v>29</v>
      </c>
      <c r="AA7990" s="235">
        <v>0.8333333333321207</v>
      </c>
      <c r="AB7990" s="234">
        <v>-17.7</v>
      </c>
      <c r="AC7990" s="127">
        <f t="shared" si="139"/>
        <v>-18</v>
      </c>
    </row>
    <row r="7991" ht="14.5" customHeight="1" spans="11:29" x14ac:dyDescent="0.25">
      <c r="K7991" s="128"/>
      <c r="X7991" s="234">
        <v>2022</v>
      </c>
      <c r="Y7991" s="234">
        <v>11</v>
      </c>
      <c r="Z7991" s="234">
        <v>29</v>
      </c>
      <c r="AA7991" s="235">
        <v>0.875</v>
      </c>
      <c r="AB7991" s="234">
        <v>-18</v>
      </c>
      <c r="AC7991" s="127">
        <f t="shared" si="139"/>
        <v>-18</v>
      </c>
    </row>
    <row r="7992" ht="14.5" customHeight="1" spans="11:29" x14ac:dyDescent="0.25">
      <c r="K7992" s="128"/>
      <c r="X7992" s="234">
        <v>2022</v>
      </c>
      <c r="Y7992" s="234">
        <v>11</v>
      </c>
      <c r="Z7992" s="234">
        <v>29</v>
      </c>
      <c r="AA7992" s="235">
        <v>0.9166666666678793</v>
      </c>
      <c r="AB7992" s="234">
        <v>-18.1</v>
      </c>
      <c r="AC7992" s="127">
        <f t="shared" si="139"/>
        <v>-18</v>
      </c>
    </row>
    <row r="7993" ht="14.5" customHeight="1" spans="11:29" x14ac:dyDescent="0.25">
      <c r="K7993" s="128"/>
      <c r="X7993" s="234">
        <v>2022</v>
      </c>
      <c r="Y7993" s="234">
        <v>11</v>
      </c>
      <c r="Z7993" s="234">
        <v>29</v>
      </c>
      <c r="AA7993" s="235">
        <v>0.9583333333321207</v>
      </c>
      <c r="AB7993" s="234">
        <v>-18.6</v>
      </c>
      <c r="AC7993" s="127">
        <f t="shared" si="139"/>
        <v>-19</v>
      </c>
    </row>
    <row r="7994" ht="14.5" customHeight="1" spans="11:29" x14ac:dyDescent="0.25">
      <c r="K7994" s="128"/>
      <c r="X7994" s="234">
        <v>2022</v>
      </c>
      <c r="Y7994" s="234">
        <v>11</v>
      </c>
      <c r="Z7994" s="234">
        <v>30</v>
      </c>
      <c r="AA7994" s="235">
        <v>0</v>
      </c>
      <c r="AB7994" s="234">
        <v>-18.3</v>
      </c>
      <c r="AC7994" s="127">
        <f t="shared" si="139"/>
        <v>-18</v>
      </c>
    </row>
    <row r="7995" ht="14.5" customHeight="1" spans="11:29" x14ac:dyDescent="0.25">
      <c r="K7995" s="128"/>
      <c r="X7995" s="234">
        <v>2022</v>
      </c>
      <c r="Y7995" s="234">
        <v>11</v>
      </c>
      <c r="Z7995" s="234">
        <v>30</v>
      </c>
      <c r="AA7995" s="235">
        <v>0.041666666667879326</v>
      </c>
      <c r="AB7995" s="234">
        <v>-18.4</v>
      </c>
      <c r="AC7995" s="127">
        <f t="shared" si="139"/>
        <v>-18</v>
      </c>
    </row>
    <row r="7996" ht="14.5" customHeight="1" spans="11:29" x14ac:dyDescent="0.25">
      <c r="K7996" s="128"/>
      <c r="X7996" s="234">
        <v>2022</v>
      </c>
      <c r="Y7996" s="234">
        <v>11</v>
      </c>
      <c r="Z7996" s="234">
        <v>30</v>
      </c>
      <c r="AA7996" s="235">
        <v>0.08333333333212067</v>
      </c>
      <c r="AB7996" s="234">
        <v>-18.6</v>
      </c>
      <c r="AC7996" s="127">
        <f t="shared" si="139"/>
        <v>-19</v>
      </c>
    </row>
    <row r="7997" ht="14.5" customHeight="1" spans="11:29" x14ac:dyDescent="0.25">
      <c r="K7997" s="128"/>
      <c r="X7997" s="234">
        <v>2022</v>
      </c>
      <c r="Y7997" s="234">
        <v>11</v>
      </c>
      <c r="Z7997" s="234">
        <v>30</v>
      </c>
      <c r="AA7997" s="235">
        <v>0.125</v>
      </c>
      <c r="AB7997" s="234">
        <v>-18.3</v>
      </c>
      <c r="AC7997" s="127">
        <f t="shared" si="139"/>
        <v>-18</v>
      </c>
    </row>
    <row r="7998" ht="14.5" customHeight="1" spans="11:29" x14ac:dyDescent="0.25">
      <c r="K7998" s="128"/>
      <c r="X7998" s="234">
        <v>2022</v>
      </c>
      <c r="Y7998" s="234">
        <v>11</v>
      </c>
      <c r="Z7998" s="234">
        <v>30</v>
      </c>
      <c r="AA7998" s="235">
        <v>0.16666666666787933</v>
      </c>
      <c r="AB7998" s="234">
        <v>-18.2</v>
      </c>
      <c r="AC7998" s="127">
        <f t="shared" si="139"/>
        <v>-18</v>
      </c>
    </row>
    <row r="7999" ht="14.5" customHeight="1" spans="11:29" x14ac:dyDescent="0.25">
      <c r="K7999" s="128"/>
      <c r="X7999" s="234">
        <v>2022</v>
      </c>
      <c r="Y7999" s="234">
        <v>11</v>
      </c>
      <c r="Z7999" s="234">
        <v>30</v>
      </c>
      <c r="AA7999" s="235">
        <v>0.20833333333212067</v>
      </c>
      <c r="AB7999" s="234">
        <v>-18.4</v>
      </c>
      <c r="AC7999" s="127">
        <f t="shared" si="139"/>
        <v>-18</v>
      </c>
    </row>
    <row r="8000" ht="14.5" customHeight="1" spans="11:29" x14ac:dyDescent="0.25">
      <c r="K8000" s="128"/>
      <c r="X8000" s="234">
        <v>2022</v>
      </c>
      <c r="Y8000" s="234">
        <v>11</v>
      </c>
      <c r="Z8000" s="234">
        <v>30</v>
      </c>
      <c r="AA8000" s="235">
        <v>0.25</v>
      </c>
      <c r="AB8000" s="234">
        <v>-18.6</v>
      </c>
      <c r="AC8000" s="127">
        <f t="shared" si="139"/>
        <v>-19</v>
      </c>
    </row>
    <row r="8001" ht="14.5" customHeight="1" spans="11:29" x14ac:dyDescent="0.25">
      <c r="K8001" s="128"/>
      <c r="X8001" s="234">
        <v>2022</v>
      </c>
      <c r="Y8001" s="234">
        <v>11</v>
      </c>
      <c r="Z8001" s="234">
        <v>30</v>
      </c>
      <c r="AA8001" s="235">
        <v>0.2916666666678793</v>
      </c>
      <c r="AB8001" s="234">
        <v>-18.6</v>
      </c>
      <c r="AC8001" s="127">
        <f t="shared" si="139"/>
        <v>-19</v>
      </c>
    </row>
    <row r="8002" ht="14.5" customHeight="1" spans="11:29" x14ac:dyDescent="0.25">
      <c r="K8002" s="128"/>
      <c r="X8002" s="234">
        <v>2022</v>
      </c>
      <c r="Y8002" s="234">
        <v>11</v>
      </c>
      <c r="Z8002" s="234">
        <v>30</v>
      </c>
      <c r="AA8002" s="235">
        <v>0.3333333333321207</v>
      </c>
      <c r="AB8002" s="234">
        <v>-18.7</v>
      </c>
      <c r="AC8002" s="127">
        <f t="shared" si="139"/>
        <v>-19</v>
      </c>
    </row>
    <row r="8003" ht="14.5" customHeight="1" spans="11:29" x14ac:dyDescent="0.25">
      <c r="K8003" s="128"/>
      <c r="X8003" s="234">
        <v>2022</v>
      </c>
      <c r="Y8003" s="234">
        <v>11</v>
      </c>
      <c r="Z8003" s="234">
        <v>30</v>
      </c>
      <c r="AA8003" s="235">
        <v>0.375</v>
      </c>
      <c r="AB8003" s="234">
        <v>-18.5</v>
      </c>
      <c r="AC8003" s="127">
        <f t="shared" si="139"/>
        <v>-19</v>
      </c>
    </row>
    <row r="8004" ht="14.5" customHeight="1" spans="11:29" x14ac:dyDescent="0.25">
      <c r="K8004" s="128"/>
      <c r="X8004" s="234">
        <v>2022</v>
      </c>
      <c r="Y8004" s="234">
        <v>11</v>
      </c>
      <c r="Z8004" s="234">
        <v>30</v>
      </c>
      <c r="AA8004" s="235">
        <v>0.4166666666678793</v>
      </c>
      <c r="AB8004" s="234">
        <v>-18</v>
      </c>
      <c r="AC8004" s="127">
        <f t="shared" si="139"/>
        <v>-18</v>
      </c>
    </row>
    <row r="8005" ht="14.5" customHeight="1" spans="11:29" x14ac:dyDescent="0.25">
      <c r="K8005" s="128"/>
      <c r="X8005" s="234">
        <v>2022</v>
      </c>
      <c r="Y8005" s="234">
        <v>11</v>
      </c>
      <c r="Z8005" s="234">
        <v>30</v>
      </c>
      <c r="AA8005" s="235">
        <v>0.4583333333321207</v>
      </c>
      <c r="AB8005" s="234">
        <v>-17.5</v>
      </c>
      <c r="AC8005" s="127">
        <f t="shared" si="139"/>
        <v>-18</v>
      </c>
    </row>
    <row r="8006" ht="14.5" customHeight="1" spans="11:29" x14ac:dyDescent="0.25">
      <c r="K8006" s="128"/>
      <c r="X8006" s="234">
        <v>2022</v>
      </c>
      <c r="Y8006" s="234">
        <v>11</v>
      </c>
      <c r="Z8006" s="234">
        <v>30</v>
      </c>
      <c r="AA8006" s="235">
        <v>0.5</v>
      </c>
      <c r="AB8006" s="234">
        <v>-17.4</v>
      </c>
      <c r="AC8006" s="127">
        <f t="shared" si="139"/>
        <v>-17</v>
      </c>
    </row>
    <row r="8007" ht="14.5" customHeight="1" spans="11:29" x14ac:dyDescent="0.25">
      <c r="K8007" s="128"/>
      <c r="X8007" s="234">
        <v>2022</v>
      </c>
      <c r="Y8007" s="234">
        <v>11</v>
      </c>
      <c r="Z8007" s="234">
        <v>30</v>
      </c>
      <c r="AA8007" s="235">
        <v>0.5416666666678793</v>
      </c>
      <c r="AB8007" s="234">
        <v>-16.2</v>
      </c>
      <c r="AC8007" s="127">
        <f t="shared" si="139"/>
        <v>-16</v>
      </c>
    </row>
    <row r="8008" ht="14.5" customHeight="1" spans="11:29" x14ac:dyDescent="0.25">
      <c r="K8008" s="128"/>
      <c r="X8008" s="234">
        <v>2022</v>
      </c>
      <c r="Y8008" s="234">
        <v>11</v>
      </c>
      <c r="Z8008" s="234">
        <v>30</v>
      </c>
      <c r="AA8008" s="235">
        <v>0.5833333333321207</v>
      </c>
      <c r="AB8008" s="234">
        <v>-17.5</v>
      </c>
      <c r="AC8008" s="127">
        <f t="shared" si="139"/>
        <v>-18</v>
      </c>
    </row>
    <row r="8009" ht="14.5" customHeight="1" spans="11:29" x14ac:dyDescent="0.25">
      <c r="K8009" s="128"/>
      <c r="X8009" s="234">
        <v>2022</v>
      </c>
      <c r="Y8009" s="234">
        <v>11</v>
      </c>
      <c r="Z8009" s="234">
        <v>30</v>
      </c>
      <c r="AA8009" s="235">
        <v>0.625</v>
      </c>
      <c r="AB8009" s="234">
        <v>-17.5</v>
      </c>
      <c r="AC8009" s="127">
        <f t="shared" si="139"/>
        <v>-18</v>
      </c>
    </row>
    <row r="8010" ht="14.5" customHeight="1" spans="11:29" x14ac:dyDescent="0.25">
      <c r="K8010" s="128"/>
      <c r="X8010" s="234">
        <v>2022</v>
      </c>
      <c r="Y8010" s="234">
        <v>11</v>
      </c>
      <c r="Z8010" s="234">
        <v>30</v>
      </c>
      <c r="AA8010" s="235">
        <v>0.6666666666678793</v>
      </c>
      <c r="AB8010" s="234">
        <v>-17.9</v>
      </c>
      <c r="AC8010" s="127">
        <f t="shared" si="139"/>
        <v>-18</v>
      </c>
    </row>
    <row r="8011" ht="14.5" customHeight="1" spans="11:29" x14ac:dyDescent="0.25">
      <c r="K8011" s="128"/>
      <c r="X8011" s="234">
        <v>2022</v>
      </c>
      <c r="Y8011" s="234">
        <v>11</v>
      </c>
      <c r="Z8011" s="234">
        <v>30</v>
      </c>
      <c r="AA8011" s="235">
        <v>0.7083333333321207</v>
      </c>
      <c r="AB8011" s="234">
        <v>-18</v>
      </c>
      <c r="AC8011" s="127">
        <f t="shared" ref="AC8011:AC8074" si="140">ROUND(AB8011,0)</f>
        <v>-18</v>
      </c>
    </row>
    <row r="8012" ht="14.5" customHeight="1" spans="11:29" x14ac:dyDescent="0.25">
      <c r="K8012" s="128"/>
      <c r="X8012" s="234">
        <v>2022</v>
      </c>
      <c r="Y8012" s="234">
        <v>11</v>
      </c>
      <c r="Z8012" s="234">
        <v>30</v>
      </c>
      <c r="AA8012" s="235">
        <v>0.75</v>
      </c>
      <c r="AB8012" s="234">
        <v>-18</v>
      </c>
      <c r="AC8012" s="127">
        <f t="shared" si="140"/>
        <v>-18</v>
      </c>
    </row>
    <row r="8013" ht="14.5" customHeight="1" spans="11:29" x14ac:dyDescent="0.25">
      <c r="K8013" s="128"/>
      <c r="X8013" s="234">
        <v>2022</v>
      </c>
      <c r="Y8013" s="234">
        <v>11</v>
      </c>
      <c r="Z8013" s="234">
        <v>30</v>
      </c>
      <c r="AA8013" s="235">
        <v>0.7916666666678793</v>
      </c>
      <c r="AB8013" s="234">
        <v>-18.7</v>
      </c>
      <c r="AC8013" s="127">
        <f t="shared" si="140"/>
        <v>-19</v>
      </c>
    </row>
    <row r="8014" ht="14.5" customHeight="1" spans="11:29" x14ac:dyDescent="0.25">
      <c r="K8014" s="128"/>
      <c r="X8014" s="234">
        <v>2022</v>
      </c>
      <c r="Y8014" s="234">
        <v>11</v>
      </c>
      <c r="Z8014" s="234">
        <v>30</v>
      </c>
      <c r="AA8014" s="235">
        <v>0.8333333333321207</v>
      </c>
      <c r="AB8014" s="234">
        <v>-19.4</v>
      </c>
      <c r="AC8014" s="127">
        <f t="shared" si="140"/>
        <v>-19</v>
      </c>
    </row>
    <row r="8015" ht="14.5" customHeight="1" spans="11:29" x14ac:dyDescent="0.25">
      <c r="K8015" s="128"/>
      <c r="X8015" s="234">
        <v>2022</v>
      </c>
      <c r="Y8015" s="234">
        <v>11</v>
      </c>
      <c r="Z8015" s="234">
        <v>30</v>
      </c>
      <c r="AA8015" s="235">
        <v>0.875</v>
      </c>
      <c r="AB8015" s="234">
        <v>-19.6</v>
      </c>
      <c r="AC8015" s="127">
        <f t="shared" si="140"/>
        <v>-20</v>
      </c>
    </row>
    <row r="8016" ht="14.5" customHeight="1" spans="11:29" x14ac:dyDescent="0.25">
      <c r="K8016" s="128"/>
      <c r="X8016" s="234">
        <v>2022</v>
      </c>
      <c r="Y8016" s="234">
        <v>11</v>
      </c>
      <c r="Z8016" s="234">
        <v>30</v>
      </c>
      <c r="AA8016" s="235">
        <v>0.9166666666678793</v>
      </c>
      <c r="AB8016" s="234">
        <v>-19.8</v>
      </c>
      <c r="AC8016" s="127">
        <f t="shared" si="140"/>
        <v>-20</v>
      </c>
    </row>
    <row r="8017" ht="14.5" customHeight="1" spans="11:29" x14ac:dyDescent="0.25">
      <c r="K8017" s="128"/>
      <c r="X8017" s="234">
        <v>2022</v>
      </c>
      <c r="Y8017" s="234">
        <v>11</v>
      </c>
      <c r="Z8017" s="234">
        <v>30</v>
      </c>
      <c r="AA8017" s="235">
        <v>0.9583333333321207</v>
      </c>
      <c r="AB8017" s="234">
        <v>-20.5</v>
      </c>
      <c r="AC8017" s="127">
        <f t="shared" si="140"/>
        <v>-21</v>
      </c>
    </row>
    <row r="8018" ht="14.5" customHeight="1" spans="11:29" x14ac:dyDescent="0.25">
      <c r="K8018" s="128"/>
      <c r="X8018" s="234">
        <v>2022</v>
      </c>
      <c r="Y8018" s="234">
        <v>12</v>
      </c>
      <c r="Z8018" s="234">
        <v>1</v>
      </c>
      <c r="AA8018" s="235">
        <v>0</v>
      </c>
      <c r="AB8018" s="234">
        <v>-20.5</v>
      </c>
      <c r="AC8018" s="127">
        <f t="shared" si="140"/>
        <v>-21</v>
      </c>
    </row>
    <row r="8019" ht="14.5" customHeight="1" spans="11:29" x14ac:dyDescent="0.25">
      <c r="K8019" s="128"/>
      <c r="X8019" s="234">
        <v>2022</v>
      </c>
      <c r="Y8019" s="234">
        <v>12</v>
      </c>
      <c r="Z8019" s="234">
        <v>1</v>
      </c>
      <c r="AA8019" s="235">
        <v>0.041666666667879326</v>
      </c>
      <c r="AB8019" s="234">
        <v>-20.4</v>
      </c>
      <c r="AC8019" s="127">
        <f t="shared" si="140"/>
        <v>-20</v>
      </c>
    </row>
    <row r="8020" ht="14.5" customHeight="1" spans="11:29" x14ac:dyDescent="0.25">
      <c r="K8020" s="128"/>
      <c r="X8020" s="234">
        <v>2022</v>
      </c>
      <c r="Y8020" s="234">
        <v>12</v>
      </c>
      <c r="Z8020" s="234">
        <v>1</v>
      </c>
      <c r="AA8020" s="235">
        <v>0.08333333333212067</v>
      </c>
      <c r="AB8020" s="234">
        <v>-20.7</v>
      </c>
      <c r="AC8020" s="127">
        <f t="shared" si="140"/>
        <v>-21</v>
      </c>
    </row>
    <row r="8021" ht="14.5" customHeight="1" spans="11:29" x14ac:dyDescent="0.25">
      <c r="K8021" s="128"/>
      <c r="X8021" s="234">
        <v>2022</v>
      </c>
      <c r="Y8021" s="234">
        <v>12</v>
      </c>
      <c r="Z8021" s="234">
        <v>1</v>
      </c>
      <c r="AA8021" s="235">
        <v>0.125</v>
      </c>
      <c r="AB8021" s="234">
        <v>-20.8</v>
      </c>
      <c r="AC8021" s="127">
        <f t="shared" si="140"/>
        <v>-21</v>
      </c>
    </row>
    <row r="8022" ht="14.5" customHeight="1" spans="11:29" x14ac:dyDescent="0.25">
      <c r="K8022" s="128"/>
      <c r="X8022" s="234">
        <v>2022</v>
      </c>
      <c r="Y8022" s="234">
        <v>12</v>
      </c>
      <c r="Z8022" s="234">
        <v>1</v>
      </c>
      <c r="AA8022" s="235">
        <v>0.16666666666787933</v>
      </c>
      <c r="AB8022" s="234">
        <v>-20.9</v>
      </c>
      <c r="AC8022" s="127">
        <f t="shared" si="140"/>
        <v>-21</v>
      </c>
    </row>
    <row r="8023" ht="14.5" customHeight="1" spans="11:29" x14ac:dyDescent="0.25">
      <c r="K8023" s="128"/>
      <c r="X8023" s="234">
        <v>2022</v>
      </c>
      <c r="Y8023" s="234">
        <v>12</v>
      </c>
      <c r="Z8023" s="234">
        <v>1</v>
      </c>
      <c r="AA8023" s="235">
        <v>0.20833333333212067</v>
      </c>
      <c r="AB8023" s="234">
        <v>-21.1</v>
      </c>
      <c r="AC8023" s="127">
        <f t="shared" si="140"/>
        <v>-21</v>
      </c>
    </row>
    <row r="8024" ht="14.5" customHeight="1" spans="11:29" x14ac:dyDescent="0.25">
      <c r="K8024" s="128"/>
      <c r="X8024" s="234">
        <v>2022</v>
      </c>
      <c r="Y8024" s="234">
        <v>12</v>
      </c>
      <c r="Z8024" s="234">
        <v>1</v>
      </c>
      <c r="AA8024" s="235">
        <v>0.25</v>
      </c>
      <c r="AB8024" s="234">
        <v>-21.4</v>
      </c>
      <c r="AC8024" s="127">
        <f t="shared" si="140"/>
        <v>-21</v>
      </c>
    </row>
    <row r="8025" ht="14.5" customHeight="1" spans="11:29" x14ac:dyDescent="0.25">
      <c r="K8025" s="128"/>
      <c r="X8025" s="234">
        <v>2022</v>
      </c>
      <c r="Y8025" s="234">
        <v>12</v>
      </c>
      <c r="Z8025" s="234">
        <v>1</v>
      </c>
      <c r="AA8025" s="235">
        <v>0.2916666666678793</v>
      </c>
      <c r="AB8025" s="234">
        <v>-21.4</v>
      </c>
      <c r="AC8025" s="127">
        <f t="shared" si="140"/>
        <v>-21</v>
      </c>
    </row>
    <row r="8026" ht="14.5" customHeight="1" spans="11:29" x14ac:dyDescent="0.25">
      <c r="K8026" s="128"/>
      <c r="X8026" s="234">
        <v>2022</v>
      </c>
      <c r="Y8026" s="234">
        <v>12</v>
      </c>
      <c r="Z8026" s="234">
        <v>1</v>
      </c>
      <c r="AA8026" s="235">
        <v>0.3333333333321207</v>
      </c>
      <c r="AB8026" s="234">
        <v>-21.2</v>
      </c>
      <c r="AC8026" s="127">
        <f t="shared" si="140"/>
        <v>-21</v>
      </c>
    </row>
    <row r="8027" ht="14.5" customHeight="1" spans="11:29" x14ac:dyDescent="0.25">
      <c r="K8027" s="128"/>
      <c r="X8027" s="234">
        <v>2022</v>
      </c>
      <c r="Y8027" s="234">
        <v>12</v>
      </c>
      <c r="Z8027" s="234">
        <v>1</v>
      </c>
      <c r="AA8027" s="235">
        <v>0.375</v>
      </c>
      <c r="AB8027" s="234">
        <v>-21.3</v>
      </c>
      <c r="AC8027" s="127">
        <f t="shared" si="140"/>
        <v>-21</v>
      </c>
    </row>
    <row r="8028" ht="14.5" customHeight="1" spans="11:29" x14ac:dyDescent="0.25">
      <c r="K8028" s="128"/>
      <c r="X8028" s="234">
        <v>2022</v>
      </c>
      <c r="Y8028" s="234">
        <v>12</v>
      </c>
      <c r="Z8028" s="234">
        <v>1</v>
      </c>
      <c r="AA8028" s="235">
        <v>0.4166666666678793</v>
      </c>
      <c r="AB8028" s="234">
        <v>-21.3</v>
      </c>
      <c r="AC8028" s="127">
        <f t="shared" si="140"/>
        <v>-21</v>
      </c>
    </row>
    <row r="8029" ht="14.5" customHeight="1" spans="11:29" x14ac:dyDescent="0.25">
      <c r="K8029" s="128"/>
      <c r="X8029" s="234">
        <v>2022</v>
      </c>
      <c r="Y8029" s="234">
        <v>12</v>
      </c>
      <c r="Z8029" s="234">
        <v>1</v>
      </c>
      <c r="AA8029" s="235">
        <v>0.4583333333321207</v>
      </c>
      <c r="AB8029" s="234">
        <v>-21.3</v>
      </c>
      <c r="AC8029" s="127">
        <f t="shared" si="140"/>
        <v>-21</v>
      </c>
    </row>
    <row r="8030" ht="14.5" customHeight="1" spans="11:29" x14ac:dyDescent="0.25">
      <c r="K8030" s="128"/>
      <c r="X8030" s="234">
        <v>2022</v>
      </c>
      <c r="Y8030" s="234">
        <v>12</v>
      </c>
      <c r="Z8030" s="234">
        <v>1</v>
      </c>
      <c r="AA8030" s="235">
        <v>0.5</v>
      </c>
      <c r="AB8030" s="234">
        <v>-21</v>
      </c>
      <c r="AC8030" s="127">
        <f t="shared" si="140"/>
        <v>-21</v>
      </c>
    </row>
    <row r="8031" ht="14.5" customHeight="1" spans="11:29" x14ac:dyDescent="0.25">
      <c r="K8031" s="128"/>
      <c r="X8031" s="234">
        <v>2022</v>
      </c>
      <c r="Y8031" s="234">
        <v>12</v>
      </c>
      <c r="Z8031" s="234">
        <v>1</v>
      </c>
      <c r="AA8031" s="235">
        <v>0.5416666666678793</v>
      </c>
      <c r="AB8031" s="234">
        <v>-20.6</v>
      </c>
      <c r="AC8031" s="127">
        <f t="shared" si="140"/>
        <v>-21</v>
      </c>
    </row>
    <row r="8032" ht="14.5" customHeight="1" spans="11:29" x14ac:dyDescent="0.25">
      <c r="K8032" s="128"/>
      <c r="X8032" s="234">
        <v>2022</v>
      </c>
      <c r="Y8032" s="234">
        <v>12</v>
      </c>
      <c r="Z8032" s="234">
        <v>1</v>
      </c>
      <c r="AA8032" s="235">
        <v>0.5833333333321207</v>
      </c>
      <c r="AB8032" s="234">
        <v>-20.8</v>
      </c>
      <c r="AC8032" s="127">
        <f t="shared" si="140"/>
        <v>-21</v>
      </c>
    </row>
    <row r="8033" ht="14.5" customHeight="1" spans="11:29" x14ac:dyDescent="0.25">
      <c r="K8033" s="128"/>
      <c r="X8033" s="234">
        <v>2022</v>
      </c>
      <c r="Y8033" s="234">
        <v>12</v>
      </c>
      <c r="Z8033" s="234">
        <v>1</v>
      </c>
      <c r="AA8033" s="235">
        <v>0.625</v>
      </c>
      <c r="AB8033" s="234">
        <v>-20.9</v>
      </c>
      <c r="AC8033" s="127">
        <f t="shared" si="140"/>
        <v>-21</v>
      </c>
    </row>
    <row r="8034" ht="14.5" customHeight="1" spans="11:29" x14ac:dyDescent="0.25">
      <c r="K8034" s="128"/>
      <c r="X8034" s="234">
        <v>2022</v>
      </c>
      <c r="Y8034" s="234">
        <v>12</v>
      </c>
      <c r="Z8034" s="234">
        <v>1</v>
      </c>
      <c r="AA8034" s="235">
        <v>0.6666666666678793</v>
      </c>
      <c r="AB8034" s="234">
        <v>-22</v>
      </c>
      <c r="AC8034" s="127">
        <f t="shared" si="140"/>
        <v>-22</v>
      </c>
    </row>
    <row r="8035" ht="14.5" customHeight="1" spans="11:29" x14ac:dyDescent="0.25">
      <c r="K8035" s="128"/>
      <c r="X8035" s="234">
        <v>2022</v>
      </c>
      <c r="Y8035" s="234">
        <v>12</v>
      </c>
      <c r="Z8035" s="234">
        <v>1</v>
      </c>
      <c r="AA8035" s="235">
        <v>0.7083333333321207</v>
      </c>
      <c r="AB8035" s="234">
        <v>-22.7</v>
      </c>
      <c r="AC8035" s="127">
        <f t="shared" si="140"/>
        <v>-23</v>
      </c>
    </row>
    <row r="8036" ht="14.5" customHeight="1" spans="11:29" x14ac:dyDescent="0.25">
      <c r="K8036" s="128"/>
      <c r="X8036" s="234">
        <v>2022</v>
      </c>
      <c r="Y8036" s="234">
        <v>12</v>
      </c>
      <c r="Z8036" s="234">
        <v>1</v>
      </c>
      <c r="AA8036" s="235">
        <v>0.75</v>
      </c>
      <c r="AB8036" s="234">
        <v>-24.3</v>
      </c>
      <c r="AC8036" s="127">
        <f t="shared" si="140"/>
        <v>-24</v>
      </c>
    </row>
    <row r="8037" ht="14.5" customHeight="1" spans="11:29" x14ac:dyDescent="0.25">
      <c r="K8037" s="128"/>
      <c r="X8037" s="234">
        <v>2022</v>
      </c>
      <c r="Y8037" s="234">
        <v>12</v>
      </c>
      <c r="Z8037" s="234">
        <v>1</v>
      </c>
      <c r="AA8037" s="235">
        <v>0.7916666666678793</v>
      </c>
      <c r="AB8037" s="234">
        <v>-23.6</v>
      </c>
      <c r="AC8037" s="127">
        <f t="shared" si="140"/>
        <v>-24</v>
      </c>
    </row>
    <row r="8038" ht="14.5" customHeight="1" spans="11:29" x14ac:dyDescent="0.25">
      <c r="K8038" s="128"/>
      <c r="X8038" s="234">
        <v>2022</v>
      </c>
      <c r="Y8038" s="234">
        <v>12</v>
      </c>
      <c r="Z8038" s="234">
        <v>1</v>
      </c>
      <c r="AA8038" s="235">
        <v>0.8333333333321207</v>
      </c>
      <c r="AB8038" s="234">
        <v>-23.6</v>
      </c>
      <c r="AC8038" s="127">
        <f t="shared" si="140"/>
        <v>-24</v>
      </c>
    </row>
    <row r="8039" ht="14.5" customHeight="1" spans="11:29" x14ac:dyDescent="0.25">
      <c r="K8039" s="128"/>
      <c r="X8039" s="234">
        <v>2022</v>
      </c>
      <c r="Y8039" s="234">
        <v>12</v>
      </c>
      <c r="Z8039" s="234">
        <v>1</v>
      </c>
      <c r="AA8039" s="235">
        <v>0.875</v>
      </c>
      <c r="AB8039" s="234">
        <v>-24.2</v>
      </c>
      <c r="AC8039" s="127">
        <f t="shared" si="140"/>
        <v>-24</v>
      </c>
    </row>
    <row r="8040" ht="14.5" customHeight="1" spans="11:29" x14ac:dyDescent="0.25">
      <c r="K8040" s="128"/>
      <c r="X8040" s="234">
        <v>2022</v>
      </c>
      <c r="Y8040" s="234">
        <v>12</v>
      </c>
      <c r="Z8040" s="234">
        <v>1</v>
      </c>
      <c r="AA8040" s="235">
        <v>0.9166666666678793</v>
      </c>
      <c r="AB8040" s="234">
        <v>-23.4</v>
      </c>
      <c r="AC8040" s="127">
        <f t="shared" si="140"/>
        <v>-23</v>
      </c>
    </row>
    <row r="8041" ht="14.5" customHeight="1" spans="11:29" x14ac:dyDescent="0.25">
      <c r="K8041" s="128"/>
      <c r="X8041" s="234">
        <v>2022</v>
      </c>
      <c r="Y8041" s="234">
        <v>12</v>
      </c>
      <c r="Z8041" s="234">
        <v>1</v>
      </c>
      <c r="AA8041" s="235">
        <v>0.9583333333321207</v>
      </c>
      <c r="AB8041" s="234">
        <v>-24</v>
      </c>
      <c r="AC8041" s="127">
        <f t="shared" si="140"/>
        <v>-24</v>
      </c>
    </row>
    <row r="8042" ht="14.5" customHeight="1" spans="11:29" x14ac:dyDescent="0.25">
      <c r="K8042" s="128"/>
      <c r="X8042" s="234">
        <v>2022</v>
      </c>
      <c r="Y8042" s="234">
        <v>12</v>
      </c>
      <c r="Z8042" s="234">
        <v>2</v>
      </c>
      <c r="AA8042" s="235">
        <v>0</v>
      </c>
      <c r="AB8042" s="234">
        <v>-24.2</v>
      </c>
      <c r="AC8042" s="127">
        <f t="shared" si="140"/>
        <v>-24</v>
      </c>
    </row>
    <row r="8043" ht="14.5" customHeight="1" spans="11:29" x14ac:dyDescent="0.25">
      <c r="K8043" s="128"/>
      <c r="X8043" s="234">
        <v>2022</v>
      </c>
      <c r="Y8043" s="234">
        <v>12</v>
      </c>
      <c r="Z8043" s="234">
        <v>2</v>
      </c>
      <c r="AA8043" s="235">
        <v>0.041666666667879326</v>
      </c>
      <c r="AB8043" s="234">
        <v>-24.3</v>
      </c>
      <c r="AC8043" s="127">
        <f t="shared" si="140"/>
        <v>-24</v>
      </c>
    </row>
    <row r="8044" ht="14.5" customHeight="1" spans="11:29" x14ac:dyDescent="0.25">
      <c r="K8044" s="128"/>
      <c r="X8044" s="234">
        <v>2022</v>
      </c>
      <c r="Y8044" s="234">
        <v>12</v>
      </c>
      <c r="Z8044" s="234">
        <v>2</v>
      </c>
      <c r="AA8044" s="235">
        <v>0.08333333333212067</v>
      </c>
      <c r="AB8044" s="234">
        <v>-26.1</v>
      </c>
      <c r="AC8044" s="127">
        <f t="shared" si="140"/>
        <v>-26</v>
      </c>
    </row>
    <row r="8045" ht="14.5" customHeight="1" spans="11:29" x14ac:dyDescent="0.25">
      <c r="K8045" s="128"/>
      <c r="X8045" s="234">
        <v>2022</v>
      </c>
      <c r="Y8045" s="234">
        <v>12</v>
      </c>
      <c r="Z8045" s="234">
        <v>2</v>
      </c>
      <c r="AA8045" s="235">
        <v>0.125</v>
      </c>
      <c r="AB8045" s="234">
        <v>-25.6</v>
      </c>
      <c r="AC8045" s="127">
        <f t="shared" si="140"/>
        <v>-26</v>
      </c>
    </row>
    <row r="8046" ht="14.5" customHeight="1" spans="11:29" x14ac:dyDescent="0.25">
      <c r="K8046" s="128"/>
      <c r="X8046" s="234">
        <v>2022</v>
      </c>
      <c r="Y8046" s="234">
        <v>12</v>
      </c>
      <c r="Z8046" s="234">
        <v>2</v>
      </c>
      <c r="AA8046" s="235">
        <v>0.16666666666787933</v>
      </c>
      <c r="AB8046" s="234">
        <v>-26.1</v>
      </c>
      <c r="AC8046" s="127">
        <f t="shared" si="140"/>
        <v>-26</v>
      </c>
    </row>
    <row r="8047" ht="14.5" customHeight="1" spans="11:29" x14ac:dyDescent="0.25">
      <c r="K8047" s="128"/>
      <c r="X8047" s="234">
        <v>2022</v>
      </c>
      <c r="Y8047" s="234">
        <v>12</v>
      </c>
      <c r="Z8047" s="234">
        <v>2</v>
      </c>
      <c r="AA8047" s="235">
        <v>0.20833333333212067</v>
      </c>
      <c r="AB8047" s="234">
        <v>-26</v>
      </c>
      <c r="AC8047" s="127">
        <f t="shared" si="140"/>
        <v>-26</v>
      </c>
    </row>
    <row r="8048" ht="14.5" customHeight="1" spans="11:29" x14ac:dyDescent="0.25">
      <c r="K8048" s="128"/>
      <c r="X8048" s="234">
        <v>2022</v>
      </c>
      <c r="Y8048" s="234">
        <v>12</v>
      </c>
      <c r="Z8048" s="234">
        <v>2</v>
      </c>
      <c r="AA8048" s="235">
        <v>0.25</v>
      </c>
      <c r="AB8048" s="234">
        <v>-24.7</v>
      </c>
      <c r="AC8048" s="127">
        <f t="shared" si="140"/>
        <v>-25</v>
      </c>
    </row>
    <row r="8049" ht="14.5" customHeight="1" spans="11:29" x14ac:dyDescent="0.25">
      <c r="K8049" s="128"/>
      <c r="X8049" s="234">
        <v>2022</v>
      </c>
      <c r="Y8049" s="234">
        <v>12</v>
      </c>
      <c r="Z8049" s="234">
        <v>2</v>
      </c>
      <c r="AA8049" s="235">
        <v>0.2916666666678793</v>
      </c>
      <c r="AB8049" s="234">
        <v>-24</v>
      </c>
      <c r="AC8049" s="127">
        <f t="shared" si="140"/>
        <v>-24</v>
      </c>
    </row>
    <row r="8050" ht="14.5" customHeight="1" spans="11:29" x14ac:dyDescent="0.25">
      <c r="K8050" s="128"/>
      <c r="X8050" s="234">
        <v>2022</v>
      </c>
      <c r="Y8050" s="234">
        <v>12</v>
      </c>
      <c r="Z8050" s="234">
        <v>2</v>
      </c>
      <c r="AA8050" s="235">
        <v>0.3333333333321207</v>
      </c>
      <c r="AB8050" s="234">
        <v>-22.6</v>
      </c>
      <c r="AC8050" s="127">
        <f t="shared" si="140"/>
        <v>-23</v>
      </c>
    </row>
    <row r="8051" ht="14.5" customHeight="1" spans="11:29" x14ac:dyDescent="0.25">
      <c r="K8051" s="128"/>
      <c r="X8051" s="234">
        <v>2022</v>
      </c>
      <c r="Y8051" s="234">
        <v>12</v>
      </c>
      <c r="Z8051" s="234">
        <v>2</v>
      </c>
      <c r="AA8051" s="235">
        <v>0.375</v>
      </c>
      <c r="AB8051" s="234">
        <v>-21.2</v>
      </c>
      <c r="AC8051" s="127">
        <f t="shared" si="140"/>
        <v>-21</v>
      </c>
    </row>
    <row r="8052" ht="14.5" customHeight="1" spans="11:29" x14ac:dyDescent="0.25">
      <c r="K8052" s="128"/>
      <c r="X8052" s="234">
        <v>2022</v>
      </c>
      <c r="Y8052" s="234">
        <v>12</v>
      </c>
      <c r="Z8052" s="234">
        <v>2</v>
      </c>
      <c r="AA8052" s="235">
        <v>0.4166666666678793</v>
      </c>
      <c r="AB8052" s="234">
        <v>-19.5</v>
      </c>
      <c r="AC8052" s="127">
        <f t="shared" si="140"/>
        <v>-20</v>
      </c>
    </row>
    <row r="8053" ht="14.5" customHeight="1" spans="11:29" x14ac:dyDescent="0.25">
      <c r="K8053" s="128"/>
      <c r="X8053" s="234">
        <v>2022</v>
      </c>
      <c r="Y8053" s="234">
        <v>12</v>
      </c>
      <c r="Z8053" s="234">
        <v>2</v>
      </c>
      <c r="AA8053" s="235">
        <v>0.4583333333321207</v>
      </c>
      <c r="AB8053" s="234">
        <v>-17.7</v>
      </c>
      <c r="AC8053" s="127">
        <f t="shared" si="140"/>
        <v>-18</v>
      </c>
    </row>
    <row r="8054" ht="14.5" customHeight="1" spans="11:29" x14ac:dyDescent="0.25">
      <c r="K8054" s="128"/>
      <c r="X8054" s="234">
        <v>2022</v>
      </c>
      <c r="Y8054" s="234">
        <v>12</v>
      </c>
      <c r="Z8054" s="234">
        <v>2</v>
      </c>
      <c r="AA8054" s="235">
        <v>0.5</v>
      </c>
      <c r="AB8054" s="234">
        <v>-16.6</v>
      </c>
      <c r="AC8054" s="127">
        <f t="shared" si="140"/>
        <v>-17</v>
      </c>
    </row>
    <row r="8055" ht="14.5" customHeight="1" spans="11:29" x14ac:dyDescent="0.25">
      <c r="K8055" s="128"/>
      <c r="X8055" s="234">
        <v>2022</v>
      </c>
      <c r="Y8055" s="234">
        <v>12</v>
      </c>
      <c r="Z8055" s="234">
        <v>2</v>
      </c>
      <c r="AA8055" s="235">
        <v>0.5416666666678793</v>
      </c>
      <c r="AB8055" s="234">
        <v>-16</v>
      </c>
      <c r="AC8055" s="127">
        <f t="shared" si="140"/>
        <v>-16</v>
      </c>
    </row>
    <row r="8056" ht="14.5" customHeight="1" spans="11:29" x14ac:dyDescent="0.25">
      <c r="K8056" s="128"/>
      <c r="X8056" s="234">
        <v>2022</v>
      </c>
      <c r="Y8056" s="234">
        <v>12</v>
      </c>
      <c r="Z8056" s="234">
        <v>2</v>
      </c>
      <c r="AA8056" s="235">
        <v>0.5833333333321207</v>
      </c>
      <c r="AB8056" s="234">
        <v>-15.9</v>
      </c>
      <c r="AC8056" s="127">
        <f t="shared" si="140"/>
        <v>-16</v>
      </c>
    </row>
    <row r="8057" ht="14.5" customHeight="1" spans="11:29" x14ac:dyDescent="0.25">
      <c r="K8057" s="128"/>
      <c r="X8057" s="234">
        <v>2022</v>
      </c>
      <c r="Y8057" s="234">
        <v>12</v>
      </c>
      <c r="Z8057" s="234">
        <v>2</v>
      </c>
      <c r="AA8057" s="235">
        <v>0.625</v>
      </c>
      <c r="AB8057" s="234">
        <v>-15.8</v>
      </c>
      <c r="AC8057" s="127">
        <f t="shared" si="140"/>
        <v>-16</v>
      </c>
    </row>
    <row r="8058" ht="14.5" customHeight="1" spans="11:29" x14ac:dyDescent="0.25">
      <c r="K8058" s="128"/>
      <c r="X8058" s="234">
        <v>2022</v>
      </c>
      <c r="Y8058" s="234">
        <v>12</v>
      </c>
      <c r="Z8058" s="234">
        <v>2</v>
      </c>
      <c r="AA8058" s="235">
        <v>0.6666666666678793</v>
      </c>
      <c r="AB8058" s="234">
        <v>-15.9</v>
      </c>
      <c r="AC8058" s="127">
        <f t="shared" si="140"/>
        <v>-16</v>
      </c>
    </row>
    <row r="8059" ht="14.5" customHeight="1" spans="11:29" x14ac:dyDescent="0.25">
      <c r="K8059" s="128"/>
      <c r="X8059" s="234">
        <v>2022</v>
      </c>
      <c r="Y8059" s="234">
        <v>12</v>
      </c>
      <c r="Z8059" s="234">
        <v>2</v>
      </c>
      <c r="AA8059" s="235">
        <v>0.7083333333321207</v>
      </c>
      <c r="AB8059" s="234">
        <v>-17.5</v>
      </c>
      <c r="AC8059" s="127">
        <f t="shared" si="140"/>
        <v>-18</v>
      </c>
    </row>
    <row r="8060" ht="14.5" customHeight="1" spans="11:29" x14ac:dyDescent="0.25">
      <c r="K8060" s="128"/>
      <c r="X8060" s="234">
        <v>2022</v>
      </c>
      <c r="Y8060" s="234">
        <v>12</v>
      </c>
      <c r="Z8060" s="234">
        <v>2</v>
      </c>
      <c r="AA8060" s="235">
        <v>0.75</v>
      </c>
      <c r="AB8060" s="234">
        <v>-17.7</v>
      </c>
      <c r="AC8060" s="127">
        <f t="shared" si="140"/>
        <v>-18</v>
      </c>
    </row>
    <row r="8061" ht="14.5" customHeight="1" spans="11:29" x14ac:dyDescent="0.25">
      <c r="K8061" s="128"/>
      <c r="X8061" s="234">
        <v>2022</v>
      </c>
      <c r="Y8061" s="234">
        <v>12</v>
      </c>
      <c r="Z8061" s="234">
        <v>2</v>
      </c>
      <c r="AA8061" s="235">
        <v>0.7916666666678793</v>
      </c>
      <c r="AB8061" s="234">
        <v>-17.4</v>
      </c>
      <c r="AC8061" s="127">
        <f t="shared" si="140"/>
        <v>-17</v>
      </c>
    </row>
    <row r="8062" ht="14.5" customHeight="1" spans="11:29" x14ac:dyDescent="0.25">
      <c r="K8062" s="128"/>
      <c r="X8062" s="234">
        <v>2022</v>
      </c>
      <c r="Y8062" s="234">
        <v>12</v>
      </c>
      <c r="Z8062" s="234">
        <v>2</v>
      </c>
      <c r="AA8062" s="235">
        <v>0.8333333333321207</v>
      </c>
      <c r="AB8062" s="234">
        <v>-17.7</v>
      </c>
      <c r="AC8062" s="127">
        <f t="shared" si="140"/>
        <v>-18</v>
      </c>
    </row>
    <row r="8063" ht="14.5" customHeight="1" spans="11:29" x14ac:dyDescent="0.25">
      <c r="K8063" s="128"/>
      <c r="X8063" s="234">
        <v>2022</v>
      </c>
      <c r="Y8063" s="234">
        <v>12</v>
      </c>
      <c r="Z8063" s="234">
        <v>2</v>
      </c>
      <c r="AA8063" s="235">
        <v>0.875</v>
      </c>
      <c r="AB8063" s="234">
        <v>-17.8</v>
      </c>
      <c r="AC8063" s="127">
        <f t="shared" si="140"/>
        <v>-18</v>
      </c>
    </row>
    <row r="8064" ht="14.5" customHeight="1" spans="11:29" x14ac:dyDescent="0.25">
      <c r="K8064" s="128"/>
      <c r="X8064" s="234">
        <v>2022</v>
      </c>
      <c r="Y8064" s="234">
        <v>12</v>
      </c>
      <c r="Z8064" s="234">
        <v>2</v>
      </c>
      <c r="AA8064" s="235">
        <v>0.9166666666678793</v>
      </c>
      <c r="AB8064" s="234">
        <v>-18.7</v>
      </c>
      <c r="AC8064" s="127">
        <f t="shared" si="140"/>
        <v>-19</v>
      </c>
    </row>
    <row r="8065" ht="14.5" customHeight="1" spans="11:29" x14ac:dyDescent="0.25">
      <c r="K8065" s="128"/>
      <c r="X8065" s="234">
        <v>2022</v>
      </c>
      <c r="Y8065" s="234">
        <v>12</v>
      </c>
      <c r="Z8065" s="234">
        <v>2</v>
      </c>
      <c r="AA8065" s="235">
        <v>0.9583333333321207</v>
      </c>
      <c r="AB8065" s="234">
        <v>-17.9</v>
      </c>
      <c r="AC8065" s="127">
        <f t="shared" si="140"/>
        <v>-18</v>
      </c>
    </row>
    <row r="8066" ht="14.5" customHeight="1" spans="11:29" x14ac:dyDescent="0.25">
      <c r="K8066" s="128"/>
      <c r="X8066" s="234">
        <v>2022</v>
      </c>
      <c r="Y8066" s="234">
        <v>12</v>
      </c>
      <c r="Z8066" s="234">
        <v>3</v>
      </c>
      <c r="AA8066" s="235">
        <v>0</v>
      </c>
      <c r="AB8066" s="234">
        <v>-17.6</v>
      </c>
      <c r="AC8066" s="127">
        <f t="shared" si="140"/>
        <v>-18</v>
      </c>
    </row>
    <row r="8067" ht="14.5" customHeight="1" spans="11:29" x14ac:dyDescent="0.25">
      <c r="K8067" s="128"/>
      <c r="X8067" s="234">
        <v>2022</v>
      </c>
      <c r="Y8067" s="234">
        <v>12</v>
      </c>
      <c r="Z8067" s="234">
        <v>3</v>
      </c>
      <c r="AA8067" s="235">
        <v>0.041666666667879326</v>
      </c>
      <c r="AB8067" s="234">
        <v>-17.8</v>
      </c>
      <c r="AC8067" s="127">
        <f t="shared" si="140"/>
        <v>-18</v>
      </c>
    </row>
    <row r="8068" ht="14.5" customHeight="1" spans="11:29" x14ac:dyDescent="0.25">
      <c r="K8068" s="128"/>
      <c r="X8068" s="234">
        <v>2022</v>
      </c>
      <c r="Y8068" s="234">
        <v>12</v>
      </c>
      <c r="Z8068" s="234">
        <v>3</v>
      </c>
      <c r="AA8068" s="235">
        <v>0.08333333333212067</v>
      </c>
      <c r="AB8068" s="234">
        <v>-17.6</v>
      </c>
      <c r="AC8068" s="127">
        <f t="shared" si="140"/>
        <v>-18</v>
      </c>
    </row>
    <row r="8069" ht="14.5" customHeight="1" spans="11:29" x14ac:dyDescent="0.25">
      <c r="K8069" s="128"/>
      <c r="X8069" s="234">
        <v>2022</v>
      </c>
      <c r="Y8069" s="234">
        <v>12</v>
      </c>
      <c r="Z8069" s="234">
        <v>3</v>
      </c>
      <c r="AA8069" s="235">
        <v>0.125</v>
      </c>
      <c r="AB8069" s="234">
        <v>-18.5</v>
      </c>
      <c r="AC8069" s="127">
        <f t="shared" si="140"/>
        <v>-19</v>
      </c>
    </row>
    <row r="8070" ht="14.5" customHeight="1" spans="11:29" x14ac:dyDescent="0.25">
      <c r="K8070" s="128"/>
      <c r="X8070" s="234">
        <v>2022</v>
      </c>
      <c r="Y8070" s="234">
        <v>12</v>
      </c>
      <c r="Z8070" s="234">
        <v>3</v>
      </c>
      <c r="AA8070" s="235">
        <v>0.16666666666787933</v>
      </c>
      <c r="AB8070" s="234">
        <v>-18.9</v>
      </c>
      <c r="AC8070" s="127">
        <f t="shared" si="140"/>
        <v>-19</v>
      </c>
    </row>
    <row r="8071" ht="14.5" customHeight="1" spans="11:29" x14ac:dyDescent="0.25">
      <c r="K8071" s="128"/>
      <c r="X8071" s="234">
        <v>2022</v>
      </c>
      <c r="Y8071" s="234">
        <v>12</v>
      </c>
      <c r="Z8071" s="234">
        <v>3</v>
      </c>
      <c r="AA8071" s="235">
        <v>0.20833333333212067</v>
      </c>
      <c r="AB8071" s="234">
        <v>-18.5</v>
      </c>
      <c r="AC8071" s="127">
        <f t="shared" si="140"/>
        <v>-19</v>
      </c>
    </row>
    <row r="8072" ht="14.5" customHeight="1" spans="11:29" x14ac:dyDescent="0.25">
      <c r="K8072" s="128"/>
      <c r="X8072" s="234">
        <v>2022</v>
      </c>
      <c r="Y8072" s="234">
        <v>12</v>
      </c>
      <c r="Z8072" s="234">
        <v>3</v>
      </c>
      <c r="AA8072" s="235">
        <v>0.25</v>
      </c>
      <c r="AB8072" s="234">
        <v>-19.2</v>
      </c>
      <c r="AC8072" s="127">
        <f t="shared" si="140"/>
        <v>-19</v>
      </c>
    </row>
    <row r="8073" ht="14.5" customHeight="1" spans="11:29" x14ac:dyDescent="0.25">
      <c r="K8073" s="128"/>
      <c r="X8073" s="234">
        <v>2022</v>
      </c>
      <c r="Y8073" s="234">
        <v>12</v>
      </c>
      <c r="Z8073" s="234">
        <v>3</v>
      </c>
      <c r="AA8073" s="235">
        <v>0.2916666666678793</v>
      </c>
      <c r="AB8073" s="234">
        <v>-18.2</v>
      </c>
      <c r="AC8073" s="127">
        <f t="shared" si="140"/>
        <v>-18</v>
      </c>
    </row>
    <row r="8074" ht="14.5" customHeight="1" spans="11:29" x14ac:dyDescent="0.25">
      <c r="K8074" s="128"/>
      <c r="X8074" s="234">
        <v>2022</v>
      </c>
      <c r="Y8074" s="234">
        <v>12</v>
      </c>
      <c r="Z8074" s="234">
        <v>3</v>
      </c>
      <c r="AA8074" s="235">
        <v>0.3333333333321207</v>
      </c>
      <c r="AB8074" s="234">
        <v>-12.5</v>
      </c>
      <c r="AC8074" s="127">
        <f t="shared" si="140"/>
        <v>-13</v>
      </c>
    </row>
    <row r="8075" ht="14.5" customHeight="1" spans="11:29" x14ac:dyDescent="0.25">
      <c r="K8075" s="128"/>
      <c r="X8075" s="234">
        <v>2022</v>
      </c>
      <c r="Y8075" s="234">
        <v>12</v>
      </c>
      <c r="Z8075" s="234">
        <v>3</v>
      </c>
      <c r="AA8075" s="235">
        <v>0.375</v>
      </c>
      <c r="AB8075" s="234">
        <v>-6.5</v>
      </c>
      <c r="AC8075" s="127">
        <f t="shared" ref="AC8075:AC8138" si="141">ROUND(AB8075,0)</f>
        <v>-7</v>
      </c>
    </row>
    <row r="8076" ht="14.5" customHeight="1" spans="11:29" x14ac:dyDescent="0.25">
      <c r="K8076" s="128"/>
      <c r="X8076" s="234">
        <v>2022</v>
      </c>
      <c r="Y8076" s="234">
        <v>12</v>
      </c>
      <c r="Z8076" s="234">
        <v>3</v>
      </c>
      <c r="AA8076" s="235">
        <v>0.4166666666678793</v>
      </c>
      <c r="AB8076" s="234">
        <v>-4.6</v>
      </c>
      <c r="AC8076" s="127">
        <f t="shared" si="141"/>
        <v>-5</v>
      </c>
    </row>
    <row r="8077" ht="14.5" customHeight="1" spans="11:29" x14ac:dyDescent="0.25">
      <c r="K8077" s="128"/>
      <c r="X8077" s="234">
        <v>2022</v>
      </c>
      <c r="Y8077" s="234">
        <v>12</v>
      </c>
      <c r="Z8077" s="234">
        <v>3</v>
      </c>
      <c r="AA8077" s="235">
        <v>0.4583333333321207</v>
      </c>
      <c r="AB8077" s="234">
        <v>-3.2</v>
      </c>
      <c r="AC8077" s="127">
        <f t="shared" si="141"/>
        <v>-3</v>
      </c>
    </row>
    <row r="8078" ht="14.5" customHeight="1" spans="11:29" x14ac:dyDescent="0.25">
      <c r="K8078" s="128"/>
      <c r="X8078" s="234">
        <v>2022</v>
      </c>
      <c r="Y8078" s="234">
        <v>12</v>
      </c>
      <c r="Z8078" s="234">
        <v>3</v>
      </c>
      <c r="AA8078" s="235">
        <v>0.5</v>
      </c>
      <c r="AB8078" s="234">
        <v>-1.9</v>
      </c>
      <c r="AC8078" s="127">
        <f t="shared" si="141"/>
        <v>-2</v>
      </c>
    </row>
    <row r="8079" ht="14.5" customHeight="1" spans="11:29" x14ac:dyDescent="0.25">
      <c r="K8079" s="128"/>
      <c r="X8079" s="234">
        <v>2022</v>
      </c>
      <c r="Y8079" s="234">
        <v>12</v>
      </c>
      <c r="Z8079" s="234">
        <v>3</v>
      </c>
      <c r="AA8079" s="235">
        <v>0.5416666666678793</v>
      </c>
      <c r="AB8079" s="234">
        <v>-1.2</v>
      </c>
      <c r="AC8079" s="127">
        <f t="shared" si="141"/>
        <v>-1</v>
      </c>
    </row>
    <row r="8080" ht="14.5" customHeight="1" spans="11:29" x14ac:dyDescent="0.25">
      <c r="K8080" s="128"/>
      <c r="X8080" s="234">
        <v>2022</v>
      </c>
      <c r="Y8080" s="234">
        <v>12</v>
      </c>
      <c r="Z8080" s="234">
        <v>3</v>
      </c>
      <c r="AA8080" s="235">
        <v>0.5833333333321207</v>
      </c>
      <c r="AB8080" s="234">
        <v>-0.6</v>
      </c>
      <c r="AC8080" s="127">
        <f t="shared" si="141"/>
        <v>-1</v>
      </c>
    </row>
    <row r="8081" ht="14.5" customHeight="1" spans="11:29" x14ac:dyDescent="0.25">
      <c r="K8081" s="128"/>
      <c r="X8081" s="234">
        <v>2022</v>
      </c>
      <c r="Y8081" s="234">
        <v>12</v>
      </c>
      <c r="Z8081" s="234">
        <v>3</v>
      </c>
      <c r="AA8081" s="235">
        <v>0.625</v>
      </c>
      <c r="AB8081" s="234">
        <v>-6.9</v>
      </c>
      <c r="AC8081" s="127">
        <f t="shared" si="141"/>
        <v>-7</v>
      </c>
    </row>
    <row r="8082" ht="14.5" customHeight="1" spans="11:29" x14ac:dyDescent="0.25">
      <c r="K8082" s="128"/>
      <c r="X8082" s="234">
        <v>2022</v>
      </c>
      <c r="Y8082" s="234">
        <v>12</v>
      </c>
      <c r="Z8082" s="234">
        <v>3</v>
      </c>
      <c r="AA8082" s="235">
        <v>0.6666666666678793</v>
      </c>
      <c r="AB8082" s="234">
        <v>-8.6</v>
      </c>
      <c r="AC8082" s="127">
        <f t="shared" si="141"/>
        <v>-9</v>
      </c>
    </row>
    <row r="8083" ht="14.5" customHeight="1" spans="11:29" x14ac:dyDescent="0.25">
      <c r="K8083" s="128"/>
      <c r="X8083" s="234">
        <v>2022</v>
      </c>
      <c r="Y8083" s="234">
        <v>12</v>
      </c>
      <c r="Z8083" s="234">
        <v>3</v>
      </c>
      <c r="AA8083" s="235">
        <v>0.7083333333321207</v>
      </c>
      <c r="AB8083" s="234">
        <v>-10.5</v>
      </c>
      <c r="AC8083" s="127">
        <f t="shared" si="141"/>
        <v>-11</v>
      </c>
    </row>
    <row r="8084" ht="14.5" customHeight="1" spans="11:29" x14ac:dyDescent="0.25">
      <c r="K8084" s="128"/>
      <c r="X8084" s="234">
        <v>2022</v>
      </c>
      <c r="Y8084" s="234">
        <v>12</v>
      </c>
      <c r="Z8084" s="234">
        <v>3</v>
      </c>
      <c r="AA8084" s="235">
        <v>0.75</v>
      </c>
      <c r="AB8084" s="234">
        <v>-10.3</v>
      </c>
      <c r="AC8084" s="127">
        <f t="shared" si="141"/>
        <v>-10</v>
      </c>
    </row>
    <row r="8085" ht="14.5" customHeight="1" spans="11:29" x14ac:dyDescent="0.25">
      <c r="K8085" s="128"/>
      <c r="X8085" s="234">
        <v>2022</v>
      </c>
      <c r="Y8085" s="234">
        <v>12</v>
      </c>
      <c r="Z8085" s="234">
        <v>3</v>
      </c>
      <c r="AA8085" s="235">
        <v>0.7916666666678793</v>
      </c>
      <c r="AB8085" s="234">
        <v>-10.5</v>
      </c>
      <c r="AC8085" s="127">
        <f t="shared" si="141"/>
        <v>-11</v>
      </c>
    </row>
    <row r="8086" ht="14.5" customHeight="1" spans="11:29" x14ac:dyDescent="0.25">
      <c r="K8086" s="128"/>
      <c r="X8086" s="234">
        <v>2022</v>
      </c>
      <c r="Y8086" s="234">
        <v>12</v>
      </c>
      <c r="Z8086" s="234">
        <v>3</v>
      </c>
      <c r="AA8086" s="235">
        <v>0.8333333333321207</v>
      </c>
      <c r="AB8086" s="234">
        <v>-10.9</v>
      </c>
      <c r="AC8086" s="127">
        <f t="shared" si="141"/>
        <v>-11</v>
      </c>
    </row>
    <row r="8087" ht="14.5" customHeight="1" spans="11:29" x14ac:dyDescent="0.25">
      <c r="K8087" s="128"/>
      <c r="X8087" s="234">
        <v>2022</v>
      </c>
      <c r="Y8087" s="234">
        <v>12</v>
      </c>
      <c r="Z8087" s="234">
        <v>3</v>
      </c>
      <c r="AA8087" s="235">
        <v>0.875</v>
      </c>
      <c r="AB8087" s="234">
        <v>-11.1</v>
      </c>
      <c r="AC8087" s="127">
        <f t="shared" si="141"/>
        <v>-11</v>
      </c>
    </row>
    <row r="8088" ht="14.5" customHeight="1" spans="11:29" x14ac:dyDescent="0.25">
      <c r="K8088" s="128"/>
      <c r="X8088" s="234">
        <v>2022</v>
      </c>
      <c r="Y8088" s="234">
        <v>12</v>
      </c>
      <c r="Z8088" s="234">
        <v>3</v>
      </c>
      <c r="AA8088" s="235">
        <v>0.9166666666678793</v>
      </c>
      <c r="AB8088" s="234">
        <v>-11.1</v>
      </c>
      <c r="AC8088" s="127">
        <f t="shared" si="141"/>
        <v>-11</v>
      </c>
    </row>
    <row r="8089" ht="14.5" customHeight="1" spans="11:29" x14ac:dyDescent="0.25">
      <c r="K8089" s="128"/>
      <c r="X8089" s="234">
        <v>2022</v>
      </c>
      <c r="Y8089" s="234">
        <v>12</v>
      </c>
      <c r="Z8089" s="234">
        <v>3</v>
      </c>
      <c r="AA8089" s="235">
        <v>0.9583333333321207</v>
      </c>
      <c r="AB8089" s="234">
        <v>-7.4</v>
      </c>
      <c r="AC8089" s="127">
        <f t="shared" si="141"/>
        <v>-7</v>
      </c>
    </row>
    <row r="8090" ht="14.5" customHeight="1" spans="11:29" x14ac:dyDescent="0.25">
      <c r="K8090" s="128"/>
      <c r="X8090" s="234">
        <v>2022</v>
      </c>
      <c r="Y8090" s="234">
        <v>12</v>
      </c>
      <c r="Z8090" s="234">
        <v>4</v>
      </c>
      <c r="AA8090" s="235">
        <v>0</v>
      </c>
      <c r="AB8090" s="234">
        <v>-6.4</v>
      </c>
      <c r="AC8090" s="127">
        <f t="shared" si="141"/>
        <v>-6</v>
      </c>
    </row>
    <row r="8091" ht="14.5" customHeight="1" spans="11:29" x14ac:dyDescent="0.25">
      <c r="K8091" s="128"/>
      <c r="X8091" s="234">
        <v>2022</v>
      </c>
      <c r="Y8091" s="234">
        <v>12</v>
      </c>
      <c r="Z8091" s="234">
        <v>4</v>
      </c>
      <c r="AA8091" s="235">
        <v>0.041666666667879326</v>
      </c>
      <c r="AB8091" s="234">
        <v>-1.5</v>
      </c>
      <c r="AC8091" s="127">
        <f t="shared" si="141"/>
        <v>-2</v>
      </c>
    </row>
    <row r="8092" ht="14.5" customHeight="1" spans="11:29" x14ac:dyDescent="0.25">
      <c r="K8092" s="128"/>
      <c r="X8092" s="234">
        <v>2022</v>
      </c>
      <c r="Y8092" s="234">
        <v>12</v>
      </c>
      <c r="Z8092" s="234">
        <v>4</v>
      </c>
      <c r="AA8092" s="235">
        <v>0.08333333333212067</v>
      </c>
      <c r="AB8092" s="234">
        <v>1.1</v>
      </c>
      <c r="AC8092" s="127">
        <f t="shared" si="141"/>
        <v>1</v>
      </c>
    </row>
    <row r="8093" ht="14.5" customHeight="1" spans="11:29" x14ac:dyDescent="0.25">
      <c r="K8093" s="128"/>
      <c r="X8093" s="234">
        <v>2022</v>
      </c>
      <c r="Y8093" s="234">
        <v>12</v>
      </c>
      <c r="Z8093" s="234">
        <v>4</v>
      </c>
      <c r="AA8093" s="235">
        <v>0.125</v>
      </c>
      <c r="AB8093" s="234">
        <v>1.7</v>
      </c>
      <c r="AC8093" s="127">
        <f t="shared" si="141"/>
        <v>2</v>
      </c>
    </row>
    <row r="8094" ht="14.5" customHeight="1" spans="11:29" x14ac:dyDescent="0.25">
      <c r="K8094" s="128"/>
      <c r="X8094" s="234">
        <v>2022</v>
      </c>
      <c r="Y8094" s="234">
        <v>12</v>
      </c>
      <c r="Z8094" s="234">
        <v>4</v>
      </c>
      <c r="AA8094" s="235">
        <v>0.16666666666787933</v>
      </c>
      <c r="AB8094" s="234">
        <v>-1.4</v>
      </c>
      <c r="AC8094" s="127">
        <f t="shared" si="141"/>
        <v>-1</v>
      </c>
    </row>
    <row r="8095" ht="14.5" customHeight="1" spans="11:29" x14ac:dyDescent="0.25">
      <c r="K8095" s="128"/>
      <c r="X8095" s="234">
        <v>2022</v>
      </c>
      <c r="Y8095" s="234">
        <v>12</v>
      </c>
      <c r="Z8095" s="234">
        <v>4</v>
      </c>
      <c r="AA8095" s="235">
        <v>0.20833333333212067</v>
      </c>
      <c r="AB8095" s="234">
        <v>-2.8</v>
      </c>
      <c r="AC8095" s="127">
        <f t="shared" si="141"/>
        <v>-3</v>
      </c>
    </row>
    <row r="8096" ht="14.5" customHeight="1" spans="11:29" x14ac:dyDescent="0.25">
      <c r="K8096" s="128"/>
      <c r="X8096" s="234">
        <v>2022</v>
      </c>
      <c r="Y8096" s="234">
        <v>12</v>
      </c>
      <c r="Z8096" s="234">
        <v>4</v>
      </c>
      <c r="AA8096" s="235">
        <v>0.25</v>
      </c>
      <c r="AB8096" s="234">
        <v>-5</v>
      </c>
      <c r="AC8096" s="127">
        <f t="shared" si="141"/>
        <v>-5</v>
      </c>
    </row>
    <row r="8097" ht="14.5" customHeight="1" spans="11:29" x14ac:dyDescent="0.25">
      <c r="K8097" s="128"/>
      <c r="X8097" s="234">
        <v>2022</v>
      </c>
      <c r="Y8097" s="234">
        <v>12</v>
      </c>
      <c r="Z8097" s="234">
        <v>4</v>
      </c>
      <c r="AA8097" s="235">
        <v>0.2916666666678793</v>
      </c>
      <c r="AB8097" s="234">
        <v>-6.1</v>
      </c>
      <c r="AC8097" s="127">
        <f t="shared" si="141"/>
        <v>-6</v>
      </c>
    </row>
    <row r="8098" ht="14.5" customHeight="1" spans="11:29" x14ac:dyDescent="0.25">
      <c r="K8098" s="128"/>
      <c r="X8098" s="234">
        <v>2022</v>
      </c>
      <c r="Y8098" s="234">
        <v>12</v>
      </c>
      <c r="Z8098" s="234">
        <v>4</v>
      </c>
      <c r="AA8098" s="235">
        <v>0.3333333333321207</v>
      </c>
      <c r="AB8098" s="234">
        <v>-5</v>
      </c>
      <c r="AC8098" s="127">
        <f t="shared" si="141"/>
        <v>-5</v>
      </c>
    </row>
    <row r="8099" ht="14.5" customHeight="1" spans="11:29" x14ac:dyDescent="0.25">
      <c r="K8099" s="128"/>
      <c r="X8099" s="234">
        <v>2022</v>
      </c>
      <c r="Y8099" s="234">
        <v>12</v>
      </c>
      <c r="Z8099" s="234">
        <v>4</v>
      </c>
      <c r="AA8099" s="235">
        <v>0.375</v>
      </c>
      <c r="AB8099" s="234">
        <v>-2.1</v>
      </c>
      <c r="AC8099" s="127">
        <f t="shared" si="141"/>
        <v>-2</v>
      </c>
    </row>
    <row r="8100" ht="14.5" customHeight="1" spans="11:29" x14ac:dyDescent="0.25">
      <c r="K8100" s="128"/>
      <c r="X8100" s="234">
        <v>2022</v>
      </c>
      <c r="Y8100" s="234">
        <v>12</v>
      </c>
      <c r="Z8100" s="234">
        <v>4</v>
      </c>
      <c r="AA8100" s="235">
        <v>0.4166666666678793</v>
      </c>
      <c r="AB8100" s="234">
        <v>-1</v>
      </c>
      <c r="AC8100" s="127">
        <f t="shared" si="141"/>
        <v>-1</v>
      </c>
    </row>
    <row r="8101" ht="14.5" customHeight="1" spans="11:29" x14ac:dyDescent="0.25">
      <c r="K8101" s="128"/>
      <c r="X8101" s="234">
        <v>2022</v>
      </c>
      <c r="Y8101" s="234">
        <v>12</v>
      </c>
      <c r="Z8101" s="234">
        <v>4</v>
      </c>
      <c r="AA8101" s="235">
        <v>0.4583333333321207</v>
      </c>
      <c r="AB8101" s="234">
        <v>-1.4</v>
      </c>
      <c r="AC8101" s="127">
        <f t="shared" si="141"/>
        <v>-1</v>
      </c>
    </row>
    <row r="8102" ht="14.5" customHeight="1" spans="11:29" x14ac:dyDescent="0.25">
      <c r="K8102" s="128"/>
      <c r="X8102" s="234">
        <v>2022</v>
      </c>
      <c r="Y8102" s="234">
        <v>12</v>
      </c>
      <c r="Z8102" s="234">
        <v>4</v>
      </c>
      <c r="AA8102" s="235">
        <v>0.5</v>
      </c>
      <c r="AB8102" s="234">
        <v>-0.6</v>
      </c>
      <c r="AC8102" s="127">
        <f t="shared" si="141"/>
        <v>-1</v>
      </c>
    </row>
    <row r="8103" ht="14.5" customHeight="1" spans="11:29" x14ac:dyDescent="0.25">
      <c r="K8103" s="128"/>
      <c r="X8103" s="234">
        <v>2022</v>
      </c>
      <c r="Y8103" s="234">
        <v>12</v>
      </c>
      <c r="Z8103" s="234">
        <v>4</v>
      </c>
      <c r="AA8103" s="235">
        <v>0.5416666666678793</v>
      </c>
      <c r="AB8103" s="234">
        <v>-0.9</v>
      </c>
      <c r="AC8103" s="127">
        <f t="shared" si="141"/>
        <v>-1</v>
      </c>
    </row>
    <row r="8104" ht="14.5" customHeight="1" spans="11:29" x14ac:dyDescent="0.25">
      <c r="K8104" s="128"/>
      <c r="X8104" s="234">
        <v>2022</v>
      </c>
      <c r="Y8104" s="234">
        <v>12</v>
      </c>
      <c r="Z8104" s="234">
        <v>4</v>
      </c>
      <c r="AA8104" s="235">
        <v>0.5833333333321207</v>
      </c>
      <c r="AB8104" s="234">
        <v>-1.3</v>
      </c>
      <c r="AC8104" s="127">
        <f t="shared" si="141"/>
        <v>-1</v>
      </c>
    </row>
    <row r="8105" ht="14.5" customHeight="1" spans="11:29" x14ac:dyDescent="0.25">
      <c r="K8105" s="128"/>
      <c r="X8105" s="234">
        <v>2022</v>
      </c>
      <c r="Y8105" s="234">
        <v>12</v>
      </c>
      <c r="Z8105" s="234">
        <v>4</v>
      </c>
      <c r="AA8105" s="235">
        <v>0.625</v>
      </c>
      <c r="AB8105" s="234">
        <v>-2.1</v>
      </c>
      <c r="AC8105" s="127">
        <f t="shared" si="141"/>
        <v>-2</v>
      </c>
    </row>
    <row r="8106" ht="14.5" customHeight="1" spans="11:29" x14ac:dyDescent="0.25">
      <c r="K8106" s="128"/>
      <c r="X8106" s="234">
        <v>2022</v>
      </c>
      <c r="Y8106" s="234">
        <v>12</v>
      </c>
      <c r="Z8106" s="234">
        <v>4</v>
      </c>
      <c r="AA8106" s="235">
        <v>0.6666666666678793</v>
      </c>
      <c r="AB8106" s="234">
        <v>-2.8</v>
      </c>
      <c r="AC8106" s="127">
        <f t="shared" si="141"/>
        <v>-3</v>
      </c>
    </row>
    <row r="8107" ht="14.5" customHeight="1" spans="11:29" x14ac:dyDescent="0.25">
      <c r="K8107" s="128"/>
      <c r="X8107" s="234">
        <v>2022</v>
      </c>
      <c r="Y8107" s="234">
        <v>12</v>
      </c>
      <c r="Z8107" s="234">
        <v>4</v>
      </c>
      <c r="AA8107" s="235">
        <v>0.7083333333321207</v>
      </c>
      <c r="AB8107" s="234">
        <v>-3.8</v>
      </c>
      <c r="AC8107" s="127">
        <f t="shared" si="141"/>
        <v>-4</v>
      </c>
    </row>
    <row r="8108" ht="14.5" customHeight="1" spans="11:29" x14ac:dyDescent="0.25">
      <c r="K8108" s="128"/>
      <c r="X8108" s="234">
        <v>2022</v>
      </c>
      <c r="Y8108" s="234">
        <v>12</v>
      </c>
      <c r="Z8108" s="234">
        <v>4</v>
      </c>
      <c r="AA8108" s="235">
        <v>0.75</v>
      </c>
      <c r="AB8108" s="234">
        <v>-4.4</v>
      </c>
      <c r="AC8108" s="127">
        <f t="shared" si="141"/>
        <v>-4</v>
      </c>
    </row>
    <row r="8109" ht="14.5" customHeight="1" spans="11:29" x14ac:dyDescent="0.25">
      <c r="K8109" s="128"/>
      <c r="X8109" s="234">
        <v>2022</v>
      </c>
      <c r="Y8109" s="234">
        <v>12</v>
      </c>
      <c r="Z8109" s="234">
        <v>4</v>
      </c>
      <c r="AA8109" s="235">
        <v>0.7916666666678793</v>
      </c>
      <c r="AB8109" s="234">
        <v>-5</v>
      </c>
      <c r="AC8109" s="127">
        <f t="shared" si="141"/>
        <v>-5</v>
      </c>
    </row>
    <row r="8110" ht="14.5" customHeight="1" spans="11:29" x14ac:dyDescent="0.25">
      <c r="K8110" s="128"/>
      <c r="X8110" s="234">
        <v>2022</v>
      </c>
      <c r="Y8110" s="234">
        <v>12</v>
      </c>
      <c r="Z8110" s="234">
        <v>4</v>
      </c>
      <c r="AA8110" s="235">
        <v>0.8333333333321207</v>
      </c>
      <c r="AB8110" s="234">
        <v>-5.6</v>
      </c>
      <c r="AC8110" s="127">
        <f t="shared" si="141"/>
        <v>-6</v>
      </c>
    </row>
    <row r="8111" ht="14.5" customHeight="1" spans="11:29" x14ac:dyDescent="0.25">
      <c r="K8111" s="128"/>
      <c r="X8111" s="234">
        <v>2022</v>
      </c>
      <c r="Y8111" s="234">
        <v>12</v>
      </c>
      <c r="Z8111" s="234">
        <v>4</v>
      </c>
      <c r="AA8111" s="235">
        <v>0.875</v>
      </c>
      <c r="AB8111" s="234">
        <v>-5.8</v>
      </c>
      <c r="AC8111" s="127">
        <f t="shared" si="141"/>
        <v>-6</v>
      </c>
    </row>
    <row r="8112" ht="14.5" customHeight="1" spans="11:29" x14ac:dyDescent="0.25">
      <c r="K8112" s="128"/>
      <c r="X8112" s="234">
        <v>2022</v>
      </c>
      <c r="Y8112" s="234">
        <v>12</v>
      </c>
      <c r="Z8112" s="234">
        <v>4</v>
      </c>
      <c r="AA8112" s="235">
        <v>0.9166666666678793</v>
      </c>
      <c r="AB8112" s="234">
        <v>-6.4</v>
      </c>
      <c r="AC8112" s="127">
        <f t="shared" si="141"/>
        <v>-6</v>
      </c>
    </row>
    <row r="8113" ht="14.5" customHeight="1" spans="11:29" x14ac:dyDescent="0.25">
      <c r="K8113" s="128"/>
      <c r="X8113" s="234">
        <v>2022</v>
      </c>
      <c r="Y8113" s="234">
        <v>12</v>
      </c>
      <c r="Z8113" s="234">
        <v>4</v>
      </c>
      <c r="AA8113" s="235">
        <v>0.9583333333321207</v>
      </c>
      <c r="AB8113" s="234">
        <v>-6.9</v>
      </c>
      <c r="AC8113" s="127">
        <f t="shared" si="141"/>
        <v>-7</v>
      </c>
    </row>
    <row r="8114" ht="14.5" customHeight="1" spans="11:29" x14ac:dyDescent="0.25">
      <c r="K8114" s="128"/>
      <c r="X8114" s="234">
        <v>2022</v>
      </c>
      <c r="Y8114" s="234">
        <v>12</v>
      </c>
      <c r="Z8114" s="234">
        <v>5</v>
      </c>
      <c r="AA8114" s="235">
        <v>0</v>
      </c>
      <c r="AB8114" s="234">
        <v>-7.2</v>
      </c>
      <c r="AC8114" s="127">
        <f t="shared" si="141"/>
        <v>-7</v>
      </c>
    </row>
    <row r="8115" ht="14.5" customHeight="1" spans="11:29" x14ac:dyDescent="0.25">
      <c r="K8115" s="128"/>
      <c r="X8115" s="234">
        <v>2022</v>
      </c>
      <c r="Y8115" s="234">
        <v>12</v>
      </c>
      <c r="Z8115" s="234">
        <v>5</v>
      </c>
      <c r="AA8115" s="235">
        <v>0.041666666667879326</v>
      </c>
      <c r="AB8115" s="234">
        <v>-7.3</v>
      </c>
      <c r="AC8115" s="127">
        <f t="shared" si="141"/>
        <v>-7</v>
      </c>
    </row>
    <row r="8116" ht="14.5" customHeight="1" spans="11:29" x14ac:dyDescent="0.25">
      <c r="K8116" s="128"/>
      <c r="X8116" s="234">
        <v>2022</v>
      </c>
      <c r="Y8116" s="234">
        <v>12</v>
      </c>
      <c r="Z8116" s="234">
        <v>5</v>
      </c>
      <c r="AA8116" s="235">
        <v>0.08333333333212067</v>
      </c>
      <c r="AB8116" s="234">
        <v>-7.8</v>
      </c>
      <c r="AC8116" s="127">
        <f t="shared" si="141"/>
        <v>-8</v>
      </c>
    </row>
    <row r="8117" ht="14.5" customHeight="1" spans="11:29" x14ac:dyDescent="0.25">
      <c r="K8117" s="128"/>
      <c r="X8117" s="234">
        <v>2022</v>
      </c>
      <c r="Y8117" s="234">
        <v>12</v>
      </c>
      <c r="Z8117" s="234">
        <v>5</v>
      </c>
      <c r="AA8117" s="235">
        <v>0.125</v>
      </c>
      <c r="AB8117" s="234">
        <v>-8.2</v>
      </c>
      <c r="AC8117" s="127">
        <f t="shared" si="141"/>
        <v>-8</v>
      </c>
    </row>
    <row r="8118" ht="14.5" customHeight="1" spans="11:29" x14ac:dyDescent="0.25">
      <c r="K8118" s="128"/>
      <c r="X8118" s="234">
        <v>2022</v>
      </c>
      <c r="Y8118" s="234">
        <v>12</v>
      </c>
      <c r="Z8118" s="234">
        <v>5</v>
      </c>
      <c r="AA8118" s="235">
        <v>0.16666666666787933</v>
      </c>
      <c r="AB8118" s="234">
        <v>-8.8</v>
      </c>
      <c r="AC8118" s="127">
        <f t="shared" si="141"/>
        <v>-9</v>
      </c>
    </row>
    <row r="8119" ht="14.5" customHeight="1" spans="11:29" x14ac:dyDescent="0.25">
      <c r="K8119" s="128"/>
      <c r="X8119" s="234">
        <v>2022</v>
      </c>
      <c r="Y8119" s="234">
        <v>12</v>
      </c>
      <c r="Z8119" s="234">
        <v>5</v>
      </c>
      <c r="AA8119" s="235">
        <v>0.20833333333212067</v>
      </c>
      <c r="AB8119" s="234">
        <v>-10.4</v>
      </c>
      <c r="AC8119" s="127">
        <f t="shared" si="141"/>
        <v>-10</v>
      </c>
    </row>
    <row r="8120" ht="14.5" customHeight="1" spans="11:29" x14ac:dyDescent="0.25">
      <c r="K8120" s="128"/>
      <c r="X8120" s="234">
        <v>2022</v>
      </c>
      <c r="Y8120" s="234">
        <v>12</v>
      </c>
      <c r="Z8120" s="234">
        <v>5</v>
      </c>
      <c r="AA8120" s="235">
        <v>0.25</v>
      </c>
      <c r="AB8120" s="234">
        <v>-10.5</v>
      </c>
      <c r="AC8120" s="127">
        <f t="shared" si="141"/>
        <v>-11</v>
      </c>
    </row>
    <row r="8121" ht="14.5" customHeight="1" spans="11:29" x14ac:dyDescent="0.25">
      <c r="K8121" s="128"/>
      <c r="X8121" s="234">
        <v>2022</v>
      </c>
      <c r="Y8121" s="234">
        <v>12</v>
      </c>
      <c r="Z8121" s="234">
        <v>5</v>
      </c>
      <c r="AA8121" s="235">
        <v>0.2916666666678793</v>
      </c>
      <c r="AB8121" s="234">
        <v>-10.5</v>
      </c>
      <c r="AC8121" s="127">
        <f t="shared" si="141"/>
        <v>-11</v>
      </c>
    </row>
    <row r="8122" ht="14.5" customHeight="1" spans="11:29" x14ac:dyDescent="0.25">
      <c r="K8122" s="128"/>
      <c r="X8122" s="234">
        <v>2022</v>
      </c>
      <c r="Y8122" s="234">
        <v>12</v>
      </c>
      <c r="Z8122" s="234">
        <v>5</v>
      </c>
      <c r="AA8122" s="235">
        <v>0.3333333333321207</v>
      </c>
      <c r="AB8122" s="234">
        <v>-10.7</v>
      </c>
      <c r="AC8122" s="127">
        <f t="shared" si="141"/>
        <v>-11</v>
      </c>
    </row>
    <row r="8123" ht="14.5" customHeight="1" spans="11:29" x14ac:dyDescent="0.25">
      <c r="K8123" s="128"/>
      <c r="X8123" s="234">
        <v>2022</v>
      </c>
      <c r="Y8123" s="234">
        <v>12</v>
      </c>
      <c r="Z8123" s="234">
        <v>5</v>
      </c>
      <c r="AA8123" s="235">
        <v>0.375</v>
      </c>
      <c r="AB8123" s="234">
        <v>-10.9</v>
      </c>
      <c r="AC8123" s="127">
        <f t="shared" si="141"/>
        <v>-11</v>
      </c>
    </row>
    <row r="8124" ht="14.5" customHeight="1" spans="11:29" x14ac:dyDescent="0.25">
      <c r="K8124" s="128"/>
      <c r="X8124" s="234">
        <v>2022</v>
      </c>
      <c r="Y8124" s="234">
        <v>12</v>
      </c>
      <c r="Z8124" s="234">
        <v>5</v>
      </c>
      <c r="AA8124" s="235">
        <v>0.4166666666678793</v>
      </c>
      <c r="AB8124" s="234">
        <v>-10.7</v>
      </c>
      <c r="AC8124" s="127">
        <f t="shared" si="141"/>
        <v>-11</v>
      </c>
    </row>
    <row r="8125" ht="14.5" customHeight="1" spans="11:29" x14ac:dyDescent="0.25">
      <c r="K8125" s="128"/>
      <c r="X8125" s="234">
        <v>2022</v>
      </c>
      <c r="Y8125" s="234">
        <v>12</v>
      </c>
      <c r="Z8125" s="234">
        <v>5</v>
      </c>
      <c r="AA8125" s="235">
        <v>0.4583333333321207</v>
      </c>
      <c r="AB8125" s="234">
        <v>-10.1</v>
      </c>
      <c r="AC8125" s="127">
        <f t="shared" si="141"/>
        <v>-10</v>
      </c>
    </row>
    <row r="8126" ht="14.5" customHeight="1" spans="11:29" x14ac:dyDescent="0.25">
      <c r="K8126" s="128"/>
      <c r="X8126" s="234">
        <v>2022</v>
      </c>
      <c r="Y8126" s="234">
        <v>12</v>
      </c>
      <c r="Z8126" s="234">
        <v>5</v>
      </c>
      <c r="AA8126" s="235">
        <v>0.5</v>
      </c>
      <c r="AB8126" s="234">
        <v>-10.1</v>
      </c>
      <c r="AC8126" s="127">
        <f t="shared" si="141"/>
        <v>-10</v>
      </c>
    </row>
    <row r="8127" ht="14.5" customHeight="1" spans="11:29" x14ac:dyDescent="0.25">
      <c r="K8127" s="128"/>
      <c r="X8127" s="234">
        <v>2022</v>
      </c>
      <c r="Y8127" s="234">
        <v>12</v>
      </c>
      <c r="Z8127" s="234">
        <v>5</v>
      </c>
      <c r="AA8127" s="235">
        <v>0.5416666666678793</v>
      </c>
      <c r="AB8127" s="234">
        <v>-9.6</v>
      </c>
      <c r="AC8127" s="127">
        <f t="shared" si="141"/>
        <v>-10</v>
      </c>
    </row>
    <row r="8128" ht="14.5" customHeight="1" spans="11:29" x14ac:dyDescent="0.25">
      <c r="K8128" s="128"/>
      <c r="X8128" s="234">
        <v>2022</v>
      </c>
      <c r="Y8128" s="234">
        <v>12</v>
      </c>
      <c r="Z8128" s="234">
        <v>5</v>
      </c>
      <c r="AA8128" s="235">
        <v>0.5833333333321207</v>
      </c>
      <c r="AB8128" s="234">
        <v>-8.7</v>
      </c>
      <c r="AC8128" s="127">
        <f t="shared" si="141"/>
        <v>-9</v>
      </c>
    </row>
    <row r="8129" ht="14.5" customHeight="1" spans="11:29" x14ac:dyDescent="0.25">
      <c r="K8129" s="128"/>
      <c r="X8129" s="234">
        <v>2022</v>
      </c>
      <c r="Y8129" s="234">
        <v>12</v>
      </c>
      <c r="Z8129" s="234">
        <v>5</v>
      </c>
      <c r="AA8129" s="235">
        <v>0.625</v>
      </c>
      <c r="AB8129" s="234">
        <v>-8.2</v>
      </c>
      <c r="AC8129" s="127">
        <f t="shared" si="141"/>
        <v>-8</v>
      </c>
    </row>
    <row r="8130" ht="14.5" customHeight="1" spans="11:29" x14ac:dyDescent="0.25">
      <c r="K8130" s="128"/>
      <c r="X8130" s="234">
        <v>2022</v>
      </c>
      <c r="Y8130" s="234">
        <v>12</v>
      </c>
      <c r="Z8130" s="234">
        <v>5</v>
      </c>
      <c r="AA8130" s="235">
        <v>0.6666666666678793</v>
      </c>
      <c r="AB8130" s="234">
        <v>-9.3</v>
      </c>
      <c r="AC8130" s="127">
        <f t="shared" si="141"/>
        <v>-9</v>
      </c>
    </row>
    <row r="8131" ht="14.5" customHeight="1" spans="11:29" x14ac:dyDescent="0.25">
      <c r="K8131" s="128"/>
      <c r="X8131" s="234">
        <v>2022</v>
      </c>
      <c r="Y8131" s="234">
        <v>12</v>
      </c>
      <c r="Z8131" s="234">
        <v>5</v>
      </c>
      <c r="AA8131" s="235">
        <v>0.7083333333321207</v>
      </c>
      <c r="AB8131" s="234">
        <v>-13.3</v>
      </c>
      <c r="AC8131" s="127">
        <f t="shared" si="141"/>
        <v>-13</v>
      </c>
    </row>
    <row r="8132" ht="14.5" customHeight="1" spans="11:29" x14ac:dyDescent="0.25">
      <c r="K8132" s="128"/>
      <c r="X8132" s="234">
        <v>2022</v>
      </c>
      <c r="Y8132" s="234">
        <v>12</v>
      </c>
      <c r="Z8132" s="234">
        <v>5</v>
      </c>
      <c r="AA8132" s="235">
        <v>0.75</v>
      </c>
      <c r="AB8132" s="234">
        <v>-14.3</v>
      </c>
      <c r="AC8132" s="127">
        <f t="shared" si="141"/>
        <v>-14</v>
      </c>
    </row>
    <row r="8133" ht="14.5" customHeight="1" spans="11:29" x14ac:dyDescent="0.25">
      <c r="K8133" s="128"/>
      <c r="X8133" s="234">
        <v>2022</v>
      </c>
      <c r="Y8133" s="234">
        <v>12</v>
      </c>
      <c r="Z8133" s="234">
        <v>5</v>
      </c>
      <c r="AA8133" s="235">
        <v>0.7916666666678793</v>
      </c>
      <c r="AB8133" s="234">
        <v>-14.9</v>
      </c>
      <c r="AC8133" s="127">
        <f t="shared" si="141"/>
        <v>-15</v>
      </c>
    </row>
    <row r="8134" ht="14.5" customHeight="1" spans="11:29" x14ac:dyDescent="0.25">
      <c r="K8134" s="128"/>
      <c r="X8134" s="234">
        <v>2022</v>
      </c>
      <c r="Y8134" s="234">
        <v>12</v>
      </c>
      <c r="Z8134" s="234">
        <v>5</v>
      </c>
      <c r="AA8134" s="235">
        <v>0.8333333333321207</v>
      </c>
      <c r="AB8134" s="234">
        <v>-15.7</v>
      </c>
      <c r="AC8134" s="127">
        <f t="shared" si="141"/>
        <v>-16</v>
      </c>
    </row>
    <row r="8135" ht="14.5" customHeight="1" spans="11:29" x14ac:dyDescent="0.25">
      <c r="K8135" s="128"/>
      <c r="X8135" s="234">
        <v>2022</v>
      </c>
      <c r="Y8135" s="234">
        <v>12</v>
      </c>
      <c r="Z8135" s="234">
        <v>5</v>
      </c>
      <c r="AA8135" s="235">
        <v>0.875</v>
      </c>
      <c r="AB8135" s="234">
        <v>-16.4</v>
      </c>
      <c r="AC8135" s="127">
        <f t="shared" si="141"/>
        <v>-16</v>
      </c>
    </row>
    <row r="8136" ht="14.5" customHeight="1" spans="11:29" x14ac:dyDescent="0.25">
      <c r="K8136" s="128"/>
      <c r="X8136" s="234">
        <v>2022</v>
      </c>
      <c r="Y8136" s="234">
        <v>12</v>
      </c>
      <c r="Z8136" s="234">
        <v>5</v>
      </c>
      <c r="AA8136" s="235">
        <v>0.9166666666678793</v>
      </c>
      <c r="AB8136" s="234">
        <v>-16.8</v>
      </c>
      <c r="AC8136" s="127">
        <f t="shared" si="141"/>
        <v>-17</v>
      </c>
    </row>
    <row r="8137" ht="14.5" customHeight="1" spans="11:29" x14ac:dyDescent="0.25">
      <c r="K8137" s="128"/>
      <c r="X8137" s="234">
        <v>2022</v>
      </c>
      <c r="Y8137" s="234">
        <v>12</v>
      </c>
      <c r="Z8137" s="234">
        <v>5</v>
      </c>
      <c r="AA8137" s="235">
        <v>0.9583333333321207</v>
      </c>
      <c r="AB8137" s="234">
        <v>-19.5</v>
      </c>
      <c r="AC8137" s="127">
        <f t="shared" si="141"/>
        <v>-20</v>
      </c>
    </row>
    <row r="8138" ht="14.5" customHeight="1" spans="11:29" x14ac:dyDescent="0.25">
      <c r="K8138" s="128"/>
      <c r="X8138" s="234">
        <v>2022</v>
      </c>
      <c r="Y8138" s="234">
        <v>12</v>
      </c>
      <c r="Z8138" s="234">
        <v>6</v>
      </c>
      <c r="AA8138" s="235">
        <v>0</v>
      </c>
      <c r="AB8138" s="234">
        <v>-21</v>
      </c>
      <c r="AC8138" s="127">
        <f t="shared" si="141"/>
        <v>-21</v>
      </c>
    </row>
    <row r="8139" ht="14.5" customHeight="1" spans="11:29" x14ac:dyDescent="0.25">
      <c r="K8139" s="128"/>
      <c r="X8139" s="234">
        <v>2022</v>
      </c>
      <c r="Y8139" s="234">
        <v>12</v>
      </c>
      <c r="Z8139" s="234">
        <v>6</v>
      </c>
      <c r="AA8139" s="235">
        <v>0.041666666667879326</v>
      </c>
      <c r="AB8139" s="234">
        <v>-21.7</v>
      </c>
      <c r="AC8139" s="127">
        <f t="shared" ref="AC8139:AC8202" si="142">ROUND(AB8139,0)</f>
        <v>-22</v>
      </c>
    </row>
    <row r="8140" ht="14.5" customHeight="1" spans="11:29" x14ac:dyDescent="0.25">
      <c r="K8140" s="128"/>
      <c r="X8140" s="234">
        <v>2022</v>
      </c>
      <c r="Y8140" s="234">
        <v>12</v>
      </c>
      <c r="Z8140" s="234">
        <v>6</v>
      </c>
      <c r="AA8140" s="235">
        <v>0.08333333333212067</v>
      </c>
      <c r="AB8140" s="234">
        <v>-22.2</v>
      </c>
      <c r="AC8140" s="127">
        <f t="shared" si="142"/>
        <v>-22</v>
      </c>
    </row>
    <row r="8141" ht="14.5" customHeight="1" spans="11:29" x14ac:dyDescent="0.25">
      <c r="K8141" s="128"/>
      <c r="X8141" s="234">
        <v>2022</v>
      </c>
      <c r="Y8141" s="234">
        <v>12</v>
      </c>
      <c r="Z8141" s="234">
        <v>6</v>
      </c>
      <c r="AA8141" s="235">
        <v>0.125</v>
      </c>
      <c r="AB8141" s="234">
        <v>-22.7</v>
      </c>
      <c r="AC8141" s="127">
        <f t="shared" si="142"/>
        <v>-23</v>
      </c>
    </row>
    <row r="8142" ht="14.5" customHeight="1" spans="11:29" x14ac:dyDescent="0.25">
      <c r="K8142" s="128"/>
      <c r="X8142" s="234">
        <v>2022</v>
      </c>
      <c r="Y8142" s="234">
        <v>12</v>
      </c>
      <c r="Z8142" s="234">
        <v>6</v>
      </c>
      <c r="AA8142" s="235">
        <v>0.16666666666787933</v>
      </c>
      <c r="AB8142" s="234">
        <v>-22.8</v>
      </c>
      <c r="AC8142" s="127">
        <f t="shared" si="142"/>
        <v>-23</v>
      </c>
    </row>
    <row r="8143" ht="14.5" customHeight="1" spans="11:29" x14ac:dyDescent="0.25">
      <c r="K8143" s="128"/>
      <c r="X8143" s="234">
        <v>2022</v>
      </c>
      <c r="Y8143" s="234">
        <v>12</v>
      </c>
      <c r="Z8143" s="234">
        <v>6</v>
      </c>
      <c r="AA8143" s="235">
        <v>0.20833333333212067</v>
      </c>
      <c r="AB8143" s="234">
        <v>-22.9</v>
      </c>
      <c r="AC8143" s="127">
        <f t="shared" si="142"/>
        <v>-23</v>
      </c>
    </row>
    <row r="8144" ht="14.5" customHeight="1" spans="11:29" x14ac:dyDescent="0.25">
      <c r="K8144" s="128"/>
      <c r="X8144" s="234">
        <v>2022</v>
      </c>
      <c r="Y8144" s="234">
        <v>12</v>
      </c>
      <c r="Z8144" s="234">
        <v>6</v>
      </c>
      <c r="AA8144" s="235">
        <v>0.25</v>
      </c>
      <c r="AB8144" s="234">
        <v>-22.7</v>
      </c>
      <c r="AC8144" s="127">
        <f t="shared" si="142"/>
        <v>-23</v>
      </c>
    </row>
    <row r="8145" ht="14.5" customHeight="1" spans="11:29" x14ac:dyDescent="0.25">
      <c r="K8145" s="128"/>
      <c r="X8145" s="234">
        <v>2022</v>
      </c>
      <c r="Y8145" s="234">
        <v>12</v>
      </c>
      <c r="Z8145" s="234">
        <v>6</v>
      </c>
      <c r="AA8145" s="235">
        <v>0.2916666666678793</v>
      </c>
      <c r="AB8145" s="234">
        <v>-22.9</v>
      </c>
      <c r="AC8145" s="127">
        <f t="shared" si="142"/>
        <v>-23</v>
      </c>
    </row>
    <row r="8146" ht="14.5" customHeight="1" spans="11:29" x14ac:dyDescent="0.25">
      <c r="K8146" s="128"/>
      <c r="X8146" s="234">
        <v>2022</v>
      </c>
      <c r="Y8146" s="234">
        <v>12</v>
      </c>
      <c r="Z8146" s="234">
        <v>6</v>
      </c>
      <c r="AA8146" s="235">
        <v>0.3333333333321207</v>
      </c>
      <c r="AB8146" s="234">
        <v>-23</v>
      </c>
      <c r="AC8146" s="127">
        <f t="shared" si="142"/>
        <v>-23</v>
      </c>
    </row>
    <row r="8147" ht="14.5" customHeight="1" spans="11:29" x14ac:dyDescent="0.25">
      <c r="K8147" s="128"/>
      <c r="X8147" s="234">
        <v>2022</v>
      </c>
      <c r="Y8147" s="234">
        <v>12</v>
      </c>
      <c r="Z8147" s="234">
        <v>6</v>
      </c>
      <c r="AA8147" s="235">
        <v>0.375</v>
      </c>
      <c r="AB8147" s="234">
        <v>-22.9</v>
      </c>
      <c r="AC8147" s="127">
        <f t="shared" si="142"/>
        <v>-23</v>
      </c>
    </row>
    <row r="8148" ht="14.5" customHeight="1" spans="11:29" x14ac:dyDescent="0.25">
      <c r="K8148" s="128"/>
      <c r="X8148" s="234">
        <v>2022</v>
      </c>
      <c r="Y8148" s="234">
        <v>12</v>
      </c>
      <c r="Z8148" s="234">
        <v>6</v>
      </c>
      <c r="AA8148" s="235">
        <v>0.4166666666678793</v>
      </c>
      <c r="AB8148" s="234">
        <v>-22.9</v>
      </c>
      <c r="AC8148" s="127">
        <f t="shared" si="142"/>
        <v>-23</v>
      </c>
    </row>
    <row r="8149" ht="14.5" customHeight="1" spans="11:29" x14ac:dyDescent="0.25">
      <c r="K8149" s="128"/>
      <c r="X8149" s="234">
        <v>2022</v>
      </c>
      <c r="Y8149" s="234">
        <v>12</v>
      </c>
      <c r="Z8149" s="234">
        <v>6</v>
      </c>
      <c r="AA8149" s="235">
        <v>0.4583333333321207</v>
      </c>
      <c r="AB8149" s="234">
        <v>-22.7</v>
      </c>
      <c r="AC8149" s="127">
        <f t="shared" si="142"/>
        <v>-23</v>
      </c>
    </row>
    <row r="8150" ht="14.5" customHeight="1" spans="11:29" x14ac:dyDescent="0.25">
      <c r="K8150" s="128"/>
      <c r="X8150" s="234">
        <v>2022</v>
      </c>
      <c r="Y8150" s="234">
        <v>12</v>
      </c>
      <c r="Z8150" s="234">
        <v>6</v>
      </c>
      <c r="AA8150" s="235">
        <v>0.5</v>
      </c>
      <c r="AB8150" s="234">
        <v>-22.4</v>
      </c>
      <c r="AC8150" s="127">
        <f t="shared" si="142"/>
        <v>-22</v>
      </c>
    </row>
    <row r="8151" ht="14.5" customHeight="1" spans="11:29" x14ac:dyDescent="0.25">
      <c r="K8151" s="128"/>
      <c r="X8151" s="234">
        <v>2022</v>
      </c>
      <c r="Y8151" s="234">
        <v>12</v>
      </c>
      <c r="Z8151" s="234">
        <v>6</v>
      </c>
      <c r="AA8151" s="235">
        <v>0.5416666666678793</v>
      </c>
      <c r="AB8151" s="234">
        <v>-22.1</v>
      </c>
      <c r="AC8151" s="127">
        <f t="shared" si="142"/>
        <v>-22</v>
      </c>
    </row>
    <row r="8152" ht="14.5" customHeight="1" spans="11:29" x14ac:dyDescent="0.25">
      <c r="K8152" s="128"/>
      <c r="X8152" s="234">
        <v>2022</v>
      </c>
      <c r="Y8152" s="234">
        <v>12</v>
      </c>
      <c r="Z8152" s="234">
        <v>6</v>
      </c>
      <c r="AA8152" s="235">
        <v>0.5833333333321207</v>
      </c>
      <c r="AB8152" s="234">
        <v>-21.6</v>
      </c>
      <c r="AC8152" s="127">
        <f t="shared" si="142"/>
        <v>-22</v>
      </c>
    </row>
    <row r="8153" ht="14.5" customHeight="1" spans="11:29" x14ac:dyDescent="0.25">
      <c r="K8153" s="128"/>
      <c r="X8153" s="234">
        <v>2022</v>
      </c>
      <c r="Y8153" s="234">
        <v>12</v>
      </c>
      <c r="Z8153" s="234">
        <v>6</v>
      </c>
      <c r="AA8153" s="235">
        <v>0.625</v>
      </c>
      <c r="AB8153" s="234">
        <v>-21.3</v>
      </c>
      <c r="AC8153" s="127">
        <f t="shared" si="142"/>
        <v>-21</v>
      </c>
    </row>
    <row r="8154" ht="14.5" customHeight="1" spans="11:29" x14ac:dyDescent="0.25">
      <c r="K8154" s="128"/>
      <c r="X8154" s="234">
        <v>2022</v>
      </c>
      <c r="Y8154" s="234">
        <v>12</v>
      </c>
      <c r="Z8154" s="234">
        <v>6</v>
      </c>
      <c r="AA8154" s="235">
        <v>0.6666666666678793</v>
      </c>
      <c r="AB8154" s="234">
        <v>-21.4</v>
      </c>
      <c r="AC8154" s="127">
        <f t="shared" si="142"/>
        <v>-21</v>
      </c>
    </row>
    <row r="8155" ht="14.5" customHeight="1" spans="11:29" x14ac:dyDescent="0.25">
      <c r="K8155" s="128"/>
      <c r="X8155" s="234">
        <v>2022</v>
      </c>
      <c r="Y8155" s="234">
        <v>12</v>
      </c>
      <c r="Z8155" s="234">
        <v>6</v>
      </c>
      <c r="AA8155" s="235">
        <v>0.7083333333321207</v>
      </c>
      <c r="AB8155" s="234">
        <v>-21.5</v>
      </c>
      <c r="AC8155" s="127">
        <f t="shared" si="142"/>
        <v>-22</v>
      </c>
    </row>
    <row r="8156" ht="14.5" customHeight="1" spans="11:29" x14ac:dyDescent="0.25">
      <c r="K8156" s="128"/>
      <c r="X8156" s="234">
        <v>2022</v>
      </c>
      <c r="Y8156" s="234">
        <v>12</v>
      </c>
      <c r="Z8156" s="234">
        <v>6</v>
      </c>
      <c r="AA8156" s="235">
        <v>0.75</v>
      </c>
      <c r="AB8156" s="234">
        <v>-21</v>
      </c>
      <c r="AC8156" s="127">
        <f t="shared" si="142"/>
        <v>-21</v>
      </c>
    </row>
    <row r="8157" ht="14.5" customHeight="1" spans="11:29" x14ac:dyDescent="0.25">
      <c r="K8157" s="128"/>
      <c r="X8157" s="234">
        <v>2022</v>
      </c>
      <c r="Y8157" s="234">
        <v>12</v>
      </c>
      <c r="Z8157" s="234">
        <v>6</v>
      </c>
      <c r="AA8157" s="235">
        <v>0.7916666666678793</v>
      </c>
      <c r="AB8157" s="234">
        <v>-21.1</v>
      </c>
      <c r="AC8157" s="127">
        <f t="shared" si="142"/>
        <v>-21</v>
      </c>
    </row>
    <row r="8158" ht="14.5" customHeight="1" spans="11:29" x14ac:dyDescent="0.25">
      <c r="K8158" s="128"/>
      <c r="X8158" s="234">
        <v>2022</v>
      </c>
      <c r="Y8158" s="234">
        <v>12</v>
      </c>
      <c r="Z8158" s="234">
        <v>6</v>
      </c>
      <c r="AA8158" s="235">
        <v>0.8333333333321207</v>
      </c>
      <c r="AB8158" s="234">
        <v>-21.5</v>
      </c>
      <c r="AC8158" s="127">
        <f t="shared" si="142"/>
        <v>-22</v>
      </c>
    </row>
    <row r="8159" ht="14.5" customHeight="1" spans="11:29" x14ac:dyDescent="0.25">
      <c r="K8159" s="128"/>
      <c r="X8159" s="234">
        <v>2022</v>
      </c>
      <c r="Y8159" s="234">
        <v>12</v>
      </c>
      <c r="Z8159" s="234">
        <v>6</v>
      </c>
      <c r="AA8159" s="235">
        <v>0.875</v>
      </c>
      <c r="AB8159" s="234">
        <v>-21.5</v>
      </c>
      <c r="AC8159" s="127">
        <f t="shared" si="142"/>
        <v>-22</v>
      </c>
    </row>
    <row r="8160" ht="14.5" customHeight="1" spans="11:29" x14ac:dyDescent="0.25">
      <c r="K8160" s="128"/>
      <c r="X8160" s="234">
        <v>2022</v>
      </c>
      <c r="Y8160" s="234">
        <v>12</v>
      </c>
      <c r="Z8160" s="234">
        <v>6</v>
      </c>
      <c r="AA8160" s="235">
        <v>0.9166666666678793</v>
      </c>
      <c r="AB8160" s="234">
        <v>-21</v>
      </c>
      <c r="AC8160" s="127">
        <f t="shared" si="142"/>
        <v>-21</v>
      </c>
    </row>
    <row r="8161" ht="14.5" customHeight="1" spans="11:29" x14ac:dyDescent="0.25">
      <c r="K8161" s="128"/>
      <c r="X8161" s="234">
        <v>2022</v>
      </c>
      <c r="Y8161" s="234">
        <v>12</v>
      </c>
      <c r="Z8161" s="234">
        <v>6</v>
      </c>
      <c r="AA8161" s="235">
        <v>0.9583333333321207</v>
      </c>
      <c r="AB8161" s="234">
        <v>-20.6</v>
      </c>
      <c r="AC8161" s="127">
        <f t="shared" si="142"/>
        <v>-21</v>
      </c>
    </row>
    <row r="8162" ht="14.5" customHeight="1" spans="11:29" x14ac:dyDescent="0.25">
      <c r="K8162" s="128"/>
      <c r="X8162" s="234">
        <v>2022</v>
      </c>
      <c r="Y8162" s="234">
        <v>12</v>
      </c>
      <c r="Z8162" s="234">
        <v>7</v>
      </c>
      <c r="AA8162" s="235">
        <v>0</v>
      </c>
      <c r="AB8162" s="234">
        <v>-21.7</v>
      </c>
      <c r="AC8162" s="127">
        <f t="shared" si="142"/>
        <v>-22</v>
      </c>
    </row>
    <row r="8163" ht="14.5" customHeight="1" spans="11:29" x14ac:dyDescent="0.25">
      <c r="K8163" s="128"/>
      <c r="X8163" s="234">
        <v>2022</v>
      </c>
      <c r="Y8163" s="234">
        <v>12</v>
      </c>
      <c r="Z8163" s="234">
        <v>7</v>
      </c>
      <c r="AA8163" s="235">
        <v>0.041666666667879326</v>
      </c>
      <c r="AB8163" s="234">
        <v>-22.1</v>
      </c>
      <c r="AC8163" s="127">
        <f t="shared" si="142"/>
        <v>-22</v>
      </c>
    </row>
    <row r="8164" ht="14.5" customHeight="1" spans="11:29" x14ac:dyDescent="0.25">
      <c r="K8164" s="128"/>
      <c r="X8164" s="234">
        <v>2022</v>
      </c>
      <c r="Y8164" s="234">
        <v>12</v>
      </c>
      <c r="Z8164" s="234">
        <v>7</v>
      </c>
      <c r="AA8164" s="235">
        <v>0.08333333333212067</v>
      </c>
      <c r="AB8164" s="234">
        <v>-22.1</v>
      </c>
      <c r="AC8164" s="127">
        <f t="shared" si="142"/>
        <v>-22</v>
      </c>
    </row>
    <row r="8165" ht="14.5" customHeight="1" spans="11:29" x14ac:dyDescent="0.25">
      <c r="K8165" s="128"/>
      <c r="X8165" s="234">
        <v>2022</v>
      </c>
      <c r="Y8165" s="234">
        <v>12</v>
      </c>
      <c r="Z8165" s="234">
        <v>7</v>
      </c>
      <c r="AA8165" s="235">
        <v>0.125</v>
      </c>
      <c r="AB8165" s="234">
        <v>-21.1</v>
      </c>
      <c r="AC8165" s="127">
        <f t="shared" si="142"/>
        <v>-21</v>
      </c>
    </row>
    <row r="8166" ht="14.5" customHeight="1" spans="11:29" x14ac:dyDescent="0.25">
      <c r="K8166" s="128"/>
      <c r="X8166" s="234">
        <v>2022</v>
      </c>
      <c r="Y8166" s="234">
        <v>12</v>
      </c>
      <c r="Z8166" s="234">
        <v>7</v>
      </c>
      <c r="AA8166" s="235">
        <v>0.16666666666787933</v>
      </c>
      <c r="AB8166" s="234">
        <v>-17.5</v>
      </c>
      <c r="AC8166" s="127">
        <f t="shared" si="142"/>
        <v>-18</v>
      </c>
    </row>
    <row r="8167" ht="14.5" customHeight="1" spans="11:29" x14ac:dyDescent="0.25">
      <c r="K8167" s="128"/>
      <c r="X8167" s="234">
        <v>2022</v>
      </c>
      <c r="Y8167" s="234">
        <v>12</v>
      </c>
      <c r="Z8167" s="234">
        <v>7</v>
      </c>
      <c r="AA8167" s="235">
        <v>0.20833333333212067</v>
      </c>
      <c r="AB8167" s="234">
        <v>-13.6</v>
      </c>
      <c r="AC8167" s="127">
        <f t="shared" si="142"/>
        <v>-14</v>
      </c>
    </row>
    <row r="8168" ht="14.5" customHeight="1" spans="11:29" x14ac:dyDescent="0.25">
      <c r="K8168" s="128"/>
      <c r="X8168" s="234">
        <v>2022</v>
      </c>
      <c r="Y8168" s="234">
        <v>12</v>
      </c>
      <c r="Z8168" s="234">
        <v>7</v>
      </c>
      <c r="AA8168" s="235">
        <v>0.25</v>
      </c>
      <c r="AB8168" s="234">
        <v>-5.3</v>
      </c>
      <c r="AC8168" s="127">
        <f t="shared" si="142"/>
        <v>-5</v>
      </c>
    </row>
    <row r="8169" ht="14.5" customHeight="1" spans="11:29" x14ac:dyDescent="0.25">
      <c r="K8169" s="128"/>
      <c r="X8169" s="234">
        <v>2022</v>
      </c>
      <c r="Y8169" s="234">
        <v>12</v>
      </c>
      <c r="Z8169" s="234">
        <v>7</v>
      </c>
      <c r="AA8169" s="235">
        <v>0.2916666666678793</v>
      </c>
      <c r="AB8169" s="234">
        <v>-1.7</v>
      </c>
      <c r="AC8169" s="127">
        <f t="shared" si="142"/>
        <v>-2</v>
      </c>
    </row>
    <row r="8170" ht="14.5" customHeight="1" spans="11:29" x14ac:dyDescent="0.25">
      <c r="K8170" s="128"/>
      <c r="X8170" s="234">
        <v>2022</v>
      </c>
      <c r="Y8170" s="234">
        <v>12</v>
      </c>
      <c r="Z8170" s="234">
        <v>7</v>
      </c>
      <c r="AA8170" s="235">
        <v>0.3333333333321207</v>
      </c>
      <c r="AB8170" s="234">
        <v>-0.7</v>
      </c>
      <c r="AC8170" s="127">
        <f t="shared" si="142"/>
        <v>-1</v>
      </c>
    </row>
    <row r="8171" ht="14.5" customHeight="1" spans="11:29" x14ac:dyDescent="0.25">
      <c r="K8171" s="128"/>
      <c r="X8171" s="234">
        <v>2022</v>
      </c>
      <c r="Y8171" s="234">
        <v>12</v>
      </c>
      <c r="Z8171" s="234">
        <v>7</v>
      </c>
      <c r="AA8171" s="235">
        <v>0.375</v>
      </c>
      <c r="AB8171" s="234">
        <v>-0.5</v>
      </c>
      <c r="AC8171" s="127">
        <f t="shared" si="142"/>
        <v>-1</v>
      </c>
    </row>
    <row r="8172" ht="14.5" customHeight="1" spans="11:29" x14ac:dyDescent="0.25">
      <c r="K8172" s="128"/>
      <c r="X8172" s="234">
        <v>2022</v>
      </c>
      <c r="Y8172" s="234">
        <v>12</v>
      </c>
      <c r="Z8172" s="234">
        <v>7</v>
      </c>
      <c r="AA8172" s="235">
        <v>0.4166666666678793</v>
      </c>
      <c r="AB8172" s="234">
        <v>0.4</v>
      </c>
      <c r="AC8172" s="127">
        <f t="shared" si="142"/>
        <v>0</v>
      </c>
    </row>
    <row r="8173" ht="14.5" customHeight="1" spans="11:29" x14ac:dyDescent="0.25">
      <c r="K8173" s="128"/>
      <c r="X8173" s="234">
        <v>2022</v>
      </c>
      <c r="Y8173" s="234">
        <v>12</v>
      </c>
      <c r="Z8173" s="234">
        <v>7</v>
      </c>
      <c r="AA8173" s="235">
        <v>0.4583333333321207</v>
      </c>
      <c r="AB8173" s="234">
        <v>1.2</v>
      </c>
      <c r="AC8173" s="127">
        <f t="shared" si="142"/>
        <v>1</v>
      </c>
    </row>
    <row r="8174" ht="14.5" customHeight="1" spans="11:29" x14ac:dyDescent="0.25">
      <c r="K8174" s="128"/>
      <c r="X8174" s="234">
        <v>2022</v>
      </c>
      <c r="Y8174" s="234">
        <v>12</v>
      </c>
      <c r="Z8174" s="234">
        <v>7</v>
      </c>
      <c r="AA8174" s="235">
        <v>0.5</v>
      </c>
      <c r="AB8174" s="234">
        <v>2.2</v>
      </c>
      <c r="AC8174" s="127">
        <f t="shared" si="142"/>
        <v>2</v>
      </c>
    </row>
    <row r="8175" ht="14.5" customHeight="1" spans="11:29" x14ac:dyDescent="0.25">
      <c r="K8175" s="128"/>
      <c r="X8175" s="234">
        <v>2022</v>
      </c>
      <c r="Y8175" s="234">
        <v>12</v>
      </c>
      <c r="Z8175" s="234">
        <v>7</v>
      </c>
      <c r="AA8175" s="235">
        <v>0.5416666666678793</v>
      </c>
      <c r="AB8175" s="234">
        <v>2.7</v>
      </c>
      <c r="AC8175" s="127">
        <f t="shared" si="142"/>
        <v>3</v>
      </c>
    </row>
    <row r="8176" ht="14.5" customHeight="1" spans="11:29" x14ac:dyDescent="0.25">
      <c r="K8176" s="128"/>
      <c r="X8176" s="234">
        <v>2022</v>
      </c>
      <c r="Y8176" s="234">
        <v>12</v>
      </c>
      <c r="Z8176" s="234">
        <v>7</v>
      </c>
      <c r="AA8176" s="235">
        <v>0.5833333333321207</v>
      </c>
      <c r="AB8176" s="234">
        <v>2.4</v>
      </c>
      <c r="AC8176" s="127">
        <f t="shared" si="142"/>
        <v>2</v>
      </c>
    </row>
    <row r="8177" ht="14.5" customHeight="1" spans="11:29" x14ac:dyDescent="0.25">
      <c r="K8177" s="128"/>
      <c r="X8177" s="234">
        <v>2022</v>
      </c>
      <c r="Y8177" s="234">
        <v>12</v>
      </c>
      <c r="Z8177" s="234">
        <v>7</v>
      </c>
      <c r="AA8177" s="235">
        <v>0.625</v>
      </c>
      <c r="AB8177" s="234">
        <v>2.6</v>
      </c>
      <c r="AC8177" s="127">
        <f t="shared" si="142"/>
        <v>3</v>
      </c>
    </row>
    <row r="8178" ht="14.5" customHeight="1" spans="11:29" x14ac:dyDescent="0.25">
      <c r="K8178" s="128"/>
      <c r="X8178" s="234">
        <v>2022</v>
      </c>
      <c r="Y8178" s="234">
        <v>12</v>
      </c>
      <c r="Z8178" s="234">
        <v>7</v>
      </c>
      <c r="AA8178" s="235">
        <v>0.6666666666678793</v>
      </c>
      <c r="AB8178" s="234">
        <v>1.6</v>
      </c>
      <c r="AC8178" s="127">
        <f t="shared" si="142"/>
        <v>2</v>
      </c>
    </row>
    <row r="8179" ht="14.5" customHeight="1" spans="11:29" x14ac:dyDescent="0.25">
      <c r="K8179" s="128"/>
      <c r="X8179" s="234">
        <v>2022</v>
      </c>
      <c r="Y8179" s="234">
        <v>12</v>
      </c>
      <c r="Z8179" s="234">
        <v>7</v>
      </c>
      <c r="AA8179" s="235">
        <v>0.7083333333321207</v>
      </c>
      <c r="AB8179" s="234">
        <v>0</v>
      </c>
      <c r="AC8179" s="127">
        <f t="shared" si="142"/>
        <v>0</v>
      </c>
    </row>
    <row r="8180" ht="14.5" customHeight="1" spans="11:29" x14ac:dyDescent="0.25">
      <c r="K8180" s="128"/>
      <c r="X8180" s="234">
        <v>2022</v>
      </c>
      <c r="Y8180" s="234">
        <v>12</v>
      </c>
      <c r="Z8180" s="234">
        <v>7</v>
      </c>
      <c r="AA8180" s="235">
        <v>0.75</v>
      </c>
      <c r="AB8180" s="234">
        <v>0.1</v>
      </c>
      <c r="AC8180" s="127">
        <f t="shared" si="142"/>
        <v>0</v>
      </c>
    </row>
    <row r="8181" ht="14.5" customHeight="1" spans="11:29" x14ac:dyDescent="0.25">
      <c r="K8181" s="128"/>
      <c r="X8181" s="234">
        <v>2022</v>
      </c>
      <c r="Y8181" s="234">
        <v>12</v>
      </c>
      <c r="Z8181" s="234">
        <v>7</v>
      </c>
      <c r="AA8181" s="235">
        <v>0.7916666666678793</v>
      </c>
      <c r="AB8181" s="234">
        <v>0.4</v>
      </c>
      <c r="AC8181" s="127">
        <f t="shared" si="142"/>
        <v>0</v>
      </c>
    </row>
    <row r="8182" ht="14.5" customHeight="1" spans="11:29" x14ac:dyDescent="0.25">
      <c r="K8182" s="128"/>
      <c r="X8182" s="234">
        <v>2022</v>
      </c>
      <c r="Y8182" s="234">
        <v>12</v>
      </c>
      <c r="Z8182" s="234">
        <v>7</v>
      </c>
      <c r="AA8182" s="235">
        <v>0.8333333333321207</v>
      </c>
      <c r="AB8182" s="234">
        <v>1</v>
      </c>
      <c r="AC8182" s="127">
        <f t="shared" si="142"/>
        <v>1</v>
      </c>
    </row>
    <row r="8183" ht="14.5" customHeight="1" spans="11:29" x14ac:dyDescent="0.25">
      <c r="K8183" s="128"/>
      <c r="X8183" s="234">
        <v>2022</v>
      </c>
      <c r="Y8183" s="234">
        <v>12</v>
      </c>
      <c r="Z8183" s="234">
        <v>7</v>
      </c>
      <c r="AA8183" s="235">
        <v>0.875</v>
      </c>
      <c r="AB8183" s="234">
        <v>0.2</v>
      </c>
      <c r="AC8183" s="127">
        <f t="shared" si="142"/>
        <v>0</v>
      </c>
    </row>
    <row r="8184" ht="14.5" customHeight="1" spans="11:29" x14ac:dyDescent="0.25">
      <c r="K8184" s="128"/>
      <c r="X8184" s="234">
        <v>2022</v>
      </c>
      <c r="Y8184" s="234">
        <v>12</v>
      </c>
      <c r="Z8184" s="234">
        <v>7</v>
      </c>
      <c r="AA8184" s="235">
        <v>0.9166666666678793</v>
      </c>
      <c r="AB8184" s="234">
        <v>-0.3</v>
      </c>
      <c r="AC8184" s="127">
        <f t="shared" si="142"/>
        <v>0</v>
      </c>
    </row>
    <row r="8185" ht="14.5" customHeight="1" spans="11:29" x14ac:dyDescent="0.25">
      <c r="K8185" s="128"/>
      <c r="X8185" s="234">
        <v>2022</v>
      </c>
      <c r="Y8185" s="234">
        <v>12</v>
      </c>
      <c r="Z8185" s="234">
        <v>7</v>
      </c>
      <c r="AA8185" s="235">
        <v>0.9583333333321207</v>
      </c>
      <c r="AB8185" s="234">
        <v>-2</v>
      </c>
      <c r="AC8185" s="127">
        <f t="shared" si="142"/>
        <v>-2</v>
      </c>
    </row>
    <row r="8186" ht="14.5" customHeight="1" spans="11:29" x14ac:dyDescent="0.25">
      <c r="K8186" s="128"/>
      <c r="X8186" s="234">
        <v>2022</v>
      </c>
      <c r="Y8186" s="234">
        <v>12</v>
      </c>
      <c r="Z8186" s="234">
        <v>8</v>
      </c>
      <c r="AA8186" s="235">
        <v>0</v>
      </c>
      <c r="AB8186" s="234">
        <v>0.1</v>
      </c>
      <c r="AC8186" s="127">
        <f t="shared" si="142"/>
        <v>0</v>
      </c>
    </row>
    <row r="8187" ht="14.5" customHeight="1" spans="11:29" x14ac:dyDescent="0.25">
      <c r="K8187" s="128"/>
      <c r="X8187" s="234">
        <v>2022</v>
      </c>
      <c r="Y8187" s="234">
        <v>12</v>
      </c>
      <c r="Z8187" s="234">
        <v>8</v>
      </c>
      <c r="AA8187" s="235">
        <v>0.041666666667879326</v>
      </c>
      <c r="AB8187" s="234">
        <v>-2.7</v>
      </c>
      <c r="AC8187" s="127">
        <f t="shared" si="142"/>
        <v>-3</v>
      </c>
    </row>
    <row r="8188" ht="14.5" customHeight="1" spans="11:29" x14ac:dyDescent="0.25">
      <c r="K8188" s="128"/>
      <c r="X8188" s="234">
        <v>2022</v>
      </c>
      <c r="Y8188" s="234">
        <v>12</v>
      </c>
      <c r="Z8188" s="234">
        <v>8</v>
      </c>
      <c r="AA8188" s="235">
        <v>0.08333333333212067</v>
      </c>
      <c r="AB8188" s="234">
        <v>-0.2</v>
      </c>
      <c r="AC8188" s="127">
        <f t="shared" si="142"/>
        <v>0</v>
      </c>
    </row>
    <row r="8189" ht="14.5" customHeight="1" spans="11:29" x14ac:dyDescent="0.25">
      <c r="K8189" s="128"/>
      <c r="X8189" s="234">
        <v>2022</v>
      </c>
      <c r="Y8189" s="234">
        <v>12</v>
      </c>
      <c r="Z8189" s="234">
        <v>8</v>
      </c>
      <c r="AA8189" s="235">
        <v>0.125</v>
      </c>
      <c r="AB8189" s="234">
        <v>-2.3</v>
      </c>
      <c r="AC8189" s="127">
        <f t="shared" si="142"/>
        <v>-2</v>
      </c>
    </row>
    <row r="8190" ht="14.5" customHeight="1" spans="11:29" x14ac:dyDescent="0.25">
      <c r="K8190" s="128"/>
      <c r="X8190" s="234">
        <v>2022</v>
      </c>
      <c r="Y8190" s="234">
        <v>12</v>
      </c>
      <c r="Z8190" s="234">
        <v>8</v>
      </c>
      <c r="AA8190" s="235">
        <v>0.16666666666787933</v>
      </c>
      <c r="AB8190" s="234">
        <v>-2.1</v>
      </c>
      <c r="AC8190" s="127">
        <f t="shared" si="142"/>
        <v>-2</v>
      </c>
    </row>
    <row r="8191" ht="14.5" customHeight="1" spans="11:29" x14ac:dyDescent="0.25">
      <c r="K8191" s="128"/>
      <c r="X8191" s="234">
        <v>2022</v>
      </c>
      <c r="Y8191" s="234">
        <v>12</v>
      </c>
      <c r="Z8191" s="234">
        <v>8</v>
      </c>
      <c r="AA8191" s="235">
        <v>0.20833333333212067</v>
      </c>
      <c r="AB8191" s="234">
        <v>-1.9</v>
      </c>
      <c r="AC8191" s="127">
        <f t="shared" si="142"/>
        <v>-2</v>
      </c>
    </row>
    <row r="8192" ht="14.5" customHeight="1" spans="11:29" x14ac:dyDescent="0.25">
      <c r="K8192" s="128"/>
      <c r="X8192" s="234">
        <v>2022</v>
      </c>
      <c r="Y8192" s="234">
        <v>12</v>
      </c>
      <c r="Z8192" s="234">
        <v>8</v>
      </c>
      <c r="AA8192" s="235">
        <v>0.25</v>
      </c>
      <c r="AB8192" s="234">
        <v>-2.6</v>
      </c>
      <c r="AC8192" s="127">
        <f t="shared" si="142"/>
        <v>-3</v>
      </c>
    </row>
    <row r="8193" ht="14.5" customHeight="1" spans="11:29" x14ac:dyDescent="0.25">
      <c r="K8193" s="128"/>
      <c r="X8193" s="234">
        <v>2022</v>
      </c>
      <c r="Y8193" s="234">
        <v>12</v>
      </c>
      <c r="Z8193" s="234">
        <v>8</v>
      </c>
      <c r="AA8193" s="235">
        <v>0.2916666666678793</v>
      </c>
      <c r="AB8193" s="234">
        <v>-3.5</v>
      </c>
      <c r="AC8193" s="127">
        <f t="shared" si="142"/>
        <v>-4</v>
      </c>
    </row>
    <row r="8194" ht="14.5" customHeight="1" spans="11:29" x14ac:dyDescent="0.25">
      <c r="K8194" s="128"/>
      <c r="X8194" s="234">
        <v>2022</v>
      </c>
      <c r="Y8194" s="234">
        <v>12</v>
      </c>
      <c r="Z8194" s="234">
        <v>8</v>
      </c>
      <c r="AA8194" s="235">
        <v>0.3333333333321207</v>
      </c>
      <c r="AB8194" s="234">
        <v>-2.6</v>
      </c>
      <c r="AC8194" s="127">
        <f t="shared" si="142"/>
        <v>-3</v>
      </c>
    </row>
    <row r="8195" ht="14.5" customHeight="1" spans="11:29" x14ac:dyDescent="0.25">
      <c r="K8195" s="128"/>
      <c r="X8195" s="234">
        <v>2022</v>
      </c>
      <c r="Y8195" s="234">
        <v>12</v>
      </c>
      <c r="Z8195" s="234">
        <v>8</v>
      </c>
      <c r="AA8195" s="235">
        <v>0.375</v>
      </c>
      <c r="AB8195" s="234">
        <v>-2</v>
      </c>
      <c r="AC8195" s="127">
        <f t="shared" si="142"/>
        <v>-2</v>
      </c>
    </row>
    <row r="8196" ht="14.5" customHeight="1" spans="11:29" x14ac:dyDescent="0.25">
      <c r="K8196" s="128"/>
      <c r="X8196" s="234">
        <v>2022</v>
      </c>
      <c r="Y8196" s="234">
        <v>12</v>
      </c>
      <c r="Z8196" s="234">
        <v>8</v>
      </c>
      <c r="AA8196" s="235">
        <v>0.4166666666678793</v>
      </c>
      <c r="AB8196" s="234">
        <v>-2.9</v>
      </c>
      <c r="AC8196" s="127">
        <f t="shared" si="142"/>
        <v>-3</v>
      </c>
    </row>
    <row r="8197" ht="14.5" customHeight="1" spans="11:29" x14ac:dyDescent="0.25">
      <c r="K8197" s="128"/>
      <c r="X8197" s="234">
        <v>2022</v>
      </c>
      <c r="Y8197" s="234">
        <v>12</v>
      </c>
      <c r="Z8197" s="234">
        <v>8</v>
      </c>
      <c r="AA8197" s="235">
        <v>0.4583333333321207</v>
      </c>
      <c r="AB8197" s="234">
        <v>-1.1</v>
      </c>
      <c r="AC8197" s="127">
        <f t="shared" si="142"/>
        <v>-1</v>
      </c>
    </row>
    <row r="8198" ht="14.5" customHeight="1" spans="11:29" x14ac:dyDescent="0.25">
      <c r="K8198" s="128"/>
      <c r="X8198" s="234">
        <v>2022</v>
      </c>
      <c r="Y8198" s="234">
        <v>12</v>
      </c>
      <c r="Z8198" s="234">
        <v>8</v>
      </c>
      <c r="AA8198" s="235">
        <v>0.5</v>
      </c>
      <c r="AB8198" s="234">
        <v>-0.5</v>
      </c>
      <c r="AC8198" s="127">
        <f t="shared" si="142"/>
        <v>-1</v>
      </c>
    </row>
    <row r="8199" ht="14.5" customHeight="1" spans="11:29" x14ac:dyDescent="0.25">
      <c r="K8199" s="128"/>
      <c r="X8199" s="234">
        <v>2022</v>
      </c>
      <c r="Y8199" s="234">
        <v>12</v>
      </c>
      <c r="Z8199" s="234">
        <v>8</v>
      </c>
      <c r="AA8199" s="235">
        <v>0.5416666666678793</v>
      </c>
      <c r="AB8199" s="234">
        <v>-1.6</v>
      </c>
      <c r="AC8199" s="127">
        <f t="shared" si="142"/>
        <v>-2</v>
      </c>
    </row>
    <row r="8200" ht="14.5" customHeight="1" spans="11:29" x14ac:dyDescent="0.25">
      <c r="K8200" s="128"/>
      <c r="X8200" s="234">
        <v>2022</v>
      </c>
      <c r="Y8200" s="234">
        <v>12</v>
      </c>
      <c r="Z8200" s="234">
        <v>8</v>
      </c>
      <c r="AA8200" s="235">
        <v>0.5833333333321207</v>
      </c>
      <c r="AB8200" s="234">
        <v>-1.5</v>
      </c>
      <c r="AC8200" s="127">
        <f t="shared" si="142"/>
        <v>-2</v>
      </c>
    </row>
    <row r="8201" ht="14.5" customHeight="1" spans="11:29" x14ac:dyDescent="0.25">
      <c r="K8201" s="128"/>
      <c r="X8201" s="234">
        <v>2022</v>
      </c>
      <c r="Y8201" s="234">
        <v>12</v>
      </c>
      <c r="Z8201" s="234">
        <v>8</v>
      </c>
      <c r="AA8201" s="235">
        <v>0.625</v>
      </c>
      <c r="AB8201" s="234">
        <v>-2.5</v>
      </c>
      <c r="AC8201" s="127">
        <f t="shared" si="142"/>
        <v>-3</v>
      </c>
    </row>
    <row r="8202" ht="14.5" customHeight="1" spans="11:29" x14ac:dyDescent="0.25">
      <c r="K8202" s="128"/>
      <c r="X8202" s="234">
        <v>2022</v>
      </c>
      <c r="Y8202" s="234">
        <v>12</v>
      </c>
      <c r="Z8202" s="234">
        <v>8</v>
      </c>
      <c r="AA8202" s="235">
        <v>0.6666666666678793</v>
      </c>
      <c r="AB8202" s="234">
        <v>-2.1</v>
      </c>
      <c r="AC8202" s="127">
        <f t="shared" si="142"/>
        <v>-2</v>
      </c>
    </row>
    <row r="8203" ht="14.5" customHeight="1" spans="11:29" x14ac:dyDescent="0.25">
      <c r="K8203" s="128"/>
      <c r="X8203" s="234">
        <v>2022</v>
      </c>
      <c r="Y8203" s="234">
        <v>12</v>
      </c>
      <c r="Z8203" s="234">
        <v>8</v>
      </c>
      <c r="AA8203" s="235">
        <v>0.7083333333321207</v>
      </c>
      <c r="AB8203" s="234">
        <v>-2.8</v>
      </c>
      <c r="AC8203" s="127">
        <f t="shared" ref="AC8203:AC8266" si="143">ROUND(AB8203,0)</f>
        <v>-3</v>
      </c>
    </row>
    <row r="8204" ht="14.5" customHeight="1" spans="11:29" x14ac:dyDescent="0.25">
      <c r="K8204" s="128"/>
      <c r="X8204" s="234">
        <v>2022</v>
      </c>
      <c r="Y8204" s="234">
        <v>12</v>
      </c>
      <c r="Z8204" s="234">
        <v>8</v>
      </c>
      <c r="AA8204" s="235">
        <v>0.75</v>
      </c>
      <c r="AB8204" s="234">
        <v>-5.2</v>
      </c>
      <c r="AC8204" s="127">
        <f t="shared" si="143"/>
        <v>-5</v>
      </c>
    </row>
    <row r="8205" ht="14.5" customHeight="1" spans="11:29" x14ac:dyDescent="0.25">
      <c r="K8205" s="128"/>
      <c r="X8205" s="234">
        <v>2022</v>
      </c>
      <c r="Y8205" s="234">
        <v>12</v>
      </c>
      <c r="Z8205" s="234">
        <v>8</v>
      </c>
      <c r="AA8205" s="235">
        <v>0.7916666666678793</v>
      </c>
      <c r="AB8205" s="234">
        <v>-4.9</v>
      </c>
      <c r="AC8205" s="127">
        <f t="shared" si="143"/>
        <v>-5</v>
      </c>
    </row>
    <row r="8206" ht="14.5" customHeight="1" spans="11:29" x14ac:dyDescent="0.25">
      <c r="K8206" s="128"/>
      <c r="X8206" s="234">
        <v>2022</v>
      </c>
      <c r="Y8206" s="234">
        <v>12</v>
      </c>
      <c r="Z8206" s="234">
        <v>8</v>
      </c>
      <c r="AA8206" s="235">
        <v>0.8333333333321207</v>
      </c>
      <c r="AB8206" s="234">
        <v>-3.9</v>
      </c>
      <c r="AC8206" s="127">
        <f t="shared" si="143"/>
        <v>-4</v>
      </c>
    </row>
    <row r="8207" ht="14.5" customHeight="1" spans="11:29" x14ac:dyDescent="0.25">
      <c r="K8207" s="128"/>
      <c r="X8207" s="234">
        <v>2022</v>
      </c>
      <c r="Y8207" s="234">
        <v>12</v>
      </c>
      <c r="Z8207" s="234">
        <v>8</v>
      </c>
      <c r="AA8207" s="235">
        <v>0.875</v>
      </c>
      <c r="AB8207" s="234">
        <v>-7.7</v>
      </c>
      <c r="AC8207" s="127">
        <f t="shared" si="143"/>
        <v>-8</v>
      </c>
    </row>
    <row r="8208" ht="14.5" customHeight="1" spans="11:29" x14ac:dyDescent="0.25">
      <c r="K8208" s="128"/>
      <c r="X8208" s="234">
        <v>2022</v>
      </c>
      <c r="Y8208" s="234">
        <v>12</v>
      </c>
      <c r="Z8208" s="234">
        <v>8</v>
      </c>
      <c r="AA8208" s="235">
        <v>0.9166666666678793</v>
      </c>
      <c r="AB8208" s="234">
        <v>-9.2</v>
      </c>
      <c r="AC8208" s="127">
        <f t="shared" si="143"/>
        <v>-9</v>
      </c>
    </row>
    <row r="8209" ht="14.5" customHeight="1" spans="11:29" x14ac:dyDescent="0.25">
      <c r="K8209" s="128"/>
      <c r="X8209" s="234">
        <v>2022</v>
      </c>
      <c r="Y8209" s="234">
        <v>12</v>
      </c>
      <c r="Z8209" s="234">
        <v>8</v>
      </c>
      <c r="AA8209" s="235">
        <v>0.9583333333321207</v>
      </c>
      <c r="AB8209" s="234">
        <v>-7.8</v>
      </c>
      <c r="AC8209" s="127">
        <f t="shared" si="143"/>
        <v>-8</v>
      </c>
    </row>
    <row r="8210" ht="14.5" customHeight="1" spans="11:29" x14ac:dyDescent="0.25">
      <c r="K8210" s="128"/>
      <c r="X8210" s="234">
        <v>2022</v>
      </c>
      <c r="Y8210" s="234">
        <v>12</v>
      </c>
      <c r="Z8210" s="234">
        <v>9</v>
      </c>
      <c r="AA8210" s="235">
        <v>0</v>
      </c>
      <c r="AB8210" s="234">
        <v>-6.4</v>
      </c>
      <c r="AC8210" s="127">
        <f t="shared" si="143"/>
        <v>-6</v>
      </c>
    </row>
    <row r="8211" ht="14.5" customHeight="1" spans="11:29" x14ac:dyDescent="0.25">
      <c r="K8211" s="128"/>
      <c r="X8211" s="234">
        <v>2022</v>
      </c>
      <c r="Y8211" s="234">
        <v>12</v>
      </c>
      <c r="Z8211" s="234">
        <v>9</v>
      </c>
      <c r="AA8211" s="235">
        <v>0.041666666667879326</v>
      </c>
      <c r="AB8211" s="234">
        <v>-6.3</v>
      </c>
      <c r="AC8211" s="127">
        <f t="shared" si="143"/>
        <v>-6</v>
      </c>
    </row>
    <row r="8212" ht="14.5" customHeight="1" spans="11:29" x14ac:dyDescent="0.25">
      <c r="K8212" s="128"/>
      <c r="X8212" s="234">
        <v>2022</v>
      </c>
      <c r="Y8212" s="234">
        <v>12</v>
      </c>
      <c r="Z8212" s="234">
        <v>9</v>
      </c>
      <c r="AA8212" s="235">
        <v>0.08333333333212067</v>
      </c>
      <c r="AB8212" s="234">
        <v>-8.5</v>
      </c>
      <c r="AC8212" s="127">
        <f t="shared" si="143"/>
        <v>-9</v>
      </c>
    </row>
    <row r="8213" ht="14.5" customHeight="1" spans="11:29" x14ac:dyDescent="0.25">
      <c r="K8213" s="128"/>
      <c r="X8213" s="234">
        <v>2022</v>
      </c>
      <c r="Y8213" s="234">
        <v>12</v>
      </c>
      <c r="Z8213" s="234">
        <v>9</v>
      </c>
      <c r="AA8213" s="235">
        <v>0.125</v>
      </c>
      <c r="AB8213" s="234">
        <v>-7.6</v>
      </c>
      <c r="AC8213" s="127">
        <f t="shared" si="143"/>
        <v>-8</v>
      </c>
    </row>
    <row r="8214" ht="14.5" customHeight="1" spans="11:29" x14ac:dyDescent="0.25">
      <c r="K8214" s="128"/>
      <c r="X8214" s="234">
        <v>2022</v>
      </c>
      <c r="Y8214" s="234">
        <v>12</v>
      </c>
      <c r="Z8214" s="234">
        <v>9</v>
      </c>
      <c r="AA8214" s="235">
        <v>0.16666666666787933</v>
      </c>
      <c r="AB8214" s="234">
        <v>-6.7</v>
      </c>
      <c r="AC8214" s="127">
        <f t="shared" si="143"/>
        <v>-7</v>
      </c>
    </row>
    <row r="8215" ht="14.5" customHeight="1" spans="11:29" x14ac:dyDescent="0.25">
      <c r="K8215" s="128"/>
      <c r="X8215" s="234">
        <v>2022</v>
      </c>
      <c r="Y8215" s="234">
        <v>12</v>
      </c>
      <c r="Z8215" s="234">
        <v>9</v>
      </c>
      <c r="AA8215" s="235">
        <v>0.20833333333212067</v>
      </c>
      <c r="AB8215" s="234">
        <v>-4.7</v>
      </c>
      <c r="AC8215" s="127">
        <f t="shared" si="143"/>
        <v>-5</v>
      </c>
    </row>
    <row r="8216" ht="14.5" customHeight="1" spans="11:29" x14ac:dyDescent="0.25">
      <c r="K8216" s="128"/>
      <c r="X8216" s="234">
        <v>2022</v>
      </c>
      <c r="Y8216" s="234">
        <v>12</v>
      </c>
      <c r="Z8216" s="234">
        <v>9</v>
      </c>
      <c r="AA8216" s="235">
        <v>0.25</v>
      </c>
      <c r="AB8216" s="234">
        <v>-3.3</v>
      </c>
      <c r="AC8216" s="127">
        <f t="shared" si="143"/>
        <v>-3</v>
      </c>
    </row>
    <row r="8217" ht="14.5" customHeight="1" spans="11:29" x14ac:dyDescent="0.25">
      <c r="K8217" s="128"/>
      <c r="X8217" s="234">
        <v>2022</v>
      </c>
      <c r="Y8217" s="234">
        <v>12</v>
      </c>
      <c r="Z8217" s="234">
        <v>9</v>
      </c>
      <c r="AA8217" s="235">
        <v>0.2916666666678793</v>
      </c>
      <c r="AB8217" s="234">
        <v>-6</v>
      </c>
      <c r="AC8217" s="127">
        <f t="shared" si="143"/>
        <v>-6</v>
      </c>
    </row>
    <row r="8218" ht="14.5" customHeight="1" spans="11:29" x14ac:dyDescent="0.25">
      <c r="K8218" s="128"/>
      <c r="X8218" s="234">
        <v>2022</v>
      </c>
      <c r="Y8218" s="234">
        <v>12</v>
      </c>
      <c r="Z8218" s="234">
        <v>9</v>
      </c>
      <c r="AA8218" s="235">
        <v>0.3333333333321207</v>
      </c>
      <c r="AB8218" s="234">
        <v>-7.6</v>
      </c>
      <c r="AC8218" s="127">
        <f t="shared" si="143"/>
        <v>-8</v>
      </c>
    </row>
    <row r="8219" ht="14.5" customHeight="1" spans="11:29" x14ac:dyDescent="0.25">
      <c r="K8219" s="128"/>
      <c r="X8219" s="234">
        <v>2022</v>
      </c>
      <c r="Y8219" s="234">
        <v>12</v>
      </c>
      <c r="Z8219" s="234">
        <v>9</v>
      </c>
      <c r="AA8219" s="235">
        <v>0.375</v>
      </c>
      <c r="AB8219" s="234">
        <v>-9.2</v>
      </c>
      <c r="AC8219" s="127">
        <f t="shared" si="143"/>
        <v>-9</v>
      </c>
    </row>
    <row r="8220" ht="14.5" customHeight="1" spans="11:29" x14ac:dyDescent="0.25">
      <c r="K8220" s="128"/>
      <c r="X8220" s="234">
        <v>2022</v>
      </c>
      <c r="Y8220" s="234">
        <v>12</v>
      </c>
      <c r="Z8220" s="234">
        <v>9</v>
      </c>
      <c r="AA8220" s="235">
        <v>0.4166666666678793</v>
      </c>
      <c r="AB8220" s="234">
        <v>-5.9</v>
      </c>
      <c r="AC8220" s="127">
        <f t="shared" si="143"/>
        <v>-6</v>
      </c>
    </row>
    <row r="8221" ht="14.5" customHeight="1" spans="11:29" x14ac:dyDescent="0.25">
      <c r="K8221" s="128"/>
      <c r="X8221" s="234">
        <v>2022</v>
      </c>
      <c r="Y8221" s="234">
        <v>12</v>
      </c>
      <c r="Z8221" s="234">
        <v>9</v>
      </c>
      <c r="AA8221" s="235">
        <v>0.4583333333321207</v>
      </c>
      <c r="AB8221" s="234">
        <v>-3.1</v>
      </c>
      <c r="AC8221" s="127">
        <f t="shared" si="143"/>
        <v>-3</v>
      </c>
    </row>
    <row r="8222" ht="14.5" customHeight="1" spans="11:29" x14ac:dyDescent="0.25">
      <c r="K8222" s="128"/>
      <c r="X8222" s="234">
        <v>2022</v>
      </c>
      <c r="Y8222" s="234">
        <v>12</v>
      </c>
      <c r="Z8222" s="234">
        <v>9</v>
      </c>
      <c r="AA8222" s="235">
        <v>0.5</v>
      </c>
      <c r="AB8222" s="234">
        <v>-0.9</v>
      </c>
      <c r="AC8222" s="127">
        <f t="shared" si="143"/>
        <v>-1</v>
      </c>
    </row>
    <row r="8223" ht="14.5" customHeight="1" spans="11:29" x14ac:dyDescent="0.25">
      <c r="K8223" s="128"/>
      <c r="X8223" s="234">
        <v>2022</v>
      </c>
      <c r="Y8223" s="234">
        <v>12</v>
      </c>
      <c r="Z8223" s="234">
        <v>9</v>
      </c>
      <c r="AA8223" s="235">
        <v>0.5416666666678793</v>
      </c>
      <c r="AB8223" s="234">
        <v>0.5</v>
      </c>
      <c r="AC8223" s="127">
        <f t="shared" si="143"/>
        <v>1</v>
      </c>
    </row>
    <row r="8224" ht="14.5" customHeight="1" spans="11:29" x14ac:dyDescent="0.25">
      <c r="K8224" s="128"/>
      <c r="X8224" s="234">
        <v>2022</v>
      </c>
      <c r="Y8224" s="234">
        <v>12</v>
      </c>
      <c r="Z8224" s="234">
        <v>9</v>
      </c>
      <c r="AA8224" s="235">
        <v>0.5833333333321207</v>
      </c>
      <c r="AB8224" s="234">
        <v>0.6</v>
      </c>
      <c r="AC8224" s="127">
        <f t="shared" si="143"/>
        <v>1</v>
      </c>
    </row>
    <row r="8225" ht="14.5" customHeight="1" spans="11:29" x14ac:dyDescent="0.25">
      <c r="K8225" s="128"/>
      <c r="X8225" s="234">
        <v>2022</v>
      </c>
      <c r="Y8225" s="234">
        <v>12</v>
      </c>
      <c r="Z8225" s="234">
        <v>9</v>
      </c>
      <c r="AA8225" s="235">
        <v>0.625</v>
      </c>
      <c r="AB8225" s="234">
        <v>-0.8</v>
      </c>
      <c r="AC8225" s="127">
        <f t="shared" si="143"/>
        <v>-1</v>
      </c>
    </row>
    <row r="8226" ht="14.5" customHeight="1" spans="11:29" x14ac:dyDescent="0.25">
      <c r="K8226" s="128"/>
      <c r="X8226" s="234">
        <v>2022</v>
      </c>
      <c r="Y8226" s="234">
        <v>12</v>
      </c>
      <c r="Z8226" s="234">
        <v>9</v>
      </c>
      <c r="AA8226" s="235">
        <v>0.6666666666678793</v>
      </c>
      <c r="AB8226" s="234">
        <v>-4.3</v>
      </c>
      <c r="AC8226" s="127">
        <f t="shared" si="143"/>
        <v>-4</v>
      </c>
    </row>
    <row r="8227" ht="14.5" customHeight="1" spans="11:29" x14ac:dyDescent="0.25">
      <c r="K8227" s="128"/>
      <c r="X8227" s="234">
        <v>2022</v>
      </c>
      <c r="Y8227" s="234">
        <v>12</v>
      </c>
      <c r="Z8227" s="234">
        <v>9</v>
      </c>
      <c r="AA8227" s="235">
        <v>0.7083333333321207</v>
      </c>
      <c r="AB8227" s="234">
        <v>-6.7</v>
      </c>
      <c r="AC8227" s="127">
        <f t="shared" si="143"/>
        <v>-7</v>
      </c>
    </row>
    <row r="8228" ht="14.5" customHeight="1" spans="11:29" x14ac:dyDescent="0.25">
      <c r="K8228" s="128"/>
      <c r="X8228" s="234">
        <v>2022</v>
      </c>
      <c r="Y8228" s="234">
        <v>12</v>
      </c>
      <c r="Z8228" s="234">
        <v>9</v>
      </c>
      <c r="AA8228" s="235">
        <v>0.75</v>
      </c>
      <c r="AB8228" s="234">
        <v>-9.7</v>
      </c>
      <c r="AC8228" s="127">
        <f t="shared" si="143"/>
        <v>-10</v>
      </c>
    </row>
    <row r="8229" ht="14.5" customHeight="1" spans="11:29" x14ac:dyDescent="0.25">
      <c r="K8229" s="128"/>
      <c r="X8229" s="234">
        <v>2022</v>
      </c>
      <c r="Y8229" s="234">
        <v>12</v>
      </c>
      <c r="Z8229" s="234">
        <v>9</v>
      </c>
      <c r="AA8229" s="235">
        <v>0.7916666666678793</v>
      </c>
      <c r="AB8229" s="234">
        <v>-8.1</v>
      </c>
      <c r="AC8229" s="127">
        <f t="shared" si="143"/>
        <v>-8</v>
      </c>
    </row>
    <row r="8230" ht="14.5" customHeight="1" spans="11:29" x14ac:dyDescent="0.25">
      <c r="K8230" s="128"/>
      <c r="X8230" s="234">
        <v>2022</v>
      </c>
      <c r="Y8230" s="234">
        <v>12</v>
      </c>
      <c r="Z8230" s="234">
        <v>9</v>
      </c>
      <c r="AA8230" s="235">
        <v>0.8333333333321207</v>
      </c>
      <c r="AB8230" s="234">
        <v>-10.2</v>
      </c>
      <c r="AC8230" s="127">
        <f t="shared" si="143"/>
        <v>-10</v>
      </c>
    </row>
    <row r="8231" ht="14.5" customHeight="1" spans="11:29" x14ac:dyDescent="0.25">
      <c r="K8231" s="128"/>
      <c r="X8231" s="234">
        <v>2022</v>
      </c>
      <c r="Y8231" s="234">
        <v>12</v>
      </c>
      <c r="Z8231" s="234">
        <v>9</v>
      </c>
      <c r="AA8231" s="235">
        <v>0.875</v>
      </c>
      <c r="AB8231" s="234">
        <v>-12.6</v>
      </c>
      <c r="AC8231" s="127">
        <f t="shared" si="143"/>
        <v>-13</v>
      </c>
    </row>
    <row r="8232" ht="14.5" customHeight="1" spans="11:29" x14ac:dyDescent="0.25">
      <c r="K8232" s="128"/>
      <c r="X8232" s="234">
        <v>2022</v>
      </c>
      <c r="Y8232" s="234">
        <v>12</v>
      </c>
      <c r="Z8232" s="234">
        <v>9</v>
      </c>
      <c r="AA8232" s="235">
        <v>0.9166666666678793</v>
      </c>
      <c r="AB8232" s="234">
        <v>-10</v>
      </c>
      <c r="AC8232" s="127">
        <f t="shared" si="143"/>
        <v>-10</v>
      </c>
    </row>
    <row r="8233" ht="14.5" customHeight="1" spans="11:29" x14ac:dyDescent="0.25">
      <c r="K8233" s="128"/>
      <c r="X8233" s="234">
        <v>2022</v>
      </c>
      <c r="Y8233" s="234">
        <v>12</v>
      </c>
      <c r="Z8233" s="234">
        <v>9</v>
      </c>
      <c r="AA8233" s="235">
        <v>0.9583333333321207</v>
      </c>
      <c r="AB8233" s="234">
        <v>-12.6</v>
      </c>
      <c r="AC8233" s="127">
        <f t="shared" si="143"/>
        <v>-13</v>
      </c>
    </row>
    <row r="8234" ht="14.5" customHeight="1" spans="11:29" x14ac:dyDescent="0.25">
      <c r="K8234" s="128"/>
      <c r="X8234" s="234">
        <v>2022</v>
      </c>
      <c r="Y8234" s="234">
        <v>12</v>
      </c>
      <c r="Z8234" s="234">
        <v>10</v>
      </c>
      <c r="AA8234" s="235">
        <v>0</v>
      </c>
      <c r="AB8234" s="234">
        <v>-13.8</v>
      </c>
      <c r="AC8234" s="127">
        <f t="shared" si="143"/>
        <v>-14</v>
      </c>
    </row>
    <row r="8235" ht="14.5" customHeight="1" spans="11:29" x14ac:dyDescent="0.25">
      <c r="K8235" s="128"/>
      <c r="X8235" s="234">
        <v>2022</v>
      </c>
      <c r="Y8235" s="234">
        <v>12</v>
      </c>
      <c r="Z8235" s="234">
        <v>10</v>
      </c>
      <c r="AA8235" s="235">
        <v>0.041666666667879326</v>
      </c>
      <c r="AB8235" s="234">
        <v>-11.3</v>
      </c>
      <c r="AC8235" s="127">
        <f t="shared" si="143"/>
        <v>-11</v>
      </c>
    </row>
    <row r="8236" ht="14.5" customHeight="1" spans="11:29" x14ac:dyDescent="0.25">
      <c r="K8236" s="128"/>
      <c r="X8236" s="234">
        <v>2022</v>
      </c>
      <c r="Y8236" s="234">
        <v>12</v>
      </c>
      <c r="Z8236" s="234">
        <v>10</v>
      </c>
      <c r="AA8236" s="235">
        <v>0.08333333333212067</v>
      </c>
      <c r="AB8236" s="234">
        <v>-10.9</v>
      </c>
      <c r="AC8236" s="127">
        <f t="shared" si="143"/>
        <v>-11</v>
      </c>
    </row>
    <row r="8237" ht="14.5" customHeight="1" spans="11:29" x14ac:dyDescent="0.25">
      <c r="K8237" s="128"/>
      <c r="X8237" s="234">
        <v>2022</v>
      </c>
      <c r="Y8237" s="234">
        <v>12</v>
      </c>
      <c r="Z8237" s="234">
        <v>10</v>
      </c>
      <c r="AA8237" s="235">
        <v>0.125</v>
      </c>
      <c r="AB8237" s="234">
        <v>-9.5</v>
      </c>
      <c r="AC8237" s="127">
        <f t="shared" si="143"/>
        <v>-10</v>
      </c>
    </row>
    <row r="8238" ht="14.5" customHeight="1" spans="11:29" x14ac:dyDescent="0.25">
      <c r="K8238" s="128"/>
      <c r="X8238" s="234">
        <v>2022</v>
      </c>
      <c r="Y8238" s="234">
        <v>12</v>
      </c>
      <c r="Z8238" s="234">
        <v>10</v>
      </c>
      <c r="AA8238" s="235">
        <v>0.16666666666787933</v>
      </c>
      <c r="AB8238" s="234">
        <v>-8.6</v>
      </c>
      <c r="AC8238" s="127">
        <f t="shared" si="143"/>
        <v>-9</v>
      </c>
    </row>
    <row r="8239" ht="14.5" customHeight="1" spans="11:29" x14ac:dyDescent="0.25">
      <c r="K8239" s="128"/>
      <c r="X8239" s="234">
        <v>2022</v>
      </c>
      <c r="Y8239" s="234">
        <v>12</v>
      </c>
      <c r="Z8239" s="234">
        <v>10</v>
      </c>
      <c r="AA8239" s="235">
        <v>0.20833333333212067</v>
      </c>
      <c r="AB8239" s="234">
        <v>-7.4</v>
      </c>
      <c r="AC8239" s="127">
        <f t="shared" si="143"/>
        <v>-7</v>
      </c>
    </row>
    <row r="8240" ht="14.5" customHeight="1" spans="11:29" x14ac:dyDescent="0.25">
      <c r="K8240" s="128"/>
      <c r="X8240" s="234">
        <v>2022</v>
      </c>
      <c r="Y8240" s="234">
        <v>12</v>
      </c>
      <c r="Z8240" s="234">
        <v>10</v>
      </c>
      <c r="AA8240" s="235">
        <v>0.25</v>
      </c>
      <c r="AB8240" s="234">
        <v>-8.3</v>
      </c>
      <c r="AC8240" s="127">
        <f t="shared" si="143"/>
        <v>-8</v>
      </c>
    </row>
    <row r="8241" ht="14.5" customHeight="1" spans="11:29" x14ac:dyDescent="0.25">
      <c r="K8241" s="128"/>
      <c r="X8241" s="234">
        <v>2022</v>
      </c>
      <c r="Y8241" s="234">
        <v>12</v>
      </c>
      <c r="Z8241" s="234">
        <v>10</v>
      </c>
      <c r="AA8241" s="235">
        <v>0.2916666666678793</v>
      </c>
      <c r="AB8241" s="234">
        <v>-8.3</v>
      </c>
      <c r="AC8241" s="127">
        <f t="shared" si="143"/>
        <v>-8</v>
      </c>
    </row>
    <row r="8242" ht="14.5" customHeight="1" spans="11:29" x14ac:dyDescent="0.25">
      <c r="K8242" s="128"/>
      <c r="X8242" s="234">
        <v>2022</v>
      </c>
      <c r="Y8242" s="234">
        <v>12</v>
      </c>
      <c r="Z8242" s="234">
        <v>10</v>
      </c>
      <c r="AA8242" s="235">
        <v>0.3333333333321207</v>
      </c>
      <c r="AB8242" s="234">
        <v>-8.8</v>
      </c>
      <c r="AC8242" s="127">
        <f t="shared" si="143"/>
        <v>-9</v>
      </c>
    </row>
    <row r="8243" ht="14.5" customHeight="1" spans="11:29" x14ac:dyDescent="0.25">
      <c r="K8243" s="128"/>
      <c r="X8243" s="234">
        <v>2022</v>
      </c>
      <c r="Y8243" s="234">
        <v>12</v>
      </c>
      <c r="Z8243" s="234">
        <v>10</v>
      </c>
      <c r="AA8243" s="235">
        <v>0.375</v>
      </c>
      <c r="AB8243" s="234">
        <v>-8.3</v>
      </c>
      <c r="AC8243" s="127">
        <f t="shared" si="143"/>
        <v>-8</v>
      </c>
    </row>
    <row r="8244" ht="14.5" customHeight="1" spans="11:29" x14ac:dyDescent="0.25">
      <c r="K8244" s="128"/>
      <c r="X8244" s="234">
        <v>2022</v>
      </c>
      <c r="Y8244" s="234">
        <v>12</v>
      </c>
      <c r="Z8244" s="234">
        <v>10</v>
      </c>
      <c r="AA8244" s="235">
        <v>0.4166666666678793</v>
      </c>
      <c r="AB8244" s="234">
        <v>-6.2</v>
      </c>
      <c r="AC8244" s="127">
        <f t="shared" si="143"/>
        <v>-6</v>
      </c>
    </row>
    <row r="8245" ht="14.5" customHeight="1" spans="11:29" x14ac:dyDescent="0.25">
      <c r="K8245" s="128"/>
      <c r="X8245" s="234">
        <v>2022</v>
      </c>
      <c r="Y8245" s="234">
        <v>12</v>
      </c>
      <c r="Z8245" s="234">
        <v>10</v>
      </c>
      <c r="AA8245" s="235">
        <v>0.4583333333321207</v>
      </c>
      <c r="AB8245" s="234">
        <v>-4.9</v>
      </c>
      <c r="AC8245" s="127">
        <f t="shared" si="143"/>
        <v>-5</v>
      </c>
    </row>
    <row r="8246" ht="14.5" customHeight="1" spans="11:29" x14ac:dyDescent="0.25">
      <c r="K8246" s="128"/>
      <c r="X8246" s="234">
        <v>2022</v>
      </c>
      <c r="Y8246" s="234">
        <v>12</v>
      </c>
      <c r="Z8246" s="234">
        <v>10</v>
      </c>
      <c r="AA8246" s="235">
        <v>0.5</v>
      </c>
      <c r="AB8246" s="234">
        <v>-4.5</v>
      </c>
      <c r="AC8246" s="127">
        <f t="shared" si="143"/>
        <v>-5</v>
      </c>
    </row>
    <row r="8247" ht="14.5" customHeight="1" spans="11:29" x14ac:dyDescent="0.25">
      <c r="K8247" s="128"/>
      <c r="X8247" s="234">
        <v>2022</v>
      </c>
      <c r="Y8247" s="234">
        <v>12</v>
      </c>
      <c r="Z8247" s="234">
        <v>10</v>
      </c>
      <c r="AA8247" s="235">
        <v>0.5416666666678793</v>
      </c>
      <c r="AB8247" s="234">
        <v>-5.3</v>
      </c>
      <c r="AC8247" s="127">
        <f t="shared" si="143"/>
        <v>-5</v>
      </c>
    </row>
    <row r="8248" ht="14.5" customHeight="1" spans="11:29" x14ac:dyDescent="0.25">
      <c r="K8248" s="128"/>
      <c r="X8248" s="234">
        <v>2022</v>
      </c>
      <c r="Y8248" s="234">
        <v>12</v>
      </c>
      <c r="Z8248" s="234">
        <v>10</v>
      </c>
      <c r="AA8248" s="235">
        <v>0.5833333333321207</v>
      </c>
      <c r="AB8248" s="234">
        <v>-4.5</v>
      </c>
      <c r="AC8248" s="127">
        <f t="shared" si="143"/>
        <v>-5</v>
      </c>
    </row>
    <row r="8249" ht="14.5" customHeight="1" spans="11:29" x14ac:dyDescent="0.25">
      <c r="K8249" s="128"/>
      <c r="X8249" s="234">
        <v>2022</v>
      </c>
      <c r="Y8249" s="234">
        <v>12</v>
      </c>
      <c r="Z8249" s="234">
        <v>10</v>
      </c>
      <c r="AA8249" s="235">
        <v>0.625</v>
      </c>
      <c r="AB8249" s="234">
        <v>-2.7</v>
      </c>
      <c r="AC8249" s="127">
        <f t="shared" si="143"/>
        <v>-3</v>
      </c>
    </row>
    <row r="8250" ht="14.5" customHeight="1" spans="11:29" x14ac:dyDescent="0.25">
      <c r="K8250" s="128"/>
      <c r="X8250" s="234">
        <v>2022</v>
      </c>
      <c r="Y8250" s="234">
        <v>12</v>
      </c>
      <c r="Z8250" s="234">
        <v>10</v>
      </c>
      <c r="AA8250" s="235">
        <v>0.6666666666678793</v>
      </c>
      <c r="AB8250" s="234">
        <v>-4.3</v>
      </c>
      <c r="AC8250" s="127">
        <f t="shared" si="143"/>
        <v>-4</v>
      </c>
    </row>
    <row r="8251" ht="14.5" customHeight="1" spans="11:29" x14ac:dyDescent="0.25">
      <c r="K8251" s="128"/>
      <c r="X8251" s="234">
        <v>2022</v>
      </c>
      <c r="Y8251" s="234">
        <v>12</v>
      </c>
      <c r="Z8251" s="234">
        <v>10</v>
      </c>
      <c r="AA8251" s="235">
        <v>0.7083333333321207</v>
      </c>
      <c r="AB8251" s="234">
        <v>-7.2</v>
      </c>
      <c r="AC8251" s="127">
        <f t="shared" si="143"/>
        <v>-7</v>
      </c>
    </row>
    <row r="8252" ht="14.5" customHeight="1" spans="11:29" x14ac:dyDescent="0.25">
      <c r="K8252" s="128"/>
      <c r="X8252" s="234">
        <v>2022</v>
      </c>
      <c r="Y8252" s="234">
        <v>12</v>
      </c>
      <c r="Z8252" s="234">
        <v>10</v>
      </c>
      <c r="AA8252" s="235">
        <v>0.75</v>
      </c>
      <c r="AB8252" s="234">
        <v>-7.8</v>
      </c>
      <c r="AC8252" s="127">
        <f t="shared" si="143"/>
        <v>-8</v>
      </c>
    </row>
    <row r="8253" ht="14.5" customHeight="1" spans="11:29" x14ac:dyDescent="0.25">
      <c r="K8253" s="128"/>
      <c r="X8253" s="234">
        <v>2022</v>
      </c>
      <c r="Y8253" s="234">
        <v>12</v>
      </c>
      <c r="Z8253" s="234">
        <v>10</v>
      </c>
      <c r="AA8253" s="235">
        <v>0.7916666666678793</v>
      </c>
      <c r="AB8253" s="234">
        <v>-8.2</v>
      </c>
      <c r="AC8253" s="127">
        <f t="shared" si="143"/>
        <v>-8</v>
      </c>
    </row>
    <row r="8254" ht="14.5" customHeight="1" spans="11:29" x14ac:dyDescent="0.25">
      <c r="K8254" s="128"/>
      <c r="X8254" s="234">
        <v>2022</v>
      </c>
      <c r="Y8254" s="234">
        <v>12</v>
      </c>
      <c r="Z8254" s="234">
        <v>10</v>
      </c>
      <c r="AA8254" s="235">
        <v>0.8333333333321207</v>
      </c>
      <c r="AB8254" s="234">
        <v>-8.1</v>
      </c>
      <c r="AC8254" s="127">
        <f t="shared" si="143"/>
        <v>-8</v>
      </c>
    </row>
    <row r="8255" ht="14.5" customHeight="1" spans="11:29" x14ac:dyDescent="0.25">
      <c r="K8255" s="128"/>
      <c r="X8255" s="234">
        <v>2022</v>
      </c>
      <c r="Y8255" s="234">
        <v>12</v>
      </c>
      <c r="Z8255" s="234">
        <v>10</v>
      </c>
      <c r="AA8255" s="235">
        <v>0.875</v>
      </c>
      <c r="AB8255" s="234">
        <v>-7.9</v>
      </c>
      <c r="AC8255" s="127">
        <f t="shared" si="143"/>
        <v>-8</v>
      </c>
    </row>
    <row r="8256" ht="14.5" customHeight="1" spans="11:29" x14ac:dyDescent="0.25">
      <c r="K8256" s="128"/>
      <c r="X8256" s="234">
        <v>2022</v>
      </c>
      <c r="Y8256" s="234">
        <v>12</v>
      </c>
      <c r="Z8256" s="234">
        <v>10</v>
      </c>
      <c r="AA8256" s="235">
        <v>0.9166666666678793</v>
      </c>
      <c r="AB8256" s="234">
        <v>-7.2</v>
      </c>
      <c r="AC8256" s="127">
        <f t="shared" si="143"/>
        <v>-7</v>
      </c>
    </row>
    <row r="8257" ht="14.5" customHeight="1" spans="11:29" x14ac:dyDescent="0.25">
      <c r="K8257" s="128"/>
      <c r="X8257" s="234">
        <v>2022</v>
      </c>
      <c r="Y8257" s="234">
        <v>12</v>
      </c>
      <c r="Z8257" s="234">
        <v>10</v>
      </c>
      <c r="AA8257" s="235">
        <v>0.9583333333321207</v>
      </c>
      <c r="AB8257" s="234">
        <v>-7.5</v>
      </c>
      <c r="AC8257" s="127">
        <f t="shared" si="143"/>
        <v>-8</v>
      </c>
    </row>
    <row r="8258" ht="14.5" customHeight="1" spans="11:29" x14ac:dyDescent="0.25">
      <c r="K8258" s="128"/>
      <c r="X8258" s="234">
        <v>2022</v>
      </c>
      <c r="Y8258" s="234">
        <v>12</v>
      </c>
      <c r="Z8258" s="234">
        <v>11</v>
      </c>
      <c r="AA8258" s="235">
        <v>0</v>
      </c>
      <c r="AB8258" s="234">
        <v>-8</v>
      </c>
      <c r="AC8258" s="127">
        <f t="shared" si="143"/>
        <v>-8</v>
      </c>
    </row>
    <row r="8259" ht="14.5" customHeight="1" spans="11:29" x14ac:dyDescent="0.25">
      <c r="K8259" s="128"/>
      <c r="X8259" s="234">
        <v>2022</v>
      </c>
      <c r="Y8259" s="234">
        <v>12</v>
      </c>
      <c r="Z8259" s="234">
        <v>11</v>
      </c>
      <c r="AA8259" s="235">
        <v>0.041666666667879326</v>
      </c>
      <c r="AB8259" s="234">
        <v>-8.3</v>
      </c>
      <c r="AC8259" s="127">
        <f t="shared" si="143"/>
        <v>-8</v>
      </c>
    </row>
    <row r="8260" ht="14.5" customHeight="1" spans="11:29" x14ac:dyDescent="0.25">
      <c r="K8260" s="128"/>
      <c r="X8260" s="234">
        <v>2022</v>
      </c>
      <c r="Y8260" s="234">
        <v>12</v>
      </c>
      <c r="Z8260" s="234">
        <v>11</v>
      </c>
      <c r="AA8260" s="235">
        <v>0.08333333333212067</v>
      </c>
      <c r="AB8260" s="234">
        <v>-9.2</v>
      </c>
      <c r="AC8260" s="127">
        <f t="shared" si="143"/>
        <v>-9</v>
      </c>
    </row>
    <row r="8261" ht="14.5" customHeight="1" spans="11:29" x14ac:dyDescent="0.25">
      <c r="K8261" s="128"/>
      <c r="X8261" s="234">
        <v>2022</v>
      </c>
      <c r="Y8261" s="234">
        <v>12</v>
      </c>
      <c r="Z8261" s="234">
        <v>11</v>
      </c>
      <c r="AA8261" s="235">
        <v>0.125</v>
      </c>
      <c r="AB8261" s="234">
        <v>-9.9</v>
      </c>
      <c r="AC8261" s="127">
        <f t="shared" si="143"/>
        <v>-10</v>
      </c>
    </row>
    <row r="8262" ht="14.5" customHeight="1" spans="11:29" x14ac:dyDescent="0.25">
      <c r="K8262" s="128"/>
      <c r="X8262" s="234">
        <v>2022</v>
      </c>
      <c r="Y8262" s="234">
        <v>12</v>
      </c>
      <c r="Z8262" s="234">
        <v>11</v>
      </c>
      <c r="AA8262" s="235">
        <v>0.16666666666787933</v>
      </c>
      <c r="AB8262" s="234">
        <v>-11</v>
      </c>
      <c r="AC8262" s="127">
        <f t="shared" si="143"/>
        <v>-11</v>
      </c>
    </row>
    <row r="8263" ht="14.5" customHeight="1" spans="11:29" x14ac:dyDescent="0.25">
      <c r="K8263" s="128"/>
      <c r="X8263" s="234">
        <v>2022</v>
      </c>
      <c r="Y8263" s="234">
        <v>12</v>
      </c>
      <c r="Z8263" s="234">
        <v>11</v>
      </c>
      <c r="AA8263" s="235">
        <v>0.20833333333212067</v>
      </c>
      <c r="AB8263" s="234">
        <v>-11.5</v>
      </c>
      <c r="AC8263" s="127">
        <f t="shared" si="143"/>
        <v>-12</v>
      </c>
    </row>
    <row r="8264" ht="14.5" customHeight="1" spans="11:29" x14ac:dyDescent="0.25">
      <c r="K8264" s="128"/>
      <c r="X8264" s="234">
        <v>2022</v>
      </c>
      <c r="Y8264" s="234">
        <v>12</v>
      </c>
      <c r="Z8264" s="234">
        <v>11</v>
      </c>
      <c r="AA8264" s="235">
        <v>0.25</v>
      </c>
      <c r="AB8264" s="234">
        <v>-11.1</v>
      </c>
      <c r="AC8264" s="127">
        <f t="shared" si="143"/>
        <v>-11</v>
      </c>
    </row>
    <row r="8265" ht="14.5" customHeight="1" spans="11:29" x14ac:dyDescent="0.25">
      <c r="K8265" s="128"/>
      <c r="X8265" s="234">
        <v>2022</v>
      </c>
      <c r="Y8265" s="234">
        <v>12</v>
      </c>
      <c r="Z8265" s="234">
        <v>11</v>
      </c>
      <c r="AA8265" s="235">
        <v>0.2916666666678793</v>
      </c>
      <c r="AB8265" s="234">
        <v>-11.2</v>
      </c>
      <c r="AC8265" s="127">
        <f t="shared" si="143"/>
        <v>-11</v>
      </c>
    </row>
    <row r="8266" ht="14.5" customHeight="1" spans="11:29" x14ac:dyDescent="0.25">
      <c r="K8266" s="128"/>
      <c r="X8266" s="234">
        <v>2022</v>
      </c>
      <c r="Y8266" s="234">
        <v>12</v>
      </c>
      <c r="Z8266" s="234">
        <v>11</v>
      </c>
      <c r="AA8266" s="235">
        <v>0.3333333333321207</v>
      </c>
      <c r="AB8266" s="234">
        <v>-11.2</v>
      </c>
      <c r="AC8266" s="127">
        <f t="shared" si="143"/>
        <v>-11</v>
      </c>
    </row>
    <row r="8267" ht="14.5" customHeight="1" spans="11:29" x14ac:dyDescent="0.25">
      <c r="K8267" s="128"/>
      <c r="X8267" s="234">
        <v>2022</v>
      </c>
      <c r="Y8267" s="234">
        <v>12</v>
      </c>
      <c r="Z8267" s="234">
        <v>11</v>
      </c>
      <c r="AA8267" s="235">
        <v>0.375</v>
      </c>
      <c r="AB8267" s="234">
        <v>-11.6</v>
      </c>
      <c r="AC8267" s="127">
        <f t="shared" ref="AC8267:AC8330" si="144">ROUND(AB8267,0)</f>
        <v>-12</v>
      </c>
    </row>
    <row r="8268" ht="14.5" customHeight="1" spans="11:29" x14ac:dyDescent="0.25">
      <c r="K8268" s="128"/>
      <c r="X8268" s="234">
        <v>2022</v>
      </c>
      <c r="Y8268" s="234">
        <v>12</v>
      </c>
      <c r="Z8268" s="234">
        <v>11</v>
      </c>
      <c r="AA8268" s="235">
        <v>0.4166666666678793</v>
      </c>
      <c r="AB8268" s="234">
        <v>-11.7</v>
      </c>
      <c r="AC8268" s="127">
        <f t="shared" si="144"/>
        <v>-12</v>
      </c>
    </row>
    <row r="8269" ht="14.5" customHeight="1" spans="11:29" x14ac:dyDescent="0.25">
      <c r="K8269" s="128"/>
      <c r="X8269" s="234">
        <v>2022</v>
      </c>
      <c r="Y8269" s="234">
        <v>12</v>
      </c>
      <c r="Z8269" s="234">
        <v>11</v>
      </c>
      <c r="AA8269" s="235">
        <v>0.4583333333321207</v>
      </c>
      <c r="AB8269" s="234">
        <v>-12.3</v>
      </c>
      <c r="AC8269" s="127">
        <f t="shared" si="144"/>
        <v>-12</v>
      </c>
    </row>
    <row r="8270" ht="14.5" customHeight="1" spans="11:29" x14ac:dyDescent="0.25">
      <c r="K8270" s="128"/>
      <c r="X8270" s="234">
        <v>2022</v>
      </c>
      <c r="Y8270" s="234">
        <v>12</v>
      </c>
      <c r="Z8270" s="234">
        <v>11</v>
      </c>
      <c r="AA8270" s="235">
        <v>0.5</v>
      </c>
      <c r="AB8270" s="234">
        <v>-12.8</v>
      </c>
      <c r="AC8270" s="127">
        <f t="shared" si="144"/>
        <v>-13</v>
      </c>
    </row>
    <row r="8271" ht="14.5" customHeight="1" spans="11:29" x14ac:dyDescent="0.25">
      <c r="K8271" s="128"/>
      <c r="X8271" s="234">
        <v>2022</v>
      </c>
      <c r="Y8271" s="234">
        <v>12</v>
      </c>
      <c r="Z8271" s="234">
        <v>11</v>
      </c>
      <c r="AA8271" s="235">
        <v>0.5416666666678793</v>
      </c>
      <c r="AB8271" s="234">
        <v>-13.5</v>
      </c>
      <c r="AC8271" s="127">
        <f t="shared" si="144"/>
        <v>-14</v>
      </c>
    </row>
    <row r="8272" ht="14.5" customHeight="1" spans="11:29" x14ac:dyDescent="0.25">
      <c r="K8272" s="128"/>
      <c r="X8272" s="234">
        <v>2022</v>
      </c>
      <c r="Y8272" s="234">
        <v>12</v>
      </c>
      <c r="Z8272" s="234">
        <v>11</v>
      </c>
      <c r="AA8272" s="235">
        <v>0.5833333333321207</v>
      </c>
      <c r="AB8272" s="234">
        <v>-13.6</v>
      </c>
      <c r="AC8272" s="127">
        <f t="shared" si="144"/>
        <v>-14</v>
      </c>
    </row>
    <row r="8273" ht="14.5" customHeight="1" spans="11:29" x14ac:dyDescent="0.25">
      <c r="K8273" s="128"/>
      <c r="X8273" s="234">
        <v>2022</v>
      </c>
      <c r="Y8273" s="234">
        <v>12</v>
      </c>
      <c r="Z8273" s="234">
        <v>11</v>
      </c>
      <c r="AA8273" s="235">
        <v>0.625</v>
      </c>
      <c r="AB8273" s="234">
        <v>-13.5</v>
      </c>
      <c r="AC8273" s="127">
        <f t="shared" si="144"/>
        <v>-14</v>
      </c>
    </row>
    <row r="8274" ht="14.5" customHeight="1" spans="11:29" x14ac:dyDescent="0.25">
      <c r="K8274" s="128"/>
      <c r="X8274" s="234">
        <v>2022</v>
      </c>
      <c r="Y8274" s="234">
        <v>12</v>
      </c>
      <c r="Z8274" s="234">
        <v>11</v>
      </c>
      <c r="AA8274" s="235">
        <v>0.6666666666678793</v>
      </c>
      <c r="AB8274" s="234">
        <v>-14.1</v>
      </c>
      <c r="AC8274" s="127">
        <f t="shared" si="144"/>
        <v>-14</v>
      </c>
    </row>
    <row r="8275" ht="14.5" customHeight="1" spans="11:29" x14ac:dyDescent="0.25">
      <c r="K8275" s="128"/>
      <c r="X8275" s="234">
        <v>2022</v>
      </c>
      <c r="Y8275" s="234">
        <v>12</v>
      </c>
      <c r="Z8275" s="234">
        <v>11</v>
      </c>
      <c r="AA8275" s="235">
        <v>0.7083333333321207</v>
      </c>
      <c r="AB8275" s="234">
        <v>-14.9</v>
      </c>
      <c r="AC8275" s="127">
        <f t="shared" si="144"/>
        <v>-15</v>
      </c>
    </row>
    <row r="8276" ht="14.5" customHeight="1" spans="11:29" x14ac:dyDescent="0.25">
      <c r="K8276" s="128"/>
      <c r="X8276" s="234">
        <v>2022</v>
      </c>
      <c r="Y8276" s="234">
        <v>12</v>
      </c>
      <c r="Z8276" s="234">
        <v>11</v>
      </c>
      <c r="AA8276" s="235">
        <v>0.75</v>
      </c>
      <c r="AB8276" s="234">
        <v>-15.4</v>
      </c>
      <c r="AC8276" s="127">
        <f t="shared" si="144"/>
        <v>-15</v>
      </c>
    </row>
    <row r="8277" ht="14.5" customHeight="1" spans="11:29" x14ac:dyDescent="0.25">
      <c r="K8277" s="128"/>
      <c r="X8277" s="234">
        <v>2022</v>
      </c>
      <c r="Y8277" s="234">
        <v>12</v>
      </c>
      <c r="Z8277" s="234">
        <v>11</v>
      </c>
      <c r="AA8277" s="235">
        <v>0.7916666666678793</v>
      </c>
      <c r="AB8277" s="234">
        <v>-16.1</v>
      </c>
      <c r="AC8277" s="127">
        <f t="shared" si="144"/>
        <v>-16</v>
      </c>
    </row>
    <row r="8278" ht="14.5" customHeight="1" spans="11:29" x14ac:dyDescent="0.25">
      <c r="K8278" s="128"/>
      <c r="X8278" s="234">
        <v>2022</v>
      </c>
      <c r="Y8278" s="234">
        <v>12</v>
      </c>
      <c r="Z8278" s="234">
        <v>11</v>
      </c>
      <c r="AA8278" s="235">
        <v>0.8333333333321207</v>
      </c>
      <c r="AB8278" s="234">
        <v>-16.7</v>
      </c>
      <c r="AC8278" s="127">
        <f t="shared" si="144"/>
        <v>-17</v>
      </c>
    </row>
    <row r="8279" ht="14.5" customHeight="1" spans="11:29" x14ac:dyDescent="0.25">
      <c r="K8279" s="128"/>
      <c r="X8279" s="234">
        <v>2022</v>
      </c>
      <c r="Y8279" s="234">
        <v>12</v>
      </c>
      <c r="Z8279" s="234">
        <v>11</v>
      </c>
      <c r="AA8279" s="235">
        <v>0.875</v>
      </c>
      <c r="AB8279" s="234">
        <v>-15.8</v>
      </c>
      <c r="AC8279" s="127">
        <f t="shared" si="144"/>
        <v>-16</v>
      </c>
    </row>
    <row r="8280" ht="14.5" customHeight="1" spans="11:29" x14ac:dyDescent="0.25">
      <c r="K8280" s="128"/>
      <c r="X8280" s="234">
        <v>2022</v>
      </c>
      <c r="Y8280" s="234">
        <v>12</v>
      </c>
      <c r="Z8280" s="234">
        <v>11</v>
      </c>
      <c r="AA8280" s="235">
        <v>0.9166666666678793</v>
      </c>
      <c r="AB8280" s="234">
        <v>-15.3</v>
      </c>
      <c r="AC8280" s="127">
        <f t="shared" si="144"/>
        <v>-15</v>
      </c>
    </row>
    <row r="8281" ht="14.5" customHeight="1" spans="11:29" x14ac:dyDescent="0.25">
      <c r="K8281" s="128"/>
      <c r="X8281" s="234">
        <v>2022</v>
      </c>
      <c r="Y8281" s="234">
        <v>12</v>
      </c>
      <c r="Z8281" s="234">
        <v>11</v>
      </c>
      <c r="AA8281" s="235">
        <v>0.9583333333321207</v>
      </c>
      <c r="AB8281" s="234">
        <v>-15.1</v>
      </c>
      <c r="AC8281" s="127">
        <f t="shared" si="144"/>
        <v>-15</v>
      </c>
    </row>
    <row r="8282" ht="14.5" customHeight="1" spans="11:29" x14ac:dyDescent="0.25">
      <c r="K8282" s="128"/>
      <c r="X8282" s="234">
        <v>2022</v>
      </c>
      <c r="Y8282" s="234">
        <v>12</v>
      </c>
      <c r="Z8282" s="234">
        <v>12</v>
      </c>
      <c r="AA8282" s="235">
        <v>0</v>
      </c>
      <c r="AB8282" s="234">
        <v>-15.2</v>
      </c>
      <c r="AC8282" s="127">
        <f t="shared" si="144"/>
        <v>-15</v>
      </c>
    </row>
    <row r="8283" ht="14.5" customHeight="1" spans="11:29" x14ac:dyDescent="0.25">
      <c r="K8283" s="128"/>
      <c r="X8283" s="234">
        <v>2022</v>
      </c>
      <c r="Y8283" s="234">
        <v>12</v>
      </c>
      <c r="Z8283" s="234">
        <v>12</v>
      </c>
      <c r="AA8283" s="235">
        <v>0.041666666667879326</v>
      </c>
      <c r="AB8283" s="234">
        <v>-15.3</v>
      </c>
      <c r="AC8283" s="127">
        <f t="shared" si="144"/>
        <v>-15</v>
      </c>
    </row>
    <row r="8284" ht="14.5" customHeight="1" spans="11:29" x14ac:dyDescent="0.25">
      <c r="K8284" s="128"/>
      <c r="X8284" s="234">
        <v>2022</v>
      </c>
      <c r="Y8284" s="234">
        <v>12</v>
      </c>
      <c r="Z8284" s="234">
        <v>12</v>
      </c>
      <c r="AA8284" s="235">
        <v>0.08333333333212067</v>
      </c>
      <c r="AB8284" s="234">
        <v>-15.7</v>
      </c>
      <c r="AC8284" s="127">
        <f t="shared" si="144"/>
        <v>-16</v>
      </c>
    </row>
    <row r="8285" ht="14.5" customHeight="1" spans="11:29" x14ac:dyDescent="0.25">
      <c r="K8285" s="128"/>
      <c r="X8285" s="234">
        <v>2022</v>
      </c>
      <c r="Y8285" s="234">
        <v>12</v>
      </c>
      <c r="Z8285" s="234">
        <v>12</v>
      </c>
      <c r="AA8285" s="235">
        <v>0.125</v>
      </c>
      <c r="AB8285" s="234">
        <v>-15.6</v>
      </c>
      <c r="AC8285" s="127">
        <f t="shared" si="144"/>
        <v>-16</v>
      </c>
    </row>
    <row r="8286" ht="14.5" customHeight="1" spans="11:29" x14ac:dyDescent="0.25">
      <c r="K8286" s="128"/>
      <c r="X8286" s="234">
        <v>2022</v>
      </c>
      <c r="Y8286" s="234">
        <v>12</v>
      </c>
      <c r="Z8286" s="234">
        <v>12</v>
      </c>
      <c r="AA8286" s="235">
        <v>0.16666666666787933</v>
      </c>
      <c r="AB8286" s="234">
        <v>-15.1</v>
      </c>
      <c r="AC8286" s="127">
        <f t="shared" si="144"/>
        <v>-15</v>
      </c>
    </row>
    <row r="8287" ht="14.5" customHeight="1" spans="11:29" x14ac:dyDescent="0.25">
      <c r="K8287" s="128"/>
      <c r="X8287" s="234">
        <v>2022</v>
      </c>
      <c r="Y8287" s="234">
        <v>12</v>
      </c>
      <c r="Z8287" s="234">
        <v>12</v>
      </c>
      <c r="AA8287" s="235">
        <v>0.20833333333212067</v>
      </c>
      <c r="AB8287" s="234">
        <v>-15.1</v>
      </c>
      <c r="AC8287" s="127">
        <f t="shared" si="144"/>
        <v>-15</v>
      </c>
    </row>
    <row r="8288" ht="14.5" customHeight="1" spans="11:29" x14ac:dyDescent="0.25">
      <c r="K8288" s="128"/>
      <c r="X8288" s="234">
        <v>2022</v>
      </c>
      <c r="Y8288" s="234">
        <v>12</v>
      </c>
      <c r="Z8288" s="234">
        <v>12</v>
      </c>
      <c r="AA8288" s="235">
        <v>0.25</v>
      </c>
      <c r="AB8288" s="234">
        <v>-15</v>
      </c>
      <c r="AC8288" s="127">
        <f t="shared" si="144"/>
        <v>-15</v>
      </c>
    </row>
    <row r="8289" ht="14.5" customHeight="1" spans="11:29" x14ac:dyDescent="0.25">
      <c r="K8289" s="128"/>
      <c r="X8289" s="234">
        <v>2022</v>
      </c>
      <c r="Y8289" s="234">
        <v>12</v>
      </c>
      <c r="Z8289" s="234">
        <v>12</v>
      </c>
      <c r="AA8289" s="235">
        <v>0.2916666666678793</v>
      </c>
      <c r="AB8289" s="234">
        <v>-14.9</v>
      </c>
      <c r="AC8289" s="127">
        <f t="shared" si="144"/>
        <v>-15</v>
      </c>
    </row>
    <row r="8290" ht="14.5" customHeight="1" spans="11:29" x14ac:dyDescent="0.25">
      <c r="K8290" s="128"/>
      <c r="X8290" s="234">
        <v>2022</v>
      </c>
      <c r="Y8290" s="234">
        <v>12</v>
      </c>
      <c r="Z8290" s="234">
        <v>12</v>
      </c>
      <c r="AA8290" s="235">
        <v>0.3333333333321207</v>
      </c>
      <c r="AB8290" s="234">
        <v>-14.8</v>
      </c>
      <c r="AC8290" s="127">
        <f t="shared" si="144"/>
        <v>-15</v>
      </c>
    </row>
    <row r="8291" ht="14.5" customHeight="1" spans="11:29" x14ac:dyDescent="0.25">
      <c r="K8291" s="128"/>
      <c r="X8291" s="234">
        <v>2022</v>
      </c>
      <c r="Y8291" s="234">
        <v>12</v>
      </c>
      <c r="Z8291" s="234">
        <v>12</v>
      </c>
      <c r="AA8291" s="235">
        <v>0.375</v>
      </c>
      <c r="AB8291" s="234">
        <v>-14.4</v>
      </c>
      <c r="AC8291" s="127">
        <f t="shared" si="144"/>
        <v>-14</v>
      </c>
    </row>
    <row r="8292" ht="14.5" customHeight="1" spans="11:29" x14ac:dyDescent="0.25">
      <c r="K8292" s="128"/>
      <c r="X8292" s="234">
        <v>2022</v>
      </c>
      <c r="Y8292" s="234">
        <v>12</v>
      </c>
      <c r="Z8292" s="234">
        <v>12</v>
      </c>
      <c r="AA8292" s="235">
        <v>0.4166666666678793</v>
      </c>
      <c r="AB8292" s="234">
        <v>-13.8</v>
      </c>
      <c r="AC8292" s="127">
        <f t="shared" si="144"/>
        <v>-14</v>
      </c>
    </row>
    <row r="8293" ht="14.5" customHeight="1" spans="11:29" x14ac:dyDescent="0.25">
      <c r="K8293" s="128"/>
      <c r="X8293" s="234">
        <v>2022</v>
      </c>
      <c r="Y8293" s="234">
        <v>12</v>
      </c>
      <c r="Z8293" s="234">
        <v>12</v>
      </c>
      <c r="AA8293" s="235">
        <v>0.4583333333321207</v>
      </c>
      <c r="AB8293" s="234">
        <v>-13.3</v>
      </c>
      <c r="AC8293" s="127">
        <f t="shared" si="144"/>
        <v>-13</v>
      </c>
    </row>
    <row r="8294" ht="14.5" customHeight="1" spans="11:29" x14ac:dyDescent="0.25">
      <c r="K8294" s="128"/>
      <c r="X8294" s="234">
        <v>2022</v>
      </c>
      <c r="Y8294" s="234">
        <v>12</v>
      </c>
      <c r="Z8294" s="234">
        <v>12</v>
      </c>
      <c r="AA8294" s="235">
        <v>0.5</v>
      </c>
      <c r="AB8294" s="234">
        <v>-12.1</v>
      </c>
      <c r="AC8294" s="127">
        <f t="shared" si="144"/>
        <v>-12</v>
      </c>
    </row>
    <row r="8295" ht="14.5" customHeight="1" spans="11:29" x14ac:dyDescent="0.25">
      <c r="K8295" s="128"/>
      <c r="X8295" s="234">
        <v>2022</v>
      </c>
      <c r="Y8295" s="234">
        <v>12</v>
      </c>
      <c r="Z8295" s="234">
        <v>12</v>
      </c>
      <c r="AA8295" s="235">
        <v>0.5416666666678793</v>
      </c>
      <c r="AB8295" s="234">
        <v>-11.2</v>
      </c>
      <c r="AC8295" s="127">
        <f t="shared" si="144"/>
        <v>-11</v>
      </c>
    </row>
    <row r="8296" ht="14.5" customHeight="1" spans="11:29" x14ac:dyDescent="0.25">
      <c r="K8296" s="128"/>
      <c r="X8296" s="234">
        <v>2022</v>
      </c>
      <c r="Y8296" s="234">
        <v>12</v>
      </c>
      <c r="Z8296" s="234">
        <v>12</v>
      </c>
      <c r="AA8296" s="235">
        <v>0.5833333333321207</v>
      </c>
      <c r="AB8296" s="234">
        <v>-10</v>
      </c>
      <c r="AC8296" s="127">
        <f t="shared" si="144"/>
        <v>-10</v>
      </c>
    </row>
    <row r="8297" ht="14.5" customHeight="1" spans="11:29" x14ac:dyDescent="0.25">
      <c r="K8297" s="128"/>
      <c r="X8297" s="234">
        <v>2022</v>
      </c>
      <c r="Y8297" s="234">
        <v>12</v>
      </c>
      <c r="Z8297" s="234">
        <v>12</v>
      </c>
      <c r="AA8297" s="235">
        <v>0.625</v>
      </c>
      <c r="AB8297" s="234">
        <v>-11.1</v>
      </c>
      <c r="AC8297" s="127">
        <f t="shared" si="144"/>
        <v>-11</v>
      </c>
    </row>
    <row r="8298" ht="14.5" customHeight="1" spans="11:29" x14ac:dyDescent="0.25">
      <c r="K8298" s="128"/>
      <c r="X8298" s="234">
        <v>2022</v>
      </c>
      <c r="Y8298" s="234">
        <v>12</v>
      </c>
      <c r="Z8298" s="234">
        <v>12</v>
      </c>
      <c r="AA8298" s="235">
        <v>0.6666666666678793</v>
      </c>
      <c r="AB8298" s="234">
        <v>-12.5</v>
      </c>
      <c r="AC8298" s="127">
        <f t="shared" si="144"/>
        <v>-13</v>
      </c>
    </row>
    <row r="8299" ht="14.5" customHeight="1" spans="11:29" x14ac:dyDescent="0.25">
      <c r="K8299" s="128"/>
      <c r="X8299" s="234">
        <v>2022</v>
      </c>
      <c r="Y8299" s="234">
        <v>12</v>
      </c>
      <c r="Z8299" s="234">
        <v>12</v>
      </c>
      <c r="AA8299" s="235">
        <v>0.7083333333321207</v>
      </c>
      <c r="AB8299" s="234">
        <v>-13.9</v>
      </c>
      <c r="AC8299" s="127">
        <f t="shared" si="144"/>
        <v>-14</v>
      </c>
    </row>
    <row r="8300" ht="14.5" customHeight="1" spans="11:29" x14ac:dyDescent="0.25">
      <c r="K8300" s="128"/>
      <c r="X8300" s="234">
        <v>2022</v>
      </c>
      <c r="Y8300" s="234">
        <v>12</v>
      </c>
      <c r="Z8300" s="234">
        <v>12</v>
      </c>
      <c r="AA8300" s="235">
        <v>0.75</v>
      </c>
      <c r="AB8300" s="234">
        <v>-14.8</v>
      </c>
      <c r="AC8300" s="127">
        <f t="shared" si="144"/>
        <v>-15</v>
      </c>
    </row>
    <row r="8301" ht="14.5" customHeight="1" spans="11:29" x14ac:dyDescent="0.25">
      <c r="K8301" s="128"/>
      <c r="X8301" s="234">
        <v>2022</v>
      </c>
      <c r="Y8301" s="234">
        <v>12</v>
      </c>
      <c r="Z8301" s="234">
        <v>12</v>
      </c>
      <c r="AA8301" s="235">
        <v>0.7916666666678793</v>
      </c>
      <c r="AB8301" s="234">
        <v>-15.4</v>
      </c>
      <c r="AC8301" s="127">
        <f t="shared" si="144"/>
        <v>-15</v>
      </c>
    </row>
    <row r="8302" ht="14.5" customHeight="1" spans="11:29" x14ac:dyDescent="0.25">
      <c r="K8302" s="128"/>
      <c r="X8302" s="234">
        <v>2022</v>
      </c>
      <c r="Y8302" s="234">
        <v>12</v>
      </c>
      <c r="Z8302" s="234">
        <v>12</v>
      </c>
      <c r="AA8302" s="235">
        <v>0.8333333333321207</v>
      </c>
      <c r="AB8302" s="234">
        <v>-15.7</v>
      </c>
      <c r="AC8302" s="127">
        <f t="shared" si="144"/>
        <v>-16</v>
      </c>
    </row>
    <row r="8303" ht="14.5" customHeight="1" spans="11:29" x14ac:dyDescent="0.25">
      <c r="K8303" s="128"/>
      <c r="X8303" s="234">
        <v>2022</v>
      </c>
      <c r="Y8303" s="234">
        <v>12</v>
      </c>
      <c r="Z8303" s="234">
        <v>12</v>
      </c>
      <c r="AA8303" s="235">
        <v>0.875</v>
      </c>
      <c r="AB8303" s="234">
        <v>-15.8</v>
      </c>
      <c r="AC8303" s="127">
        <f t="shared" si="144"/>
        <v>-16</v>
      </c>
    </row>
    <row r="8304" ht="14.5" customHeight="1" spans="11:29" x14ac:dyDescent="0.25">
      <c r="K8304" s="128"/>
      <c r="X8304" s="234">
        <v>2022</v>
      </c>
      <c r="Y8304" s="234">
        <v>12</v>
      </c>
      <c r="Z8304" s="234">
        <v>12</v>
      </c>
      <c r="AA8304" s="235">
        <v>0.9166666666678793</v>
      </c>
      <c r="AB8304" s="234">
        <v>-15.2</v>
      </c>
      <c r="AC8304" s="127">
        <f t="shared" si="144"/>
        <v>-15</v>
      </c>
    </row>
    <row r="8305" ht="14.5" customHeight="1" spans="11:29" x14ac:dyDescent="0.25">
      <c r="K8305" s="128"/>
      <c r="X8305" s="234">
        <v>2022</v>
      </c>
      <c r="Y8305" s="234">
        <v>12</v>
      </c>
      <c r="Z8305" s="234">
        <v>12</v>
      </c>
      <c r="AA8305" s="235">
        <v>0.9583333333321207</v>
      </c>
      <c r="AB8305" s="234">
        <v>-14.6</v>
      </c>
      <c r="AC8305" s="127">
        <f t="shared" si="144"/>
        <v>-15</v>
      </c>
    </row>
    <row r="8306" ht="14.5" customHeight="1" spans="11:29" x14ac:dyDescent="0.25">
      <c r="K8306" s="128"/>
      <c r="X8306" s="234">
        <v>2022</v>
      </c>
      <c r="Y8306" s="234">
        <v>12</v>
      </c>
      <c r="Z8306" s="234">
        <v>13</v>
      </c>
      <c r="AA8306" s="235">
        <v>0</v>
      </c>
      <c r="AB8306" s="234">
        <v>-15.6</v>
      </c>
      <c r="AC8306" s="127">
        <f t="shared" si="144"/>
        <v>-16</v>
      </c>
    </row>
    <row r="8307" ht="14.5" customHeight="1" spans="11:29" x14ac:dyDescent="0.25">
      <c r="K8307" s="128"/>
      <c r="X8307" s="234">
        <v>2022</v>
      </c>
      <c r="Y8307" s="234">
        <v>12</v>
      </c>
      <c r="Z8307" s="234">
        <v>13</v>
      </c>
      <c r="AA8307" s="235">
        <v>0.041666666667879326</v>
      </c>
      <c r="AB8307" s="234">
        <v>-16.1</v>
      </c>
      <c r="AC8307" s="127">
        <f t="shared" si="144"/>
        <v>-16</v>
      </c>
    </row>
    <row r="8308" ht="14.5" customHeight="1" spans="11:29" x14ac:dyDescent="0.25">
      <c r="K8308" s="128"/>
      <c r="X8308" s="234">
        <v>2022</v>
      </c>
      <c r="Y8308" s="234">
        <v>12</v>
      </c>
      <c r="Z8308" s="234">
        <v>13</v>
      </c>
      <c r="AA8308" s="235">
        <v>0.08333333333212067</v>
      </c>
      <c r="AB8308" s="234">
        <v>-15.1</v>
      </c>
      <c r="AC8308" s="127">
        <f t="shared" si="144"/>
        <v>-15</v>
      </c>
    </row>
    <row r="8309" ht="14.5" customHeight="1" spans="11:29" x14ac:dyDescent="0.25">
      <c r="K8309" s="128"/>
      <c r="X8309" s="234">
        <v>2022</v>
      </c>
      <c r="Y8309" s="234">
        <v>12</v>
      </c>
      <c r="Z8309" s="234">
        <v>13</v>
      </c>
      <c r="AA8309" s="235">
        <v>0.125</v>
      </c>
      <c r="AB8309" s="234">
        <v>-15.3</v>
      </c>
      <c r="AC8309" s="127">
        <f t="shared" si="144"/>
        <v>-15</v>
      </c>
    </row>
    <row r="8310" ht="14.5" customHeight="1" spans="11:29" x14ac:dyDescent="0.25">
      <c r="K8310" s="128"/>
      <c r="X8310" s="234">
        <v>2022</v>
      </c>
      <c r="Y8310" s="234">
        <v>12</v>
      </c>
      <c r="Z8310" s="234">
        <v>13</v>
      </c>
      <c r="AA8310" s="235">
        <v>0.16666666666787933</v>
      </c>
      <c r="AB8310" s="234">
        <v>-15.6</v>
      </c>
      <c r="AC8310" s="127">
        <f t="shared" si="144"/>
        <v>-16</v>
      </c>
    </row>
    <row r="8311" ht="14.5" customHeight="1" spans="11:29" x14ac:dyDescent="0.25">
      <c r="K8311" s="128"/>
      <c r="X8311" s="234">
        <v>2022</v>
      </c>
      <c r="Y8311" s="234">
        <v>12</v>
      </c>
      <c r="Z8311" s="234">
        <v>13</v>
      </c>
      <c r="AA8311" s="235">
        <v>0.20833333333212067</v>
      </c>
      <c r="AB8311" s="234">
        <v>-16.2</v>
      </c>
      <c r="AC8311" s="127">
        <f t="shared" si="144"/>
        <v>-16</v>
      </c>
    </row>
    <row r="8312" ht="14.5" customHeight="1" spans="11:29" x14ac:dyDescent="0.25">
      <c r="K8312" s="128"/>
      <c r="X8312" s="234">
        <v>2022</v>
      </c>
      <c r="Y8312" s="234">
        <v>12</v>
      </c>
      <c r="Z8312" s="234">
        <v>13</v>
      </c>
      <c r="AA8312" s="235">
        <v>0.25</v>
      </c>
      <c r="AB8312" s="234">
        <v>-16.4</v>
      </c>
      <c r="AC8312" s="127">
        <f t="shared" si="144"/>
        <v>-16</v>
      </c>
    </row>
    <row r="8313" ht="14.5" customHeight="1" spans="11:29" x14ac:dyDescent="0.25">
      <c r="K8313" s="128"/>
      <c r="X8313" s="234">
        <v>2022</v>
      </c>
      <c r="Y8313" s="234">
        <v>12</v>
      </c>
      <c r="Z8313" s="234">
        <v>13</v>
      </c>
      <c r="AA8313" s="235">
        <v>0.2916666666678793</v>
      </c>
      <c r="AB8313" s="234">
        <v>-16.7</v>
      </c>
      <c r="AC8313" s="127">
        <f t="shared" si="144"/>
        <v>-17</v>
      </c>
    </row>
    <row r="8314" ht="14.5" customHeight="1" spans="11:29" x14ac:dyDescent="0.25">
      <c r="K8314" s="128"/>
      <c r="X8314" s="234">
        <v>2022</v>
      </c>
      <c r="Y8314" s="234">
        <v>12</v>
      </c>
      <c r="Z8314" s="234">
        <v>13</v>
      </c>
      <c r="AA8314" s="235">
        <v>0.3333333333321207</v>
      </c>
      <c r="AB8314" s="234">
        <v>-16</v>
      </c>
      <c r="AC8314" s="127">
        <f t="shared" si="144"/>
        <v>-16</v>
      </c>
    </row>
    <row r="8315" ht="14.5" customHeight="1" spans="11:29" x14ac:dyDescent="0.25">
      <c r="K8315" s="128"/>
      <c r="X8315" s="234">
        <v>2022</v>
      </c>
      <c r="Y8315" s="234">
        <v>12</v>
      </c>
      <c r="Z8315" s="234">
        <v>13</v>
      </c>
      <c r="AA8315" s="235">
        <v>0.375</v>
      </c>
      <c r="AB8315" s="234">
        <v>-10.1</v>
      </c>
      <c r="AC8315" s="127">
        <f t="shared" si="144"/>
        <v>-10</v>
      </c>
    </row>
    <row r="8316" ht="14.5" customHeight="1" spans="11:29" x14ac:dyDescent="0.25">
      <c r="K8316" s="128"/>
      <c r="X8316" s="234">
        <v>2022</v>
      </c>
      <c r="Y8316" s="234">
        <v>12</v>
      </c>
      <c r="Z8316" s="234">
        <v>13</v>
      </c>
      <c r="AA8316" s="235">
        <v>0.4166666666678793</v>
      </c>
      <c r="AB8316" s="234">
        <v>-7.4</v>
      </c>
      <c r="AC8316" s="127">
        <f t="shared" si="144"/>
        <v>-7</v>
      </c>
    </row>
    <row r="8317" ht="14.5" customHeight="1" spans="11:29" x14ac:dyDescent="0.25">
      <c r="K8317" s="128"/>
      <c r="X8317" s="234">
        <v>2022</v>
      </c>
      <c r="Y8317" s="234">
        <v>12</v>
      </c>
      <c r="Z8317" s="234">
        <v>13</v>
      </c>
      <c r="AA8317" s="235">
        <v>0.4583333333321207</v>
      </c>
      <c r="AB8317" s="234">
        <v>-7.6</v>
      </c>
      <c r="AC8317" s="127">
        <f t="shared" si="144"/>
        <v>-8</v>
      </c>
    </row>
    <row r="8318" ht="14.5" customHeight="1" spans="11:29" x14ac:dyDescent="0.25">
      <c r="K8318" s="128"/>
      <c r="X8318" s="234">
        <v>2022</v>
      </c>
      <c r="Y8318" s="234">
        <v>12</v>
      </c>
      <c r="Z8318" s="234">
        <v>13</v>
      </c>
      <c r="AA8318" s="235">
        <v>0.5</v>
      </c>
      <c r="AB8318" s="234">
        <v>-4.7</v>
      </c>
      <c r="AC8318" s="127">
        <f t="shared" si="144"/>
        <v>-5</v>
      </c>
    </row>
    <row r="8319" ht="14.5" customHeight="1" spans="11:29" x14ac:dyDescent="0.25">
      <c r="K8319" s="128"/>
      <c r="X8319" s="234">
        <v>2022</v>
      </c>
      <c r="Y8319" s="234">
        <v>12</v>
      </c>
      <c r="Z8319" s="234">
        <v>13</v>
      </c>
      <c r="AA8319" s="235">
        <v>0.5416666666678793</v>
      </c>
      <c r="AB8319" s="234">
        <v>-3.3</v>
      </c>
      <c r="AC8319" s="127">
        <f t="shared" si="144"/>
        <v>-3</v>
      </c>
    </row>
    <row r="8320" ht="14.5" customHeight="1" spans="11:29" x14ac:dyDescent="0.25">
      <c r="K8320" s="128"/>
      <c r="X8320" s="234">
        <v>2022</v>
      </c>
      <c r="Y8320" s="234">
        <v>12</v>
      </c>
      <c r="Z8320" s="234">
        <v>13</v>
      </c>
      <c r="AA8320" s="235">
        <v>0.5833333333321207</v>
      </c>
      <c r="AB8320" s="234">
        <v>-2.4</v>
      </c>
      <c r="AC8320" s="127">
        <f t="shared" si="144"/>
        <v>-2</v>
      </c>
    </row>
    <row r="8321" ht="14.5" customHeight="1" spans="11:29" x14ac:dyDescent="0.25">
      <c r="K8321" s="128"/>
      <c r="X8321" s="234">
        <v>2022</v>
      </c>
      <c r="Y8321" s="234">
        <v>12</v>
      </c>
      <c r="Z8321" s="234">
        <v>13</v>
      </c>
      <c r="AA8321" s="235">
        <v>0.625</v>
      </c>
      <c r="AB8321" s="234">
        <v>-1.5</v>
      </c>
      <c r="AC8321" s="127">
        <f t="shared" si="144"/>
        <v>-2</v>
      </c>
    </row>
    <row r="8322" ht="14.5" customHeight="1" spans="11:29" x14ac:dyDescent="0.25">
      <c r="K8322" s="128"/>
      <c r="X8322" s="234">
        <v>2022</v>
      </c>
      <c r="Y8322" s="234">
        <v>12</v>
      </c>
      <c r="Z8322" s="234">
        <v>13</v>
      </c>
      <c r="AA8322" s="235">
        <v>0.6666666666678793</v>
      </c>
      <c r="AB8322" s="234">
        <v>-0.7</v>
      </c>
      <c r="AC8322" s="127">
        <f t="shared" si="144"/>
        <v>-1</v>
      </c>
    </row>
    <row r="8323" ht="14.5" customHeight="1" spans="11:29" x14ac:dyDescent="0.25">
      <c r="K8323" s="128"/>
      <c r="X8323" s="234">
        <v>2022</v>
      </c>
      <c r="Y8323" s="234">
        <v>12</v>
      </c>
      <c r="Z8323" s="234">
        <v>13</v>
      </c>
      <c r="AA8323" s="235">
        <v>0.7083333333321207</v>
      </c>
      <c r="AB8323" s="234">
        <v>-0.9</v>
      </c>
      <c r="AC8323" s="127">
        <f t="shared" si="144"/>
        <v>-1</v>
      </c>
    </row>
    <row r="8324" ht="14.5" customHeight="1" spans="11:29" x14ac:dyDescent="0.25">
      <c r="K8324" s="128"/>
      <c r="X8324" s="234">
        <v>2022</v>
      </c>
      <c r="Y8324" s="234">
        <v>12</v>
      </c>
      <c r="Z8324" s="234">
        <v>13</v>
      </c>
      <c r="AA8324" s="235">
        <v>0.75</v>
      </c>
      <c r="AB8324" s="234">
        <v>0.2</v>
      </c>
      <c r="AC8324" s="127">
        <f t="shared" si="144"/>
        <v>0</v>
      </c>
    </row>
    <row r="8325" ht="14.5" customHeight="1" spans="11:29" x14ac:dyDescent="0.25">
      <c r="K8325" s="128"/>
      <c r="X8325" s="234">
        <v>2022</v>
      </c>
      <c r="Y8325" s="234">
        <v>12</v>
      </c>
      <c r="Z8325" s="234">
        <v>13</v>
      </c>
      <c r="AA8325" s="235">
        <v>0.7916666666678793</v>
      </c>
      <c r="AB8325" s="234">
        <v>0.4</v>
      </c>
      <c r="AC8325" s="127">
        <f t="shared" si="144"/>
        <v>0</v>
      </c>
    </row>
    <row r="8326" ht="14.5" customHeight="1" spans="11:29" x14ac:dyDescent="0.25">
      <c r="K8326" s="128"/>
      <c r="X8326" s="234">
        <v>2022</v>
      </c>
      <c r="Y8326" s="234">
        <v>12</v>
      </c>
      <c r="Z8326" s="234">
        <v>13</v>
      </c>
      <c r="AA8326" s="235">
        <v>0.8333333333321207</v>
      </c>
      <c r="AB8326" s="234">
        <v>1.7</v>
      </c>
      <c r="AC8326" s="127">
        <f t="shared" si="144"/>
        <v>2</v>
      </c>
    </row>
    <row r="8327" ht="14.5" customHeight="1" spans="11:29" x14ac:dyDescent="0.25">
      <c r="K8327" s="128"/>
      <c r="X8327" s="234">
        <v>2022</v>
      </c>
      <c r="Y8327" s="234">
        <v>12</v>
      </c>
      <c r="Z8327" s="234">
        <v>13</v>
      </c>
      <c r="AA8327" s="235">
        <v>0.875</v>
      </c>
      <c r="AB8327" s="234">
        <v>0.8</v>
      </c>
      <c r="AC8327" s="127">
        <f t="shared" si="144"/>
        <v>1</v>
      </c>
    </row>
    <row r="8328" ht="14.5" customHeight="1" spans="11:29" x14ac:dyDescent="0.25">
      <c r="K8328" s="128"/>
      <c r="X8328" s="234">
        <v>2022</v>
      </c>
      <c r="Y8328" s="234">
        <v>12</v>
      </c>
      <c r="Z8328" s="234">
        <v>13</v>
      </c>
      <c r="AA8328" s="235">
        <v>0.9166666666678793</v>
      </c>
      <c r="AB8328" s="234">
        <v>0.5</v>
      </c>
      <c r="AC8328" s="127">
        <f t="shared" si="144"/>
        <v>1</v>
      </c>
    </row>
    <row r="8329" ht="14.5" customHeight="1" spans="11:29" x14ac:dyDescent="0.25">
      <c r="K8329" s="128"/>
      <c r="X8329" s="234">
        <v>2022</v>
      </c>
      <c r="Y8329" s="234">
        <v>12</v>
      </c>
      <c r="Z8329" s="234">
        <v>13</v>
      </c>
      <c r="AA8329" s="235">
        <v>0.9583333333321207</v>
      </c>
      <c r="AB8329" s="234">
        <v>-0.5</v>
      </c>
      <c r="AC8329" s="127">
        <f t="shared" si="144"/>
        <v>-1</v>
      </c>
    </row>
    <row r="8330" ht="14.5" customHeight="1" spans="11:29" x14ac:dyDescent="0.25">
      <c r="K8330" s="128"/>
      <c r="X8330" s="234">
        <v>2022</v>
      </c>
      <c r="Y8330" s="234">
        <v>12</v>
      </c>
      <c r="Z8330" s="234">
        <v>14</v>
      </c>
      <c r="AA8330" s="235">
        <v>0</v>
      </c>
      <c r="AB8330" s="234">
        <v>-0.5</v>
      </c>
      <c r="AC8330" s="127">
        <f t="shared" si="144"/>
        <v>-1</v>
      </c>
    </row>
    <row r="8331" ht="14.5" customHeight="1" spans="11:29" x14ac:dyDescent="0.25">
      <c r="K8331" s="128"/>
      <c r="X8331" s="234">
        <v>2022</v>
      </c>
      <c r="Y8331" s="234">
        <v>12</v>
      </c>
      <c r="Z8331" s="234">
        <v>14</v>
      </c>
      <c r="AA8331" s="235">
        <v>0.041666666667879326</v>
      </c>
      <c r="AB8331" s="234">
        <v>-0.8</v>
      </c>
      <c r="AC8331" s="127">
        <f t="shared" ref="AC8331:AC8394" si="145">ROUND(AB8331,0)</f>
        <v>-1</v>
      </c>
    </row>
    <row r="8332" ht="14.5" customHeight="1" spans="11:29" x14ac:dyDescent="0.25">
      <c r="K8332" s="128"/>
      <c r="X8332" s="234">
        <v>2022</v>
      </c>
      <c r="Y8332" s="234">
        <v>12</v>
      </c>
      <c r="Z8332" s="234">
        <v>14</v>
      </c>
      <c r="AA8332" s="235">
        <v>0.08333333333212067</v>
      </c>
      <c r="AB8332" s="234">
        <v>-1.3</v>
      </c>
      <c r="AC8332" s="127">
        <f t="shared" si="145"/>
        <v>-1</v>
      </c>
    </row>
    <row r="8333" ht="14.5" customHeight="1" spans="11:29" x14ac:dyDescent="0.25">
      <c r="K8333" s="128"/>
      <c r="X8333" s="234">
        <v>2022</v>
      </c>
      <c r="Y8333" s="234">
        <v>12</v>
      </c>
      <c r="Z8333" s="234">
        <v>14</v>
      </c>
      <c r="AA8333" s="235">
        <v>0.125</v>
      </c>
      <c r="AB8333" s="234">
        <v>-1.7</v>
      </c>
      <c r="AC8333" s="127">
        <f t="shared" si="145"/>
        <v>-2</v>
      </c>
    </row>
    <row r="8334" ht="14.5" customHeight="1" spans="11:29" x14ac:dyDescent="0.25">
      <c r="K8334" s="128"/>
      <c r="X8334" s="234">
        <v>2022</v>
      </c>
      <c r="Y8334" s="234">
        <v>12</v>
      </c>
      <c r="Z8334" s="234">
        <v>14</v>
      </c>
      <c r="AA8334" s="235">
        <v>0.16666666666787933</v>
      </c>
      <c r="AB8334" s="234">
        <v>-1.9</v>
      </c>
      <c r="AC8334" s="127">
        <f t="shared" si="145"/>
        <v>-2</v>
      </c>
    </row>
    <row r="8335" ht="14.5" customHeight="1" spans="11:29" x14ac:dyDescent="0.25">
      <c r="K8335" s="128"/>
      <c r="X8335" s="234">
        <v>2022</v>
      </c>
      <c r="Y8335" s="234">
        <v>12</v>
      </c>
      <c r="Z8335" s="234">
        <v>14</v>
      </c>
      <c r="AA8335" s="235">
        <v>0.20833333333212067</v>
      </c>
      <c r="AB8335" s="234">
        <v>-2.1</v>
      </c>
      <c r="AC8335" s="127">
        <f t="shared" si="145"/>
        <v>-2</v>
      </c>
    </row>
    <row r="8336" ht="14.5" customHeight="1" spans="11:29" x14ac:dyDescent="0.25">
      <c r="K8336" s="128"/>
      <c r="X8336" s="234">
        <v>2022</v>
      </c>
      <c r="Y8336" s="234">
        <v>12</v>
      </c>
      <c r="Z8336" s="234">
        <v>14</v>
      </c>
      <c r="AA8336" s="235">
        <v>0.25</v>
      </c>
      <c r="AB8336" s="234">
        <v>-2.1</v>
      </c>
      <c r="AC8336" s="127">
        <f t="shared" si="145"/>
        <v>-2</v>
      </c>
    </row>
    <row r="8337" ht="14.5" customHeight="1" spans="11:29" x14ac:dyDescent="0.25">
      <c r="K8337" s="128"/>
      <c r="X8337" s="234">
        <v>2022</v>
      </c>
      <c r="Y8337" s="234">
        <v>12</v>
      </c>
      <c r="Z8337" s="234">
        <v>14</v>
      </c>
      <c r="AA8337" s="235">
        <v>0.2916666666678793</v>
      </c>
      <c r="AB8337" s="234">
        <v>-2.2</v>
      </c>
      <c r="AC8337" s="127">
        <f t="shared" si="145"/>
        <v>-2</v>
      </c>
    </row>
    <row r="8338" ht="14.5" customHeight="1" spans="11:29" x14ac:dyDescent="0.25">
      <c r="K8338" s="128"/>
      <c r="X8338" s="234">
        <v>2022</v>
      </c>
      <c r="Y8338" s="234">
        <v>12</v>
      </c>
      <c r="Z8338" s="234">
        <v>14</v>
      </c>
      <c r="AA8338" s="235">
        <v>0.3333333333321207</v>
      </c>
      <c r="AB8338" s="234">
        <v>-2.7</v>
      </c>
      <c r="AC8338" s="127">
        <f t="shared" si="145"/>
        <v>-3</v>
      </c>
    </row>
    <row r="8339" ht="14.5" customHeight="1" spans="11:29" x14ac:dyDescent="0.25">
      <c r="K8339" s="128"/>
      <c r="X8339" s="234">
        <v>2022</v>
      </c>
      <c r="Y8339" s="234">
        <v>12</v>
      </c>
      <c r="Z8339" s="234">
        <v>14</v>
      </c>
      <c r="AA8339" s="235">
        <v>0.375</v>
      </c>
      <c r="AB8339" s="234">
        <v>-3.4</v>
      </c>
      <c r="AC8339" s="127">
        <f t="shared" si="145"/>
        <v>-3</v>
      </c>
    </row>
    <row r="8340" ht="14.5" customHeight="1" spans="11:29" x14ac:dyDescent="0.25">
      <c r="K8340" s="128"/>
      <c r="X8340" s="234">
        <v>2022</v>
      </c>
      <c r="Y8340" s="234">
        <v>12</v>
      </c>
      <c r="Z8340" s="234">
        <v>14</v>
      </c>
      <c r="AA8340" s="235">
        <v>0.4166666666678793</v>
      </c>
      <c r="AB8340" s="234">
        <v>-4.4</v>
      </c>
      <c r="AC8340" s="127">
        <f t="shared" si="145"/>
        <v>-4</v>
      </c>
    </row>
    <row r="8341" ht="14.5" customHeight="1" spans="11:29" x14ac:dyDescent="0.25">
      <c r="K8341" s="128"/>
      <c r="X8341" s="234">
        <v>2022</v>
      </c>
      <c r="Y8341" s="234">
        <v>12</v>
      </c>
      <c r="Z8341" s="234">
        <v>14</v>
      </c>
      <c r="AA8341" s="235">
        <v>0.4583333333321207</v>
      </c>
      <c r="AB8341" s="234">
        <v>-4.6</v>
      </c>
      <c r="AC8341" s="127">
        <f t="shared" si="145"/>
        <v>-5</v>
      </c>
    </row>
    <row r="8342" ht="14.5" customHeight="1" spans="11:29" x14ac:dyDescent="0.25">
      <c r="K8342" s="128"/>
      <c r="X8342" s="234">
        <v>2022</v>
      </c>
      <c r="Y8342" s="234">
        <v>12</v>
      </c>
      <c r="Z8342" s="234">
        <v>14</v>
      </c>
      <c r="AA8342" s="235">
        <v>0.5</v>
      </c>
      <c r="AB8342" s="234">
        <v>-4.1</v>
      </c>
      <c r="AC8342" s="127">
        <f t="shared" si="145"/>
        <v>-4</v>
      </c>
    </row>
    <row r="8343" ht="14.5" customHeight="1" spans="11:29" x14ac:dyDescent="0.25">
      <c r="K8343" s="128"/>
      <c r="X8343" s="234">
        <v>2022</v>
      </c>
      <c r="Y8343" s="234">
        <v>12</v>
      </c>
      <c r="Z8343" s="234">
        <v>14</v>
      </c>
      <c r="AA8343" s="235">
        <v>0.5416666666678793</v>
      </c>
      <c r="AB8343" s="234">
        <v>-3.8</v>
      </c>
      <c r="AC8343" s="127">
        <f t="shared" si="145"/>
        <v>-4</v>
      </c>
    </row>
    <row r="8344" ht="14.5" customHeight="1" spans="11:29" x14ac:dyDescent="0.25">
      <c r="K8344" s="128"/>
      <c r="X8344" s="234">
        <v>2022</v>
      </c>
      <c r="Y8344" s="234">
        <v>12</v>
      </c>
      <c r="Z8344" s="234">
        <v>14</v>
      </c>
      <c r="AA8344" s="235">
        <v>0.5833333333321207</v>
      </c>
      <c r="AB8344" s="234">
        <v>-3.7</v>
      </c>
      <c r="AC8344" s="127">
        <f t="shared" si="145"/>
        <v>-4</v>
      </c>
    </row>
    <row r="8345" ht="14.5" customHeight="1" spans="11:29" x14ac:dyDescent="0.25">
      <c r="K8345" s="128"/>
      <c r="X8345" s="234">
        <v>2022</v>
      </c>
      <c r="Y8345" s="234">
        <v>12</v>
      </c>
      <c r="Z8345" s="234">
        <v>14</v>
      </c>
      <c r="AA8345" s="235">
        <v>0.625</v>
      </c>
      <c r="AB8345" s="234">
        <v>-3.7</v>
      </c>
      <c r="AC8345" s="127">
        <f t="shared" si="145"/>
        <v>-4</v>
      </c>
    </row>
    <row r="8346" ht="14.5" customHeight="1" spans="11:29" x14ac:dyDescent="0.25">
      <c r="K8346" s="128"/>
      <c r="X8346" s="234">
        <v>2022</v>
      </c>
      <c r="Y8346" s="234">
        <v>12</v>
      </c>
      <c r="Z8346" s="234">
        <v>14</v>
      </c>
      <c r="AA8346" s="235">
        <v>0.6666666666678793</v>
      </c>
      <c r="AB8346" s="234">
        <v>-4.7</v>
      </c>
      <c r="AC8346" s="127">
        <f t="shared" si="145"/>
        <v>-5</v>
      </c>
    </row>
    <row r="8347" ht="14.5" customHeight="1" spans="11:29" x14ac:dyDescent="0.25">
      <c r="K8347" s="128"/>
      <c r="X8347" s="234">
        <v>2022</v>
      </c>
      <c r="Y8347" s="234">
        <v>12</v>
      </c>
      <c r="Z8347" s="234">
        <v>14</v>
      </c>
      <c r="AA8347" s="235">
        <v>0.7083333333321207</v>
      </c>
      <c r="AB8347" s="234">
        <v>-6.3</v>
      </c>
      <c r="AC8347" s="127">
        <f t="shared" si="145"/>
        <v>-6</v>
      </c>
    </row>
    <row r="8348" ht="14.5" customHeight="1" spans="11:29" x14ac:dyDescent="0.25">
      <c r="K8348" s="128"/>
      <c r="X8348" s="234">
        <v>2022</v>
      </c>
      <c r="Y8348" s="234">
        <v>12</v>
      </c>
      <c r="Z8348" s="234">
        <v>14</v>
      </c>
      <c r="AA8348" s="235">
        <v>0.75</v>
      </c>
      <c r="AB8348" s="234">
        <v>-7.3</v>
      </c>
      <c r="AC8348" s="127">
        <f t="shared" si="145"/>
        <v>-7</v>
      </c>
    </row>
    <row r="8349" ht="14.5" customHeight="1" spans="11:29" x14ac:dyDescent="0.25">
      <c r="K8349" s="128"/>
      <c r="X8349" s="234">
        <v>2022</v>
      </c>
      <c r="Y8349" s="234">
        <v>12</v>
      </c>
      <c r="Z8349" s="234">
        <v>14</v>
      </c>
      <c r="AA8349" s="235">
        <v>0.7916666666678793</v>
      </c>
      <c r="AB8349" s="234">
        <v>-10.4</v>
      </c>
      <c r="AC8349" s="127">
        <f t="shared" si="145"/>
        <v>-10</v>
      </c>
    </row>
    <row r="8350" ht="14.5" customHeight="1" spans="11:29" x14ac:dyDescent="0.25">
      <c r="K8350" s="128"/>
      <c r="X8350" s="234">
        <v>2022</v>
      </c>
      <c r="Y8350" s="234">
        <v>12</v>
      </c>
      <c r="Z8350" s="234">
        <v>14</v>
      </c>
      <c r="AA8350" s="235">
        <v>0.8333333333321207</v>
      </c>
      <c r="AB8350" s="234">
        <v>-11.5</v>
      </c>
      <c r="AC8350" s="127">
        <f t="shared" si="145"/>
        <v>-12</v>
      </c>
    </row>
    <row r="8351" ht="14.5" customHeight="1" spans="11:29" x14ac:dyDescent="0.25">
      <c r="K8351" s="128"/>
      <c r="X8351" s="234">
        <v>2022</v>
      </c>
      <c r="Y8351" s="234">
        <v>12</v>
      </c>
      <c r="Z8351" s="234">
        <v>14</v>
      </c>
      <c r="AA8351" s="235">
        <v>0.875</v>
      </c>
      <c r="AB8351" s="234">
        <v>-12.5</v>
      </c>
      <c r="AC8351" s="127">
        <f t="shared" si="145"/>
        <v>-13</v>
      </c>
    </row>
    <row r="8352" ht="14.5" customHeight="1" spans="11:29" x14ac:dyDescent="0.25">
      <c r="K8352" s="128"/>
      <c r="X8352" s="234">
        <v>2022</v>
      </c>
      <c r="Y8352" s="234">
        <v>12</v>
      </c>
      <c r="Z8352" s="234">
        <v>14</v>
      </c>
      <c r="AA8352" s="235">
        <v>0.9166666666678793</v>
      </c>
      <c r="AB8352" s="234">
        <v>-12.2</v>
      </c>
      <c r="AC8352" s="127">
        <f t="shared" si="145"/>
        <v>-12</v>
      </c>
    </row>
    <row r="8353" ht="14.5" customHeight="1" spans="11:29" x14ac:dyDescent="0.25">
      <c r="K8353" s="128"/>
      <c r="X8353" s="234">
        <v>2022</v>
      </c>
      <c r="Y8353" s="234">
        <v>12</v>
      </c>
      <c r="Z8353" s="234">
        <v>14</v>
      </c>
      <c r="AA8353" s="235">
        <v>0.9583333333321207</v>
      </c>
      <c r="AB8353" s="234">
        <v>-13.9</v>
      </c>
      <c r="AC8353" s="127">
        <f t="shared" si="145"/>
        <v>-14</v>
      </c>
    </row>
    <row r="8354" ht="14.5" customHeight="1" spans="11:29" x14ac:dyDescent="0.25">
      <c r="K8354" s="128"/>
      <c r="X8354" s="234">
        <v>2022</v>
      </c>
      <c r="Y8354" s="234">
        <v>12</v>
      </c>
      <c r="Z8354" s="234">
        <v>15</v>
      </c>
      <c r="AA8354" s="235">
        <v>0</v>
      </c>
      <c r="AB8354" s="234">
        <v>-13.6</v>
      </c>
      <c r="AC8354" s="127">
        <f t="shared" si="145"/>
        <v>-14</v>
      </c>
    </row>
    <row r="8355" ht="14.5" customHeight="1" spans="11:29" x14ac:dyDescent="0.25">
      <c r="K8355" s="128"/>
      <c r="X8355" s="234">
        <v>2022</v>
      </c>
      <c r="Y8355" s="234">
        <v>12</v>
      </c>
      <c r="Z8355" s="234">
        <v>15</v>
      </c>
      <c r="AA8355" s="235">
        <v>0.041666666667879326</v>
      </c>
      <c r="AB8355" s="234">
        <v>-10.9</v>
      </c>
      <c r="AC8355" s="127">
        <f t="shared" si="145"/>
        <v>-11</v>
      </c>
    </row>
    <row r="8356" ht="14.5" customHeight="1" spans="11:29" x14ac:dyDescent="0.25">
      <c r="K8356" s="128"/>
      <c r="X8356" s="234">
        <v>2022</v>
      </c>
      <c r="Y8356" s="234">
        <v>12</v>
      </c>
      <c r="Z8356" s="234">
        <v>15</v>
      </c>
      <c r="AA8356" s="235">
        <v>0.08333333333212067</v>
      </c>
      <c r="AB8356" s="234">
        <v>-13</v>
      </c>
      <c r="AC8356" s="127">
        <f t="shared" si="145"/>
        <v>-13</v>
      </c>
    </row>
    <row r="8357" ht="14.5" customHeight="1" spans="11:29" x14ac:dyDescent="0.25">
      <c r="K8357" s="128"/>
      <c r="X8357" s="234">
        <v>2022</v>
      </c>
      <c r="Y8357" s="234">
        <v>12</v>
      </c>
      <c r="Z8357" s="234">
        <v>15</v>
      </c>
      <c r="AA8357" s="235">
        <v>0.125</v>
      </c>
      <c r="AB8357" s="234">
        <v>-13.1</v>
      </c>
      <c r="AC8357" s="127">
        <f t="shared" si="145"/>
        <v>-13</v>
      </c>
    </row>
    <row r="8358" ht="14.5" customHeight="1" spans="11:29" x14ac:dyDescent="0.25">
      <c r="K8358" s="128"/>
      <c r="X8358" s="234">
        <v>2022</v>
      </c>
      <c r="Y8358" s="234">
        <v>12</v>
      </c>
      <c r="Z8358" s="234">
        <v>15</v>
      </c>
      <c r="AA8358" s="235">
        <v>0.16666666666787933</v>
      </c>
      <c r="AB8358" s="234">
        <v>-12.3</v>
      </c>
      <c r="AC8358" s="127">
        <f t="shared" si="145"/>
        <v>-12</v>
      </c>
    </row>
    <row r="8359" ht="14.5" customHeight="1" spans="11:29" x14ac:dyDescent="0.25">
      <c r="K8359" s="128"/>
      <c r="X8359" s="234">
        <v>2022</v>
      </c>
      <c r="Y8359" s="234">
        <v>12</v>
      </c>
      <c r="Z8359" s="234">
        <v>15</v>
      </c>
      <c r="AA8359" s="235">
        <v>0.20833333333212067</v>
      </c>
      <c r="AB8359" s="234">
        <v>-9.7</v>
      </c>
      <c r="AC8359" s="127">
        <f t="shared" si="145"/>
        <v>-10</v>
      </c>
    </row>
    <row r="8360" ht="14.5" customHeight="1" spans="11:29" x14ac:dyDescent="0.25">
      <c r="K8360" s="128"/>
      <c r="X8360" s="234">
        <v>2022</v>
      </c>
      <c r="Y8360" s="234">
        <v>12</v>
      </c>
      <c r="Z8360" s="234">
        <v>15</v>
      </c>
      <c r="AA8360" s="235">
        <v>0.25</v>
      </c>
      <c r="AB8360" s="234">
        <v>-9.2</v>
      </c>
      <c r="AC8360" s="127">
        <f t="shared" si="145"/>
        <v>-9</v>
      </c>
    </row>
    <row r="8361" ht="14.5" customHeight="1" spans="11:29" x14ac:dyDescent="0.25">
      <c r="K8361" s="128"/>
      <c r="X8361" s="234">
        <v>2022</v>
      </c>
      <c r="Y8361" s="234">
        <v>12</v>
      </c>
      <c r="Z8361" s="234">
        <v>15</v>
      </c>
      <c r="AA8361" s="235">
        <v>0.2916666666678793</v>
      </c>
      <c r="AB8361" s="234">
        <v>-11.6</v>
      </c>
      <c r="AC8361" s="127">
        <f t="shared" si="145"/>
        <v>-12</v>
      </c>
    </row>
    <row r="8362" ht="14.5" customHeight="1" spans="11:29" x14ac:dyDescent="0.25">
      <c r="K8362" s="128"/>
      <c r="X8362" s="234">
        <v>2022</v>
      </c>
      <c r="Y8362" s="234">
        <v>12</v>
      </c>
      <c r="Z8362" s="234">
        <v>15</v>
      </c>
      <c r="AA8362" s="235">
        <v>0.3333333333321207</v>
      </c>
      <c r="AB8362" s="234">
        <v>-8.3</v>
      </c>
      <c r="AC8362" s="127">
        <f t="shared" si="145"/>
        <v>-8</v>
      </c>
    </row>
    <row r="8363" ht="14.5" customHeight="1" spans="11:29" x14ac:dyDescent="0.25">
      <c r="K8363" s="128"/>
      <c r="X8363" s="234">
        <v>2022</v>
      </c>
      <c r="Y8363" s="234">
        <v>12</v>
      </c>
      <c r="Z8363" s="234">
        <v>15</v>
      </c>
      <c r="AA8363" s="235">
        <v>0.375</v>
      </c>
      <c r="AB8363" s="234">
        <v>-10.1</v>
      </c>
      <c r="AC8363" s="127">
        <f t="shared" si="145"/>
        <v>-10</v>
      </c>
    </row>
    <row r="8364" ht="14.5" customHeight="1" spans="11:29" x14ac:dyDescent="0.25">
      <c r="K8364" s="128"/>
      <c r="X8364" s="234">
        <v>2022</v>
      </c>
      <c r="Y8364" s="234">
        <v>12</v>
      </c>
      <c r="Z8364" s="234">
        <v>15</v>
      </c>
      <c r="AA8364" s="235">
        <v>0.4166666666678793</v>
      </c>
      <c r="AB8364" s="234">
        <v>-5.2</v>
      </c>
      <c r="AC8364" s="127">
        <f t="shared" si="145"/>
        <v>-5</v>
      </c>
    </row>
    <row r="8365" ht="14.5" customHeight="1" spans="11:29" x14ac:dyDescent="0.25">
      <c r="K8365" s="128"/>
      <c r="X8365" s="234">
        <v>2022</v>
      </c>
      <c r="Y8365" s="234">
        <v>12</v>
      </c>
      <c r="Z8365" s="234">
        <v>15</v>
      </c>
      <c r="AA8365" s="235">
        <v>0.4583333333321207</v>
      </c>
      <c r="AB8365" s="234">
        <v>-4.1</v>
      </c>
      <c r="AC8365" s="127">
        <f t="shared" si="145"/>
        <v>-4</v>
      </c>
    </row>
    <row r="8366" ht="14.5" customHeight="1" spans="11:29" x14ac:dyDescent="0.25">
      <c r="K8366" s="128"/>
      <c r="X8366" s="234">
        <v>2022</v>
      </c>
      <c r="Y8366" s="234">
        <v>12</v>
      </c>
      <c r="Z8366" s="234">
        <v>15</v>
      </c>
      <c r="AA8366" s="235">
        <v>0.5</v>
      </c>
      <c r="AB8366" s="234">
        <v>-2.1</v>
      </c>
      <c r="AC8366" s="127">
        <f t="shared" si="145"/>
        <v>-2</v>
      </c>
    </row>
    <row r="8367" ht="14.5" customHeight="1" spans="11:29" x14ac:dyDescent="0.25">
      <c r="K8367" s="128"/>
      <c r="X8367" s="234">
        <v>2022</v>
      </c>
      <c r="Y8367" s="234">
        <v>12</v>
      </c>
      <c r="Z8367" s="234">
        <v>15</v>
      </c>
      <c r="AA8367" s="235">
        <v>0.5416666666678793</v>
      </c>
      <c r="AB8367" s="234">
        <v>-1.4</v>
      </c>
      <c r="AC8367" s="127">
        <f t="shared" si="145"/>
        <v>-1</v>
      </c>
    </row>
    <row r="8368" ht="14.5" customHeight="1" spans="11:29" x14ac:dyDescent="0.25">
      <c r="K8368" s="128"/>
      <c r="X8368" s="234">
        <v>2022</v>
      </c>
      <c r="Y8368" s="234">
        <v>12</v>
      </c>
      <c r="Z8368" s="234">
        <v>15</v>
      </c>
      <c r="AA8368" s="235">
        <v>0.5833333333321207</v>
      </c>
      <c r="AB8368" s="234">
        <v>-1.5</v>
      </c>
      <c r="AC8368" s="127">
        <f t="shared" si="145"/>
        <v>-2</v>
      </c>
    </row>
    <row r="8369" ht="14.5" customHeight="1" spans="11:29" x14ac:dyDescent="0.25">
      <c r="K8369" s="128"/>
      <c r="X8369" s="234">
        <v>2022</v>
      </c>
      <c r="Y8369" s="234">
        <v>12</v>
      </c>
      <c r="Z8369" s="234">
        <v>15</v>
      </c>
      <c r="AA8369" s="235">
        <v>0.625</v>
      </c>
      <c r="AB8369" s="234">
        <v>-1.3</v>
      </c>
      <c r="AC8369" s="127">
        <f t="shared" si="145"/>
        <v>-1</v>
      </c>
    </row>
    <row r="8370" ht="14.5" customHeight="1" spans="11:29" x14ac:dyDescent="0.25">
      <c r="K8370" s="128"/>
      <c r="X8370" s="234">
        <v>2022</v>
      </c>
      <c r="Y8370" s="234">
        <v>12</v>
      </c>
      <c r="Z8370" s="234">
        <v>15</v>
      </c>
      <c r="AA8370" s="235">
        <v>0.6666666666678793</v>
      </c>
      <c r="AB8370" s="234">
        <v>-3</v>
      </c>
      <c r="AC8370" s="127">
        <f t="shared" si="145"/>
        <v>-3</v>
      </c>
    </row>
    <row r="8371" ht="14.5" customHeight="1" spans="11:29" x14ac:dyDescent="0.25">
      <c r="K8371" s="128"/>
      <c r="X8371" s="234">
        <v>2022</v>
      </c>
      <c r="Y8371" s="234">
        <v>12</v>
      </c>
      <c r="Z8371" s="234">
        <v>15</v>
      </c>
      <c r="AA8371" s="235">
        <v>0.7083333333321207</v>
      </c>
      <c r="AB8371" s="234">
        <v>-5.8</v>
      </c>
      <c r="AC8371" s="127">
        <f t="shared" si="145"/>
        <v>-6</v>
      </c>
    </row>
    <row r="8372" ht="14.5" customHeight="1" spans="11:29" x14ac:dyDescent="0.25">
      <c r="K8372" s="128"/>
      <c r="X8372" s="234">
        <v>2022</v>
      </c>
      <c r="Y8372" s="234">
        <v>12</v>
      </c>
      <c r="Z8372" s="234">
        <v>15</v>
      </c>
      <c r="AA8372" s="235">
        <v>0.75</v>
      </c>
      <c r="AB8372" s="234">
        <v>-7.8</v>
      </c>
      <c r="AC8372" s="127">
        <f t="shared" si="145"/>
        <v>-8</v>
      </c>
    </row>
    <row r="8373" ht="14.5" customHeight="1" spans="11:29" x14ac:dyDescent="0.25">
      <c r="K8373" s="128"/>
      <c r="X8373" s="234">
        <v>2022</v>
      </c>
      <c r="Y8373" s="234">
        <v>12</v>
      </c>
      <c r="Z8373" s="234">
        <v>15</v>
      </c>
      <c r="AA8373" s="235">
        <v>0.7916666666678793</v>
      </c>
      <c r="AB8373" s="234">
        <v>-8.3</v>
      </c>
      <c r="AC8373" s="127">
        <f t="shared" si="145"/>
        <v>-8</v>
      </c>
    </row>
    <row r="8374" ht="14.5" customHeight="1" spans="11:29" x14ac:dyDescent="0.25">
      <c r="K8374" s="128"/>
      <c r="X8374" s="234">
        <v>2022</v>
      </c>
      <c r="Y8374" s="234">
        <v>12</v>
      </c>
      <c r="Z8374" s="234">
        <v>15</v>
      </c>
      <c r="AA8374" s="235">
        <v>0.8333333333321207</v>
      </c>
      <c r="AB8374" s="234">
        <v>-9.9</v>
      </c>
      <c r="AC8374" s="127">
        <f t="shared" si="145"/>
        <v>-10</v>
      </c>
    </row>
    <row r="8375" ht="14.5" customHeight="1" spans="11:29" x14ac:dyDescent="0.25">
      <c r="K8375" s="128"/>
      <c r="X8375" s="234">
        <v>2022</v>
      </c>
      <c r="Y8375" s="234">
        <v>12</v>
      </c>
      <c r="Z8375" s="234">
        <v>15</v>
      </c>
      <c r="AA8375" s="235">
        <v>0.875</v>
      </c>
      <c r="AB8375" s="234">
        <v>-10.6</v>
      </c>
      <c r="AC8375" s="127">
        <f t="shared" si="145"/>
        <v>-11</v>
      </c>
    </row>
    <row r="8376" ht="14.5" customHeight="1" spans="11:29" x14ac:dyDescent="0.25">
      <c r="K8376" s="128"/>
      <c r="X8376" s="234">
        <v>2022</v>
      </c>
      <c r="Y8376" s="234">
        <v>12</v>
      </c>
      <c r="Z8376" s="234">
        <v>15</v>
      </c>
      <c r="AA8376" s="235">
        <v>0.9166666666678793</v>
      </c>
      <c r="AB8376" s="234">
        <v>-11</v>
      </c>
      <c r="AC8376" s="127">
        <f t="shared" si="145"/>
        <v>-11</v>
      </c>
    </row>
    <row r="8377" ht="14.5" customHeight="1" spans="11:29" x14ac:dyDescent="0.25">
      <c r="K8377" s="128"/>
      <c r="X8377" s="234">
        <v>2022</v>
      </c>
      <c r="Y8377" s="234">
        <v>12</v>
      </c>
      <c r="Z8377" s="234">
        <v>15</v>
      </c>
      <c r="AA8377" s="235">
        <v>0.9583333333321207</v>
      </c>
      <c r="AB8377" s="234">
        <v>-9.7</v>
      </c>
      <c r="AC8377" s="127">
        <f t="shared" si="145"/>
        <v>-10</v>
      </c>
    </row>
    <row r="8378" ht="14.5" customHeight="1" spans="11:29" x14ac:dyDescent="0.25">
      <c r="K8378" s="128"/>
      <c r="X8378" s="234">
        <v>2022</v>
      </c>
      <c r="Y8378" s="234">
        <v>12</v>
      </c>
      <c r="Z8378" s="234">
        <v>16</v>
      </c>
      <c r="AA8378" s="235">
        <v>0</v>
      </c>
      <c r="AB8378" s="234">
        <v>-10.5</v>
      </c>
      <c r="AC8378" s="127">
        <f t="shared" si="145"/>
        <v>-11</v>
      </c>
    </row>
    <row r="8379" ht="14.5" customHeight="1" spans="11:29" x14ac:dyDescent="0.25">
      <c r="K8379" s="128"/>
      <c r="X8379" s="234">
        <v>2022</v>
      </c>
      <c r="Y8379" s="234">
        <v>12</v>
      </c>
      <c r="Z8379" s="234">
        <v>16</v>
      </c>
      <c r="AA8379" s="235">
        <v>0.041666666667879326</v>
      </c>
      <c r="AB8379" s="234">
        <v>-11.3</v>
      </c>
      <c r="AC8379" s="127">
        <f t="shared" si="145"/>
        <v>-11</v>
      </c>
    </row>
    <row r="8380" ht="14.5" customHeight="1" spans="11:29" x14ac:dyDescent="0.25">
      <c r="K8380" s="128"/>
      <c r="X8380" s="234">
        <v>2022</v>
      </c>
      <c r="Y8380" s="234">
        <v>12</v>
      </c>
      <c r="Z8380" s="234">
        <v>16</v>
      </c>
      <c r="AA8380" s="235">
        <v>0.08333333333212067</v>
      </c>
      <c r="AB8380" s="234">
        <v>-12.7</v>
      </c>
      <c r="AC8380" s="127">
        <f t="shared" si="145"/>
        <v>-13</v>
      </c>
    </row>
    <row r="8381" ht="14.5" customHeight="1" spans="11:29" x14ac:dyDescent="0.25">
      <c r="K8381" s="128"/>
      <c r="X8381" s="234">
        <v>2022</v>
      </c>
      <c r="Y8381" s="234">
        <v>12</v>
      </c>
      <c r="Z8381" s="234">
        <v>16</v>
      </c>
      <c r="AA8381" s="235">
        <v>0.125</v>
      </c>
      <c r="AB8381" s="234">
        <v>-10.8</v>
      </c>
      <c r="AC8381" s="127">
        <f t="shared" si="145"/>
        <v>-11</v>
      </c>
    </row>
    <row r="8382" ht="14.5" customHeight="1" spans="11:29" x14ac:dyDescent="0.25">
      <c r="K8382" s="128"/>
      <c r="X8382" s="234">
        <v>2022</v>
      </c>
      <c r="Y8382" s="234">
        <v>12</v>
      </c>
      <c r="Z8382" s="234">
        <v>16</v>
      </c>
      <c r="AA8382" s="235">
        <v>0.16666666666787933</v>
      </c>
      <c r="AB8382" s="234">
        <v>-7</v>
      </c>
      <c r="AC8382" s="127">
        <f t="shared" si="145"/>
        <v>-7</v>
      </c>
    </row>
    <row r="8383" ht="14.5" customHeight="1" spans="11:29" x14ac:dyDescent="0.25">
      <c r="K8383" s="128"/>
      <c r="X8383" s="234">
        <v>2022</v>
      </c>
      <c r="Y8383" s="234">
        <v>12</v>
      </c>
      <c r="Z8383" s="234">
        <v>16</v>
      </c>
      <c r="AA8383" s="235">
        <v>0.20833333333212067</v>
      </c>
      <c r="AB8383" s="234">
        <v>-6</v>
      </c>
      <c r="AC8383" s="127">
        <f t="shared" si="145"/>
        <v>-6</v>
      </c>
    </row>
    <row r="8384" ht="14.5" customHeight="1" spans="11:29" x14ac:dyDescent="0.25">
      <c r="K8384" s="128"/>
      <c r="X8384" s="234">
        <v>2022</v>
      </c>
      <c r="Y8384" s="234">
        <v>12</v>
      </c>
      <c r="Z8384" s="234">
        <v>16</v>
      </c>
      <c r="AA8384" s="235">
        <v>0.25</v>
      </c>
      <c r="AB8384" s="234">
        <v>-5.5</v>
      </c>
      <c r="AC8384" s="127">
        <f t="shared" si="145"/>
        <v>-6</v>
      </c>
    </row>
    <row r="8385" ht="14.5" customHeight="1" spans="11:29" x14ac:dyDescent="0.25">
      <c r="K8385" s="128"/>
      <c r="X8385" s="234">
        <v>2022</v>
      </c>
      <c r="Y8385" s="234">
        <v>12</v>
      </c>
      <c r="Z8385" s="234">
        <v>16</v>
      </c>
      <c r="AA8385" s="235">
        <v>0.2916666666678793</v>
      </c>
      <c r="AB8385" s="234">
        <v>-2.5</v>
      </c>
      <c r="AC8385" s="127">
        <f t="shared" si="145"/>
        <v>-3</v>
      </c>
    </row>
    <row r="8386" ht="14.5" customHeight="1" spans="11:29" x14ac:dyDescent="0.25">
      <c r="K8386" s="128"/>
      <c r="X8386" s="234">
        <v>2022</v>
      </c>
      <c r="Y8386" s="234">
        <v>12</v>
      </c>
      <c r="Z8386" s="234">
        <v>16</v>
      </c>
      <c r="AA8386" s="235">
        <v>0.3333333333321207</v>
      </c>
      <c r="AB8386" s="234">
        <v>-3.6</v>
      </c>
      <c r="AC8386" s="127">
        <f t="shared" si="145"/>
        <v>-4</v>
      </c>
    </row>
    <row r="8387" ht="14.5" customHeight="1" spans="11:29" x14ac:dyDescent="0.25">
      <c r="K8387" s="128"/>
      <c r="X8387" s="234">
        <v>2022</v>
      </c>
      <c r="Y8387" s="234">
        <v>12</v>
      </c>
      <c r="Z8387" s="234">
        <v>16</v>
      </c>
      <c r="AA8387" s="235">
        <v>0.375</v>
      </c>
      <c r="AB8387" s="234">
        <v>-2.4</v>
      </c>
      <c r="AC8387" s="127">
        <f t="shared" si="145"/>
        <v>-2</v>
      </c>
    </row>
    <row r="8388" ht="14.5" customHeight="1" spans="11:29" x14ac:dyDescent="0.25">
      <c r="K8388" s="128"/>
      <c r="X8388" s="234">
        <v>2022</v>
      </c>
      <c r="Y8388" s="234">
        <v>12</v>
      </c>
      <c r="Z8388" s="234">
        <v>16</v>
      </c>
      <c r="AA8388" s="235">
        <v>0.4166666666678793</v>
      </c>
      <c r="AB8388" s="234">
        <v>-1.6</v>
      </c>
      <c r="AC8388" s="127">
        <f t="shared" si="145"/>
        <v>-2</v>
      </c>
    </row>
    <row r="8389" ht="14.5" customHeight="1" spans="11:29" x14ac:dyDescent="0.25">
      <c r="K8389" s="128"/>
      <c r="X8389" s="234">
        <v>2022</v>
      </c>
      <c r="Y8389" s="234">
        <v>12</v>
      </c>
      <c r="Z8389" s="234">
        <v>16</v>
      </c>
      <c r="AA8389" s="235">
        <v>0.4583333333321207</v>
      </c>
      <c r="AB8389" s="234">
        <v>-0.9</v>
      </c>
      <c r="AC8389" s="127">
        <f t="shared" si="145"/>
        <v>-1</v>
      </c>
    </row>
    <row r="8390" ht="14.5" customHeight="1" spans="11:29" x14ac:dyDescent="0.25">
      <c r="K8390" s="128"/>
      <c r="X8390" s="234">
        <v>2022</v>
      </c>
      <c r="Y8390" s="234">
        <v>12</v>
      </c>
      <c r="Z8390" s="234">
        <v>16</v>
      </c>
      <c r="AA8390" s="235">
        <v>0.5</v>
      </c>
      <c r="AB8390" s="234">
        <v>-0.8</v>
      </c>
      <c r="AC8390" s="127">
        <f t="shared" si="145"/>
        <v>-1</v>
      </c>
    </row>
    <row r="8391" ht="14.5" customHeight="1" spans="11:29" x14ac:dyDescent="0.25">
      <c r="K8391" s="128"/>
      <c r="X8391" s="234">
        <v>2022</v>
      </c>
      <c r="Y8391" s="234">
        <v>12</v>
      </c>
      <c r="Z8391" s="234">
        <v>16</v>
      </c>
      <c r="AA8391" s="235">
        <v>0.5416666666678793</v>
      </c>
      <c r="AB8391" s="234">
        <v>0.4</v>
      </c>
      <c r="AC8391" s="127">
        <f t="shared" si="145"/>
        <v>0</v>
      </c>
    </row>
    <row r="8392" ht="14.5" customHeight="1" spans="11:29" x14ac:dyDescent="0.25">
      <c r="K8392" s="128"/>
      <c r="X8392" s="234">
        <v>2022</v>
      </c>
      <c r="Y8392" s="234">
        <v>12</v>
      </c>
      <c r="Z8392" s="234">
        <v>16</v>
      </c>
      <c r="AA8392" s="235">
        <v>0.5833333333321207</v>
      </c>
      <c r="AB8392" s="234">
        <v>-0.6</v>
      </c>
      <c r="AC8392" s="127">
        <f t="shared" si="145"/>
        <v>-1</v>
      </c>
    </row>
    <row r="8393" ht="14.5" customHeight="1" spans="11:29" x14ac:dyDescent="0.25">
      <c r="K8393" s="128"/>
      <c r="X8393" s="234">
        <v>2022</v>
      </c>
      <c r="Y8393" s="234">
        <v>12</v>
      </c>
      <c r="Z8393" s="234">
        <v>16</v>
      </c>
      <c r="AA8393" s="235">
        <v>0.625</v>
      </c>
      <c r="AB8393" s="234">
        <v>-0.7</v>
      </c>
      <c r="AC8393" s="127">
        <f t="shared" si="145"/>
        <v>-1</v>
      </c>
    </row>
    <row r="8394" ht="14.5" customHeight="1" spans="11:29" x14ac:dyDescent="0.25">
      <c r="K8394" s="128"/>
      <c r="X8394" s="234">
        <v>2022</v>
      </c>
      <c r="Y8394" s="234">
        <v>12</v>
      </c>
      <c r="Z8394" s="234">
        <v>16</v>
      </c>
      <c r="AA8394" s="235">
        <v>0.6666666666678793</v>
      </c>
      <c r="AB8394" s="234">
        <v>-1.5</v>
      </c>
      <c r="AC8394" s="127">
        <f t="shared" si="145"/>
        <v>-2</v>
      </c>
    </row>
    <row r="8395" ht="14.5" customHeight="1" spans="11:29" x14ac:dyDescent="0.25">
      <c r="K8395" s="128"/>
      <c r="X8395" s="234">
        <v>2022</v>
      </c>
      <c r="Y8395" s="234">
        <v>12</v>
      </c>
      <c r="Z8395" s="234">
        <v>16</v>
      </c>
      <c r="AA8395" s="235">
        <v>0.7083333333321207</v>
      </c>
      <c r="AB8395" s="234">
        <v>-2.3</v>
      </c>
      <c r="AC8395" s="127">
        <f t="shared" ref="AC8395:AC8458" si="146">ROUND(AB8395,0)</f>
        <v>-2</v>
      </c>
    </row>
    <row r="8396" ht="14.5" customHeight="1" spans="11:29" x14ac:dyDescent="0.25">
      <c r="K8396" s="128"/>
      <c r="X8396" s="234">
        <v>2022</v>
      </c>
      <c r="Y8396" s="234">
        <v>12</v>
      </c>
      <c r="Z8396" s="234">
        <v>16</v>
      </c>
      <c r="AA8396" s="235">
        <v>0.75</v>
      </c>
      <c r="AB8396" s="234">
        <v>-1.1</v>
      </c>
      <c r="AC8396" s="127">
        <f t="shared" si="146"/>
        <v>-1</v>
      </c>
    </row>
    <row r="8397" ht="14.5" customHeight="1" spans="11:29" x14ac:dyDescent="0.25">
      <c r="K8397" s="128"/>
      <c r="X8397" s="234">
        <v>2022</v>
      </c>
      <c r="Y8397" s="234">
        <v>12</v>
      </c>
      <c r="Z8397" s="234">
        <v>16</v>
      </c>
      <c r="AA8397" s="235">
        <v>0.7916666666678793</v>
      </c>
      <c r="AB8397" s="234">
        <v>-0.7</v>
      </c>
      <c r="AC8397" s="127">
        <f t="shared" si="146"/>
        <v>-1</v>
      </c>
    </row>
    <row r="8398" ht="14.5" customHeight="1" spans="11:29" x14ac:dyDescent="0.25">
      <c r="K8398" s="128"/>
      <c r="X8398" s="234">
        <v>2022</v>
      </c>
      <c r="Y8398" s="234">
        <v>12</v>
      </c>
      <c r="Z8398" s="234">
        <v>16</v>
      </c>
      <c r="AA8398" s="235">
        <v>0.8333333333321207</v>
      </c>
      <c r="AB8398" s="234">
        <v>-0.5</v>
      </c>
      <c r="AC8398" s="127">
        <f t="shared" si="146"/>
        <v>-1</v>
      </c>
    </row>
    <row r="8399" ht="14.5" customHeight="1" spans="11:29" x14ac:dyDescent="0.25">
      <c r="K8399" s="128"/>
      <c r="X8399" s="234">
        <v>2022</v>
      </c>
      <c r="Y8399" s="234">
        <v>12</v>
      </c>
      <c r="Z8399" s="234">
        <v>16</v>
      </c>
      <c r="AA8399" s="235">
        <v>0.875</v>
      </c>
      <c r="AB8399" s="234">
        <v>-1.1</v>
      </c>
      <c r="AC8399" s="127">
        <f t="shared" si="146"/>
        <v>-1</v>
      </c>
    </row>
    <row r="8400" ht="14.5" customHeight="1" spans="11:29" x14ac:dyDescent="0.25">
      <c r="K8400" s="128"/>
      <c r="X8400" s="234">
        <v>2022</v>
      </c>
      <c r="Y8400" s="234">
        <v>12</v>
      </c>
      <c r="Z8400" s="234">
        <v>16</v>
      </c>
      <c r="AA8400" s="235">
        <v>0.9166666666678793</v>
      </c>
      <c r="AB8400" s="234">
        <v>-2.9</v>
      </c>
      <c r="AC8400" s="127">
        <f t="shared" si="146"/>
        <v>-3</v>
      </c>
    </row>
    <row r="8401" ht="14.5" customHeight="1" spans="11:29" x14ac:dyDescent="0.25">
      <c r="K8401" s="128"/>
      <c r="X8401" s="234">
        <v>2022</v>
      </c>
      <c r="Y8401" s="234">
        <v>12</v>
      </c>
      <c r="Z8401" s="234">
        <v>16</v>
      </c>
      <c r="AA8401" s="235">
        <v>0.9583333333321207</v>
      </c>
      <c r="AB8401" s="234">
        <v>-3.2</v>
      </c>
      <c r="AC8401" s="127">
        <f t="shared" si="146"/>
        <v>-3</v>
      </c>
    </row>
    <row r="8402" ht="14.5" customHeight="1" spans="11:29" x14ac:dyDescent="0.25">
      <c r="K8402" s="128"/>
      <c r="X8402" s="234">
        <v>2022</v>
      </c>
      <c r="Y8402" s="234">
        <v>12</v>
      </c>
      <c r="Z8402" s="234">
        <v>17</v>
      </c>
      <c r="AA8402" s="235">
        <v>0</v>
      </c>
      <c r="AB8402" s="234">
        <v>-2.7</v>
      </c>
      <c r="AC8402" s="127">
        <f t="shared" si="146"/>
        <v>-3</v>
      </c>
    </row>
    <row r="8403" ht="14.5" customHeight="1" spans="11:29" x14ac:dyDescent="0.25">
      <c r="K8403" s="128"/>
      <c r="X8403" s="234">
        <v>2022</v>
      </c>
      <c r="Y8403" s="234">
        <v>12</v>
      </c>
      <c r="Z8403" s="234">
        <v>17</v>
      </c>
      <c r="AA8403" s="235">
        <v>0.041666666667879326</v>
      </c>
      <c r="AB8403" s="234">
        <v>-7</v>
      </c>
      <c r="AC8403" s="127">
        <f t="shared" si="146"/>
        <v>-7</v>
      </c>
    </row>
    <row r="8404" ht="14.5" customHeight="1" spans="11:29" x14ac:dyDescent="0.25">
      <c r="K8404" s="128"/>
      <c r="X8404" s="234">
        <v>2022</v>
      </c>
      <c r="Y8404" s="234">
        <v>12</v>
      </c>
      <c r="Z8404" s="234">
        <v>17</v>
      </c>
      <c r="AA8404" s="235">
        <v>0.08333333333212067</v>
      </c>
      <c r="AB8404" s="234">
        <v>-9.5</v>
      </c>
      <c r="AC8404" s="127">
        <f t="shared" si="146"/>
        <v>-10</v>
      </c>
    </row>
    <row r="8405" ht="14.5" customHeight="1" spans="11:29" x14ac:dyDescent="0.25">
      <c r="K8405" s="128"/>
      <c r="X8405" s="234">
        <v>2022</v>
      </c>
      <c r="Y8405" s="234">
        <v>12</v>
      </c>
      <c r="Z8405" s="234">
        <v>17</v>
      </c>
      <c r="AA8405" s="235">
        <v>0.125</v>
      </c>
      <c r="AB8405" s="234">
        <v>-10</v>
      </c>
      <c r="AC8405" s="127">
        <f t="shared" si="146"/>
        <v>-10</v>
      </c>
    </row>
    <row r="8406" ht="14.5" customHeight="1" spans="11:29" x14ac:dyDescent="0.25">
      <c r="K8406" s="128"/>
      <c r="X8406" s="234">
        <v>2022</v>
      </c>
      <c r="Y8406" s="234">
        <v>12</v>
      </c>
      <c r="Z8406" s="234">
        <v>17</v>
      </c>
      <c r="AA8406" s="235">
        <v>0.16666666666787933</v>
      </c>
      <c r="AB8406" s="234">
        <v>-11.2</v>
      </c>
      <c r="AC8406" s="127">
        <f t="shared" si="146"/>
        <v>-11</v>
      </c>
    </row>
    <row r="8407" ht="14.5" customHeight="1" spans="11:29" x14ac:dyDescent="0.25">
      <c r="K8407" s="128"/>
      <c r="X8407" s="234">
        <v>2022</v>
      </c>
      <c r="Y8407" s="234">
        <v>12</v>
      </c>
      <c r="Z8407" s="234">
        <v>17</v>
      </c>
      <c r="AA8407" s="235">
        <v>0.20833333333212067</v>
      </c>
      <c r="AB8407" s="234">
        <v>-12.3</v>
      </c>
      <c r="AC8407" s="127">
        <f t="shared" si="146"/>
        <v>-12</v>
      </c>
    </row>
    <row r="8408" ht="14.5" customHeight="1" spans="11:29" x14ac:dyDescent="0.25">
      <c r="K8408" s="128"/>
      <c r="X8408" s="234">
        <v>2022</v>
      </c>
      <c r="Y8408" s="234">
        <v>12</v>
      </c>
      <c r="Z8408" s="234">
        <v>17</v>
      </c>
      <c r="AA8408" s="235">
        <v>0.25</v>
      </c>
      <c r="AB8408" s="234">
        <v>-14.3</v>
      </c>
      <c r="AC8408" s="127">
        <f t="shared" si="146"/>
        <v>-14</v>
      </c>
    </row>
    <row r="8409" ht="14.5" customHeight="1" spans="11:29" x14ac:dyDescent="0.25">
      <c r="K8409" s="128"/>
      <c r="X8409" s="234">
        <v>2022</v>
      </c>
      <c r="Y8409" s="234">
        <v>12</v>
      </c>
      <c r="Z8409" s="234">
        <v>17</v>
      </c>
      <c r="AA8409" s="235">
        <v>0.2916666666678793</v>
      </c>
      <c r="AB8409" s="234">
        <v>-15.1</v>
      </c>
      <c r="AC8409" s="127">
        <f t="shared" si="146"/>
        <v>-15</v>
      </c>
    </row>
    <row r="8410" ht="14.5" customHeight="1" spans="11:29" x14ac:dyDescent="0.25">
      <c r="K8410" s="128"/>
      <c r="X8410" s="234">
        <v>2022</v>
      </c>
      <c r="Y8410" s="234">
        <v>12</v>
      </c>
      <c r="Z8410" s="234">
        <v>17</v>
      </c>
      <c r="AA8410" s="235">
        <v>0.3333333333321207</v>
      </c>
      <c r="AB8410" s="234">
        <v>-16</v>
      </c>
      <c r="AC8410" s="127">
        <f t="shared" si="146"/>
        <v>-16</v>
      </c>
    </row>
    <row r="8411" ht="14.5" customHeight="1" spans="11:29" x14ac:dyDescent="0.25">
      <c r="K8411" s="128"/>
      <c r="X8411" s="234">
        <v>2022</v>
      </c>
      <c r="Y8411" s="234">
        <v>12</v>
      </c>
      <c r="Z8411" s="234">
        <v>17</v>
      </c>
      <c r="AA8411" s="235">
        <v>0.375</v>
      </c>
      <c r="AB8411" s="234">
        <v>-16.6</v>
      </c>
      <c r="AC8411" s="127">
        <f t="shared" si="146"/>
        <v>-17</v>
      </c>
    </row>
    <row r="8412" ht="14.5" customHeight="1" spans="11:29" x14ac:dyDescent="0.25">
      <c r="K8412" s="128"/>
      <c r="X8412" s="234">
        <v>2022</v>
      </c>
      <c r="Y8412" s="234">
        <v>12</v>
      </c>
      <c r="Z8412" s="234">
        <v>17</v>
      </c>
      <c r="AA8412" s="235">
        <v>0.4166666666678793</v>
      </c>
      <c r="AB8412" s="234">
        <v>-17.4</v>
      </c>
      <c r="AC8412" s="127">
        <f t="shared" si="146"/>
        <v>-17</v>
      </c>
    </row>
    <row r="8413" ht="14.5" customHeight="1" spans="11:29" x14ac:dyDescent="0.25">
      <c r="K8413" s="128"/>
      <c r="X8413" s="234">
        <v>2022</v>
      </c>
      <c r="Y8413" s="234">
        <v>12</v>
      </c>
      <c r="Z8413" s="234">
        <v>17</v>
      </c>
      <c r="AA8413" s="235">
        <v>0.4583333333321207</v>
      </c>
      <c r="AB8413" s="234">
        <v>-17.7</v>
      </c>
      <c r="AC8413" s="127">
        <f t="shared" si="146"/>
        <v>-18</v>
      </c>
    </row>
    <row r="8414" ht="14.5" customHeight="1" spans="11:29" x14ac:dyDescent="0.25">
      <c r="K8414" s="128"/>
      <c r="X8414" s="234">
        <v>2022</v>
      </c>
      <c r="Y8414" s="234">
        <v>12</v>
      </c>
      <c r="Z8414" s="234">
        <v>17</v>
      </c>
      <c r="AA8414" s="235">
        <v>0.5</v>
      </c>
      <c r="AB8414" s="234">
        <v>-18</v>
      </c>
      <c r="AC8414" s="127">
        <f t="shared" si="146"/>
        <v>-18</v>
      </c>
    </row>
    <row r="8415" ht="14.5" customHeight="1" spans="11:29" x14ac:dyDescent="0.25">
      <c r="K8415" s="128"/>
      <c r="X8415" s="234">
        <v>2022</v>
      </c>
      <c r="Y8415" s="234">
        <v>12</v>
      </c>
      <c r="Z8415" s="234">
        <v>17</v>
      </c>
      <c r="AA8415" s="235">
        <v>0.5416666666678793</v>
      </c>
      <c r="AB8415" s="234">
        <v>-17.9</v>
      </c>
      <c r="AC8415" s="127">
        <f t="shared" si="146"/>
        <v>-18</v>
      </c>
    </row>
    <row r="8416" ht="14.5" customHeight="1" spans="11:29" x14ac:dyDescent="0.25">
      <c r="K8416" s="128"/>
      <c r="X8416" s="234">
        <v>2022</v>
      </c>
      <c r="Y8416" s="234">
        <v>12</v>
      </c>
      <c r="Z8416" s="234">
        <v>17</v>
      </c>
      <c r="AA8416" s="235">
        <v>0.5833333333321207</v>
      </c>
      <c r="AB8416" s="234">
        <v>-18.2</v>
      </c>
      <c r="AC8416" s="127">
        <f t="shared" si="146"/>
        <v>-18</v>
      </c>
    </row>
    <row r="8417" ht="14.5" customHeight="1" spans="11:29" x14ac:dyDescent="0.25">
      <c r="K8417" s="128"/>
      <c r="X8417" s="234">
        <v>2022</v>
      </c>
      <c r="Y8417" s="234">
        <v>12</v>
      </c>
      <c r="Z8417" s="234">
        <v>17</v>
      </c>
      <c r="AA8417" s="235">
        <v>0.625</v>
      </c>
      <c r="AB8417" s="234">
        <v>-18.8</v>
      </c>
      <c r="AC8417" s="127">
        <f t="shared" si="146"/>
        <v>-19</v>
      </c>
    </row>
    <row r="8418" ht="14.5" customHeight="1" spans="11:29" x14ac:dyDescent="0.25">
      <c r="K8418" s="128"/>
      <c r="X8418" s="234">
        <v>2022</v>
      </c>
      <c r="Y8418" s="234">
        <v>12</v>
      </c>
      <c r="Z8418" s="234">
        <v>17</v>
      </c>
      <c r="AA8418" s="235">
        <v>0.6666666666678793</v>
      </c>
      <c r="AB8418" s="234">
        <v>-19.4</v>
      </c>
      <c r="AC8418" s="127">
        <f t="shared" si="146"/>
        <v>-19</v>
      </c>
    </row>
    <row r="8419" ht="14.5" customHeight="1" spans="11:29" x14ac:dyDescent="0.25">
      <c r="K8419" s="128"/>
      <c r="X8419" s="234">
        <v>2022</v>
      </c>
      <c r="Y8419" s="234">
        <v>12</v>
      </c>
      <c r="Z8419" s="234">
        <v>17</v>
      </c>
      <c r="AA8419" s="235">
        <v>0.7083333333321207</v>
      </c>
      <c r="AB8419" s="234">
        <v>-20.2</v>
      </c>
      <c r="AC8419" s="127">
        <f t="shared" si="146"/>
        <v>-20</v>
      </c>
    </row>
    <row r="8420" ht="14.5" customHeight="1" spans="11:29" x14ac:dyDescent="0.25">
      <c r="K8420" s="128"/>
      <c r="X8420" s="234">
        <v>2022</v>
      </c>
      <c r="Y8420" s="234">
        <v>12</v>
      </c>
      <c r="Z8420" s="234">
        <v>17</v>
      </c>
      <c r="AA8420" s="235">
        <v>0.75</v>
      </c>
      <c r="AB8420" s="234">
        <v>-21.1</v>
      </c>
      <c r="AC8420" s="127">
        <f t="shared" si="146"/>
        <v>-21</v>
      </c>
    </row>
    <row r="8421" ht="14.5" customHeight="1" spans="11:29" x14ac:dyDescent="0.25">
      <c r="K8421" s="128"/>
      <c r="X8421" s="234">
        <v>2022</v>
      </c>
      <c r="Y8421" s="234">
        <v>12</v>
      </c>
      <c r="Z8421" s="234">
        <v>17</v>
      </c>
      <c r="AA8421" s="235">
        <v>0.7916666666678793</v>
      </c>
      <c r="AB8421" s="234">
        <v>-21.5</v>
      </c>
      <c r="AC8421" s="127">
        <f t="shared" si="146"/>
        <v>-22</v>
      </c>
    </row>
    <row r="8422" ht="14.5" customHeight="1" spans="11:29" x14ac:dyDescent="0.25">
      <c r="K8422" s="128"/>
      <c r="X8422" s="234">
        <v>2022</v>
      </c>
      <c r="Y8422" s="234">
        <v>12</v>
      </c>
      <c r="Z8422" s="234">
        <v>17</v>
      </c>
      <c r="AA8422" s="235">
        <v>0.8333333333321207</v>
      </c>
      <c r="AB8422" s="234">
        <v>-21.2</v>
      </c>
      <c r="AC8422" s="127">
        <f t="shared" si="146"/>
        <v>-21</v>
      </c>
    </row>
    <row r="8423" ht="14.5" customHeight="1" spans="11:29" x14ac:dyDescent="0.25">
      <c r="K8423" s="128"/>
      <c r="X8423" s="234">
        <v>2022</v>
      </c>
      <c r="Y8423" s="234">
        <v>12</v>
      </c>
      <c r="Z8423" s="234">
        <v>17</v>
      </c>
      <c r="AA8423" s="235">
        <v>0.875</v>
      </c>
      <c r="AB8423" s="234">
        <v>-21.1</v>
      </c>
      <c r="AC8423" s="127">
        <f t="shared" si="146"/>
        <v>-21</v>
      </c>
    </row>
    <row r="8424" ht="14.5" customHeight="1" spans="11:29" x14ac:dyDescent="0.25">
      <c r="K8424" s="128"/>
      <c r="X8424" s="234">
        <v>2022</v>
      </c>
      <c r="Y8424" s="234">
        <v>12</v>
      </c>
      <c r="Z8424" s="234">
        <v>17</v>
      </c>
      <c r="AA8424" s="235">
        <v>0.9166666666678793</v>
      </c>
      <c r="AB8424" s="234">
        <v>-21</v>
      </c>
      <c r="AC8424" s="127">
        <f t="shared" si="146"/>
        <v>-21</v>
      </c>
    </row>
    <row r="8425" ht="14.5" customHeight="1" spans="11:29" x14ac:dyDescent="0.25">
      <c r="K8425" s="128"/>
      <c r="X8425" s="234">
        <v>2022</v>
      </c>
      <c r="Y8425" s="234">
        <v>12</v>
      </c>
      <c r="Z8425" s="234">
        <v>17</v>
      </c>
      <c r="AA8425" s="235">
        <v>0.9583333333321207</v>
      </c>
      <c r="AB8425" s="234">
        <v>-20.8</v>
      </c>
      <c r="AC8425" s="127">
        <f t="shared" si="146"/>
        <v>-21</v>
      </c>
    </row>
    <row r="8426" ht="14.5" customHeight="1" spans="11:29" x14ac:dyDescent="0.25">
      <c r="K8426" s="128"/>
      <c r="X8426" s="234">
        <v>2022</v>
      </c>
      <c r="Y8426" s="234">
        <v>12</v>
      </c>
      <c r="Z8426" s="234">
        <v>18</v>
      </c>
      <c r="AA8426" s="235">
        <v>0</v>
      </c>
      <c r="AB8426" s="234">
        <v>-21</v>
      </c>
      <c r="AC8426" s="127">
        <f t="shared" si="146"/>
        <v>-21</v>
      </c>
    </row>
    <row r="8427" ht="14.5" customHeight="1" spans="11:29" x14ac:dyDescent="0.25">
      <c r="K8427" s="128"/>
      <c r="X8427" s="234">
        <v>2022</v>
      </c>
      <c r="Y8427" s="234">
        <v>12</v>
      </c>
      <c r="Z8427" s="234">
        <v>18</v>
      </c>
      <c r="AA8427" s="235">
        <v>0.041666666667879326</v>
      </c>
      <c r="AB8427" s="234">
        <v>-21.4</v>
      </c>
      <c r="AC8427" s="127">
        <f t="shared" si="146"/>
        <v>-21</v>
      </c>
    </row>
    <row r="8428" ht="14.5" customHeight="1" spans="11:29" x14ac:dyDescent="0.25">
      <c r="K8428" s="128"/>
      <c r="X8428" s="234">
        <v>2022</v>
      </c>
      <c r="Y8428" s="234">
        <v>12</v>
      </c>
      <c r="Z8428" s="234">
        <v>18</v>
      </c>
      <c r="AA8428" s="235">
        <v>0.08333333333212067</v>
      </c>
      <c r="AB8428" s="234">
        <v>-21.9</v>
      </c>
      <c r="AC8428" s="127">
        <f t="shared" si="146"/>
        <v>-22</v>
      </c>
    </row>
    <row r="8429" ht="14.5" customHeight="1" spans="11:29" x14ac:dyDescent="0.25">
      <c r="K8429" s="128"/>
      <c r="X8429" s="234">
        <v>2022</v>
      </c>
      <c r="Y8429" s="234">
        <v>12</v>
      </c>
      <c r="Z8429" s="234">
        <v>18</v>
      </c>
      <c r="AA8429" s="235">
        <v>0.125</v>
      </c>
      <c r="AB8429" s="234">
        <v>-22.1</v>
      </c>
      <c r="AC8429" s="127">
        <f t="shared" si="146"/>
        <v>-22</v>
      </c>
    </row>
    <row r="8430" ht="14.5" customHeight="1" spans="11:29" x14ac:dyDescent="0.25">
      <c r="K8430" s="128"/>
      <c r="X8430" s="234">
        <v>2022</v>
      </c>
      <c r="Y8430" s="234">
        <v>12</v>
      </c>
      <c r="Z8430" s="234">
        <v>18</v>
      </c>
      <c r="AA8430" s="235">
        <v>0.16666666666787933</v>
      </c>
      <c r="AB8430" s="234">
        <v>-22.2</v>
      </c>
      <c r="AC8430" s="127">
        <f t="shared" si="146"/>
        <v>-22</v>
      </c>
    </row>
    <row r="8431" ht="14.5" customHeight="1" spans="11:29" x14ac:dyDescent="0.25">
      <c r="K8431" s="128"/>
      <c r="X8431" s="234">
        <v>2022</v>
      </c>
      <c r="Y8431" s="234">
        <v>12</v>
      </c>
      <c r="Z8431" s="234">
        <v>18</v>
      </c>
      <c r="AA8431" s="235">
        <v>0.20833333333212067</v>
      </c>
      <c r="AB8431" s="234">
        <v>-22.6</v>
      </c>
      <c r="AC8431" s="127">
        <f t="shared" si="146"/>
        <v>-23</v>
      </c>
    </row>
    <row r="8432" ht="14.5" customHeight="1" spans="11:29" x14ac:dyDescent="0.25">
      <c r="K8432" s="128"/>
      <c r="X8432" s="234">
        <v>2022</v>
      </c>
      <c r="Y8432" s="234">
        <v>12</v>
      </c>
      <c r="Z8432" s="234">
        <v>18</v>
      </c>
      <c r="AA8432" s="235">
        <v>0.25</v>
      </c>
      <c r="AB8432" s="234">
        <v>-23</v>
      </c>
      <c r="AC8432" s="127">
        <f t="shared" si="146"/>
        <v>-23</v>
      </c>
    </row>
    <row r="8433" ht="14.5" customHeight="1" spans="11:29" x14ac:dyDescent="0.25">
      <c r="K8433" s="128"/>
      <c r="X8433" s="234">
        <v>2022</v>
      </c>
      <c r="Y8433" s="234">
        <v>12</v>
      </c>
      <c r="Z8433" s="234">
        <v>18</v>
      </c>
      <c r="AA8433" s="235">
        <v>0.2916666666678793</v>
      </c>
      <c r="AB8433" s="234">
        <v>-23.2</v>
      </c>
      <c r="AC8433" s="127">
        <f t="shared" si="146"/>
        <v>-23</v>
      </c>
    </row>
    <row r="8434" ht="14.5" customHeight="1" spans="11:29" x14ac:dyDescent="0.25">
      <c r="K8434" s="128"/>
      <c r="X8434" s="234">
        <v>2022</v>
      </c>
      <c r="Y8434" s="234">
        <v>12</v>
      </c>
      <c r="Z8434" s="234">
        <v>18</v>
      </c>
      <c r="AA8434" s="235">
        <v>0.3333333333321207</v>
      </c>
      <c r="AB8434" s="234">
        <v>-23.2</v>
      </c>
      <c r="AC8434" s="127">
        <f t="shared" si="146"/>
        <v>-23</v>
      </c>
    </row>
    <row r="8435" ht="14.5" customHeight="1" spans="11:29" x14ac:dyDescent="0.25">
      <c r="K8435" s="128"/>
      <c r="X8435" s="234">
        <v>2022</v>
      </c>
      <c r="Y8435" s="234">
        <v>12</v>
      </c>
      <c r="Z8435" s="234">
        <v>18</v>
      </c>
      <c r="AA8435" s="235">
        <v>0.375</v>
      </c>
      <c r="AB8435" s="234">
        <v>-23.7</v>
      </c>
      <c r="AC8435" s="127">
        <f t="shared" si="146"/>
        <v>-24</v>
      </c>
    </row>
    <row r="8436" ht="14.5" customHeight="1" spans="11:29" x14ac:dyDescent="0.25">
      <c r="K8436" s="128"/>
      <c r="X8436" s="234">
        <v>2022</v>
      </c>
      <c r="Y8436" s="234">
        <v>12</v>
      </c>
      <c r="Z8436" s="234">
        <v>18</v>
      </c>
      <c r="AA8436" s="235">
        <v>0.4166666666678793</v>
      </c>
      <c r="AB8436" s="234">
        <v>-23.8</v>
      </c>
      <c r="AC8436" s="127">
        <f t="shared" si="146"/>
        <v>-24</v>
      </c>
    </row>
    <row r="8437" ht="14.5" customHeight="1" spans="11:29" x14ac:dyDescent="0.25">
      <c r="K8437" s="128"/>
      <c r="X8437" s="234">
        <v>2022</v>
      </c>
      <c r="Y8437" s="234">
        <v>12</v>
      </c>
      <c r="Z8437" s="234">
        <v>18</v>
      </c>
      <c r="AA8437" s="235">
        <v>0.4583333333321207</v>
      </c>
      <c r="AB8437" s="234">
        <v>-23.7</v>
      </c>
      <c r="AC8437" s="127">
        <f t="shared" si="146"/>
        <v>-24</v>
      </c>
    </row>
    <row r="8438" ht="14.5" customHeight="1" spans="11:29" x14ac:dyDescent="0.25">
      <c r="K8438" s="128"/>
      <c r="X8438" s="234">
        <v>2022</v>
      </c>
      <c r="Y8438" s="234">
        <v>12</v>
      </c>
      <c r="Z8438" s="234">
        <v>18</v>
      </c>
      <c r="AA8438" s="235">
        <v>0.5</v>
      </c>
      <c r="AB8438" s="234">
        <v>-23.6</v>
      </c>
      <c r="AC8438" s="127">
        <f t="shared" si="146"/>
        <v>-24</v>
      </c>
    </row>
    <row r="8439" ht="14.5" customHeight="1" spans="11:29" x14ac:dyDescent="0.25">
      <c r="K8439" s="128"/>
      <c r="X8439" s="234">
        <v>2022</v>
      </c>
      <c r="Y8439" s="234">
        <v>12</v>
      </c>
      <c r="Z8439" s="234">
        <v>18</v>
      </c>
      <c r="AA8439" s="235">
        <v>0.5416666666678793</v>
      </c>
      <c r="AB8439" s="234">
        <v>-23.6</v>
      </c>
      <c r="AC8439" s="127">
        <f t="shared" si="146"/>
        <v>-24</v>
      </c>
    </row>
    <row r="8440" ht="14.5" customHeight="1" spans="11:29" x14ac:dyDescent="0.25">
      <c r="K8440" s="128"/>
      <c r="X8440" s="234">
        <v>2022</v>
      </c>
      <c r="Y8440" s="234">
        <v>12</v>
      </c>
      <c r="Z8440" s="234">
        <v>18</v>
      </c>
      <c r="AA8440" s="235">
        <v>0.5833333333321207</v>
      </c>
      <c r="AB8440" s="234">
        <v>-23.5</v>
      </c>
      <c r="AC8440" s="127">
        <f t="shared" si="146"/>
        <v>-24</v>
      </c>
    </row>
    <row r="8441" ht="14.5" customHeight="1" spans="11:29" x14ac:dyDescent="0.25">
      <c r="K8441" s="128"/>
      <c r="X8441" s="234">
        <v>2022</v>
      </c>
      <c r="Y8441" s="234">
        <v>12</v>
      </c>
      <c r="Z8441" s="234">
        <v>18</v>
      </c>
      <c r="AA8441" s="235">
        <v>0.625</v>
      </c>
      <c r="AB8441" s="234">
        <v>-23.7</v>
      </c>
      <c r="AC8441" s="127">
        <f t="shared" si="146"/>
        <v>-24</v>
      </c>
    </row>
    <row r="8442" ht="14.5" customHeight="1" spans="11:29" x14ac:dyDescent="0.25">
      <c r="K8442" s="128"/>
      <c r="X8442" s="234">
        <v>2022</v>
      </c>
      <c r="Y8442" s="234">
        <v>12</v>
      </c>
      <c r="Z8442" s="234">
        <v>18</v>
      </c>
      <c r="AA8442" s="235">
        <v>0.6666666666678793</v>
      </c>
      <c r="AB8442" s="234">
        <v>-23.8</v>
      </c>
      <c r="AC8442" s="127">
        <f t="shared" si="146"/>
        <v>-24</v>
      </c>
    </row>
    <row r="8443" ht="14.5" customHeight="1" spans="11:29" x14ac:dyDescent="0.25">
      <c r="K8443" s="128"/>
      <c r="X8443" s="234">
        <v>2022</v>
      </c>
      <c r="Y8443" s="234">
        <v>12</v>
      </c>
      <c r="Z8443" s="234">
        <v>18</v>
      </c>
      <c r="AA8443" s="235">
        <v>0.7083333333321207</v>
      </c>
      <c r="AB8443" s="234">
        <v>-23.8</v>
      </c>
      <c r="AC8443" s="127">
        <f t="shared" si="146"/>
        <v>-24</v>
      </c>
    </row>
    <row r="8444" ht="14.5" customHeight="1" spans="11:29" x14ac:dyDescent="0.25">
      <c r="K8444" s="128"/>
      <c r="X8444" s="234">
        <v>2022</v>
      </c>
      <c r="Y8444" s="234">
        <v>12</v>
      </c>
      <c r="Z8444" s="234">
        <v>18</v>
      </c>
      <c r="AA8444" s="235">
        <v>0.75</v>
      </c>
      <c r="AB8444" s="234">
        <v>-23.9</v>
      </c>
      <c r="AC8444" s="127">
        <f t="shared" si="146"/>
        <v>-24</v>
      </c>
    </row>
    <row r="8445" ht="14.5" customHeight="1" spans="11:29" x14ac:dyDescent="0.25">
      <c r="K8445" s="128"/>
      <c r="X8445" s="234">
        <v>2022</v>
      </c>
      <c r="Y8445" s="234">
        <v>12</v>
      </c>
      <c r="Z8445" s="234">
        <v>18</v>
      </c>
      <c r="AA8445" s="235">
        <v>0.7916666666678793</v>
      </c>
      <c r="AB8445" s="234">
        <v>-23.8</v>
      </c>
      <c r="AC8445" s="127">
        <f t="shared" si="146"/>
        <v>-24</v>
      </c>
    </row>
    <row r="8446" ht="14.5" customHeight="1" spans="11:29" x14ac:dyDescent="0.25">
      <c r="K8446" s="128"/>
      <c r="X8446" s="234">
        <v>2022</v>
      </c>
      <c r="Y8446" s="234">
        <v>12</v>
      </c>
      <c r="Z8446" s="234">
        <v>18</v>
      </c>
      <c r="AA8446" s="235">
        <v>0.8333333333321207</v>
      </c>
      <c r="AB8446" s="234">
        <v>-24</v>
      </c>
      <c r="AC8446" s="127">
        <f t="shared" si="146"/>
        <v>-24</v>
      </c>
    </row>
    <row r="8447" ht="14.5" customHeight="1" spans="11:29" x14ac:dyDescent="0.25">
      <c r="K8447" s="128"/>
      <c r="X8447" s="234">
        <v>2022</v>
      </c>
      <c r="Y8447" s="234">
        <v>12</v>
      </c>
      <c r="Z8447" s="234">
        <v>18</v>
      </c>
      <c r="AA8447" s="235">
        <v>0.875</v>
      </c>
      <c r="AB8447" s="234">
        <v>-24.5</v>
      </c>
      <c r="AC8447" s="127">
        <f t="shared" si="146"/>
        <v>-25</v>
      </c>
    </row>
    <row r="8448" ht="14.5" customHeight="1" spans="11:29" x14ac:dyDescent="0.25">
      <c r="K8448" s="128"/>
      <c r="X8448" s="234">
        <v>2022</v>
      </c>
      <c r="Y8448" s="234">
        <v>12</v>
      </c>
      <c r="Z8448" s="234">
        <v>18</v>
      </c>
      <c r="AA8448" s="235">
        <v>0.9166666666678793</v>
      </c>
      <c r="AB8448" s="234">
        <v>-24.9</v>
      </c>
      <c r="AC8448" s="127">
        <f t="shared" si="146"/>
        <v>-25</v>
      </c>
    </row>
    <row r="8449" ht="14.5" customHeight="1" spans="11:29" x14ac:dyDescent="0.25">
      <c r="K8449" s="128"/>
      <c r="X8449" s="234">
        <v>2022</v>
      </c>
      <c r="Y8449" s="234">
        <v>12</v>
      </c>
      <c r="Z8449" s="234">
        <v>18</v>
      </c>
      <c r="AA8449" s="235">
        <v>0.9583333333321207</v>
      </c>
      <c r="AB8449" s="234">
        <v>-24.8</v>
      </c>
      <c r="AC8449" s="127">
        <f t="shared" si="146"/>
        <v>-25</v>
      </c>
    </row>
    <row r="8450" ht="14.5" customHeight="1" spans="11:29" x14ac:dyDescent="0.25">
      <c r="K8450" s="128"/>
      <c r="X8450" s="234">
        <v>2022</v>
      </c>
      <c r="Y8450" s="234">
        <v>12</v>
      </c>
      <c r="Z8450" s="234">
        <v>19</v>
      </c>
      <c r="AA8450" s="235">
        <v>0</v>
      </c>
      <c r="AB8450" s="234">
        <v>-24.7</v>
      </c>
      <c r="AC8450" s="127">
        <f t="shared" si="146"/>
        <v>-25</v>
      </c>
    </row>
    <row r="8451" ht="14.5" customHeight="1" spans="11:29" x14ac:dyDescent="0.25">
      <c r="K8451" s="128"/>
      <c r="X8451" s="234">
        <v>2022</v>
      </c>
      <c r="Y8451" s="234">
        <v>12</v>
      </c>
      <c r="Z8451" s="234">
        <v>19</v>
      </c>
      <c r="AA8451" s="235">
        <v>0.041666666667879326</v>
      </c>
      <c r="AB8451" s="234">
        <v>-24.8</v>
      </c>
      <c r="AC8451" s="127">
        <f t="shared" si="146"/>
        <v>-25</v>
      </c>
    </row>
    <row r="8452" ht="14.5" customHeight="1" spans="11:29" x14ac:dyDescent="0.25">
      <c r="K8452" s="128"/>
      <c r="X8452" s="234">
        <v>2022</v>
      </c>
      <c r="Y8452" s="234">
        <v>12</v>
      </c>
      <c r="Z8452" s="234">
        <v>19</v>
      </c>
      <c r="AA8452" s="235">
        <v>0.08333333333212067</v>
      </c>
      <c r="AB8452" s="234">
        <v>-24.9</v>
      </c>
      <c r="AC8452" s="127">
        <f t="shared" si="146"/>
        <v>-25</v>
      </c>
    </row>
    <row r="8453" ht="14.5" customHeight="1" spans="11:29" x14ac:dyDescent="0.25">
      <c r="K8453" s="128"/>
      <c r="X8453" s="234">
        <v>2022</v>
      </c>
      <c r="Y8453" s="234">
        <v>12</v>
      </c>
      <c r="Z8453" s="234">
        <v>19</v>
      </c>
      <c r="AA8453" s="235">
        <v>0.125</v>
      </c>
      <c r="AB8453" s="234">
        <v>-25.8</v>
      </c>
      <c r="AC8453" s="127">
        <f t="shared" si="146"/>
        <v>-26</v>
      </c>
    </row>
    <row r="8454" ht="14.5" customHeight="1" spans="11:29" x14ac:dyDescent="0.25">
      <c r="K8454" s="128"/>
      <c r="X8454" s="234">
        <v>2022</v>
      </c>
      <c r="Y8454" s="234">
        <v>12</v>
      </c>
      <c r="Z8454" s="234">
        <v>19</v>
      </c>
      <c r="AA8454" s="235">
        <v>0.16666666666787933</v>
      </c>
      <c r="AB8454" s="234">
        <v>-26.6</v>
      </c>
      <c r="AC8454" s="127">
        <f t="shared" si="146"/>
        <v>-27</v>
      </c>
    </row>
    <row r="8455" ht="14.5" customHeight="1" spans="11:29" x14ac:dyDescent="0.25">
      <c r="K8455" s="128"/>
      <c r="X8455" s="234">
        <v>2022</v>
      </c>
      <c r="Y8455" s="234">
        <v>12</v>
      </c>
      <c r="Z8455" s="234">
        <v>19</v>
      </c>
      <c r="AA8455" s="235">
        <v>0.20833333333212067</v>
      </c>
      <c r="AB8455" s="234">
        <v>-27</v>
      </c>
      <c r="AC8455" s="127">
        <f t="shared" si="146"/>
        <v>-27</v>
      </c>
    </row>
    <row r="8456" ht="14.5" customHeight="1" spans="11:29" x14ac:dyDescent="0.25">
      <c r="K8456" s="128"/>
      <c r="X8456" s="234">
        <v>2022</v>
      </c>
      <c r="Y8456" s="234">
        <v>12</v>
      </c>
      <c r="Z8456" s="234">
        <v>19</v>
      </c>
      <c r="AA8456" s="235">
        <v>0.25</v>
      </c>
      <c r="AB8456" s="234">
        <v>-27.8</v>
      </c>
      <c r="AC8456" s="127">
        <f t="shared" si="146"/>
        <v>-28</v>
      </c>
    </row>
    <row r="8457" ht="14.5" customHeight="1" spans="11:29" x14ac:dyDescent="0.25">
      <c r="K8457" s="128"/>
      <c r="X8457" s="234">
        <v>2022</v>
      </c>
      <c r="Y8457" s="234">
        <v>12</v>
      </c>
      <c r="Z8457" s="234">
        <v>19</v>
      </c>
      <c r="AA8457" s="235">
        <v>0.2916666666678793</v>
      </c>
      <c r="AB8457" s="234">
        <v>-28.2</v>
      </c>
      <c r="AC8457" s="127">
        <f t="shared" si="146"/>
        <v>-28</v>
      </c>
    </row>
    <row r="8458" ht="14.5" customHeight="1" spans="11:29" x14ac:dyDescent="0.25">
      <c r="K8458" s="128"/>
      <c r="X8458" s="234">
        <v>2022</v>
      </c>
      <c r="Y8458" s="234">
        <v>12</v>
      </c>
      <c r="Z8458" s="234">
        <v>19</v>
      </c>
      <c r="AA8458" s="235">
        <v>0.3333333333321207</v>
      </c>
      <c r="AB8458" s="234">
        <v>-28.6</v>
      </c>
      <c r="AC8458" s="127">
        <f t="shared" si="146"/>
        <v>-29</v>
      </c>
    </row>
    <row r="8459" ht="14.5" customHeight="1" spans="11:29" x14ac:dyDescent="0.25">
      <c r="K8459" s="128"/>
      <c r="X8459" s="234">
        <v>2022</v>
      </c>
      <c r="Y8459" s="234">
        <v>12</v>
      </c>
      <c r="Z8459" s="234">
        <v>19</v>
      </c>
      <c r="AA8459" s="235">
        <v>0.375</v>
      </c>
      <c r="AB8459" s="234">
        <v>-28.6</v>
      </c>
      <c r="AC8459" s="127">
        <f t="shared" ref="AC8459:AC8522" si="147">ROUND(AB8459,0)</f>
        <v>-29</v>
      </c>
    </row>
    <row r="8460" ht="14.5" customHeight="1" spans="11:29" x14ac:dyDescent="0.25">
      <c r="K8460" s="128"/>
      <c r="X8460" s="234">
        <v>2022</v>
      </c>
      <c r="Y8460" s="234">
        <v>12</v>
      </c>
      <c r="Z8460" s="234">
        <v>19</v>
      </c>
      <c r="AA8460" s="235">
        <v>0.4166666666678793</v>
      </c>
      <c r="AB8460" s="234">
        <v>-28.3</v>
      </c>
      <c r="AC8460" s="127">
        <f t="shared" si="147"/>
        <v>-28</v>
      </c>
    </row>
    <row r="8461" ht="14.5" customHeight="1" spans="11:29" x14ac:dyDescent="0.25">
      <c r="K8461" s="128"/>
      <c r="X8461" s="234">
        <v>2022</v>
      </c>
      <c r="Y8461" s="234">
        <v>12</v>
      </c>
      <c r="Z8461" s="234">
        <v>19</v>
      </c>
      <c r="AA8461" s="235">
        <v>0.4583333333321207</v>
      </c>
      <c r="AB8461" s="234">
        <v>-27.8</v>
      </c>
      <c r="AC8461" s="127">
        <f t="shared" si="147"/>
        <v>-28</v>
      </c>
    </row>
    <row r="8462" ht="14.5" customHeight="1" spans="11:29" x14ac:dyDescent="0.25">
      <c r="K8462" s="128"/>
      <c r="X8462" s="234">
        <v>2022</v>
      </c>
      <c r="Y8462" s="234">
        <v>12</v>
      </c>
      <c r="Z8462" s="234">
        <v>19</v>
      </c>
      <c r="AA8462" s="235">
        <v>0.5</v>
      </c>
      <c r="AB8462" s="234">
        <v>-27.3</v>
      </c>
      <c r="AC8462" s="127">
        <f t="shared" si="147"/>
        <v>-27</v>
      </c>
    </row>
    <row r="8463" ht="14.5" customHeight="1" spans="11:29" x14ac:dyDescent="0.25">
      <c r="K8463" s="128"/>
      <c r="X8463" s="234">
        <v>2022</v>
      </c>
      <c r="Y8463" s="234">
        <v>12</v>
      </c>
      <c r="Z8463" s="234">
        <v>19</v>
      </c>
      <c r="AA8463" s="235">
        <v>0.5416666666678793</v>
      </c>
      <c r="AB8463" s="234">
        <v>-26.9</v>
      </c>
      <c r="AC8463" s="127">
        <f t="shared" si="147"/>
        <v>-27</v>
      </c>
    </row>
    <row r="8464" ht="14.5" customHeight="1" spans="11:29" x14ac:dyDescent="0.25">
      <c r="K8464" s="128"/>
      <c r="X8464" s="234">
        <v>2022</v>
      </c>
      <c r="Y8464" s="234">
        <v>12</v>
      </c>
      <c r="Z8464" s="234">
        <v>19</v>
      </c>
      <c r="AA8464" s="235">
        <v>0.5833333333321207</v>
      </c>
      <c r="AB8464" s="234">
        <v>-26.7</v>
      </c>
      <c r="AC8464" s="127">
        <f t="shared" si="147"/>
        <v>-27</v>
      </c>
    </row>
    <row r="8465" ht="14.5" customHeight="1" spans="11:29" x14ac:dyDescent="0.25">
      <c r="K8465" s="128"/>
      <c r="X8465" s="234">
        <v>2022</v>
      </c>
      <c r="Y8465" s="234">
        <v>12</v>
      </c>
      <c r="Z8465" s="234">
        <v>19</v>
      </c>
      <c r="AA8465" s="235">
        <v>0.625</v>
      </c>
      <c r="AB8465" s="234">
        <v>-26.4</v>
      </c>
      <c r="AC8465" s="127">
        <f t="shared" si="147"/>
        <v>-26</v>
      </c>
    </row>
    <row r="8466" ht="14.5" customHeight="1" spans="11:29" x14ac:dyDescent="0.25">
      <c r="K8466" s="128"/>
      <c r="X8466" s="234">
        <v>2022</v>
      </c>
      <c r="Y8466" s="234">
        <v>12</v>
      </c>
      <c r="Z8466" s="234">
        <v>19</v>
      </c>
      <c r="AA8466" s="235">
        <v>0.6666666666678793</v>
      </c>
      <c r="AB8466" s="234">
        <v>-26.8</v>
      </c>
      <c r="AC8466" s="127">
        <f t="shared" si="147"/>
        <v>-27</v>
      </c>
    </row>
    <row r="8467" ht="14.5" customHeight="1" spans="11:29" x14ac:dyDescent="0.25">
      <c r="K8467" s="128"/>
      <c r="X8467" s="234">
        <v>2022</v>
      </c>
      <c r="Y8467" s="234">
        <v>12</v>
      </c>
      <c r="Z8467" s="234">
        <v>19</v>
      </c>
      <c r="AA8467" s="235">
        <v>0.7083333333321207</v>
      </c>
      <c r="AB8467" s="234">
        <v>-27.1</v>
      </c>
      <c r="AC8467" s="127">
        <f t="shared" si="147"/>
        <v>-27</v>
      </c>
    </row>
    <row r="8468" ht="14.5" customHeight="1" spans="11:29" x14ac:dyDescent="0.25">
      <c r="K8468" s="128"/>
      <c r="X8468" s="234">
        <v>2022</v>
      </c>
      <c r="Y8468" s="234">
        <v>12</v>
      </c>
      <c r="Z8468" s="234">
        <v>19</v>
      </c>
      <c r="AA8468" s="235">
        <v>0.75</v>
      </c>
      <c r="AB8468" s="234">
        <v>-28.5</v>
      </c>
      <c r="AC8468" s="127">
        <f t="shared" si="147"/>
        <v>-29</v>
      </c>
    </row>
    <row r="8469" ht="14.5" customHeight="1" spans="11:29" x14ac:dyDescent="0.25">
      <c r="K8469" s="128"/>
      <c r="X8469" s="234">
        <v>2022</v>
      </c>
      <c r="Y8469" s="234">
        <v>12</v>
      </c>
      <c r="Z8469" s="234">
        <v>19</v>
      </c>
      <c r="AA8469" s="235">
        <v>0.7916666666678793</v>
      </c>
      <c r="AB8469" s="234">
        <v>-28.7</v>
      </c>
      <c r="AC8469" s="127">
        <f t="shared" si="147"/>
        <v>-29</v>
      </c>
    </row>
    <row r="8470" ht="14.5" customHeight="1" spans="11:29" x14ac:dyDescent="0.25">
      <c r="K8470" s="128"/>
      <c r="X8470" s="234">
        <v>2022</v>
      </c>
      <c r="Y8470" s="234">
        <v>12</v>
      </c>
      <c r="Z8470" s="234">
        <v>19</v>
      </c>
      <c r="AA8470" s="235">
        <v>0.8333333333321207</v>
      </c>
      <c r="AB8470" s="234">
        <v>-30.4</v>
      </c>
      <c r="AC8470" s="127">
        <f t="shared" si="147"/>
        <v>-30</v>
      </c>
    </row>
    <row r="8471" ht="14.5" customHeight="1" spans="11:29" x14ac:dyDescent="0.25">
      <c r="K8471" s="128"/>
      <c r="X8471" s="234">
        <v>2022</v>
      </c>
      <c r="Y8471" s="234">
        <v>12</v>
      </c>
      <c r="Z8471" s="234">
        <v>19</v>
      </c>
      <c r="AA8471" s="235">
        <v>0.875</v>
      </c>
      <c r="AB8471" s="234">
        <v>-30.6</v>
      </c>
      <c r="AC8471" s="127">
        <f t="shared" si="147"/>
        <v>-31</v>
      </c>
    </row>
    <row r="8472" ht="14.5" customHeight="1" spans="11:29" x14ac:dyDescent="0.25">
      <c r="K8472" s="128"/>
      <c r="X8472" s="234">
        <v>2022</v>
      </c>
      <c r="Y8472" s="234">
        <v>12</v>
      </c>
      <c r="Z8472" s="234">
        <v>19</v>
      </c>
      <c r="AA8472" s="235">
        <v>0.9166666666678793</v>
      </c>
      <c r="AB8472" s="234">
        <v>-30.1</v>
      </c>
      <c r="AC8472" s="127">
        <f t="shared" si="147"/>
        <v>-30</v>
      </c>
    </row>
    <row r="8473" ht="14.5" customHeight="1" spans="11:29" x14ac:dyDescent="0.25">
      <c r="K8473" s="128"/>
      <c r="X8473" s="234">
        <v>2022</v>
      </c>
      <c r="Y8473" s="234">
        <v>12</v>
      </c>
      <c r="Z8473" s="234">
        <v>19</v>
      </c>
      <c r="AA8473" s="235">
        <v>0.9583333333321207</v>
      </c>
      <c r="AB8473" s="234">
        <v>-30.4</v>
      </c>
      <c r="AC8473" s="127">
        <f t="shared" si="147"/>
        <v>-30</v>
      </c>
    </row>
    <row r="8474" ht="14.5" customHeight="1" spans="11:29" x14ac:dyDescent="0.25">
      <c r="K8474" s="128"/>
      <c r="X8474" s="234">
        <v>2022</v>
      </c>
      <c r="Y8474" s="234">
        <v>12</v>
      </c>
      <c r="Z8474" s="234">
        <v>20</v>
      </c>
      <c r="AA8474" s="235">
        <v>0</v>
      </c>
      <c r="AB8474" s="234">
        <v>-29.6</v>
      </c>
      <c r="AC8474" s="127">
        <f t="shared" si="147"/>
        <v>-30</v>
      </c>
    </row>
    <row r="8475" ht="14.5" customHeight="1" spans="11:29" x14ac:dyDescent="0.25">
      <c r="K8475" s="128"/>
      <c r="X8475" s="234">
        <v>2022</v>
      </c>
      <c r="Y8475" s="234">
        <v>12</v>
      </c>
      <c r="Z8475" s="234">
        <v>20</v>
      </c>
      <c r="AA8475" s="235">
        <v>0.041666666667879326</v>
      </c>
      <c r="AB8475" s="234">
        <v>-30.3</v>
      </c>
      <c r="AC8475" s="127">
        <f t="shared" si="147"/>
        <v>-30</v>
      </c>
    </row>
    <row r="8476" ht="14.5" customHeight="1" spans="11:29" x14ac:dyDescent="0.25">
      <c r="K8476" s="128"/>
      <c r="X8476" s="234">
        <v>2022</v>
      </c>
      <c r="Y8476" s="234">
        <v>12</v>
      </c>
      <c r="Z8476" s="234">
        <v>20</v>
      </c>
      <c r="AA8476" s="235">
        <v>0.08333333333212067</v>
      </c>
      <c r="AB8476" s="234">
        <v>-30.5</v>
      </c>
      <c r="AC8476" s="127">
        <f t="shared" si="147"/>
        <v>-31</v>
      </c>
    </row>
    <row r="8477" ht="14.5" customHeight="1" spans="11:29" x14ac:dyDescent="0.25">
      <c r="K8477" s="128"/>
      <c r="X8477" s="234">
        <v>2022</v>
      </c>
      <c r="Y8477" s="234">
        <v>12</v>
      </c>
      <c r="Z8477" s="234">
        <v>20</v>
      </c>
      <c r="AA8477" s="235">
        <v>0.125</v>
      </c>
      <c r="AB8477" s="234">
        <v>-30.4</v>
      </c>
      <c r="AC8477" s="127">
        <f t="shared" si="147"/>
        <v>-30</v>
      </c>
    </row>
    <row r="8478" ht="14.5" customHeight="1" spans="11:29" x14ac:dyDescent="0.25">
      <c r="K8478" s="128"/>
      <c r="X8478" s="234">
        <v>2022</v>
      </c>
      <c r="Y8478" s="234">
        <v>12</v>
      </c>
      <c r="Z8478" s="234">
        <v>20</v>
      </c>
      <c r="AA8478" s="235">
        <v>0.16666666666787933</v>
      </c>
      <c r="AB8478" s="234">
        <v>-31.3</v>
      </c>
      <c r="AC8478" s="127">
        <f t="shared" si="147"/>
        <v>-31</v>
      </c>
    </row>
    <row r="8479" ht="14.5" customHeight="1" spans="11:29" x14ac:dyDescent="0.25">
      <c r="K8479" s="128"/>
      <c r="X8479" s="234">
        <v>2022</v>
      </c>
      <c r="Y8479" s="234">
        <v>12</v>
      </c>
      <c r="Z8479" s="234">
        <v>20</v>
      </c>
      <c r="AA8479" s="235">
        <v>0.20833333333212067</v>
      </c>
      <c r="AB8479" s="234">
        <v>-31.8</v>
      </c>
      <c r="AC8479" s="127">
        <f t="shared" si="147"/>
        <v>-32</v>
      </c>
    </row>
    <row r="8480" ht="14.5" customHeight="1" spans="11:29" x14ac:dyDescent="0.25">
      <c r="K8480" s="128"/>
      <c r="X8480" s="234">
        <v>2022</v>
      </c>
      <c r="Y8480" s="234">
        <v>12</v>
      </c>
      <c r="Z8480" s="234">
        <v>20</v>
      </c>
      <c r="AA8480" s="235">
        <v>0.25</v>
      </c>
      <c r="AB8480" s="234">
        <v>-31.3</v>
      </c>
      <c r="AC8480" s="127">
        <f t="shared" si="147"/>
        <v>-31</v>
      </c>
    </row>
    <row r="8481" ht="14.5" customHeight="1" spans="11:29" x14ac:dyDescent="0.25">
      <c r="K8481" s="128"/>
      <c r="X8481" s="234">
        <v>2022</v>
      </c>
      <c r="Y8481" s="234">
        <v>12</v>
      </c>
      <c r="Z8481" s="234">
        <v>20</v>
      </c>
      <c r="AA8481" s="235">
        <v>0.2916666666678793</v>
      </c>
      <c r="AB8481" s="234">
        <v>-29.8</v>
      </c>
      <c r="AC8481" s="127">
        <f t="shared" si="147"/>
        <v>-30</v>
      </c>
    </row>
    <row r="8482" ht="14.5" customHeight="1" spans="11:29" x14ac:dyDescent="0.25">
      <c r="K8482" s="128"/>
      <c r="X8482" s="234">
        <v>2022</v>
      </c>
      <c r="Y8482" s="234">
        <v>12</v>
      </c>
      <c r="Z8482" s="234">
        <v>20</v>
      </c>
      <c r="AA8482" s="235">
        <v>0.3333333333321207</v>
      </c>
      <c r="AB8482" s="234">
        <v>-29.6</v>
      </c>
      <c r="AC8482" s="127">
        <f t="shared" si="147"/>
        <v>-30</v>
      </c>
    </row>
    <row r="8483" ht="14.5" customHeight="1" spans="11:29" x14ac:dyDescent="0.25">
      <c r="K8483" s="128"/>
      <c r="X8483" s="234">
        <v>2022</v>
      </c>
      <c r="Y8483" s="234">
        <v>12</v>
      </c>
      <c r="Z8483" s="234">
        <v>20</v>
      </c>
      <c r="AA8483" s="235">
        <v>0.375</v>
      </c>
      <c r="AB8483" s="234">
        <v>-29.6</v>
      </c>
      <c r="AC8483" s="127">
        <f t="shared" si="147"/>
        <v>-30</v>
      </c>
    </row>
    <row r="8484" ht="14.5" customHeight="1" spans="11:29" x14ac:dyDescent="0.25">
      <c r="K8484" s="128"/>
      <c r="X8484" s="234">
        <v>2022</v>
      </c>
      <c r="Y8484" s="234">
        <v>12</v>
      </c>
      <c r="Z8484" s="234">
        <v>20</v>
      </c>
      <c r="AA8484" s="235">
        <v>0.4166666666678793</v>
      </c>
      <c r="AB8484" s="234">
        <v>-29.1</v>
      </c>
      <c r="AC8484" s="127">
        <f t="shared" si="147"/>
        <v>-29</v>
      </c>
    </row>
    <row r="8485" ht="14.5" customHeight="1" spans="11:29" x14ac:dyDescent="0.25">
      <c r="K8485" s="128"/>
      <c r="X8485" s="234">
        <v>2022</v>
      </c>
      <c r="Y8485" s="234">
        <v>12</v>
      </c>
      <c r="Z8485" s="234">
        <v>20</v>
      </c>
      <c r="AA8485" s="235">
        <v>0.4583333333321207</v>
      </c>
      <c r="AB8485" s="234">
        <v>-28.9</v>
      </c>
      <c r="AC8485" s="127">
        <f t="shared" si="147"/>
        <v>-29</v>
      </c>
    </row>
    <row r="8486" ht="14.5" customHeight="1" spans="11:29" x14ac:dyDescent="0.25">
      <c r="K8486" s="128"/>
      <c r="X8486" s="234">
        <v>2022</v>
      </c>
      <c r="Y8486" s="234">
        <v>12</v>
      </c>
      <c r="Z8486" s="234">
        <v>20</v>
      </c>
      <c r="AA8486" s="235">
        <v>0.5</v>
      </c>
      <c r="AB8486" s="234">
        <v>-28.3</v>
      </c>
      <c r="AC8486" s="127">
        <f t="shared" si="147"/>
        <v>-28</v>
      </c>
    </row>
    <row r="8487" ht="14.5" customHeight="1" spans="11:29" x14ac:dyDescent="0.25">
      <c r="K8487" s="128"/>
      <c r="X8487" s="234">
        <v>2022</v>
      </c>
      <c r="Y8487" s="234">
        <v>12</v>
      </c>
      <c r="Z8487" s="234">
        <v>20</v>
      </c>
      <c r="AA8487" s="235">
        <v>0.5416666666678793</v>
      </c>
      <c r="AB8487" s="234">
        <v>-28.4</v>
      </c>
      <c r="AC8487" s="127">
        <f t="shared" si="147"/>
        <v>-28</v>
      </c>
    </row>
    <row r="8488" ht="14.5" customHeight="1" spans="11:29" x14ac:dyDescent="0.25">
      <c r="K8488" s="128"/>
      <c r="X8488" s="234">
        <v>2022</v>
      </c>
      <c r="Y8488" s="234">
        <v>12</v>
      </c>
      <c r="Z8488" s="234">
        <v>20</v>
      </c>
      <c r="AA8488" s="235">
        <v>0.5833333333321207</v>
      </c>
      <c r="AB8488" s="234">
        <v>-28.4</v>
      </c>
      <c r="AC8488" s="127">
        <f t="shared" si="147"/>
        <v>-28</v>
      </c>
    </row>
    <row r="8489" ht="14.5" customHeight="1" spans="11:29" x14ac:dyDescent="0.25">
      <c r="K8489" s="128"/>
      <c r="X8489" s="234">
        <v>2022</v>
      </c>
      <c r="Y8489" s="234">
        <v>12</v>
      </c>
      <c r="Z8489" s="234">
        <v>20</v>
      </c>
      <c r="AA8489" s="235">
        <v>0.625</v>
      </c>
      <c r="AB8489" s="234">
        <v>-28.9</v>
      </c>
      <c r="AC8489" s="127">
        <f t="shared" si="147"/>
        <v>-29</v>
      </c>
    </row>
    <row r="8490" ht="14.5" customHeight="1" spans="11:29" x14ac:dyDescent="0.25">
      <c r="K8490" s="128"/>
      <c r="X8490" s="234">
        <v>2022</v>
      </c>
      <c r="Y8490" s="234">
        <v>12</v>
      </c>
      <c r="Z8490" s="234">
        <v>20</v>
      </c>
      <c r="AA8490" s="235">
        <v>0.6666666666678793</v>
      </c>
      <c r="AB8490" s="234">
        <v>-28.9</v>
      </c>
      <c r="AC8490" s="127">
        <f t="shared" si="147"/>
        <v>-29</v>
      </c>
    </row>
    <row r="8491" ht="14.5" customHeight="1" spans="11:29" x14ac:dyDescent="0.25">
      <c r="K8491" s="128"/>
      <c r="X8491" s="234">
        <v>2022</v>
      </c>
      <c r="Y8491" s="234">
        <v>12</v>
      </c>
      <c r="Z8491" s="234">
        <v>20</v>
      </c>
      <c r="AA8491" s="235">
        <v>0.7083333333321207</v>
      </c>
      <c r="AB8491" s="234">
        <v>-29.3</v>
      </c>
      <c r="AC8491" s="127">
        <f t="shared" si="147"/>
        <v>-29</v>
      </c>
    </row>
    <row r="8492" ht="14.5" customHeight="1" spans="11:29" x14ac:dyDescent="0.25">
      <c r="K8492" s="128"/>
      <c r="X8492" s="234">
        <v>2022</v>
      </c>
      <c r="Y8492" s="234">
        <v>12</v>
      </c>
      <c r="Z8492" s="234">
        <v>20</v>
      </c>
      <c r="AA8492" s="235">
        <v>0.75</v>
      </c>
      <c r="AB8492" s="234">
        <v>-29.4</v>
      </c>
      <c r="AC8492" s="127">
        <f t="shared" si="147"/>
        <v>-29</v>
      </c>
    </row>
    <row r="8493" ht="14.5" customHeight="1" spans="11:29" x14ac:dyDescent="0.25">
      <c r="K8493" s="128"/>
      <c r="X8493" s="234">
        <v>2022</v>
      </c>
      <c r="Y8493" s="234">
        <v>12</v>
      </c>
      <c r="Z8493" s="234">
        <v>20</v>
      </c>
      <c r="AA8493" s="235">
        <v>0.7916666666678793</v>
      </c>
      <c r="AB8493" s="234">
        <v>-29.7</v>
      </c>
      <c r="AC8493" s="127">
        <f t="shared" si="147"/>
        <v>-30</v>
      </c>
    </row>
    <row r="8494" ht="14.5" customHeight="1" spans="11:29" x14ac:dyDescent="0.25">
      <c r="K8494" s="128"/>
      <c r="X8494" s="234">
        <v>2022</v>
      </c>
      <c r="Y8494" s="234">
        <v>12</v>
      </c>
      <c r="Z8494" s="234">
        <v>20</v>
      </c>
      <c r="AA8494" s="235">
        <v>0.8333333333321207</v>
      </c>
      <c r="AB8494" s="234">
        <v>-29.8</v>
      </c>
      <c r="AC8494" s="127">
        <f t="shared" si="147"/>
        <v>-30</v>
      </c>
    </row>
    <row r="8495" ht="14.5" customHeight="1" spans="11:29" x14ac:dyDescent="0.25">
      <c r="K8495" s="128"/>
      <c r="X8495" s="234">
        <v>2022</v>
      </c>
      <c r="Y8495" s="234">
        <v>12</v>
      </c>
      <c r="Z8495" s="234">
        <v>20</v>
      </c>
      <c r="AA8495" s="235">
        <v>0.875</v>
      </c>
      <c r="AB8495" s="234">
        <v>-30.1</v>
      </c>
      <c r="AC8495" s="127">
        <f t="shared" si="147"/>
        <v>-30</v>
      </c>
    </row>
    <row r="8496" ht="14.5" customHeight="1" spans="11:29" x14ac:dyDescent="0.25">
      <c r="K8496" s="128"/>
      <c r="X8496" s="234">
        <v>2022</v>
      </c>
      <c r="Y8496" s="234">
        <v>12</v>
      </c>
      <c r="Z8496" s="234">
        <v>20</v>
      </c>
      <c r="AA8496" s="235">
        <v>0.9166666666678793</v>
      </c>
      <c r="AB8496" s="234">
        <v>-30.9</v>
      </c>
      <c r="AC8496" s="127">
        <f t="shared" si="147"/>
        <v>-31</v>
      </c>
    </row>
    <row r="8497" ht="14.5" customHeight="1" spans="11:29" x14ac:dyDescent="0.25">
      <c r="K8497" s="128"/>
      <c r="X8497" s="234">
        <v>2022</v>
      </c>
      <c r="Y8497" s="234">
        <v>12</v>
      </c>
      <c r="Z8497" s="234">
        <v>20</v>
      </c>
      <c r="AA8497" s="235">
        <v>0.9583333333321207</v>
      </c>
      <c r="AB8497" s="234">
        <v>-31.4</v>
      </c>
      <c r="AC8497" s="127">
        <f t="shared" si="147"/>
        <v>-31</v>
      </c>
    </row>
    <row r="8498" ht="14.5" customHeight="1" spans="11:29" x14ac:dyDescent="0.25">
      <c r="K8498" s="128"/>
      <c r="X8498" s="234">
        <v>2022</v>
      </c>
      <c r="Y8498" s="234">
        <v>12</v>
      </c>
      <c r="Z8498" s="234">
        <v>21</v>
      </c>
      <c r="AA8498" s="235">
        <v>0</v>
      </c>
      <c r="AB8498" s="234">
        <v>-31.7</v>
      </c>
      <c r="AC8498" s="127">
        <f t="shared" si="147"/>
        <v>-32</v>
      </c>
    </row>
    <row r="8499" ht="14.5" customHeight="1" spans="11:29" x14ac:dyDescent="0.25">
      <c r="K8499" s="128"/>
      <c r="X8499" s="234">
        <v>2022</v>
      </c>
      <c r="Y8499" s="234">
        <v>12</v>
      </c>
      <c r="Z8499" s="234">
        <v>21</v>
      </c>
      <c r="AA8499" s="235">
        <v>0.041666666667879326</v>
      </c>
      <c r="AB8499" s="234">
        <v>-31.3</v>
      </c>
      <c r="AC8499" s="127">
        <f t="shared" si="147"/>
        <v>-31</v>
      </c>
    </row>
    <row r="8500" ht="14.5" customHeight="1" spans="11:29" x14ac:dyDescent="0.25">
      <c r="K8500" s="128"/>
      <c r="X8500" s="234">
        <v>2022</v>
      </c>
      <c r="Y8500" s="234">
        <v>12</v>
      </c>
      <c r="Z8500" s="234">
        <v>21</v>
      </c>
      <c r="AA8500" s="235">
        <v>0.08333333333212067</v>
      </c>
      <c r="AB8500" s="234">
        <v>-31</v>
      </c>
      <c r="AC8500" s="127">
        <f t="shared" si="147"/>
        <v>-31</v>
      </c>
    </row>
    <row r="8501" ht="14.5" customHeight="1" spans="11:29" x14ac:dyDescent="0.25">
      <c r="K8501" s="128"/>
      <c r="X8501" s="234">
        <v>2022</v>
      </c>
      <c r="Y8501" s="234">
        <v>12</v>
      </c>
      <c r="Z8501" s="234">
        <v>21</v>
      </c>
      <c r="AA8501" s="235">
        <v>0.125</v>
      </c>
      <c r="AB8501" s="234">
        <v>-31</v>
      </c>
      <c r="AC8501" s="127">
        <f t="shared" si="147"/>
        <v>-31</v>
      </c>
    </row>
    <row r="8502" ht="14.5" customHeight="1" spans="11:29" x14ac:dyDescent="0.25">
      <c r="K8502" s="128"/>
      <c r="X8502" s="234">
        <v>2022</v>
      </c>
      <c r="Y8502" s="234">
        <v>12</v>
      </c>
      <c r="Z8502" s="234">
        <v>21</v>
      </c>
      <c r="AA8502" s="235">
        <v>0.16666666666787933</v>
      </c>
      <c r="AB8502" s="234">
        <v>-30.7</v>
      </c>
      <c r="AC8502" s="127">
        <f t="shared" si="147"/>
        <v>-31</v>
      </c>
    </row>
    <row r="8503" ht="14.5" customHeight="1" spans="11:29" x14ac:dyDescent="0.25">
      <c r="K8503" s="128"/>
      <c r="X8503" s="234">
        <v>2022</v>
      </c>
      <c r="Y8503" s="234">
        <v>12</v>
      </c>
      <c r="Z8503" s="234">
        <v>21</v>
      </c>
      <c r="AA8503" s="235">
        <v>0.20833333333212067</v>
      </c>
      <c r="AB8503" s="234">
        <v>-30.6</v>
      </c>
      <c r="AC8503" s="127">
        <f t="shared" si="147"/>
        <v>-31</v>
      </c>
    </row>
    <row r="8504" ht="14.5" customHeight="1" spans="11:29" x14ac:dyDescent="0.25">
      <c r="K8504" s="128"/>
      <c r="X8504" s="234">
        <v>2022</v>
      </c>
      <c r="Y8504" s="234">
        <v>12</v>
      </c>
      <c r="Z8504" s="234">
        <v>21</v>
      </c>
      <c r="AA8504" s="235">
        <v>0.25</v>
      </c>
      <c r="AB8504" s="234">
        <v>-30.5</v>
      </c>
      <c r="AC8504" s="127">
        <f t="shared" si="147"/>
        <v>-31</v>
      </c>
    </row>
    <row r="8505" ht="14.5" customHeight="1" spans="11:29" x14ac:dyDescent="0.25">
      <c r="K8505" s="128"/>
      <c r="X8505" s="234">
        <v>2022</v>
      </c>
      <c r="Y8505" s="234">
        <v>12</v>
      </c>
      <c r="Z8505" s="234">
        <v>21</v>
      </c>
      <c r="AA8505" s="235">
        <v>0.2916666666678793</v>
      </c>
      <c r="AB8505" s="234">
        <v>-30.5</v>
      </c>
      <c r="AC8505" s="127">
        <f t="shared" si="147"/>
        <v>-31</v>
      </c>
    </row>
    <row r="8506" ht="14.5" customHeight="1" spans="11:29" x14ac:dyDescent="0.25">
      <c r="K8506" s="128"/>
      <c r="X8506" s="234">
        <v>2022</v>
      </c>
      <c r="Y8506" s="234">
        <v>12</v>
      </c>
      <c r="Z8506" s="234">
        <v>21</v>
      </c>
      <c r="AA8506" s="235">
        <v>0.3333333333321207</v>
      </c>
      <c r="AB8506" s="234">
        <v>-30.5</v>
      </c>
      <c r="AC8506" s="127">
        <f t="shared" si="147"/>
        <v>-31</v>
      </c>
    </row>
    <row r="8507" ht="14.5" customHeight="1" spans="11:29" x14ac:dyDescent="0.25">
      <c r="K8507" s="128"/>
      <c r="X8507" s="234">
        <v>2022</v>
      </c>
      <c r="Y8507" s="234">
        <v>12</v>
      </c>
      <c r="Z8507" s="234">
        <v>21</v>
      </c>
      <c r="AA8507" s="235">
        <v>0.375</v>
      </c>
      <c r="AB8507" s="234">
        <v>-30.2</v>
      </c>
      <c r="AC8507" s="127">
        <f t="shared" si="147"/>
        <v>-30</v>
      </c>
    </row>
    <row r="8508" ht="14.5" customHeight="1" spans="11:29" x14ac:dyDescent="0.25">
      <c r="K8508" s="128"/>
      <c r="X8508" s="234">
        <v>2022</v>
      </c>
      <c r="Y8508" s="234">
        <v>12</v>
      </c>
      <c r="Z8508" s="234">
        <v>21</v>
      </c>
      <c r="AA8508" s="235">
        <v>0.4166666666678793</v>
      </c>
      <c r="AB8508" s="234">
        <v>-29.5</v>
      </c>
      <c r="AC8508" s="127">
        <f t="shared" si="147"/>
        <v>-30</v>
      </c>
    </row>
    <row r="8509" ht="14.5" customHeight="1" spans="11:29" x14ac:dyDescent="0.25">
      <c r="K8509" s="128"/>
      <c r="X8509" s="234">
        <v>2022</v>
      </c>
      <c r="Y8509" s="234">
        <v>12</v>
      </c>
      <c r="Z8509" s="234">
        <v>21</v>
      </c>
      <c r="AA8509" s="235">
        <v>0.4583333333321207</v>
      </c>
      <c r="AB8509" s="234">
        <v>-29.5</v>
      </c>
      <c r="AC8509" s="127">
        <f t="shared" si="147"/>
        <v>-30</v>
      </c>
    </row>
    <row r="8510" ht="14.5" customHeight="1" spans="11:29" x14ac:dyDescent="0.25">
      <c r="K8510" s="128"/>
      <c r="X8510" s="234">
        <v>2022</v>
      </c>
      <c r="Y8510" s="234">
        <v>12</v>
      </c>
      <c r="Z8510" s="234">
        <v>21</v>
      </c>
      <c r="AA8510" s="235">
        <v>0.5</v>
      </c>
      <c r="AB8510" s="234">
        <v>-28.5</v>
      </c>
      <c r="AC8510" s="127">
        <f t="shared" si="147"/>
        <v>-29</v>
      </c>
    </row>
    <row r="8511" ht="14.5" customHeight="1" spans="11:29" x14ac:dyDescent="0.25">
      <c r="K8511" s="128"/>
      <c r="X8511" s="234">
        <v>2022</v>
      </c>
      <c r="Y8511" s="234">
        <v>12</v>
      </c>
      <c r="Z8511" s="234">
        <v>21</v>
      </c>
      <c r="AA8511" s="235">
        <v>0.5416666666678793</v>
      </c>
      <c r="AB8511" s="234">
        <v>-28.3</v>
      </c>
      <c r="AC8511" s="127">
        <f t="shared" si="147"/>
        <v>-28</v>
      </c>
    </row>
    <row r="8512" ht="14.5" customHeight="1" spans="11:29" x14ac:dyDescent="0.25">
      <c r="K8512" s="128"/>
      <c r="X8512" s="234">
        <v>2022</v>
      </c>
      <c r="Y8512" s="234">
        <v>12</v>
      </c>
      <c r="Z8512" s="234">
        <v>21</v>
      </c>
      <c r="AA8512" s="235">
        <v>0.5833333333321207</v>
      </c>
      <c r="AB8512" s="234">
        <v>-27.5</v>
      </c>
      <c r="AC8512" s="127">
        <f t="shared" si="147"/>
        <v>-28</v>
      </c>
    </row>
    <row r="8513" ht="14.5" customHeight="1" spans="11:29" x14ac:dyDescent="0.25">
      <c r="K8513" s="128"/>
      <c r="X8513" s="234">
        <v>2022</v>
      </c>
      <c r="Y8513" s="234">
        <v>12</v>
      </c>
      <c r="Z8513" s="234">
        <v>21</v>
      </c>
      <c r="AA8513" s="235">
        <v>0.625</v>
      </c>
      <c r="AB8513" s="234">
        <v>-27.5</v>
      </c>
      <c r="AC8513" s="127">
        <f t="shared" si="147"/>
        <v>-28</v>
      </c>
    </row>
    <row r="8514" ht="14.5" customHeight="1" spans="11:29" x14ac:dyDescent="0.25">
      <c r="K8514" s="128"/>
      <c r="X8514" s="234">
        <v>2022</v>
      </c>
      <c r="Y8514" s="234">
        <v>12</v>
      </c>
      <c r="Z8514" s="234">
        <v>21</v>
      </c>
      <c r="AA8514" s="235">
        <v>0.6666666666678793</v>
      </c>
      <c r="AB8514" s="234">
        <v>-28.1</v>
      </c>
      <c r="AC8514" s="127">
        <f t="shared" si="147"/>
        <v>-28</v>
      </c>
    </row>
    <row r="8515" ht="14.5" customHeight="1" spans="11:29" x14ac:dyDescent="0.25">
      <c r="K8515" s="128"/>
      <c r="X8515" s="234">
        <v>2022</v>
      </c>
      <c r="Y8515" s="234">
        <v>12</v>
      </c>
      <c r="Z8515" s="234">
        <v>21</v>
      </c>
      <c r="AA8515" s="235">
        <v>0.7083333333321207</v>
      </c>
      <c r="AB8515" s="234">
        <v>-28.6</v>
      </c>
      <c r="AC8515" s="127">
        <f t="shared" si="147"/>
        <v>-29</v>
      </c>
    </row>
    <row r="8516" ht="14.5" customHeight="1" spans="11:29" x14ac:dyDescent="0.25">
      <c r="K8516" s="128"/>
      <c r="X8516" s="234">
        <v>2022</v>
      </c>
      <c r="Y8516" s="234">
        <v>12</v>
      </c>
      <c r="Z8516" s="234">
        <v>21</v>
      </c>
      <c r="AA8516" s="235">
        <v>0.75</v>
      </c>
      <c r="AB8516" s="234">
        <v>-29</v>
      </c>
      <c r="AC8516" s="127">
        <f t="shared" si="147"/>
        <v>-29</v>
      </c>
    </row>
    <row r="8517" ht="14.5" customHeight="1" spans="11:29" x14ac:dyDescent="0.25">
      <c r="K8517" s="128"/>
      <c r="X8517" s="234">
        <v>2022</v>
      </c>
      <c r="Y8517" s="234">
        <v>12</v>
      </c>
      <c r="Z8517" s="234">
        <v>21</v>
      </c>
      <c r="AA8517" s="235">
        <v>0.7916666666678793</v>
      </c>
      <c r="AB8517" s="234">
        <v>-29</v>
      </c>
      <c r="AC8517" s="127">
        <f t="shared" si="147"/>
        <v>-29</v>
      </c>
    </row>
    <row r="8518" ht="14.5" customHeight="1" spans="11:29" x14ac:dyDescent="0.25">
      <c r="K8518" s="128"/>
      <c r="X8518" s="234">
        <v>2022</v>
      </c>
      <c r="Y8518" s="234">
        <v>12</v>
      </c>
      <c r="Z8518" s="234">
        <v>21</v>
      </c>
      <c r="AA8518" s="235">
        <v>0.8333333333321207</v>
      </c>
      <c r="AB8518" s="234">
        <v>-28.9</v>
      </c>
      <c r="AC8518" s="127">
        <f t="shared" si="147"/>
        <v>-29</v>
      </c>
    </row>
    <row r="8519" ht="14.5" customHeight="1" spans="11:29" x14ac:dyDescent="0.25">
      <c r="K8519" s="128"/>
      <c r="X8519" s="234">
        <v>2022</v>
      </c>
      <c r="Y8519" s="234">
        <v>12</v>
      </c>
      <c r="Z8519" s="234">
        <v>21</v>
      </c>
      <c r="AA8519" s="235">
        <v>0.875</v>
      </c>
      <c r="AB8519" s="234">
        <v>-29</v>
      </c>
      <c r="AC8519" s="127">
        <f t="shared" si="147"/>
        <v>-29</v>
      </c>
    </row>
    <row r="8520" ht="14.5" customHeight="1" spans="11:29" x14ac:dyDescent="0.25">
      <c r="K8520" s="128"/>
      <c r="X8520" s="234">
        <v>2022</v>
      </c>
      <c r="Y8520" s="234">
        <v>12</v>
      </c>
      <c r="Z8520" s="234">
        <v>21</v>
      </c>
      <c r="AA8520" s="235">
        <v>0.9166666666678793</v>
      </c>
      <c r="AB8520" s="234">
        <v>-29.2</v>
      </c>
      <c r="AC8520" s="127">
        <f t="shared" si="147"/>
        <v>-29</v>
      </c>
    </row>
    <row r="8521" ht="14.5" customHeight="1" spans="11:29" x14ac:dyDescent="0.25">
      <c r="K8521" s="128"/>
      <c r="X8521" s="234">
        <v>2022</v>
      </c>
      <c r="Y8521" s="234">
        <v>12</v>
      </c>
      <c r="Z8521" s="234">
        <v>21</v>
      </c>
      <c r="AA8521" s="235">
        <v>0.9583333333321207</v>
      </c>
      <c r="AB8521" s="234">
        <v>-28.9</v>
      </c>
      <c r="AC8521" s="127">
        <f t="shared" si="147"/>
        <v>-29</v>
      </c>
    </row>
    <row r="8522" ht="14.5" customHeight="1" spans="11:29" x14ac:dyDescent="0.25">
      <c r="K8522" s="128"/>
      <c r="X8522" s="234">
        <v>2022</v>
      </c>
      <c r="Y8522" s="234">
        <v>12</v>
      </c>
      <c r="Z8522" s="234">
        <v>22</v>
      </c>
      <c r="AA8522" s="235">
        <v>0</v>
      </c>
      <c r="AB8522" s="234">
        <v>-28.5</v>
      </c>
      <c r="AC8522" s="127">
        <f t="shared" si="147"/>
        <v>-29</v>
      </c>
    </row>
    <row r="8523" ht="14.5" customHeight="1" spans="11:29" x14ac:dyDescent="0.25">
      <c r="K8523" s="128"/>
      <c r="X8523" s="234">
        <v>2022</v>
      </c>
      <c r="Y8523" s="234">
        <v>12</v>
      </c>
      <c r="Z8523" s="234">
        <v>22</v>
      </c>
      <c r="AA8523" s="235">
        <v>0.041666666667879326</v>
      </c>
      <c r="AB8523" s="234">
        <v>-28.6</v>
      </c>
      <c r="AC8523" s="127">
        <f t="shared" ref="AC8523:AC8586" si="148">ROUND(AB8523,0)</f>
        <v>-29</v>
      </c>
    </row>
    <row r="8524" ht="14.5" customHeight="1" spans="11:29" x14ac:dyDescent="0.25">
      <c r="K8524" s="128"/>
      <c r="X8524" s="234">
        <v>2022</v>
      </c>
      <c r="Y8524" s="234">
        <v>12</v>
      </c>
      <c r="Z8524" s="234">
        <v>22</v>
      </c>
      <c r="AA8524" s="235">
        <v>0.08333333333212067</v>
      </c>
      <c r="AB8524" s="234">
        <v>-29.9</v>
      </c>
      <c r="AC8524" s="127">
        <f t="shared" si="148"/>
        <v>-30</v>
      </c>
    </row>
    <row r="8525" ht="14.5" customHeight="1" spans="11:29" x14ac:dyDescent="0.25">
      <c r="K8525" s="128"/>
      <c r="X8525" s="234">
        <v>2022</v>
      </c>
      <c r="Y8525" s="234">
        <v>12</v>
      </c>
      <c r="Z8525" s="234">
        <v>22</v>
      </c>
      <c r="AA8525" s="235">
        <v>0.125</v>
      </c>
      <c r="AB8525" s="234">
        <v>-29.3</v>
      </c>
      <c r="AC8525" s="127">
        <f t="shared" si="148"/>
        <v>-29</v>
      </c>
    </row>
    <row r="8526" ht="14.5" customHeight="1" spans="11:29" x14ac:dyDescent="0.25">
      <c r="K8526" s="128"/>
      <c r="X8526" s="234">
        <v>2022</v>
      </c>
      <c r="Y8526" s="234">
        <v>12</v>
      </c>
      <c r="Z8526" s="234">
        <v>22</v>
      </c>
      <c r="AA8526" s="235">
        <v>0.16666666666787933</v>
      </c>
      <c r="AB8526" s="234">
        <v>-28.7</v>
      </c>
      <c r="AC8526" s="127">
        <f t="shared" si="148"/>
        <v>-29</v>
      </c>
    </row>
    <row r="8527" ht="14.5" customHeight="1" spans="11:29" x14ac:dyDescent="0.25">
      <c r="K8527" s="128"/>
      <c r="X8527" s="234">
        <v>2022</v>
      </c>
      <c r="Y8527" s="234">
        <v>12</v>
      </c>
      <c r="Z8527" s="234">
        <v>22</v>
      </c>
      <c r="AA8527" s="235">
        <v>0.20833333333212067</v>
      </c>
      <c r="AB8527" s="234">
        <v>-31</v>
      </c>
      <c r="AC8527" s="127">
        <f t="shared" si="148"/>
        <v>-31</v>
      </c>
    </row>
    <row r="8528" ht="14.5" customHeight="1" spans="11:29" x14ac:dyDescent="0.25">
      <c r="K8528" s="128"/>
      <c r="X8528" s="234">
        <v>2022</v>
      </c>
      <c r="Y8528" s="234">
        <v>12</v>
      </c>
      <c r="Z8528" s="234">
        <v>22</v>
      </c>
      <c r="AA8528" s="235">
        <v>0.25</v>
      </c>
      <c r="AB8528" s="234">
        <v>-31.6</v>
      </c>
      <c r="AC8528" s="127">
        <f t="shared" si="148"/>
        <v>-32</v>
      </c>
    </row>
    <row r="8529" ht="14.5" customHeight="1" spans="11:29" x14ac:dyDescent="0.25">
      <c r="K8529" s="128"/>
      <c r="X8529" s="234">
        <v>2022</v>
      </c>
      <c r="Y8529" s="234">
        <v>12</v>
      </c>
      <c r="Z8529" s="234">
        <v>22</v>
      </c>
      <c r="AA8529" s="235">
        <v>0.2916666666678793</v>
      </c>
      <c r="AB8529" s="234">
        <v>-31.4</v>
      </c>
      <c r="AC8529" s="127">
        <f t="shared" si="148"/>
        <v>-31</v>
      </c>
    </row>
    <row r="8530" ht="14.5" customHeight="1" spans="11:29" x14ac:dyDescent="0.25">
      <c r="K8530" s="128"/>
      <c r="X8530" s="234">
        <v>2022</v>
      </c>
      <c r="Y8530" s="234">
        <v>12</v>
      </c>
      <c r="Z8530" s="234">
        <v>22</v>
      </c>
      <c r="AA8530" s="235">
        <v>0.3333333333321207</v>
      </c>
      <c r="AB8530" s="234">
        <v>-31.7</v>
      </c>
      <c r="AC8530" s="127">
        <f t="shared" si="148"/>
        <v>-32</v>
      </c>
    </row>
    <row r="8531" ht="14.5" customHeight="1" spans="11:29" x14ac:dyDescent="0.25">
      <c r="K8531" s="128"/>
      <c r="X8531" s="234">
        <v>2022</v>
      </c>
      <c r="Y8531" s="234">
        <v>12</v>
      </c>
      <c r="Z8531" s="234">
        <v>22</v>
      </c>
      <c r="AA8531" s="235">
        <v>0.375</v>
      </c>
      <c r="AB8531" s="234">
        <v>-30.8</v>
      </c>
      <c r="AC8531" s="127">
        <f t="shared" si="148"/>
        <v>-31</v>
      </c>
    </row>
    <row r="8532" ht="14.5" customHeight="1" spans="11:29" x14ac:dyDescent="0.25">
      <c r="K8532" s="128"/>
      <c r="X8532" s="234">
        <v>2022</v>
      </c>
      <c r="Y8532" s="234">
        <v>12</v>
      </c>
      <c r="Z8532" s="234">
        <v>22</v>
      </c>
      <c r="AA8532" s="235">
        <v>0.4166666666678793</v>
      </c>
      <c r="AB8532" s="234">
        <v>-29.3</v>
      </c>
      <c r="AC8532" s="127">
        <f t="shared" si="148"/>
        <v>-29</v>
      </c>
    </row>
    <row r="8533" ht="14.5" customHeight="1" spans="11:29" x14ac:dyDescent="0.25">
      <c r="K8533" s="128"/>
      <c r="X8533" s="234">
        <v>2022</v>
      </c>
      <c r="Y8533" s="234">
        <v>12</v>
      </c>
      <c r="Z8533" s="234">
        <v>22</v>
      </c>
      <c r="AA8533" s="235">
        <v>0.4583333333321207</v>
      </c>
      <c r="AB8533" s="234">
        <v>-27</v>
      </c>
      <c r="AC8533" s="127">
        <f t="shared" si="148"/>
        <v>-27</v>
      </c>
    </row>
    <row r="8534" ht="14.5" customHeight="1" spans="11:29" x14ac:dyDescent="0.25">
      <c r="K8534" s="128"/>
      <c r="X8534" s="234">
        <v>2022</v>
      </c>
      <c r="Y8534" s="234">
        <v>12</v>
      </c>
      <c r="Z8534" s="234">
        <v>22</v>
      </c>
      <c r="AA8534" s="235">
        <v>0.5</v>
      </c>
      <c r="AB8534" s="234">
        <v>-24.3</v>
      </c>
      <c r="AC8534" s="127">
        <f t="shared" si="148"/>
        <v>-24</v>
      </c>
    </row>
    <row r="8535" ht="14.5" customHeight="1" spans="11:29" x14ac:dyDescent="0.25">
      <c r="K8535" s="128"/>
      <c r="X8535" s="234">
        <v>2022</v>
      </c>
      <c r="Y8535" s="234">
        <v>12</v>
      </c>
      <c r="Z8535" s="234">
        <v>22</v>
      </c>
      <c r="AA8535" s="235">
        <v>0.5416666666678793</v>
      </c>
      <c r="AB8535" s="234">
        <v>-23.3</v>
      </c>
      <c r="AC8535" s="127">
        <f t="shared" si="148"/>
        <v>-23</v>
      </c>
    </row>
    <row r="8536" ht="14.5" customHeight="1" spans="11:29" x14ac:dyDescent="0.25">
      <c r="K8536" s="128"/>
      <c r="X8536" s="234">
        <v>2022</v>
      </c>
      <c r="Y8536" s="234">
        <v>12</v>
      </c>
      <c r="Z8536" s="234">
        <v>22</v>
      </c>
      <c r="AA8536" s="235">
        <v>0.5833333333321207</v>
      </c>
      <c r="AB8536" s="234">
        <v>-23.1</v>
      </c>
      <c r="AC8536" s="127">
        <f t="shared" si="148"/>
        <v>-23</v>
      </c>
    </row>
    <row r="8537" ht="14.5" customHeight="1" spans="11:29" x14ac:dyDescent="0.25">
      <c r="K8537" s="128"/>
      <c r="X8537" s="234">
        <v>2022</v>
      </c>
      <c r="Y8537" s="234">
        <v>12</v>
      </c>
      <c r="Z8537" s="234">
        <v>22</v>
      </c>
      <c r="AA8537" s="235">
        <v>0.625</v>
      </c>
      <c r="AB8537" s="234">
        <v>-24</v>
      </c>
      <c r="AC8537" s="127">
        <f t="shared" si="148"/>
        <v>-24</v>
      </c>
    </row>
    <row r="8538" ht="14.5" customHeight="1" spans="11:29" x14ac:dyDescent="0.25">
      <c r="K8538" s="128"/>
      <c r="X8538" s="234">
        <v>2022</v>
      </c>
      <c r="Y8538" s="234">
        <v>12</v>
      </c>
      <c r="Z8538" s="234">
        <v>22</v>
      </c>
      <c r="AA8538" s="235">
        <v>0.6666666666678793</v>
      </c>
      <c r="AB8538" s="234">
        <v>-24</v>
      </c>
      <c r="AC8538" s="127">
        <f t="shared" si="148"/>
        <v>-24</v>
      </c>
    </row>
    <row r="8539" ht="14.5" customHeight="1" spans="11:29" x14ac:dyDescent="0.25">
      <c r="K8539" s="128"/>
      <c r="X8539" s="234">
        <v>2022</v>
      </c>
      <c r="Y8539" s="234">
        <v>12</v>
      </c>
      <c r="Z8539" s="234">
        <v>22</v>
      </c>
      <c r="AA8539" s="235">
        <v>0.7083333333321207</v>
      </c>
      <c r="AB8539" s="234">
        <v>-25.9</v>
      </c>
      <c r="AC8539" s="127">
        <f t="shared" si="148"/>
        <v>-26</v>
      </c>
    </row>
    <row r="8540" ht="14.5" customHeight="1" spans="11:29" x14ac:dyDescent="0.25">
      <c r="K8540" s="128"/>
      <c r="X8540" s="234">
        <v>2022</v>
      </c>
      <c r="Y8540" s="234">
        <v>12</v>
      </c>
      <c r="Z8540" s="234">
        <v>22</v>
      </c>
      <c r="AA8540" s="235">
        <v>0.75</v>
      </c>
      <c r="AB8540" s="234">
        <v>-27</v>
      </c>
      <c r="AC8540" s="127">
        <f t="shared" si="148"/>
        <v>-27</v>
      </c>
    </row>
    <row r="8541" ht="14.5" customHeight="1" spans="11:29" x14ac:dyDescent="0.25">
      <c r="K8541" s="128"/>
      <c r="X8541" s="234">
        <v>2022</v>
      </c>
      <c r="Y8541" s="234">
        <v>12</v>
      </c>
      <c r="Z8541" s="234">
        <v>22</v>
      </c>
      <c r="AA8541" s="235">
        <v>0.7916666666678793</v>
      </c>
      <c r="AB8541" s="234">
        <v>-27.7</v>
      </c>
      <c r="AC8541" s="127">
        <f t="shared" si="148"/>
        <v>-28</v>
      </c>
    </row>
    <row r="8542" ht="14.5" customHeight="1" spans="11:29" x14ac:dyDescent="0.25">
      <c r="K8542" s="128"/>
      <c r="X8542" s="234">
        <v>2022</v>
      </c>
      <c r="Y8542" s="234">
        <v>12</v>
      </c>
      <c r="Z8542" s="234">
        <v>22</v>
      </c>
      <c r="AA8542" s="235">
        <v>0.8333333333321207</v>
      </c>
      <c r="AB8542" s="234">
        <v>-28</v>
      </c>
      <c r="AC8542" s="127">
        <f t="shared" si="148"/>
        <v>-28</v>
      </c>
    </row>
    <row r="8543" ht="14.5" customHeight="1" spans="11:29" x14ac:dyDescent="0.25">
      <c r="K8543" s="128"/>
      <c r="X8543" s="234">
        <v>2022</v>
      </c>
      <c r="Y8543" s="234">
        <v>12</v>
      </c>
      <c r="Z8543" s="234">
        <v>22</v>
      </c>
      <c r="AA8543" s="235">
        <v>0.875</v>
      </c>
      <c r="AB8543" s="234">
        <v>-28</v>
      </c>
      <c r="AC8543" s="127">
        <f t="shared" si="148"/>
        <v>-28</v>
      </c>
    </row>
    <row r="8544" ht="14.5" customHeight="1" spans="11:29" x14ac:dyDescent="0.25">
      <c r="K8544" s="128"/>
      <c r="X8544" s="234">
        <v>2022</v>
      </c>
      <c r="Y8544" s="234">
        <v>12</v>
      </c>
      <c r="Z8544" s="234">
        <v>22</v>
      </c>
      <c r="AA8544" s="235">
        <v>0.9166666666678793</v>
      </c>
      <c r="AB8544" s="234">
        <v>-27.8</v>
      </c>
      <c r="AC8544" s="127">
        <f t="shared" si="148"/>
        <v>-28</v>
      </c>
    </row>
    <row r="8545" ht="14.5" customHeight="1" spans="11:29" x14ac:dyDescent="0.25">
      <c r="K8545" s="128"/>
      <c r="X8545" s="234">
        <v>2022</v>
      </c>
      <c r="Y8545" s="234">
        <v>12</v>
      </c>
      <c r="Z8545" s="234">
        <v>22</v>
      </c>
      <c r="AA8545" s="235">
        <v>0.9583333333321207</v>
      </c>
      <c r="AB8545" s="234">
        <v>-27.9</v>
      </c>
      <c r="AC8545" s="127">
        <f t="shared" si="148"/>
        <v>-28</v>
      </c>
    </row>
    <row r="8546" ht="14.5" customHeight="1" spans="11:29" x14ac:dyDescent="0.25">
      <c r="K8546" s="128"/>
      <c r="X8546" s="234">
        <v>2022</v>
      </c>
      <c r="Y8546" s="234">
        <v>12</v>
      </c>
      <c r="Z8546" s="234">
        <v>23</v>
      </c>
      <c r="AA8546" s="235">
        <v>0</v>
      </c>
      <c r="AB8546" s="234">
        <v>-27.7</v>
      </c>
      <c r="AC8546" s="127">
        <f t="shared" si="148"/>
        <v>-28</v>
      </c>
    </row>
    <row r="8547" ht="14.5" customHeight="1" spans="11:29" x14ac:dyDescent="0.25">
      <c r="K8547" s="128"/>
      <c r="X8547" s="234">
        <v>2022</v>
      </c>
      <c r="Y8547" s="234">
        <v>12</v>
      </c>
      <c r="Z8547" s="234">
        <v>23</v>
      </c>
      <c r="AA8547" s="235">
        <v>0.041666666667879326</v>
      </c>
      <c r="AB8547" s="234">
        <v>-27.3</v>
      </c>
      <c r="AC8547" s="127">
        <f t="shared" si="148"/>
        <v>-27</v>
      </c>
    </row>
    <row r="8548" ht="14.5" customHeight="1" spans="11:29" x14ac:dyDescent="0.25">
      <c r="K8548" s="128"/>
      <c r="X8548" s="234">
        <v>2022</v>
      </c>
      <c r="Y8548" s="234">
        <v>12</v>
      </c>
      <c r="Z8548" s="234">
        <v>23</v>
      </c>
      <c r="AA8548" s="235">
        <v>0.08333333333212067</v>
      </c>
      <c r="AB8548" s="234">
        <v>-27.5</v>
      </c>
      <c r="AC8548" s="127">
        <f t="shared" si="148"/>
        <v>-28</v>
      </c>
    </row>
    <row r="8549" ht="14.5" customHeight="1" spans="11:29" x14ac:dyDescent="0.25">
      <c r="K8549" s="128"/>
      <c r="X8549" s="234">
        <v>2022</v>
      </c>
      <c r="Y8549" s="234">
        <v>12</v>
      </c>
      <c r="Z8549" s="234">
        <v>23</v>
      </c>
      <c r="AA8549" s="235">
        <v>0.125</v>
      </c>
      <c r="AB8549" s="234">
        <v>-27.5</v>
      </c>
      <c r="AC8549" s="127">
        <f t="shared" si="148"/>
        <v>-28</v>
      </c>
    </row>
    <row r="8550" ht="14.5" customHeight="1" spans="11:29" x14ac:dyDescent="0.25">
      <c r="K8550" s="128"/>
      <c r="X8550" s="234">
        <v>2022</v>
      </c>
      <c r="Y8550" s="234">
        <v>12</v>
      </c>
      <c r="Z8550" s="234">
        <v>23</v>
      </c>
      <c r="AA8550" s="235">
        <v>0.16666666666787933</v>
      </c>
      <c r="AB8550" s="234">
        <v>-26.7</v>
      </c>
      <c r="AC8550" s="127">
        <f t="shared" si="148"/>
        <v>-27</v>
      </c>
    </row>
    <row r="8551" ht="14.5" customHeight="1" spans="11:29" x14ac:dyDescent="0.25">
      <c r="K8551" s="128"/>
      <c r="X8551" s="234">
        <v>2022</v>
      </c>
      <c r="Y8551" s="234">
        <v>12</v>
      </c>
      <c r="Z8551" s="234">
        <v>23</v>
      </c>
      <c r="AA8551" s="235">
        <v>0.20833333333212067</v>
      </c>
      <c r="AB8551" s="234">
        <v>-25.7</v>
      </c>
      <c r="AC8551" s="127">
        <f t="shared" si="148"/>
        <v>-26</v>
      </c>
    </row>
    <row r="8552" ht="14.5" customHeight="1" spans="11:29" x14ac:dyDescent="0.25">
      <c r="K8552" s="128"/>
      <c r="X8552" s="234">
        <v>2022</v>
      </c>
      <c r="Y8552" s="234">
        <v>12</v>
      </c>
      <c r="Z8552" s="234">
        <v>23</v>
      </c>
      <c r="AA8552" s="235">
        <v>0.25</v>
      </c>
      <c r="AB8552" s="234">
        <v>-25.8</v>
      </c>
      <c r="AC8552" s="127">
        <f t="shared" si="148"/>
        <v>-26</v>
      </c>
    </row>
    <row r="8553" ht="14.5" customHeight="1" spans="11:29" x14ac:dyDescent="0.25">
      <c r="K8553" s="128"/>
      <c r="X8553" s="234">
        <v>2022</v>
      </c>
      <c r="Y8553" s="234">
        <v>12</v>
      </c>
      <c r="Z8553" s="234">
        <v>23</v>
      </c>
      <c r="AA8553" s="235">
        <v>0.2916666666678793</v>
      </c>
      <c r="AB8553" s="234">
        <v>-25.6</v>
      </c>
      <c r="AC8553" s="127">
        <f t="shared" si="148"/>
        <v>-26</v>
      </c>
    </row>
    <row r="8554" ht="14.5" customHeight="1" spans="11:29" x14ac:dyDescent="0.25">
      <c r="K8554" s="128"/>
      <c r="X8554" s="234">
        <v>2022</v>
      </c>
      <c r="Y8554" s="234">
        <v>12</v>
      </c>
      <c r="Z8554" s="234">
        <v>23</v>
      </c>
      <c r="AA8554" s="235">
        <v>0.3333333333321207</v>
      </c>
      <c r="AB8554" s="234">
        <v>-24.8</v>
      </c>
      <c r="AC8554" s="127">
        <f t="shared" si="148"/>
        <v>-25</v>
      </c>
    </row>
    <row r="8555" ht="14.5" customHeight="1" spans="11:29" x14ac:dyDescent="0.25">
      <c r="K8555" s="128"/>
      <c r="X8555" s="234">
        <v>2022</v>
      </c>
      <c r="Y8555" s="234">
        <v>12</v>
      </c>
      <c r="Z8555" s="234">
        <v>23</v>
      </c>
      <c r="AA8555" s="235">
        <v>0.375</v>
      </c>
      <c r="AB8555" s="234">
        <v>-24.8</v>
      </c>
      <c r="AC8555" s="127">
        <f t="shared" si="148"/>
        <v>-25</v>
      </c>
    </row>
    <row r="8556" ht="14.5" customHeight="1" spans="11:29" x14ac:dyDescent="0.25">
      <c r="K8556" s="128"/>
      <c r="X8556" s="234">
        <v>2022</v>
      </c>
      <c r="Y8556" s="234">
        <v>12</v>
      </c>
      <c r="Z8556" s="234">
        <v>23</v>
      </c>
      <c r="AA8556" s="235">
        <v>0.4166666666678793</v>
      </c>
      <c r="AB8556" s="234">
        <v>-24.1</v>
      </c>
      <c r="AC8556" s="127">
        <f t="shared" si="148"/>
        <v>-24</v>
      </c>
    </row>
    <row r="8557" ht="14.5" customHeight="1" spans="11:29" x14ac:dyDescent="0.25">
      <c r="K8557" s="128"/>
      <c r="X8557" s="234">
        <v>2022</v>
      </c>
      <c r="Y8557" s="234">
        <v>12</v>
      </c>
      <c r="Z8557" s="234">
        <v>23</v>
      </c>
      <c r="AA8557" s="235">
        <v>0.4583333333321207</v>
      </c>
      <c r="AB8557" s="234">
        <v>-23.2</v>
      </c>
      <c r="AC8557" s="127">
        <f t="shared" si="148"/>
        <v>-23</v>
      </c>
    </row>
    <row r="8558" ht="14.5" customHeight="1" spans="11:29" x14ac:dyDescent="0.25">
      <c r="K8558" s="128"/>
      <c r="X8558" s="234">
        <v>2022</v>
      </c>
      <c r="Y8558" s="234">
        <v>12</v>
      </c>
      <c r="Z8558" s="234">
        <v>23</v>
      </c>
      <c r="AA8558" s="235">
        <v>0.5</v>
      </c>
      <c r="AB8558" s="234">
        <v>-21.6</v>
      </c>
      <c r="AC8558" s="127">
        <f t="shared" si="148"/>
        <v>-22</v>
      </c>
    </row>
    <row r="8559" ht="14.5" customHeight="1" spans="11:29" x14ac:dyDescent="0.25">
      <c r="K8559" s="128"/>
      <c r="X8559" s="234">
        <v>2022</v>
      </c>
      <c r="Y8559" s="234">
        <v>12</v>
      </c>
      <c r="Z8559" s="234">
        <v>23</v>
      </c>
      <c r="AA8559" s="235">
        <v>0.5416666666678793</v>
      </c>
      <c r="AB8559" s="234">
        <v>-19.8</v>
      </c>
      <c r="AC8559" s="127">
        <f t="shared" si="148"/>
        <v>-20</v>
      </c>
    </row>
    <row r="8560" ht="14.5" customHeight="1" spans="11:29" x14ac:dyDescent="0.25">
      <c r="K8560" s="128"/>
      <c r="X8560" s="234">
        <v>2022</v>
      </c>
      <c r="Y8560" s="234">
        <v>12</v>
      </c>
      <c r="Z8560" s="234">
        <v>23</v>
      </c>
      <c r="AA8560" s="235">
        <v>0.5833333333321207</v>
      </c>
      <c r="AB8560" s="234">
        <v>-18.8</v>
      </c>
      <c r="AC8560" s="127">
        <f t="shared" si="148"/>
        <v>-19</v>
      </c>
    </row>
    <row r="8561" ht="14.5" customHeight="1" spans="11:29" x14ac:dyDescent="0.25">
      <c r="K8561" s="128"/>
      <c r="X8561" s="234">
        <v>2022</v>
      </c>
      <c r="Y8561" s="234">
        <v>12</v>
      </c>
      <c r="Z8561" s="234">
        <v>23</v>
      </c>
      <c r="AA8561" s="235">
        <v>0.625</v>
      </c>
      <c r="AB8561" s="234">
        <v>-18.9</v>
      </c>
      <c r="AC8561" s="127">
        <f t="shared" si="148"/>
        <v>-19</v>
      </c>
    </row>
    <row r="8562" ht="14.5" customHeight="1" spans="11:29" x14ac:dyDescent="0.25">
      <c r="K8562" s="128"/>
      <c r="X8562" s="234">
        <v>2022</v>
      </c>
      <c r="Y8562" s="234">
        <v>12</v>
      </c>
      <c r="Z8562" s="234">
        <v>23</v>
      </c>
      <c r="AA8562" s="235">
        <v>0.6666666666678793</v>
      </c>
      <c r="AB8562" s="234">
        <v>-19.8</v>
      </c>
      <c r="AC8562" s="127">
        <f t="shared" si="148"/>
        <v>-20</v>
      </c>
    </row>
    <row r="8563" ht="14.5" customHeight="1" spans="11:29" x14ac:dyDescent="0.25">
      <c r="K8563" s="128"/>
      <c r="X8563" s="234">
        <v>2022</v>
      </c>
      <c r="Y8563" s="234">
        <v>12</v>
      </c>
      <c r="Z8563" s="234">
        <v>23</v>
      </c>
      <c r="AA8563" s="235">
        <v>0.7083333333321207</v>
      </c>
      <c r="AB8563" s="234">
        <v>-21.5</v>
      </c>
      <c r="AC8563" s="127">
        <f t="shared" si="148"/>
        <v>-22</v>
      </c>
    </row>
    <row r="8564" ht="14.5" customHeight="1" spans="11:29" x14ac:dyDescent="0.25">
      <c r="K8564" s="128"/>
      <c r="X8564" s="234">
        <v>2022</v>
      </c>
      <c r="Y8564" s="234">
        <v>12</v>
      </c>
      <c r="Z8564" s="234">
        <v>23</v>
      </c>
      <c r="AA8564" s="235">
        <v>0.75</v>
      </c>
      <c r="AB8564" s="234">
        <v>-21.8</v>
      </c>
      <c r="AC8564" s="127">
        <f t="shared" si="148"/>
        <v>-22</v>
      </c>
    </row>
    <row r="8565" ht="14.5" customHeight="1" spans="11:29" x14ac:dyDescent="0.25">
      <c r="K8565" s="128"/>
      <c r="X8565" s="234">
        <v>2022</v>
      </c>
      <c r="Y8565" s="234">
        <v>12</v>
      </c>
      <c r="Z8565" s="234">
        <v>23</v>
      </c>
      <c r="AA8565" s="235">
        <v>0.7916666666678793</v>
      </c>
      <c r="AB8565" s="234">
        <v>-20.9</v>
      </c>
      <c r="AC8565" s="127">
        <f t="shared" si="148"/>
        <v>-21</v>
      </c>
    </row>
    <row r="8566" ht="14.5" customHeight="1" spans="11:29" x14ac:dyDescent="0.25">
      <c r="K8566" s="128"/>
      <c r="X8566" s="234">
        <v>2022</v>
      </c>
      <c r="Y8566" s="234">
        <v>12</v>
      </c>
      <c r="Z8566" s="234">
        <v>23</v>
      </c>
      <c r="AA8566" s="235">
        <v>0.8333333333321207</v>
      </c>
      <c r="AB8566" s="234">
        <v>-21.8</v>
      </c>
      <c r="AC8566" s="127">
        <f t="shared" si="148"/>
        <v>-22</v>
      </c>
    </row>
    <row r="8567" ht="14.5" customHeight="1" spans="11:29" x14ac:dyDescent="0.25">
      <c r="K8567" s="128"/>
      <c r="X8567" s="234">
        <v>2022</v>
      </c>
      <c r="Y8567" s="234">
        <v>12</v>
      </c>
      <c r="Z8567" s="234">
        <v>23</v>
      </c>
      <c r="AA8567" s="235">
        <v>0.875</v>
      </c>
      <c r="AB8567" s="234">
        <v>-21.5</v>
      </c>
      <c r="AC8567" s="127">
        <f t="shared" si="148"/>
        <v>-22</v>
      </c>
    </row>
    <row r="8568" ht="14.5" customHeight="1" spans="11:29" x14ac:dyDescent="0.25">
      <c r="K8568" s="128"/>
      <c r="X8568" s="234">
        <v>2022</v>
      </c>
      <c r="Y8568" s="234">
        <v>12</v>
      </c>
      <c r="Z8568" s="234">
        <v>23</v>
      </c>
      <c r="AA8568" s="235">
        <v>0.9166666666678793</v>
      </c>
      <c r="AB8568" s="234">
        <v>-21.9</v>
      </c>
      <c r="AC8568" s="127">
        <f t="shared" si="148"/>
        <v>-22</v>
      </c>
    </row>
    <row r="8569" ht="14.5" customHeight="1" spans="11:29" x14ac:dyDescent="0.25">
      <c r="K8569" s="128"/>
      <c r="X8569" s="234">
        <v>2022</v>
      </c>
      <c r="Y8569" s="234">
        <v>12</v>
      </c>
      <c r="Z8569" s="234">
        <v>23</v>
      </c>
      <c r="AA8569" s="235">
        <v>0.9583333333321207</v>
      </c>
      <c r="AB8569" s="234">
        <v>-22.3</v>
      </c>
      <c r="AC8569" s="127">
        <f t="shared" si="148"/>
        <v>-22</v>
      </c>
    </row>
    <row r="8570" ht="14.5" customHeight="1" spans="11:29" x14ac:dyDescent="0.25">
      <c r="K8570" s="128"/>
      <c r="X8570" s="234">
        <v>2022</v>
      </c>
      <c r="Y8570" s="234">
        <v>12</v>
      </c>
      <c r="Z8570" s="234">
        <v>24</v>
      </c>
      <c r="AA8570" s="235">
        <v>0</v>
      </c>
      <c r="AB8570" s="234">
        <v>-22</v>
      </c>
      <c r="AC8570" s="127">
        <f t="shared" si="148"/>
        <v>-22</v>
      </c>
    </row>
    <row r="8571" ht="14.5" customHeight="1" spans="11:29" x14ac:dyDescent="0.25">
      <c r="K8571" s="128"/>
      <c r="X8571" s="234">
        <v>2022</v>
      </c>
      <c r="Y8571" s="234">
        <v>12</v>
      </c>
      <c r="Z8571" s="234">
        <v>24</v>
      </c>
      <c r="AA8571" s="235">
        <v>0.041666666667879326</v>
      </c>
      <c r="AB8571" s="234">
        <v>-22.3</v>
      </c>
      <c r="AC8571" s="127">
        <f t="shared" si="148"/>
        <v>-22</v>
      </c>
    </row>
    <row r="8572" ht="14.5" customHeight="1" spans="11:29" x14ac:dyDescent="0.25">
      <c r="K8572" s="128"/>
      <c r="X8572" s="234">
        <v>2022</v>
      </c>
      <c r="Y8572" s="234">
        <v>12</v>
      </c>
      <c r="Z8572" s="234">
        <v>24</v>
      </c>
      <c r="AA8572" s="235">
        <v>0.08333333333212067</v>
      </c>
      <c r="AB8572" s="234">
        <v>-22.1</v>
      </c>
      <c r="AC8572" s="127">
        <f t="shared" si="148"/>
        <v>-22</v>
      </c>
    </row>
    <row r="8573" ht="14.5" customHeight="1" spans="11:29" x14ac:dyDescent="0.25">
      <c r="K8573" s="128"/>
      <c r="X8573" s="234">
        <v>2022</v>
      </c>
      <c r="Y8573" s="234">
        <v>12</v>
      </c>
      <c r="Z8573" s="234">
        <v>24</v>
      </c>
      <c r="AA8573" s="235">
        <v>0.125</v>
      </c>
      <c r="AB8573" s="234">
        <v>-19.5</v>
      </c>
      <c r="AC8573" s="127">
        <f t="shared" si="148"/>
        <v>-20</v>
      </c>
    </row>
    <row r="8574" ht="14.5" customHeight="1" spans="11:29" x14ac:dyDescent="0.25">
      <c r="K8574" s="128"/>
      <c r="X8574" s="234">
        <v>2022</v>
      </c>
      <c r="Y8574" s="234">
        <v>12</v>
      </c>
      <c r="Z8574" s="234">
        <v>24</v>
      </c>
      <c r="AA8574" s="235">
        <v>0.16666666666787933</v>
      </c>
      <c r="AB8574" s="234">
        <v>-18.7</v>
      </c>
      <c r="AC8574" s="127">
        <f t="shared" si="148"/>
        <v>-19</v>
      </c>
    </row>
    <row r="8575" ht="14.5" customHeight="1" spans="11:29" x14ac:dyDescent="0.25">
      <c r="K8575" s="128"/>
      <c r="X8575" s="234">
        <v>2022</v>
      </c>
      <c r="Y8575" s="234">
        <v>12</v>
      </c>
      <c r="Z8575" s="234">
        <v>24</v>
      </c>
      <c r="AA8575" s="235">
        <v>0.20833333333212067</v>
      </c>
      <c r="AB8575" s="234">
        <v>-18.4</v>
      </c>
      <c r="AC8575" s="127">
        <f t="shared" si="148"/>
        <v>-18</v>
      </c>
    </row>
    <row r="8576" ht="14.5" customHeight="1" spans="11:29" x14ac:dyDescent="0.25">
      <c r="K8576" s="128"/>
      <c r="X8576" s="234">
        <v>2022</v>
      </c>
      <c r="Y8576" s="234">
        <v>12</v>
      </c>
      <c r="Z8576" s="234">
        <v>24</v>
      </c>
      <c r="AA8576" s="235">
        <v>0.25</v>
      </c>
      <c r="AB8576" s="234">
        <v>-17</v>
      </c>
      <c r="AC8576" s="127">
        <f t="shared" si="148"/>
        <v>-17</v>
      </c>
    </row>
    <row r="8577" ht="14.5" customHeight="1" spans="11:29" x14ac:dyDescent="0.25">
      <c r="K8577" s="128"/>
      <c r="X8577" s="234">
        <v>2022</v>
      </c>
      <c r="Y8577" s="234">
        <v>12</v>
      </c>
      <c r="Z8577" s="234">
        <v>24</v>
      </c>
      <c r="AA8577" s="235">
        <v>0.2916666666678793</v>
      </c>
      <c r="AB8577" s="234">
        <v>-16.1</v>
      </c>
      <c r="AC8577" s="127">
        <f t="shared" si="148"/>
        <v>-16</v>
      </c>
    </row>
    <row r="8578" ht="14.5" customHeight="1" spans="11:29" x14ac:dyDescent="0.25">
      <c r="K8578" s="128"/>
      <c r="X8578" s="234">
        <v>2022</v>
      </c>
      <c r="Y8578" s="234">
        <v>12</v>
      </c>
      <c r="Z8578" s="234">
        <v>24</v>
      </c>
      <c r="AA8578" s="235">
        <v>0.3333333333321207</v>
      </c>
      <c r="AB8578" s="234">
        <v>-16.2</v>
      </c>
      <c r="AC8578" s="127">
        <f t="shared" si="148"/>
        <v>-16</v>
      </c>
    </row>
    <row r="8579" ht="14.5" customHeight="1" spans="11:29" x14ac:dyDescent="0.25">
      <c r="K8579" s="128"/>
      <c r="X8579" s="234">
        <v>2022</v>
      </c>
      <c r="Y8579" s="234">
        <v>12</v>
      </c>
      <c r="Z8579" s="234">
        <v>24</v>
      </c>
      <c r="AA8579" s="235">
        <v>0.375</v>
      </c>
      <c r="AB8579" s="234">
        <v>-16.3</v>
      </c>
      <c r="AC8579" s="127">
        <f t="shared" si="148"/>
        <v>-16</v>
      </c>
    </row>
    <row r="8580" ht="14.5" customHeight="1" spans="11:29" x14ac:dyDescent="0.25">
      <c r="K8580" s="128"/>
      <c r="X8580" s="234">
        <v>2022</v>
      </c>
      <c r="Y8580" s="234">
        <v>12</v>
      </c>
      <c r="Z8580" s="234">
        <v>24</v>
      </c>
      <c r="AA8580" s="235">
        <v>0.4166666666678793</v>
      </c>
      <c r="AB8580" s="234">
        <v>-15.9</v>
      </c>
      <c r="AC8580" s="127">
        <f t="shared" si="148"/>
        <v>-16</v>
      </c>
    </row>
    <row r="8581" ht="14.5" customHeight="1" spans="11:29" x14ac:dyDescent="0.25">
      <c r="K8581" s="128"/>
      <c r="X8581" s="234">
        <v>2022</v>
      </c>
      <c r="Y8581" s="234">
        <v>12</v>
      </c>
      <c r="Z8581" s="234">
        <v>24</v>
      </c>
      <c r="AA8581" s="235">
        <v>0.4583333333321207</v>
      </c>
      <c r="AB8581" s="234">
        <v>-14.4</v>
      </c>
      <c r="AC8581" s="127">
        <f t="shared" si="148"/>
        <v>-14</v>
      </c>
    </row>
    <row r="8582" ht="14.5" customHeight="1" spans="11:29" x14ac:dyDescent="0.25">
      <c r="K8582" s="128"/>
      <c r="X8582" s="234">
        <v>2022</v>
      </c>
      <c r="Y8582" s="234">
        <v>12</v>
      </c>
      <c r="Z8582" s="234">
        <v>24</v>
      </c>
      <c r="AA8582" s="235">
        <v>0.5</v>
      </c>
      <c r="AB8582" s="234">
        <v>-12.1</v>
      </c>
      <c r="AC8582" s="127">
        <f t="shared" si="148"/>
        <v>-12</v>
      </c>
    </row>
    <row r="8583" ht="14.5" customHeight="1" spans="11:29" x14ac:dyDescent="0.25">
      <c r="K8583" s="128"/>
      <c r="X8583" s="234">
        <v>2022</v>
      </c>
      <c r="Y8583" s="234">
        <v>12</v>
      </c>
      <c r="Z8583" s="234">
        <v>24</v>
      </c>
      <c r="AA8583" s="235">
        <v>0.5416666666678793</v>
      </c>
      <c r="AB8583" s="234">
        <v>-10.3</v>
      </c>
      <c r="AC8583" s="127">
        <f t="shared" si="148"/>
        <v>-10</v>
      </c>
    </row>
    <row r="8584" ht="14.5" customHeight="1" spans="11:29" x14ac:dyDescent="0.25">
      <c r="K8584" s="128"/>
      <c r="X8584" s="234">
        <v>2022</v>
      </c>
      <c r="Y8584" s="234">
        <v>12</v>
      </c>
      <c r="Z8584" s="234">
        <v>24</v>
      </c>
      <c r="AA8584" s="235">
        <v>0.5833333333321207</v>
      </c>
      <c r="AB8584" s="234">
        <v>-9.5</v>
      </c>
      <c r="AC8584" s="127">
        <f t="shared" si="148"/>
        <v>-10</v>
      </c>
    </row>
    <row r="8585" ht="14.5" customHeight="1" spans="11:29" x14ac:dyDescent="0.25">
      <c r="K8585" s="128"/>
      <c r="X8585" s="234">
        <v>2022</v>
      </c>
      <c r="Y8585" s="234">
        <v>12</v>
      </c>
      <c r="Z8585" s="234">
        <v>24</v>
      </c>
      <c r="AA8585" s="235">
        <v>0.625</v>
      </c>
      <c r="AB8585" s="234">
        <v>-8.1</v>
      </c>
      <c r="AC8585" s="127">
        <f t="shared" si="148"/>
        <v>-8</v>
      </c>
    </row>
    <row r="8586" ht="14.5" customHeight="1" spans="11:29" x14ac:dyDescent="0.25">
      <c r="K8586" s="128"/>
      <c r="X8586" s="234">
        <v>2022</v>
      </c>
      <c r="Y8586" s="234">
        <v>12</v>
      </c>
      <c r="Z8586" s="234">
        <v>24</v>
      </c>
      <c r="AA8586" s="235">
        <v>0.6666666666678793</v>
      </c>
      <c r="AB8586" s="234">
        <v>-9.1</v>
      </c>
      <c r="AC8586" s="127">
        <f t="shared" si="148"/>
        <v>-9</v>
      </c>
    </row>
    <row r="8587" ht="14.5" customHeight="1" spans="11:29" x14ac:dyDescent="0.25">
      <c r="K8587" s="128"/>
      <c r="X8587" s="234">
        <v>2022</v>
      </c>
      <c r="Y8587" s="234">
        <v>12</v>
      </c>
      <c r="Z8587" s="234">
        <v>24</v>
      </c>
      <c r="AA8587" s="235">
        <v>0.7083333333321207</v>
      </c>
      <c r="AB8587" s="234">
        <v>-8.7</v>
      </c>
      <c r="AC8587" s="127">
        <f t="shared" ref="AC8587:AC8650" si="149">ROUND(AB8587,0)</f>
        <v>-9</v>
      </c>
    </row>
    <row r="8588" ht="14.5" customHeight="1" spans="11:29" x14ac:dyDescent="0.25">
      <c r="K8588" s="128"/>
      <c r="X8588" s="234">
        <v>2022</v>
      </c>
      <c r="Y8588" s="234">
        <v>12</v>
      </c>
      <c r="Z8588" s="234">
        <v>24</v>
      </c>
      <c r="AA8588" s="235">
        <v>0.75</v>
      </c>
      <c r="AB8588" s="234">
        <v>-7</v>
      </c>
      <c r="AC8588" s="127">
        <f t="shared" si="149"/>
        <v>-7</v>
      </c>
    </row>
    <row r="8589" ht="14.5" customHeight="1" spans="11:29" x14ac:dyDescent="0.25">
      <c r="K8589" s="128"/>
      <c r="X8589" s="234">
        <v>2022</v>
      </c>
      <c r="Y8589" s="234">
        <v>12</v>
      </c>
      <c r="Z8589" s="234">
        <v>24</v>
      </c>
      <c r="AA8589" s="235">
        <v>0.7916666666678793</v>
      </c>
      <c r="AB8589" s="234">
        <v>-8.6</v>
      </c>
      <c r="AC8589" s="127">
        <f t="shared" si="149"/>
        <v>-9</v>
      </c>
    </row>
    <row r="8590" ht="14.5" customHeight="1" spans="11:29" x14ac:dyDescent="0.25">
      <c r="K8590" s="128"/>
      <c r="X8590" s="234">
        <v>2022</v>
      </c>
      <c r="Y8590" s="234">
        <v>12</v>
      </c>
      <c r="Z8590" s="234">
        <v>24</v>
      </c>
      <c r="AA8590" s="235">
        <v>0.8333333333321207</v>
      </c>
      <c r="AB8590" s="234">
        <v>-6.8</v>
      </c>
      <c r="AC8590" s="127">
        <f t="shared" si="149"/>
        <v>-7</v>
      </c>
    </row>
    <row r="8591" ht="14.5" customHeight="1" spans="11:29" x14ac:dyDescent="0.25">
      <c r="K8591" s="128"/>
      <c r="X8591" s="234">
        <v>2022</v>
      </c>
      <c r="Y8591" s="234">
        <v>12</v>
      </c>
      <c r="Z8591" s="234">
        <v>24</v>
      </c>
      <c r="AA8591" s="235">
        <v>0.875</v>
      </c>
      <c r="AB8591" s="234">
        <v>-2.6</v>
      </c>
      <c r="AC8591" s="127">
        <f t="shared" si="149"/>
        <v>-3</v>
      </c>
    </row>
    <row r="8592" ht="14.5" customHeight="1" spans="11:29" x14ac:dyDescent="0.25">
      <c r="K8592" s="128"/>
      <c r="X8592" s="234">
        <v>2022</v>
      </c>
      <c r="Y8592" s="234">
        <v>12</v>
      </c>
      <c r="Z8592" s="234">
        <v>24</v>
      </c>
      <c r="AA8592" s="235">
        <v>0.9166666666678793</v>
      </c>
      <c r="AB8592" s="234">
        <v>1.3</v>
      </c>
      <c r="AC8592" s="127">
        <f t="shared" si="149"/>
        <v>1</v>
      </c>
    </row>
    <row r="8593" ht="14.5" customHeight="1" spans="11:29" x14ac:dyDescent="0.25">
      <c r="K8593" s="128"/>
      <c r="X8593" s="234">
        <v>2022</v>
      </c>
      <c r="Y8593" s="234">
        <v>12</v>
      </c>
      <c r="Z8593" s="234">
        <v>24</v>
      </c>
      <c r="AA8593" s="235">
        <v>0.9583333333321207</v>
      </c>
      <c r="AB8593" s="234">
        <v>5.2</v>
      </c>
      <c r="AC8593" s="127">
        <f t="shared" si="149"/>
        <v>5</v>
      </c>
    </row>
    <row r="8594" ht="14.5" customHeight="1" spans="11:29" x14ac:dyDescent="0.25">
      <c r="K8594" s="128"/>
      <c r="X8594" s="234">
        <v>2022</v>
      </c>
      <c r="Y8594" s="234">
        <v>12</v>
      </c>
      <c r="Z8594" s="234">
        <v>25</v>
      </c>
      <c r="AA8594" s="235">
        <v>0</v>
      </c>
      <c r="AB8594" s="234">
        <v>4.1</v>
      </c>
      <c r="AC8594" s="127">
        <f t="shared" si="149"/>
        <v>4</v>
      </c>
    </row>
    <row r="8595" ht="14.5" customHeight="1" spans="11:29" x14ac:dyDescent="0.25">
      <c r="K8595" s="128"/>
      <c r="X8595" s="234">
        <v>2022</v>
      </c>
      <c r="Y8595" s="234">
        <v>12</v>
      </c>
      <c r="Z8595" s="234">
        <v>25</v>
      </c>
      <c r="AA8595" s="235">
        <v>0.041666666667879326</v>
      </c>
      <c r="AB8595" s="234">
        <v>3.8</v>
      </c>
      <c r="AC8595" s="127">
        <f t="shared" si="149"/>
        <v>4</v>
      </c>
    </row>
    <row r="8596" ht="14.5" customHeight="1" spans="11:29" x14ac:dyDescent="0.25">
      <c r="K8596" s="128"/>
      <c r="X8596" s="234">
        <v>2022</v>
      </c>
      <c r="Y8596" s="234">
        <v>12</v>
      </c>
      <c r="Z8596" s="234">
        <v>25</v>
      </c>
      <c r="AA8596" s="235">
        <v>0.08333333333212067</v>
      </c>
      <c r="AB8596" s="234">
        <v>3.8</v>
      </c>
      <c r="AC8596" s="127">
        <f t="shared" si="149"/>
        <v>4</v>
      </c>
    </row>
    <row r="8597" ht="14.5" customHeight="1" spans="11:29" x14ac:dyDescent="0.25">
      <c r="K8597" s="128"/>
      <c r="X8597" s="234">
        <v>2022</v>
      </c>
      <c r="Y8597" s="234">
        <v>12</v>
      </c>
      <c r="Z8597" s="234">
        <v>25</v>
      </c>
      <c r="AA8597" s="235">
        <v>0.125</v>
      </c>
      <c r="AB8597" s="234">
        <v>3.5</v>
      </c>
      <c r="AC8597" s="127">
        <f t="shared" si="149"/>
        <v>4</v>
      </c>
    </row>
    <row r="8598" ht="14.5" customHeight="1" spans="11:29" x14ac:dyDescent="0.25">
      <c r="K8598" s="128"/>
      <c r="X8598" s="234">
        <v>2022</v>
      </c>
      <c r="Y8598" s="234">
        <v>12</v>
      </c>
      <c r="Z8598" s="234">
        <v>25</v>
      </c>
      <c r="AA8598" s="235">
        <v>0.16666666666787933</v>
      </c>
      <c r="AB8598" s="234">
        <v>3.1</v>
      </c>
      <c r="AC8598" s="127">
        <f t="shared" si="149"/>
        <v>3</v>
      </c>
    </row>
    <row r="8599" ht="14.5" customHeight="1" spans="11:29" x14ac:dyDescent="0.25">
      <c r="K8599" s="128"/>
      <c r="X8599" s="234">
        <v>2022</v>
      </c>
      <c r="Y8599" s="234">
        <v>12</v>
      </c>
      <c r="Z8599" s="234">
        <v>25</v>
      </c>
      <c r="AA8599" s="235">
        <v>0.20833333333212067</v>
      </c>
      <c r="AB8599" s="234">
        <v>3.3</v>
      </c>
      <c r="AC8599" s="127">
        <f t="shared" si="149"/>
        <v>3</v>
      </c>
    </row>
    <row r="8600" ht="14.5" customHeight="1" spans="11:29" x14ac:dyDescent="0.25">
      <c r="K8600" s="128"/>
      <c r="X8600" s="234">
        <v>2022</v>
      </c>
      <c r="Y8600" s="234">
        <v>12</v>
      </c>
      <c r="Z8600" s="234">
        <v>25</v>
      </c>
      <c r="AA8600" s="235">
        <v>0.25</v>
      </c>
      <c r="AB8600" s="234">
        <v>-1.3</v>
      </c>
      <c r="AC8600" s="127">
        <f t="shared" si="149"/>
        <v>-1</v>
      </c>
    </row>
    <row r="8601" ht="14.5" customHeight="1" spans="11:29" x14ac:dyDescent="0.25">
      <c r="K8601" s="128"/>
      <c r="X8601" s="234">
        <v>2022</v>
      </c>
      <c r="Y8601" s="234">
        <v>12</v>
      </c>
      <c r="Z8601" s="234">
        <v>25</v>
      </c>
      <c r="AA8601" s="235">
        <v>0.2916666666678793</v>
      </c>
      <c r="AB8601" s="234">
        <v>-6</v>
      </c>
      <c r="AC8601" s="127">
        <f t="shared" si="149"/>
        <v>-6</v>
      </c>
    </row>
    <row r="8602" ht="14.5" customHeight="1" spans="11:29" x14ac:dyDescent="0.25">
      <c r="K8602" s="128"/>
      <c r="X8602" s="234">
        <v>2022</v>
      </c>
      <c r="Y8602" s="234">
        <v>12</v>
      </c>
      <c r="Z8602" s="234">
        <v>25</v>
      </c>
      <c r="AA8602" s="235">
        <v>0.3333333333321207</v>
      </c>
      <c r="AB8602" s="234">
        <v>-6.1</v>
      </c>
      <c r="AC8602" s="127">
        <f t="shared" si="149"/>
        <v>-6</v>
      </c>
    </row>
    <row r="8603" ht="14.5" customHeight="1" spans="11:29" x14ac:dyDescent="0.25">
      <c r="K8603" s="128"/>
      <c r="X8603" s="234">
        <v>2022</v>
      </c>
      <c r="Y8603" s="234">
        <v>12</v>
      </c>
      <c r="Z8603" s="234">
        <v>25</v>
      </c>
      <c r="AA8603" s="235">
        <v>0.375</v>
      </c>
      <c r="AB8603" s="234">
        <v>-7.9</v>
      </c>
      <c r="AC8603" s="127">
        <f t="shared" si="149"/>
        <v>-8</v>
      </c>
    </row>
    <row r="8604" ht="14.5" customHeight="1" spans="11:29" x14ac:dyDescent="0.25">
      <c r="K8604" s="128"/>
      <c r="X8604" s="234">
        <v>2022</v>
      </c>
      <c r="Y8604" s="234">
        <v>12</v>
      </c>
      <c r="Z8604" s="234">
        <v>25</v>
      </c>
      <c r="AA8604" s="235">
        <v>0.4166666666678793</v>
      </c>
      <c r="AB8604" s="234">
        <v>-8.2</v>
      </c>
      <c r="AC8604" s="127">
        <f t="shared" si="149"/>
        <v>-8</v>
      </c>
    </row>
    <row r="8605" ht="14.5" customHeight="1" spans="11:29" x14ac:dyDescent="0.25">
      <c r="K8605" s="128"/>
      <c r="X8605" s="234">
        <v>2022</v>
      </c>
      <c r="Y8605" s="234">
        <v>12</v>
      </c>
      <c r="Z8605" s="234">
        <v>25</v>
      </c>
      <c r="AA8605" s="235">
        <v>0.4583333333321207</v>
      </c>
      <c r="AB8605" s="234">
        <v>-7.1</v>
      </c>
      <c r="AC8605" s="127">
        <f t="shared" si="149"/>
        <v>-7</v>
      </c>
    </row>
    <row r="8606" ht="14.5" customHeight="1" spans="11:29" x14ac:dyDescent="0.25">
      <c r="K8606" s="128"/>
      <c r="X8606" s="234">
        <v>2022</v>
      </c>
      <c r="Y8606" s="234">
        <v>12</v>
      </c>
      <c r="Z8606" s="234">
        <v>25</v>
      </c>
      <c r="AA8606" s="235">
        <v>0.5</v>
      </c>
      <c r="AB8606" s="234">
        <v>-5.8</v>
      </c>
      <c r="AC8606" s="127">
        <f t="shared" si="149"/>
        <v>-6</v>
      </c>
    </row>
    <row r="8607" ht="14.5" customHeight="1" spans="11:29" x14ac:dyDescent="0.25">
      <c r="K8607" s="128"/>
      <c r="X8607" s="234">
        <v>2022</v>
      </c>
      <c r="Y8607" s="234">
        <v>12</v>
      </c>
      <c r="Z8607" s="234">
        <v>25</v>
      </c>
      <c r="AA8607" s="235">
        <v>0.5416666666678793</v>
      </c>
      <c r="AB8607" s="234">
        <v>4.3</v>
      </c>
      <c r="AC8607" s="127">
        <f t="shared" si="149"/>
        <v>4</v>
      </c>
    </row>
    <row r="8608" ht="14.5" customHeight="1" spans="11:29" x14ac:dyDescent="0.25">
      <c r="K8608" s="128"/>
      <c r="X8608" s="234">
        <v>2022</v>
      </c>
      <c r="Y8608" s="234">
        <v>12</v>
      </c>
      <c r="Z8608" s="234">
        <v>25</v>
      </c>
      <c r="AA8608" s="235">
        <v>0.5833333333321207</v>
      </c>
      <c r="AB8608" s="234">
        <v>4.2</v>
      </c>
      <c r="AC8608" s="127">
        <f t="shared" si="149"/>
        <v>4</v>
      </c>
    </row>
    <row r="8609" ht="14.5" customHeight="1" spans="11:29" x14ac:dyDescent="0.25">
      <c r="K8609" s="128"/>
      <c r="X8609" s="234">
        <v>2022</v>
      </c>
      <c r="Y8609" s="234">
        <v>12</v>
      </c>
      <c r="Z8609" s="234">
        <v>25</v>
      </c>
      <c r="AA8609" s="235">
        <v>0.625</v>
      </c>
      <c r="AB8609" s="234">
        <v>2.5</v>
      </c>
      <c r="AC8609" s="127">
        <f t="shared" si="149"/>
        <v>3</v>
      </c>
    </row>
    <row r="8610" ht="14.5" customHeight="1" spans="11:29" x14ac:dyDescent="0.25">
      <c r="K8610" s="128"/>
      <c r="X8610" s="234">
        <v>2022</v>
      </c>
      <c r="Y8610" s="234">
        <v>12</v>
      </c>
      <c r="Z8610" s="234">
        <v>25</v>
      </c>
      <c r="AA8610" s="235">
        <v>0.6666666666678793</v>
      </c>
      <c r="AB8610" s="234">
        <v>2.2</v>
      </c>
      <c r="AC8610" s="127">
        <f t="shared" si="149"/>
        <v>2</v>
      </c>
    </row>
    <row r="8611" ht="14.5" customHeight="1" spans="11:29" x14ac:dyDescent="0.25">
      <c r="K8611" s="128"/>
      <c r="X8611" s="234">
        <v>2022</v>
      </c>
      <c r="Y8611" s="234">
        <v>12</v>
      </c>
      <c r="Z8611" s="234">
        <v>25</v>
      </c>
      <c r="AA8611" s="235">
        <v>0.7083333333321207</v>
      </c>
      <c r="AB8611" s="234">
        <v>0.5</v>
      </c>
      <c r="AC8611" s="127">
        <f t="shared" si="149"/>
        <v>1</v>
      </c>
    </row>
    <row r="8612" ht="14.5" customHeight="1" spans="11:29" x14ac:dyDescent="0.25">
      <c r="K8612" s="128"/>
      <c r="X8612" s="234">
        <v>2022</v>
      </c>
      <c r="Y8612" s="234">
        <v>12</v>
      </c>
      <c r="Z8612" s="234">
        <v>25</v>
      </c>
      <c r="AA8612" s="235">
        <v>0.75</v>
      </c>
      <c r="AB8612" s="234">
        <v>-1.2</v>
      </c>
      <c r="AC8612" s="127">
        <f t="shared" si="149"/>
        <v>-1</v>
      </c>
    </row>
    <row r="8613" ht="14.5" customHeight="1" spans="11:29" x14ac:dyDescent="0.25">
      <c r="K8613" s="128"/>
      <c r="X8613" s="234">
        <v>2022</v>
      </c>
      <c r="Y8613" s="234">
        <v>12</v>
      </c>
      <c r="Z8613" s="234">
        <v>25</v>
      </c>
      <c r="AA8613" s="235">
        <v>0.7916666666678793</v>
      </c>
      <c r="AB8613" s="234">
        <v>-2.8</v>
      </c>
      <c r="AC8613" s="127">
        <f t="shared" si="149"/>
        <v>-3</v>
      </c>
    </row>
    <row r="8614" ht="14.5" customHeight="1" spans="11:29" x14ac:dyDescent="0.25">
      <c r="K8614" s="128"/>
      <c r="X8614" s="234">
        <v>2022</v>
      </c>
      <c r="Y8614" s="234">
        <v>12</v>
      </c>
      <c r="Z8614" s="234">
        <v>25</v>
      </c>
      <c r="AA8614" s="235">
        <v>0.8333333333321207</v>
      </c>
      <c r="AB8614" s="234">
        <v>-3.7</v>
      </c>
      <c r="AC8614" s="127">
        <f t="shared" si="149"/>
        <v>-4</v>
      </c>
    </row>
    <row r="8615" ht="14.5" customHeight="1" spans="11:29" x14ac:dyDescent="0.25">
      <c r="K8615" s="128"/>
      <c r="X8615" s="234">
        <v>2022</v>
      </c>
      <c r="Y8615" s="234">
        <v>12</v>
      </c>
      <c r="Z8615" s="234">
        <v>25</v>
      </c>
      <c r="AA8615" s="235">
        <v>0.875</v>
      </c>
      <c r="AB8615" s="234">
        <v>-5.5</v>
      </c>
      <c r="AC8615" s="127">
        <f t="shared" si="149"/>
        <v>-6</v>
      </c>
    </row>
    <row r="8616" ht="14.5" customHeight="1" spans="11:29" x14ac:dyDescent="0.25">
      <c r="K8616" s="128"/>
      <c r="X8616" s="234">
        <v>2022</v>
      </c>
      <c r="Y8616" s="234">
        <v>12</v>
      </c>
      <c r="Z8616" s="234">
        <v>25</v>
      </c>
      <c r="AA8616" s="235">
        <v>0.9166666666678793</v>
      </c>
      <c r="AB8616" s="234">
        <v>-6</v>
      </c>
      <c r="AC8616" s="127">
        <f t="shared" si="149"/>
        <v>-6</v>
      </c>
    </row>
    <row r="8617" ht="14.5" customHeight="1" spans="11:29" x14ac:dyDescent="0.25">
      <c r="K8617" s="128"/>
      <c r="X8617" s="234">
        <v>2022</v>
      </c>
      <c r="Y8617" s="234">
        <v>12</v>
      </c>
      <c r="Z8617" s="234">
        <v>25</v>
      </c>
      <c r="AA8617" s="235">
        <v>0.9583333333321207</v>
      </c>
      <c r="AB8617" s="234">
        <v>-3.2</v>
      </c>
      <c r="AC8617" s="127">
        <f t="shared" si="149"/>
        <v>-3</v>
      </c>
    </row>
    <row r="8618" ht="14.5" customHeight="1" spans="11:29" x14ac:dyDescent="0.25">
      <c r="K8618" s="128"/>
      <c r="X8618" s="234">
        <v>2022</v>
      </c>
      <c r="Y8618" s="234">
        <v>12</v>
      </c>
      <c r="Z8618" s="234">
        <v>26</v>
      </c>
      <c r="AA8618" s="235">
        <v>0</v>
      </c>
      <c r="AB8618" s="234">
        <v>-3.9</v>
      </c>
      <c r="AC8618" s="127">
        <f t="shared" si="149"/>
        <v>-4</v>
      </c>
    </row>
    <row r="8619" ht="14.5" customHeight="1" spans="11:29" x14ac:dyDescent="0.25">
      <c r="K8619" s="128"/>
      <c r="X8619" s="234">
        <v>2022</v>
      </c>
      <c r="Y8619" s="234">
        <v>12</v>
      </c>
      <c r="Z8619" s="234">
        <v>26</v>
      </c>
      <c r="AA8619" s="235">
        <v>0.041666666667879326</v>
      </c>
      <c r="AB8619" s="234">
        <v>-3.6</v>
      </c>
      <c r="AC8619" s="127">
        <f t="shared" si="149"/>
        <v>-4</v>
      </c>
    </row>
    <row r="8620" ht="14.5" customHeight="1" spans="11:29" x14ac:dyDescent="0.25">
      <c r="K8620" s="128"/>
      <c r="X8620" s="234">
        <v>2022</v>
      </c>
      <c r="Y8620" s="234">
        <v>12</v>
      </c>
      <c r="Z8620" s="234">
        <v>26</v>
      </c>
      <c r="AA8620" s="235">
        <v>0.08333333333212067</v>
      </c>
      <c r="AB8620" s="234">
        <v>-2.9</v>
      </c>
      <c r="AC8620" s="127">
        <f t="shared" si="149"/>
        <v>-3</v>
      </c>
    </row>
    <row r="8621" ht="14.5" customHeight="1" spans="11:29" x14ac:dyDescent="0.25">
      <c r="K8621" s="128"/>
      <c r="X8621" s="234">
        <v>2022</v>
      </c>
      <c r="Y8621" s="234">
        <v>12</v>
      </c>
      <c r="Z8621" s="234">
        <v>26</v>
      </c>
      <c r="AA8621" s="235">
        <v>0.125</v>
      </c>
      <c r="AB8621" s="234">
        <v>-1</v>
      </c>
      <c r="AC8621" s="127">
        <f t="shared" si="149"/>
        <v>-1</v>
      </c>
    </row>
    <row r="8622" ht="14.5" customHeight="1" spans="11:29" x14ac:dyDescent="0.25">
      <c r="K8622" s="128"/>
      <c r="X8622" s="234">
        <v>2022</v>
      </c>
      <c r="Y8622" s="234">
        <v>12</v>
      </c>
      <c r="Z8622" s="234">
        <v>26</v>
      </c>
      <c r="AA8622" s="235">
        <v>0.16666666666787933</v>
      </c>
      <c r="AB8622" s="234">
        <v>0.6</v>
      </c>
      <c r="AC8622" s="127">
        <f t="shared" si="149"/>
        <v>1</v>
      </c>
    </row>
    <row r="8623" ht="14.5" customHeight="1" spans="11:29" x14ac:dyDescent="0.25">
      <c r="K8623" s="128"/>
      <c r="X8623" s="234">
        <v>2022</v>
      </c>
      <c r="Y8623" s="234">
        <v>12</v>
      </c>
      <c r="Z8623" s="234">
        <v>26</v>
      </c>
      <c r="AA8623" s="235">
        <v>0.20833333333212067</v>
      </c>
      <c r="AB8623" s="234">
        <v>0.3</v>
      </c>
      <c r="AC8623" s="127">
        <f t="shared" si="149"/>
        <v>0</v>
      </c>
    </row>
    <row r="8624" ht="14.5" customHeight="1" spans="11:29" x14ac:dyDescent="0.25">
      <c r="K8624" s="128"/>
      <c r="X8624" s="234">
        <v>2022</v>
      </c>
      <c r="Y8624" s="234">
        <v>12</v>
      </c>
      <c r="Z8624" s="234">
        <v>26</v>
      </c>
      <c r="AA8624" s="235">
        <v>0.25</v>
      </c>
      <c r="AB8624" s="234">
        <v>0.8</v>
      </c>
      <c r="AC8624" s="127">
        <f t="shared" si="149"/>
        <v>1</v>
      </c>
    </row>
    <row r="8625" ht="14.5" customHeight="1" spans="11:29" x14ac:dyDescent="0.25">
      <c r="K8625" s="128"/>
      <c r="X8625" s="234">
        <v>2022</v>
      </c>
      <c r="Y8625" s="234">
        <v>12</v>
      </c>
      <c r="Z8625" s="234">
        <v>26</v>
      </c>
      <c r="AA8625" s="235">
        <v>0.2916666666678793</v>
      </c>
      <c r="AB8625" s="234">
        <v>0.6</v>
      </c>
      <c r="AC8625" s="127">
        <f t="shared" si="149"/>
        <v>1</v>
      </c>
    </row>
    <row r="8626" ht="14.5" customHeight="1" spans="11:29" x14ac:dyDescent="0.25">
      <c r="K8626" s="128"/>
      <c r="X8626" s="234">
        <v>2022</v>
      </c>
      <c r="Y8626" s="234">
        <v>12</v>
      </c>
      <c r="Z8626" s="234">
        <v>26</v>
      </c>
      <c r="AA8626" s="235">
        <v>0.3333333333321207</v>
      </c>
      <c r="AB8626" s="234">
        <v>1</v>
      </c>
      <c r="AC8626" s="127">
        <f t="shared" si="149"/>
        <v>1</v>
      </c>
    </row>
    <row r="8627" ht="14.5" customHeight="1" spans="11:29" x14ac:dyDescent="0.25">
      <c r="K8627" s="128"/>
      <c r="X8627" s="234">
        <v>2022</v>
      </c>
      <c r="Y8627" s="234">
        <v>12</v>
      </c>
      <c r="Z8627" s="234">
        <v>26</v>
      </c>
      <c r="AA8627" s="235">
        <v>0.375</v>
      </c>
      <c r="AB8627" s="234">
        <v>-1.3</v>
      </c>
      <c r="AC8627" s="127">
        <f t="shared" si="149"/>
        <v>-1</v>
      </c>
    </row>
    <row r="8628" ht="14.5" customHeight="1" spans="11:29" x14ac:dyDescent="0.25">
      <c r="K8628" s="128"/>
      <c r="X8628" s="234">
        <v>2022</v>
      </c>
      <c r="Y8628" s="234">
        <v>12</v>
      </c>
      <c r="Z8628" s="234">
        <v>26</v>
      </c>
      <c r="AA8628" s="235">
        <v>0.4166666666678793</v>
      </c>
      <c r="AB8628" s="234">
        <v>-0.4</v>
      </c>
      <c r="AC8628" s="127">
        <f t="shared" si="149"/>
        <v>0</v>
      </c>
    </row>
    <row r="8629" ht="14.5" customHeight="1" spans="11:29" x14ac:dyDescent="0.25">
      <c r="K8629" s="128"/>
      <c r="X8629" s="234">
        <v>2022</v>
      </c>
      <c r="Y8629" s="234">
        <v>12</v>
      </c>
      <c r="Z8629" s="234">
        <v>26</v>
      </c>
      <c r="AA8629" s="235">
        <v>0.4583333333321207</v>
      </c>
      <c r="AB8629" s="234">
        <v>-0.1</v>
      </c>
      <c r="AC8629" s="127">
        <f t="shared" si="149"/>
        <v>0</v>
      </c>
    </row>
    <row r="8630" ht="14.5" customHeight="1" spans="11:29" x14ac:dyDescent="0.25">
      <c r="K8630" s="128"/>
      <c r="X8630" s="234">
        <v>2022</v>
      </c>
      <c r="Y8630" s="234">
        <v>12</v>
      </c>
      <c r="Z8630" s="234">
        <v>26</v>
      </c>
      <c r="AA8630" s="235">
        <v>0.5</v>
      </c>
      <c r="AB8630" s="234">
        <v>0.2</v>
      </c>
      <c r="AC8630" s="127">
        <f t="shared" si="149"/>
        <v>0</v>
      </c>
    </row>
    <row r="8631" ht="14.5" customHeight="1" spans="11:29" x14ac:dyDescent="0.25">
      <c r="K8631" s="128"/>
      <c r="X8631" s="234">
        <v>2022</v>
      </c>
      <c r="Y8631" s="234">
        <v>12</v>
      </c>
      <c r="Z8631" s="234">
        <v>26</v>
      </c>
      <c r="AA8631" s="235">
        <v>0.5416666666678793</v>
      </c>
      <c r="AB8631" s="234">
        <v>1.6</v>
      </c>
      <c r="AC8631" s="127">
        <f t="shared" si="149"/>
        <v>2</v>
      </c>
    </row>
    <row r="8632" ht="14.5" customHeight="1" spans="11:29" x14ac:dyDescent="0.25">
      <c r="K8632" s="128"/>
      <c r="X8632" s="234">
        <v>2022</v>
      </c>
      <c r="Y8632" s="234">
        <v>12</v>
      </c>
      <c r="Z8632" s="234">
        <v>26</v>
      </c>
      <c r="AA8632" s="235">
        <v>0.5833333333321207</v>
      </c>
      <c r="AB8632" s="234">
        <v>4.9</v>
      </c>
      <c r="AC8632" s="127">
        <f t="shared" si="149"/>
        <v>5</v>
      </c>
    </row>
    <row r="8633" ht="14.5" customHeight="1" spans="11:29" x14ac:dyDescent="0.25">
      <c r="K8633" s="128"/>
      <c r="X8633" s="234">
        <v>2022</v>
      </c>
      <c r="Y8633" s="234">
        <v>12</v>
      </c>
      <c r="Z8633" s="234">
        <v>26</v>
      </c>
      <c r="AA8633" s="235">
        <v>0.625</v>
      </c>
      <c r="AB8633" s="234">
        <v>4.7</v>
      </c>
      <c r="AC8633" s="127">
        <f t="shared" si="149"/>
        <v>5</v>
      </c>
    </row>
    <row r="8634" ht="14.5" customHeight="1" spans="11:29" x14ac:dyDescent="0.25">
      <c r="K8634" s="128"/>
      <c r="X8634" s="234">
        <v>2022</v>
      </c>
      <c r="Y8634" s="234">
        <v>12</v>
      </c>
      <c r="Z8634" s="234">
        <v>26</v>
      </c>
      <c r="AA8634" s="235">
        <v>0.6666666666678793</v>
      </c>
      <c r="AB8634" s="234">
        <v>8.2</v>
      </c>
      <c r="AC8634" s="127">
        <f t="shared" si="149"/>
        <v>8</v>
      </c>
    </row>
    <row r="8635" ht="14.5" customHeight="1" spans="11:29" x14ac:dyDescent="0.25">
      <c r="K8635" s="128"/>
      <c r="X8635" s="234">
        <v>2022</v>
      </c>
      <c r="Y8635" s="234">
        <v>12</v>
      </c>
      <c r="Z8635" s="234">
        <v>26</v>
      </c>
      <c r="AA8635" s="235">
        <v>0.7083333333321207</v>
      </c>
      <c r="AB8635" s="234">
        <v>7.6</v>
      </c>
      <c r="AC8635" s="127">
        <f t="shared" si="149"/>
        <v>8</v>
      </c>
    </row>
    <row r="8636" ht="14.5" customHeight="1" spans="11:29" x14ac:dyDescent="0.25">
      <c r="K8636" s="128"/>
      <c r="X8636" s="234">
        <v>2022</v>
      </c>
      <c r="Y8636" s="234">
        <v>12</v>
      </c>
      <c r="Z8636" s="234">
        <v>26</v>
      </c>
      <c r="AA8636" s="235">
        <v>0.75</v>
      </c>
      <c r="AB8636" s="234">
        <v>6.9</v>
      </c>
      <c r="AC8636" s="127">
        <f t="shared" si="149"/>
        <v>7</v>
      </c>
    </row>
    <row r="8637" ht="14.5" customHeight="1" spans="11:29" x14ac:dyDescent="0.25">
      <c r="K8637" s="128"/>
      <c r="X8637" s="234">
        <v>2022</v>
      </c>
      <c r="Y8637" s="234">
        <v>12</v>
      </c>
      <c r="Z8637" s="234">
        <v>26</v>
      </c>
      <c r="AA8637" s="235">
        <v>0.7916666666678793</v>
      </c>
      <c r="AB8637" s="234">
        <v>4.8</v>
      </c>
      <c r="AC8637" s="127">
        <f t="shared" si="149"/>
        <v>5</v>
      </c>
    </row>
    <row r="8638" ht="14.5" customHeight="1" spans="11:29" x14ac:dyDescent="0.25">
      <c r="K8638" s="128"/>
      <c r="X8638" s="234">
        <v>2022</v>
      </c>
      <c r="Y8638" s="234">
        <v>12</v>
      </c>
      <c r="Z8638" s="234">
        <v>26</v>
      </c>
      <c r="AA8638" s="235">
        <v>0.8333333333321207</v>
      </c>
      <c r="AB8638" s="234">
        <v>2.8</v>
      </c>
      <c r="AC8638" s="127">
        <f t="shared" si="149"/>
        <v>3</v>
      </c>
    </row>
    <row r="8639" ht="14.5" customHeight="1" spans="11:29" x14ac:dyDescent="0.25">
      <c r="K8639" s="128"/>
      <c r="X8639" s="234">
        <v>2022</v>
      </c>
      <c r="Y8639" s="234">
        <v>12</v>
      </c>
      <c r="Z8639" s="234">
        <v>26</v>
      </c>
      <c r="AA8639" s="235">
        <v>0.875</v>
      </c>
      <c r="AB8639" s="234">
        <v>5.2</v>
      </c>
      <c r="AC8639" s="127">
        <f t="shared" si="149"/>
        <v>5</v>
      </c>
    </row>
    <row r="8640" ht="14.5" customHeight="1" spans="11:29" x14ac:dyDescent="0.25">
      <c r="K8640" s="128"/>
      <c r="X8640" s="234">
        <v>2022</v>
      </c>
      <c r="Y8640" s="234">
        <v>12</v>
      </c>
      <c r="Z8640" s="234">
        <v>26</v>
      </c>
      <c r="AA8640" s="235">
        <v>0.9166666666678793</v>
      </c>
      <c r="AB8640" s="234">
        <v>4.6</v>
      </c>
      <c r="AC8640" s="127">
        <f t="shared" si="149"/>
        <v>5</v>
      </c>
    </row>
    <row r="8641" ht="14.5" customHeight="1" spans="11:29" x14ac:dyDescent="0.25">
      <c r="K8641" s="128"/>
      <c r="X8641" s="234">
        <v>2022</v>
      </c>
      <c r="Y8641" s="234">
        <v>12</v>
      </c>
      <c r="Z8641" s="234">
        <v>26</v>
      </c>
      <c r="AA8641" s="235">
        <v>0.9583333333321207</v>
      </c>
      <c r="AB8641" s="234">
        <v>4.4</v>
      </c>
      <c r="AC8641" s="127">
        <f t="shared" si="149"/>
        <v>4</v>
      </c>
    </row>
    <row r="8642" ht="14.5" customHeight="1" spans="11:29" x14ac:dyDescent="0.25">
      <c r="K8642" s="128"/>
      <c r="X8642" s="234">
        <v>2022</v>
      </c>
      <c r="Y8642" s="234">
        <v>12</v>
      </c>
      <c r="Z8642" s="234">
        <v>27</v>
      </c>
      <c r="AA8642" s="235">
        <v>0</v>
      </c>
      <c r="AB8642" s="234">
        <v>2.3</v>
      </c>
      <c r="AC8642" s="127">
        <f t="shared" si="149"/>
        <v>2</v>
      </c>
    </row>
    <row r="8643" ht="14.5" customHeight="1" spans="11:29" x14ac:dyDescent="0.25">
      <c r="K8643" s="128"/>
      <c r="X8643" s="234">
        <v>2022</v>
      </c>
      <c r="Y8643" s="234">
        <v>12</v>
      </c>
      <c r="Z8643" s="234">
        <v>27</v>
      </c>
      <c r="AA8643" s="235">
        <v>0.041666666667879326</v>
      </c>
      <c r="AB8643" s="234">
        <v>0.9</v>
      </c>
      <c r="AC8643" s="127">
        <f t="shared" si="149"/>
        <v>1</v>
      </c>
    </row>
    <row r="8644" ht="14.5" customHeight="1" spans="11:29" x14ac:dyDescent="0.25">
      <c r="K8644" s="128"/>
      <c r="X8644" s="234">
        <v>2022</v>
      </c>
      <c r="Y8644" s="234">
        <v>12</v>
      </c>
      <c r="Z8644" s="234">
        <v>27</v>
      </c>
      <c r="AA8644" s="235">
        <v>0.08333333333212067</v>
      </c>
      <c r="AB8644" s="234">
        <v>1.9</v>
      </c>
      <c r="AC8644" s="127">
        <f t="shared" si="149"/>
        <v>2</v>
      </c>
    </row>
    <row r="8645" ht="14.5" customHeight="1" spans="11:29" x14ac:dyDescent="0.25">
      <c r="K8645" s="128"/>
      <c r="X8645" s="234">
        <v>2022</v>
      </c>
      <c r="Y8645" s="234">
        <v>12</v>
      </c>
      <c r="Z8645" s="234">
        <v>27</v>
      </c>
      <c r="AA8645" s="235">
        <v>0.125</v>
      </c>
      <c r="AB8645" s="234">
        <v>0.8</v>
      </c>
      <c r="AC8645" s="127">
        <f t="shared" si="149"/>
        <v>1</v>
      </c>
    </row>
    <row r="8646" ht="14.5" customHeight="1" spans="11:29" x14ac:dyDescent="0.25">
      <c r="K8646" s="128"/>
      <c r="X8646" s="234">
        <v>2022</v>
      </c>
      <c r="Y8646" s="234">
        <v>12</v>
      </c>
      <c r="Z8646" s="234">
        <v>27</v>
      </c>
      <c r="AA8646" s="235">
        <v>0.16666666666787933</v>
      </c>
      <c r="AB8646" s="234">
        <v>1.3</v>
      </c>
      <c r="AC8646" s="127">
        <f t="shared" si="149"/>
        <v>1</v>
      </c>
    </row>
    <row r="8647" ht="14.5" customHeight="1" spans="11:29" x14ac:dyDescent="0.25">
      <c r="K8647" s="128"/>
      <c r="X8647" s="234">
        <v>2022</v>
      </c>
      <c r="Y8647" s="234">
        <v>12</v>
      </c>
      <c r="Z8647" s="234">
        <v>27</v>
      </c>
      <c r="AA8647" s="235">
        <v>0.20833333333212067</v>
      </c>
      <c r="AB8647" s="234">
        <v>2</v>
      </c>
      <c r="AC8647" s="127">
        <f t="shared" si="149"/>
        <v>2</v>
      </c>
    </row>
    <row r="8648" ht="14.5" customHeight="1" spans="11:29" x14ac:dyDescent="0.25">
      <c r="K8648" s="128"/>
      <c r="X8648" s="234">
        <v>2022</v>
      </c>
      <c r="Y8648" s="234">
        <v>12</v>
      </c>
      <c r="Z8648" s="234">
        <v>27</v>
      </c>
      <c r="AA8648" s="235">
        <v>0.25</v>
      </c>
      <c r="AB8648" s="234">
        <v>1.5</v>
      </c>
      <c r="AC8648" s="127">
        <f t="shared" si="149"/>
        <v>2</v>
      </c>
    </row>
    <row r="8649" ht="14.5" customHeight="1" spans="11:29" x14ac:dyDescent="0.25">
      <c r="K8649" s="128"/>
      <c r="X8649" s="234">
        <v>2022</v>
      </c>
      <c r="Y8649" s="234">
        <v>12</v>
      </c>
      <c r="Z8649" s="234">
        <v>27</v>
      </c>
      <c r="AA8649" s="235">
        <v>0.2916666666678793</v>
      </c>
      <c r="AB8649" s="234">
        <v>1.4</v>
      </c>
      <c r="AC8649" s="127">
        <f t="shared" si="149"/>
        <v>1</v>
      </c>
    </row>
    <row r="8650" ht="14.5" customHeight="1" spans="11:29" x14ac:dyDescent="0.25">
      <c r="K8650" s="128"/>
      <c r="X8650" s="234">
        <v>2022</v>
      </c>
      <c r="Y8650" s="234">
        <v>12</v>
      </c>
      <c r="Z8650" s="234">
        <v>27</v>
      </c>
      <c r="AA8650" s="235">
        <v>0.3333333333321207</v>
      </c>
      <c r="AB8650" s="234">
        <v>1.1</v>
      </c>
      <c r="AC8650" s="127">
        <f t="shared" si="149"/>
        <v>1</v>
      </c>
    </row>
    <row r="8651" ht="14.5" customHeight="1" spans="11:29" x14ac:dyDescent="0.25">
      <c r="K8651" s="128"/>
      <c r="X8651" s="234">
        <v>2022</v>
      </c>
      <c r="Y8651" s="234">
        <v>12</v>
      </c>
      <c r="Z8651" s="234">
        <v>27</v>
      </c>
      <c r="AA8651" s="235">
        <v>0.375</v>
      </c>
      <c r="AB8651" s="234">
        <v>1.6</v>
      </c>
      <c r="AC8651" s="127">
        <f t="shared" ref="AC8651:AC8714" si="150">ROUND(AB8651,0)</f>
        <v>2</v>
      </c>
    </row>
    <row r="8652" ht="14.5" customHeight="1" spans="11:29" x14ac:dyDescent="0.25">
      <c r="K8652" s="128"/>
      <c r="X8652" s="234">
        <v>2022</v>
      </c>
      <c r="Y8652" s="234">
        <v>12</v>
      </c>
      <c r="Z8652" s="234">
        <v>27</v>
      </c>
      <c r="AA8652" s="235">
        <v>0.4166666666678793</v>
      </c>
      <c r="AB8652" s="234">
        <v>1.4</v>
      </c>
      <c r="AC8652" s="127">
        <f t="shared" si="150"/>
        <v>1</v>
      </c>
    </row>
    <row r="8653" ht="14.5" customHeight="1" spans="11:29" x14ac:dyDescent="0.25">
      <c r="K8653" s="128"/>
      <c r="X8653" s="234">
        <v>2022</v>
      </c>
      <c r="Y8653" s="234">
        <v>12</v>
      </c>
      <c r="Z8653" s="234">
        <v>27</v>
      </c>
      <c r="AA8653" s="235">
        <v>0.4583333333321207</v>
      </c>
      <c r="AB8653" s="234">
        <v>1.5</v>
      </c>
      <c r="AC8653" s="127">
        <f t="shared" si="150"/>
        <v>2</v>
      </c>
    </row>
    <row r="8654" ht="14.5" customHeight="1" spans="11:29" x14ac:dyDescent="0.25">
      <c r="K8654" s="128"/>
      <c r="X8654" s="234">
        <v>2022</v>
      </c>
      <c r="Y8654" s="234">
        <v>12</v>
      </c>
      <c r="Z8654" s="234">
        <v>27</v>
      </c>
      <c r="AA8654" s="235">
        <v>0.5</v>
      </c>
      <c r="AB8654" s="234">
        <v>1.4</v>
      </c>
      <c r="AC8654" s="127">
        <f t="shared" si="150"/>
        <v>1</v>
      </c>
    </row>
    <row r="8655" ht="14.5" customHeight="1" spans="11:29" x14ac:dyDescent="0.25">
      <c r="K8655" s="128"/>
      <c r="X8655" s="234">
        <v>2022</v>
      </c>
      <c r="Y8655" s="234">
        <v>12</v>
      </c>
      <c r="Z8655" s="234">
        <v>27</v>
      </c>
      <c r="AA8655" s="235">
        <v>0.5416666666678793</v>
      </c>
      <c r="AB8655" s="234">
        <v>1.2</v>
      </c>
      <c r="AC8655" s="127">
        <f t="shared" si="150"/>
        <v>1</v>
      </c>
    </row>
    <row r="8656" ht="14.5" customHeight="1" spans="11:29" x14ac:dyDescent="0.25">
      <c r="K8656" s="128"/>
      <c r="X8656" s="234">
        <v>2022</v>
      </c>
      <c r="Y8656" s="234">
        <v>12</v>
      </c>
      <c r="Z8656" s="234">
        <v>27</v>
      </c>
      <c r="AA8656" s="235">
        <v>0.5833333333321207</v>
      </c>
      <c r="AB8656" s="234">
        <v>0.9</v>
      </c>
      <c r="AC8656" s="127">
        <f t="shared" si="150"/>
        <v>1</v>
      </c>
    </row>
    <row r="8657" ht="14.5" customHeight="1" spans="11:29" x14ac:dyDescent="0.25">
      <c r="K8657" s="128"/>
      <c r="X8657" s="234">
        <v>2022</v>
      </c>
      <c r="Y8657" s="234">
        <v>12</v>
      </c>
      <c r="Z8657" s="234">
        <v>27</v>
      </c>
      <c r="AA8657" s="235">
        <v>0.625</v>
      </c>
      <c r="AB8657" s="234">
        <v>1</v>
      </c>
      <c r="AC8657" s="127">
        <f t="shared" si="150"/>
        <v>1</v>
      </c>
    </row>
    <row r="8658" ht="14.5" customHeight="1" spans="11:29" x14ac:dyDescent="0.25">
      <c r="K8658" s="128"/>
      <c r="X8658" s="234">
        <v>2022</v>
      </c>
      <c r="Y8658" s="234">
        <v>12</v>
      </c>
      <c r="Z8658" s="234">
        <v>27</v>
      </c>
      <c r="AA8658" s="235">
        <v>0.6666666666678793</v>
      </c>
      <c r="AB8658" s="234">
        <v>1.2</v>
      </c>
      <c r="AC8658" s="127">
        <f t="shared" si="150"/>
        <v>1</v>
      </c>
    </row>
    <row r="8659" ht="14.5" customHeight="1" spans="11:29" x14ac:dyDescent="0.25">
      <c r="K8659" s="128"/>
      <c r="X8659" s="234">
        <v>2022</v>
      </c>
      <c r="Y8659" s="234">
        <v>12</v>
      </c>
      <c r="Z8659" s="234">
        <v>27</v>
      </c>
      <c r="AA8659" s="235">
        <v>0.7083333333321207</v>
      </c>
      <c r="AB8659" s="234">
        <v>0.4</v>
      </c>
      <c r="AC8659" s="127">
        <f t="shared" si="150"/>
        <v>0</v>
      </c>
    </row>
    <row r="8660" ht="14.5" customHeight="1" spans="11:29" x14ac:dyDescent="0.25">
      <c r="K8660" s="128"/>
      <c r="X8660" s="234">
        <v>2022</v>
      </c>
      <c r="Y8660" s="234">
        <v>12</v>
      </c>
      <c r="Z8660" s="234">
        <v>27</v>
      </c>
      <c r="AA8660" s="235">
        <v>0.75</v>
      </c>
      <c r="AB8660" s="234">
        <v>-0.1</v>
      </c>
      <c r="AC8660" s="127">
        <f t="shared" si="150"/>
        <v>0</v>
      </c>
    </row>
    <row r="8661" ht="14.5" customHeight="1" spans="11:29" x14ac:dyDescent="0.25">
      <c r="K8661" s="128"/>
      <c r="X8661" s="234">
        <v>2022</v>
      </c>
      <c r="Y8661" s="234">
        <v>12</v>
      </c>
      <c r="Z8661" s="234">
        <v>27</v>
      </c>
      <c r="AA8661" s="235">
        <v>0.7916666666678793</v>
      </c>
      <c r="AB8661" s="234">
        <v>-0.5</v>
      </c>
      <c r="AC8661" s="127">
        <f t="shared" si="150"/>
        <v>-1</v>
      </c>
    </row>
    <row r="8662" ht="14.5" customHeight="1" spans="11:29" x14ac:dyDescent="0.25">
      <c r="K8662" s="128"/>
      <c r="X8662" s="234">
        <v>2022</v>
      </c>
      <c r="Y8662" s="234">
        <v>12</v>
      </c>
      <c r="Z8662" s="234">
        <v>27</v>
      </c>
      <c r="AA8662" s="235">
        <v>0.8333333333321207</v>
      </c>
      <c r="AB8662" s="234">
        <v>-0.7</v>
      </c>
      <c r="AC8662" s="127">
        <f t="shared" si="150"/>
        <v>-1</v>
      </c>
    </row>
    <row r="8663" ht="14.5" customHeight="1" spans="11:29" x14ac:dyDescent="0.25">
      <c r="K8663" s="128"/>
      <c r="X8663" s="234">
        <v>2022</v>
      </c>
      <c r="Y8663" s="234">
        <v>12</v>
      </c>
      <c r="Z8663" s="234">
        <v>27</v>
      </c>
      <c r="AA8663" s="235">
        <v>0.875</v>
      </c>
      <c r="AB8663" s="234">
        <v>-1</v>
      </c>
      <c r="AC8663" s="127">
        <f t="shared" si="150"/>
        <v>-1</v>
      </c>
    </row>
    <row r="8664" ht="14.5" customHeight="1" spans="11:29" x14ac:dyDescent="0.25">
      <c r="K8664" s="128"/>
      <c r="X8664" s="234">
        <v>2022</v>
      </c>
      <c r="Y8664" s="234">
        <v>12</v>
      </c>
      <c r="Z8664" s="234">
        <v>27</v>
      </c>
      <c r="AA8664" s="235">
        <v>0.9166666666678793</v>
      </c>
      <c r="AB8664" s="234">
        <v>-1.8</v>
      </c>
      <c r="AC8664" s="127">
        <f t="shared" si="150"/>
        <v>-2</v>
      </c>
    </row>
    <row r="8665" ht="14.5" customHeight="1" spans="11:29" x14ac:dyDescent="0.25">
      <c r="K8665" s="128"/>
      <c r="X8665" s="234">
        <v>2022</v>
      </c>
      <c r="Y8665" s="234">
        <v>12</v>
      </c>
      <c r="Z8665" s="234">
        <v>27</v>
      </c>
      <c r="AA8665" s="235">
        <v>0.9583333333321207</v>
      </c>
      <c r="AB8665" s="234">
        <v>-2</v>
      </c>
      <c r="AC8665" s="127">
        <f t="shared" si="150"/>
        <v>-2</v>
      </c>
    </row>
    <row r="8666" ht="14.5" customHeight="1" spans="11:29" x14ac:dyDescent="0.25">
      <c r="K8666" s="128"/>
      <c r="X8666" s="234">
        <v>2022</v>
      </c>
      <c r="Y8666" s="234">
        <v>12</v>
      </c>
      <c r="Z8666" s="234">
        <v>28</v>
      </c>
      <c r="AA8666" s="235">
        <v>0</v>
      </c>
      <c r="AB8666" s="234">
        <v>-3</v>
      </c>
      <c r="AC8666" s="127">
        <f t="shared" si="150"/>
        <v>-3</v>
      </c>
    </row>
    <row r="8667" ht="14.5" customHeight="1" spans="11:29" x14ac:dyDescent="0.25">
      <c r="K8667" s="128"/>
      <c r="X8667" s="234">
        <v>2022</v>
      </c>
      <c r="Y8667" s="234">
        <v>12</v>
      </c>
      <c r="Z8667" s="234">
        <v>28</v>
      </c>
      <c r="AA8667" s="235">
        <v>0.041666666667879326</v>
      </c>
      <c r="AB8667" s="234">
        <v>-4.3</v>
      </c>
      <c r="AC8667" s="127">
        <f t="shared" si="150"/>
        <v>-4</v>
      </c>
    </row>
    <row r="8668" ht="14.5" customHeight="1" spans="11:29" x14ac:dyDescent="0.25">
      <c r="K8668" s="128"/>
      <c r="X8668" s="234">
        <v>2022</v>
      </c>
      <c r="Y8668" s="234">
        <v>12</v>
      </c>
      <c r="Z8668" s="234">
        <v>28</v>
      </c>
      <c r="AA8668" s="235">
        <v>0.08333333333212067</v>
      </c>
      <c r="AB8668" s="234">
        <v>-6.1</v>
      </c>
      <c r="AC8668" s="127">
        <f t="shared" si="150"/>
        <v>-6</v>
      </c>
    </row>
    <row r="8669" ht="14.5" customHeight="1" spans="11:29" x14ac:dyDescent="0.25">
      <c r="K8669" s="128"/>
      <c r="X8669" s="234">
        <v>2022</v>
      </c>
      <c r="Y8669" s="234">
        <v>12</v>
      </c>
      <c r="Z8669" s="234">
        <v>28</v>
      </c>
      <c r="AA8669" s="235">
        <v>0.125</v>
      </c>
      <c r="AB8669" s="234">
        <v>-6.2</v>
      </c>
      <c r="AC8669" s="127">
        <f t="shared" si="150"/>
        <v>-6</v>
      </c>
    </row>
    <row r="8670" ht="14.5" customHeight="1" spans="11:29" x14ac:dyDescent="0.25">
      <c r="K8670" s="128"/>
      <c r="X8670" s="234">
        <v>2022</v>
      </c>
      <c r="Y8670" s="234">
        <v>12</v>
      </c>
      <c r="Z8670" s="234">
        <v>28</v>
      </c>
      <c r="AA8670" s="235">
        <v>0.16666666666787933</v>
      </c>
      <c r="AB8670" s="234">
        <v>-6.7</v>
      </c>
      <c r="AC8670" s="127">
        <f t="shared" si="150"/>
        <v>-7</v>
      </c>
    </row>
    <row r="8671" ht="14.5" customHeight="1" spans="11:29" x14ac:dyDescent="0.25">
      <c r="K8671" s="128"/>
      <c r="X8671" s="234">
        <v>2022</v>
      </c>
      <c r="Y8671" s="234">
        <v>12</v>
      </c>
      <c r="Z8671" s="234">
        <v>28</v>
      </c>
      <c r="AA8671" s="235">
        <v>0.20833333333212067</v>
      </c>
      <c r="AB8671" s="234">
        <v>-7.2</v>
      </c>
      <c r="AC8671" s="127">
        <f t="shared" si="150"/>
        <v>-7</v>
      </c>
    </row>
    <row r="8672" ht="14.5" customHeight="1" spans="11:29" x14ac:dyDescent="0.25">
      <c r="K8672" s="128"/>
      <c r="X8672" s="234">
        <v>2022</v>
      </c>
      <c r="Y8672" s="234">
        <v>12</v>
      </c>
      <c r="Z8672" s="234">
        <v>28</v>
      </c>
      <c r="AA8672" s="235">
        <v>0.25</v>
      </c>
      <c r="AB8672" s="234">
        <v>-7.5</v>
      </c>
      <c r="AC8672" s="127">
        <f t="shared" si="150"/>
        <v>-8</v>
      </c>
    </row>
    <row r="8673" ht="14.5" customHeight="1" spans="11:29" x14ac:dyDescent="0.25">
      <c r="K8673" s="128"/>
      <c r="X8673" s="234">
        <v>2022</v>
      </c>
      <c r="Y8673" s="234">
        <v>12</v>
      </c>
      <c r="Z8673" s="234">
        <v>28</v>
      </c>
      <c r="AA8673" s="235">
        <v>0.2916666666678793</v>
      </c>
      <c r="AB8673" s="234">
        <v>-7.6</v>
      </c>
      <c r="AC8673" s="127">
        <f t="shared" si="150"/>
        <v>-8</v>
      </c>
    </row>
    <row r="8674" ht="14.5" customHeight="1" spans="11:29" x14ac:dyDescent="0.25">
      <c r="K8674" s="128"/>
      <c r="X8674" s="234">
        <v>2022</v>
      </c>
      <c r="Y8674" s="234">
        <v>12</v>
      </c>
      <c r="Z8674" s="234">
        <v>28</v>
      </c>
      <c r="AA8674" s="235">
        <v>0.3333333333321207</v>
      </c>
      <c r="AB8674" s="234">
        <v>-7.8</v>
      </c>
      <c r="AC8674" s="127">
        <f t="shared" si="150"/>
        <v>-8</v>
      </c>
    </row>
    <row r="8675" ht="14.5" customHeight="1" spans="11:29" x14ac:dyDescent="0.25">
      <c r="K8675" s="128"/>
      <c r="X8675" s="234">
        <v>2022</v>
      </c>
      <c r="Y8675" s="234">
        <v>12</v>
      </c>
      <c r="Z8675" s="234">
        <v>28</v>
      </c>
      <c r="AA8675" s="235">
        <v>0.375</v>
      </c>
      <c r="AB8675" s="234">
        <v>-7.6</v>
      </c>
      <c r="AC8675" s="127">
        <f t="shared" si="150"/>
        <v>-8</v>
      </c>
    </row>
    <row r="8676" ht="14.5" customHeight="1" spans="11:29" x14ac:dyDescent="0.25">
      <c r="K8676" s="128"/>
      <c r="X8676" s="234">
        <v>2022</v>
      </c>
      <c r="Y8676" s="234">
        <v>12</v>
      </c>
      <c r="Z8676" s="234">
        <v>28</v>
      </c>
      <c r="AA8676" s="235">
        <v>0.4166666666678793</v>
      </c>
      <c r="AB8676" s="234">
        <v>-7</v>
      </c>
      <c r="AC8676" s="127">
        <f t="shared" si="150"/>
        <v>-7</v>
      </c>
    </row>
    <row r="8677" ht="14.5" customHeight="1" spans="11:29" x14ac:dyDescent="0.25">
      <c r="K8677" s="128"/>
      <c r="X8677" s="234">
        <v>2022</v>
      </c>
      <c r="Y8677" s="234">
        <v>12</v>
      </c>
      <c r="Z8677" s="234">
        <v>28</v>
      </c>
      <c r="AA8677" s="235">
        <v>0.4583333333321207</v>
      </c>
      <c r="AB8677" s="234">
        <v>-7</v>
      </c>
      <c r="AC8677" s="127">
        <f t="shared" si="150"/>
        <v>-7</v>
      </c>
    </row>
    <row r="8678" ht="14.5" customHeight="1" spans="11:29" x14ac:dyDescent="0.25">
      <c r="K8678" s="128"/>
      <c r="X8678" s="234">
        <v>2022</v>
      </c>
      <c r="Y8678" s="234">
        <v>12</v>
      </c>
      <c r="Z8678" s="234">
        <v>28</v>
      </c>
      <c r="AA8678" s="235">
        <v>0.5</v>
      </c>
      <c r="AB8678" s="234">
        <v>-6.3</v>
      </c>
      <c r="AC8678" s="127">
        <f t="shared" si="150"/>
        <v>-6</v>
      </c>
    </row>
    <row r="8679" ht="14.5" customHeight="1" spans="11:29" x14ac:dyDescent="0.25">
      <c r="K8679" s="128"/>
      <c r="X8679" s="234">
        <v>2022</v>
      </c>
      <c r="Y8679" s="234">
        <v>12</v>
      </c>
      <c r="Z8679" s="234">
        <v>28</v>
      </c>
      <c r="AA8679" s="235">
        <v>0.5416666666678793</v>
      </c>
      <c r="AB8679" s="234">
        <v>-6.1</v>
      </c>
      <c r="AC8679" s="127">
        <f t="shared" si="150"/>
        <v>-6</v>
      </c>
    </row>
    <row r="8680" ht="14.5" customHeight="1" spans="11:29" x14ac:dyDescent="0.25">
      <c r="K8680" s="128"/>
      <c r="X8680" s="234">
        <v>2022</v>
      </c>
      <c r="Y8680" s="234">
        <v>12</v>
      </c>
      <c r="Z8680" s="234">
        <v>28</v>
      </c>
      <c r="AA8680" s="235">
        <v>0.5833333333321207</v>
      </c>
      <c r="AB8680" s="234">
        <v>-5.4</v>
      </c>
      <c r="AC8680" s="127">
        <f t="shared" si="150"/>
        <v>-5</v>
      </c>
    </row>
    <row r="8681" ht="14.5" customHeight="1" spans="11:29" x14ac:dyDescent="0.25">
      <c r="K8681" s="128"/>
      <c r="X8681" s="234">
        <v>2022</v>
      </c>
      <c r="Y8681" s="234">
        <v>12</v>
      </c>
      <c r="Z8681" s="234">
        <v>28</v>
      </c>
      <c r="AA8681" s="235">
        <v>0.625</v>
      </c>
      <c r="AB8681" s="234">
        <v>-4.9</v>
      </c>
      <c r="AC8681" s="127">
        <f t="shared" si="150"/>
        <v>-5</v>
      </c>
    </row>
    <row r="8682" ht="14.5" customHeight="1" spans="11:29" x14ac:dyDescent="0.25">
      <c r="K8682" s="128"/>
      <c r="X8682" s="234">
        <v>2022</v>
      </c>
      <c r="Y8682" s="234">
        <v>12</v>
      </c>
      <c r="Z8682" s="234">
        <v>28</v>
      </c>
      <c r="AA8682" s="235">
        <v>0.6666666666678793</v>
      </c>
      <c r="AB8682" s="234">
        <v>-5.5</v>
      </c>
      <c r="AC8682" s="127">
        <f t="shared" si="150"/>
        <v>-6</v>
      </c>
    </row>
    <row r="8683" ht="14.5" customHeight="1" spans="11:29" x14ac:dyDescent="0.25">
      <c r="K8683" s="128"/>
      <c r="X8683" s="234">
        <v>2022</v>
      </c>
      <c r="Y8683" s="234">
        <v>12</v>
      </c>
      <c r="Z8683" s="234">
        <v>28</v>
      </c>
      <c r="AA8683" s="235">
        <v>0.7083333333321207</v>
      </c>
      <c r="AB8683" s="234">
        <v>-5.1</v>
      </c>
      <c r="AC8683" s="127">
        <f t="shared" si="150"/>
        <v>-5</v>
      </c>
    </row>
    <row r="8684" ht="14.5" customHeight="1" spans="11:29" x14ac:dyDescent="0.25">
      <c r="K8684" s="128"/>
      <c r="X8684" s="234">
        <v>2022</v>
      </c>
      <c r="Y8684" s="234">
        <v>12</v>
      </c>
      <c r="Z8684" s="234">
        <v>28</v>
      </c>
      <c r="AA8684" s="235">
        <v>0.75</v>
      </c>
      <c r="AB8684" s="234">
        <v>-5.4</v>
      </c>
      <c r="AC8684" s="127">
        <f t="shared" si="150"/>
        <v>-5</v>
      </c>
    </row>
    <row r="8685" ht="14.5" customHeight="1" spans="11:29" x14ac:dyDescent="0.25">
      <c r="K8685" s="128"/>
      <c r="X8685" s="234">
        <v>2022</v>
      </c>
      <c r="Y8685" s="234">
        <v>12</v>
      </c>
      <c r="Z8685" s="234">
        <v>28</v>
      </c>
      <c r="AA8685" s="235">
        <v>0.7916666666678793</v>
      </c>
      <c r="AB8685" s="234">
        <v>-4.6</v>
      </c>
      <c r="AC8685" s="127">
        <f t="shared" si="150"/>
        <v>-5</v>
      </c>
    </row>
    <row r="8686" ht="14.5" customHeight="1" spans="11:29" x14ac:dyDescent="0.25">
      <c r="K8686" s="128"/>
      <c r="X8686" s="234">
        <v>2022</v>
      </c>
      <c r="Y8686" s="234">
        <v>12</v>
      </c>
      <c r="Z8686" s="234">
        <v>28</v>
      </c>
      <c r="AA8686" s="235">
        <v>0.8333333333321207</v>
      </c>
      <c r="AB8686" s="234">
        <v>-4.3</v>
      </c>
      <c r="AC8686" s="127">
        <f t="shared" si="150"/>
        <v>-4</v>
      </c>
    </row>
    <row r="8687" ht="14.5" customHeight="1" spans="11:29" x14ac:dyDescent="0.25">
      <c r="K8687" s="128"/>
      <c r="X8687" s="234">
        <v>2022</v>
      </c>
      <c r="Y8687" s="234">
        <v>12</v>
      </c>
      <c r="Z8687" s="234">
        <v>28</v>
      </c>
      <c r="AA8687" s="235">
        <v>0.875</v>
      </c>
      <c r="AB8687" s="234">
        <v>-5.1</v>
      </c>
      <c r="AC8687" s="127">
        <f t="shared" si="150"/>
        <v>-5</v>
      </c>
    </row>
    <row r="8688" ht="14.5" customHeight="1" spans="11:29" x14ac:dyDescent="0.25">
      <c r="K8688" s="128"/>
      <c r="X8688" s="234">
        <v>2022</v>
      </c>
      <c r="Y8688" s="234">
        <v>12</v>
      </c>
      <c r="Z8688" s="234">
        <v>28</v>
      </c>
      <c r="AA8688" s="235">
        <v>0.9166666666678793</v>
      </c>
      <c r="AB8688" s="234">
        <v>-4</v>
      </c>
      <c r="AC8688" s="127">
        <f t="shared" si="150"/>
        <v>-4</v>
      </c>
    </row>
    <row r="8689" ht="14.5" customHeight="1" spans="11:29" x14ac:dyDescent="0.25">
      <c r="K8689" s="128"/>
      <c r="X8689" s="234">
        <v>2022</v>
      </c>
      <c r="Y8689" s="234">
        <v>12</v>
      </c>
      <c r="Z8689" s="234">
        <v>28</v>
      </c>
      <c r="AA8689" s="235">
        <v>0.9583333333321207</v>
      </c>
      <c r="AB8689" s="234">
        <v>-5.3</v>
      </c>
      <c r="AC8689" s="127">
        <f t="shared" si="150"/>
        <v>-5</v>
      </c>
    </row>
    <row r="8690" ht="14.5" customHeight="1" spans="11:29" x14ac:dyDescent="0.25">
      <c r="K8690" s="128"/>
      <c r="X8690" s="234">
        <v>2022</v>
      </c>
      <c r="Y8690" s="234">
        <v>12</v>
      </c>
      <c r="Z8690" s="234">
        <v>29</v>
      </c>
      <c r="AA8690" s="235">
        <v>0</v>
      </c>
      <c r="AB8690" s="234">
        <v>-5.5</v>
      </c>
      <c r="AC8690" s="127">
        <f t="shared" si="150"/>
        <v>-6</v>
      </c>
    </row>
    <row r="8691" ht="14.5" customHeight="1" spans="11:29" x14ac:dyDescent="0.25">
      <c r="K8691" s="128"/>
      <c r="X8691" s="234">
        <v>2022</v>
      </c>
      <c r="Y8691" s="234">
        <v>12</v>
      </c>
      <c r="Z8691" s="234">
        <v>29</v>
      </c>
      <c r="AA8691" s="235">
        <v>0.041666666667879326</v>
      </c>
      <c r="AB8691" s="234">
        <v>-4.5</v>
      </c>
      <c r="AC8691" s="127">
        <f t="shared" si="150"/>
        <v>-5</v>
      </c>
    </row>
    <row r="8692" ht="14.5" customHeight="1" spans="11:29" x14ac:dyDescent="0.25">
      <c r="K8692" s="128"/>
      <c r="X8692" s="234">
        <v>2022</v>
      </c>
      <c r="Y8692" s="234">
        <v>12</v>
      </c>
      <c r="Z8692" s="234">
        <v>29</v>
      </c>
      <c r="AA8692" s="235">
        <v>0.08333333333212067</v>
      </c>
      <c r="AB8692" s="234">
        <v>-4.4</v>
      </c>
      <c r="AC8692" s="127">
        <f t="shared" si="150"/>
        <v>-4</v>
      </c>
    </row>
    <row r="8693" ht="14.5" customHeight="1" spans="11:29" x14ac:dyDescent="0.25">
      <c r="K8693" s="128"/>
      <c r="X8693" s="234">
        <v>2022</v>
      </c>
      <c r="Y8693" s="234">
        <v>12</v>
      </c>
      <c r="Z8693" s="234">
        <v>29</v>
      </c>
      <c r="AA8693" s="235">
        <v>0.125</v>
      </c>
      <c r="AB8693" s="234">
        <v>-4.8</v>
      </c>
      <c r="AC8693" s="127">
        <f t="shared" si="150"/>
        <v>-5</v>
      </c>
    </row>
    <row r="8694" ht="14.5" customHeight="1" spans="11:29" x14ac:dyDescent="0.25">
      <c r="K8694" s="128"/>
      <c r="X8694" s="234">
        <v>2022</v>
      </c>
      <c r="Y8694" s="234">
        <v>12</v>
      </c>
      <c r="Z8694" s="234">
        <v>29</v>
      </c>
      <c r="AA8694" s="235">
        <v>0.16666666666787933</v>
      </c>
      <c r="AB8694" s="234">
        <v>-5</v>
      </c>
      <c r="AC8694" s="127">
        <f t="shared" si="150"/>
        <v>-5</v>
      </c>
    </row>
    <row r="8695" ht="14.5" customHeight="1" spans="11:29" x14ac:dyDescent="0.25">
      <c r="K8695" s="128"/>
      <c r="X8695" s="234">
        <v>2022</v>
      </c>
      <c r="Y8695" s="234">
        <v>12</v>
      </c>
      <c r="Z8695" s="234">
        <v>29</v>
      </c>
      <c r="AA8695" s="235">
        <v>0.20833333333212067</v>
      </c>
      <c r="AB8695" s="234">
        <v>-5.7</v>
      </c>
      <c r="AC8695" s="127">
        <f t="shared" si="150"/>
        <v>-6</v>
      </c>
    </row>
    <row r="8696" ht="14.5" customHeight="1" spans="11:29" x14ac:dyDescent="0.25">
      <c r="K8696" s="128"/>
      <c r="X8696" s="234">
        <v>2022</v>
      </c>
      <c r="Y8696" s="234">
        <v>12</v>
      </c>
      <c r="Z8696" s="234">
        <v>29</v>
      </c>
      <c r="AA8696" s="235">
        <v>0.25</v>
      </c>
      <c r="AB8696" s="234">
        <v>-7.1</v>
      </c>
      <c r="AC8696" s="127">
        <f t="shared" si="150"/>
        <v>-7</v>
      </c>
    </row>
    <row r="8697" ht="14.5" customHeight="1" spans="11:29" x14ac:dyDescent="0.25">
      <c r="K8697" s="128"/>
      <c r="X8697" s="234">
        <v>2022</v>
      </c>
      <c r="Y8697" s="234">
        <v>12</v>
      </c>
      <c r="Z8697" s="234">
        <v>29</v>
      </c>
      <c r="AA8697" s="235">
        <v>0.2916666666678793</v>
      </c>
      <c r="AB8697" s="234">
        <v>-7.4</v>
      </c>
      <c r="AC8697" s="127">
        <f t="shared" si="150"/>
        <v>-7</v>
      </c>
    </row>
    <row r="8698" ht="14.5" customHeight="1" spans="11:29" x14ac:dyDescent="0.25">
      <c r="K8698" s="128"/>
      <c r="X8698" s="234">
        <v>2022</v>
      </c>
      <c r="Y8698" s="234">
        <v>12</v>
      </c>
      <c r="Z8698" s="234">
        <v>29</v>
      </c>
      <c r="AA8698" s="235">
        <v>0.3333333333321207</v>
      </c>
      <c r="AB8698" s="234">
        <v>-7.3</v>
      </c>
      <c r="AC8698" s="127">
        <f t="shared" si="150"/>
        <v>-7</v>
      </c>
    </row>
    <row r="8699" ht="14.5" customHeight="1" spans="11:29" x14ac:dyDescent="0.25">
      <c r="K8699" s="128"/>
      <c r="X8699" s="234">
        <v>2022</v>
      </c>
      <c r="Y8699" s="234">
        <v>12</v>
      </c>
      <c r="Z8699" s="234">
        <v>29</v>
      </c>
      <c r="AA8699" s="235">
        <v>0.375</v>
      </c>
      <c r="AB8699" s="234">
        <v>-11.9</v>
      </c>
      <c r="AC8699" s="127">
        <f t="shared" si="150"/>
        <v>-12</v>
      </c>
    </row>
    <row r="8700" ht="14.5" customHeight="1" spans="11:29" x14ac:dyDescent="0.25">
      <c r="K8700" s="128"/>
      <c r="X8700" s="234">
        <v>2022</v>
      </c>
      <c r="Y8700" s="234">
        <v>12</v>
      </c>
      <c r="Z8700" s="234">
        <v>29</v>
      </c>
      <c r="AA8700" s="235">
        <v>0.4166666666678793</v>
      </c>
      <c r="AB8700" s="234">
        <v>-10.6</v>
      </c>
      <c r="AC8700" s="127">
        <f t="shared" si="150"/>
        <v>-11</v>
      </c>
    </row>
    <row r="8701" ht="14.5" customHeight="1" spans="11:29" x14ac:dyDescent="0.25">
      <c r="K8701" s="128"/>
      <c r="X8701" s="234">
        <v>2022</v>
      </c>
      <c r="Y8701" s="234">
        <v>12</v>
      </c>
      <c r="Z8701" s="234">
        <v>29</v>
      </c>
      <c r="AA8701" s="235">
        <v>0.4583333333321207</v>
      </c>
      <c r="AB8701" s="234">
        <v>-9.9</v>
      </c>
      <c r="AC8701" s="127">
        <f t="shared" si="150"/>
        <v>-10</v>
      </c>
    </row>
    <row r="8702" ht="14.5" customHeight="1" spans="11:29" x14ac:dyDescent="0.25">
      <c r="K8702" s="128"/>
      <c r="X8702" s="234">
        <v>2022</v>
      </c>
      <c r="Y8702" s="234">
        <v>12</v>
      </c>
      <c r="Z8702" s="234">
        <v>29</v>
      </c>
      <c r="AA8702" s="235">
        <v>0.5</v>
      </c>
      <c r="AB8702" s="234">
        <v>-6.3</v>
      </c>
      <c r="AC8702" s="127">
        <f t="shared" si="150"/>
        <v>-6</v>
      </c>
    </row>
    <row r="8703" ht="14.5" customHeight="1" spans="11:29" x14ac:dyDescent="0.25">
      <c r="K8703" s="128"/>
      <c r="X8703" s="234">
        <v>2022</v>
      </c>
      <c r="Y8703" s="234">
        <v>12</v>
      </c>
      <c r="Z8703" s="234">
        <v>29</v>
      </c>
      <c r="AA8703" s="235">
        <v>0.5416666666678793</v>
      </c>
      <c r="AB8703" s="234">
        <v>-5.3</v>
      </c>
      <c r="AC8703" s="127">
        <f t="shared" si="150"/>
        <v>-5</v>
      </c>
    </row>
    <row r="8704" ht="14.5" customHeight="1" spans="11:29" x14ac:dyDescent="0.25">
      <c r="K8704" s="128"/>
      <c r="X8704" s="234">
        <v>2022</v>
      </c>
      <c r="Y8704" s="234">
        <v>12</v>
      </c>
      <c r="Z8704" s="234">
        <v>29</v>
      </c>
      <c r="AA8704" s="235">
        <v>0.5833333333321207</v>
      </c>
      <c r="AB8704" s="234">
        <v>-4.4</v>
      </c>
      <c r="AC8704" s="127">
        <f t="shared" si="150"/>
        <v>-4</v>
      </c>
    </row>
    <row r="8705" ht="14.5" customHeight="1" spans="11:29" x14ac:dyDescent="0.25">
      <c r="K8705" s="128"/>
      <c r="X8705" s="234">
        <v>2022</v>
      </c>
      <c r="Y8705" s="234">
        <v>12</v>
      </c>
      <c r="Z8705" s="234">
        <v>29</v>
      </c>
      <c r="AA8705" s="235">
        <v>0.625</v>
      </c>
      <c r="AB8705" s="234">
        <v>-6.5</v>
      </c>
      <c r="AC8705" s="127">
        <f t="shared" si="150"/>
        <v>-7</v>
      </c>
    </row>
    <row r="8706" ht="14.5" customHeight="1" spans="11:29" x14ac:dyDescent="0.25">
      <c r="K8706" s="128"/>
      <c r="X8706" s="234">
        <v>2022</v>
      </c>
      <c r="Y8706" s="234">
        <v>12</v>
      </c>
      <c r="Z8706" s="234">
        <v>29</v>
      </c>
      <c r="AA8706" s="235">
        <v>0.6666666666678793</v>
      </c>
      <c r="AB8706" s="234">
        <v>-5.7</v>
      </c>
      <c r="AC8706" s="127">
        <f t="shared" si="150"/>
        <v>-6</v>
      </c>
    </row>
    <row r="8707" ht="14.5" customHeight="1" spans="11:29" x14ac:dyDescent="0.25">
      <c r="K8707" s="128"/>
      <c r="X8707" s="234">
        <v>2022</v>
      </c>
      <c r="Y8707" s="234">
        <v>12</v>
      </c>
      <c r="Z8707" s="234">
        <v>29</v>
      </c>
      <c r="AA8707" s="235">
        <v>0.7083333333321207</v>
      </c>
      <c r="AB8707" s="234">
        <v>-9.1</v>
      </c>
      <c r="AC8707" s="127">
        <f t="shared" si="150"/>
        <v>-9</v>
      </c>
    </row>
    <row r="8708" ht="14.5" customHeight="1" spans="11:29" x14ac:dyDescent="0.25">
      <c r="K8708" s="128"/>
      <c r="X8708" s="234">
        <v>2022</v>
      </c>
      <c r="Y8708" s="234">
        <v>12</v>
      </c>
      <c r="Z8708" s="234">
        <v>29</v>
      </c>
      <c r="AA8708" s="235">
        <v>0.75</v>
      </c>
      <c r="AB8708" s="234">
        <v>-9.3</v>
      </c>
      <c r="AC8708" s="127">
        <f t="shared" si="150"/>
        <v>-9</v>
      </c>
    </row>
    <row r="8709" ht="14.5" customHeight="1" spans="11:29" x14ac:dyDescent="0.25">
      <c r="K8709" s="128"/>
      <c r="X8709" s="234">
        <v>2022</v>
      </c>
      <c r="Y8709" s="234">
        <v>12</v>
      </c>
      <c r="Z8709" s="234">
        <v>29</v>
      </c>
      <c r="AA8709" s="235">
        <v>0.7916666666678793</v>
      </c>
      <c r="AB8709" s="234">
        <v>-8.2</v>
      </c>
      <c r="AC8709" s="127">
        <f t="shared" si="150"/>
        <v>-8</v>
      </c>
    </row>
    <row r="8710" ht="14.5" customHeight="1" spans="11:29" x14ac:dyDescent="0.25">
      <c r="K8710" s="128"/>
      <c r="X8710" s="234">
        <v>2022</v>
      </c>
      <c r="Y8710" s="234">
        <v>12</v>
      </c>
      <c r="Z8710" s="234">
        <v>29</v>
      </c>
      <c r="AA8710" s="235">
        <v>0.8333333333321207</v>
      </c>
      <c r="AB8710" s="234">
        <v>-8.2</v>
      </c>
      <c r="AC8710" s="127">
        <f t="shared" si="150"/>
        <v>-8</v>
      </c>
    </row>
    <row r="8711" ht="14.5" customHeight="1" spans="11:29" x14ac:dyDescent="0.25">
      <c r="K8711" s="128"/>
      <c r="X8711" s="234">
        <v>2022</v>
      </c>
      <c r="Y8711" s="234">
        <v>12</v>
      </c>
      <c r="Z8711" s="234">
        <v>29</v>
      </c>
      <c r="AA8711" s="235">
        <v>0.875</v>
      </c>
      <c r="AB8711" s="234">
        <v>-8.5</v>
      </c>
      <c r="AC8711" s="127">
        <f t="shared" si="150"/>
        <v>-9</v>
      </c>
    </row>
    <row r="8712" ht="14.5" customHeight="1" spans="11:29" x14ac:dyDescent="0.25">
      <c r="K8712" s="128"/>
      <c r="X8712" s="234">
        <v>2022</v>
      </c>
      <c r="Y8712" s="234">
        <v>12</v>
      </c>
      <c r="Z8712" s="234">
        <v>29</v>
      </c>
      <c r="AA8712" s="235">
        <v>0.9166666666678793</v>
      </c>
      <c r="AB8712" s="234">
        <v>-9.1</v>
      </c>
      <c r="AC8712" s="127">
        <f t="shared" si="150"/>
        <v>-9</v>
      </c>
    </row>
    <row r="8713" ht="14.5" customHeight="1" spans="11:29" x14ac:dyDescent="0.25">
      <c r="K8713" s="128"/>
      <c r="X8713" s="234">
        <v>2022</v>
      </c>
      <c r="Y8713" s="234">
        <v>12</v>
      </c>
      <c r="Z8713" s="234">
        <v>29</v>
      </c>
      <c r="AA8713" s="235">
        <v>0.9583333333321207</v>
      </c>
      <c r="AB8713" s="234">
        <v>-6.1</v>
      </c>
      <c r="AC8713" s="127">
        <f t="shared" si="150"/>
        <v>-6</v>
      </c>
    </row>
    <row r="8714" ht="14.5" customHeight="1" spans="11:29" x14ac:dyDescent="0.25">
      <c r="K8714" s="128"/>
      <c r="X8714" s="234">
        <v>2022</v>
      </c>
      <c r="Y8714" s="234">
        <v>12</v>
      </c>
      <c r="Z8714" s="234">
        <v>30</v>
      </c>
      <c r="AA8714" s="235">
        <v>0</v>
      </c>
      <c r="AB8714" s="234">
        <v>-6</v>
      </c>
      <c r="AC8714" s="127">
        <f t="shared" si="150"/>
        <v>-6</v>
      </c>
    </row>
    <row r="8715" ht="14.5" customHeight="1" spans="11:29" x14ac:dyDescent="0.25">
      <c r="K8715" s="128"/>
      <c r="X8715" s="234">
        <v>2022</v>
      </c>
      <c r="Y8715" s="234">
        <v>12</v>
      </c>
      <c r="Z8715" s="234">
        <v>30</v>
      </c>
      <c r="AA8715" s="235">
        <v>0.041666666667879326</v>
      </c>
      <c r="AB8715" s="234">
        <v>-5.1</v>
      </c>
      <c r="AC8715" s="127">
        <f t="shared" ref="AC8715:AC8761" si="151">ROUND(AB8715,0)</f>
        <v>-5</v>
      </c>
    </row>
    <row r="8716" ht="14.5" customHeight="1" spans="11:29" x14ac:dyDescent="0.25">
      <c r="K8716" s="128"/>
      <c r="X8716" s="234">
        <v>2022</v>
      </c>
      <c r="Y8716" s="234">
        <v>12</v>
      </c>
      <c r="Z8716" s="234">
        <v>30</v>
      </c>
      <c r="AA8716" s="235">
        <v>0.08333333333212067</v>
      </c>
      <c r="AB8716" s="234">
        <v>-2.5</v>
      </c>
      <c r="AC8716" s="127">
        <f t="shared" si="151"/>
        <v>-3</v>
      </c>
    </row>
    <row r="8717" ht="14.5" customHeight="1" spans="11:29" x14ac:dyDescent="0.25">
      <c r="K8717" s="128"/>
      <c r="X8717" s="234">
        <v>2022</v>
      </c>
      <c r="Y8717" s="234">
        <v>12</v>
      </c>
      <c r="Z8717" s="234">
        <v>30</v>
      </c>
      <c r="AA8717" s="235">
        <v>0.125</v>
      </c>
      <c r="AB8717" s="234">
        <v>-4.1</v>
      </c>
      <c r="AC8717" s="127">
        <f t="shared" si="151"/>
        <v>-4</v>
      </c>
    </row>
    <row r="8718" ht="14.5" customHeight="1" spans="11:29" x14ac:dyDescent="0.25">
      <c r="K8718" s="128"/>
      <c r="X8718" s="234">
        <v>2022</v>
      </c>
      <c r="Y8718" s="234">
        <v>12</v>
      </c>
      <c r="Z8718" s="234">
        <v>30</v>
      </c>
      <c r="AA8718" s="235">
        <v>0.16666666666787933</v>
      </c>
      <c r="AB8718" s="234">
        <v>-1.4</v>
      </c>
      <c r="AC8718" s="127">
        <f t="shared" si="151"/>
        <v>-1</v>
      </c>
    </row>
    <row r="8719" ht="14.5" customHeight="1" spans="11:29" x14ac:dyDescent="0.25">
      <c r="K8719" s="128"/>
      <c r="X8719" s="234">
        <v>2022</v>
      </c>
      <c r="Y8719" s="234">
        <v>12</v>
      </c>
      <c r="Z8719" s="234">
        <v>30</v>
      </c>
      <c r="AA8719" s="235">
        <v>0.20833333333212067</v>
      </c>
      <c r="AB8719" s="234">
        <v>-2.9</v>
      </c>
      <c r="AC8719" s="127">
        <f t="shared" si="151"/>
        <v>-3</v>
      </c>
    </row>
    <row r="8720" ht="14.5" customHeight="1" spans="11:29" x14ac:dyDescent="0.25">
      <c r="K8720" s="128"/>
      <c r="X8720" s="234">
        <v>2022</v>
      </c>
      <c r="Y8720" s="234">
        <v>12</v>
      </c>
      <c r="Z8720" s="234">
        <v>30</v>
      </c>
      <c r="AA8720" s="235">
        <v>0.25</v>
      </c>
      <c r="AB8720" s="234">
        <v>-6.7</v>
      </c>
      <c r="AC8720" s="127">
        <f t="shared" si="151"/>
        <v>-7</v>
      </c>
    </row>
    <row r="8721" ht="14.5" customHeight="1" spans="11:29" x14ac:dyDescent="0.25">
      <c r="K8721" s="128"/>
      <c r="X8721" s="234">
        <v>2022</v>
      </c>
      <c r="Y8721" s="234">
        <v>12</v>
      </c>
      <c r="Z8721" s="234">
        <v>30</v>
      </c>
      <c r="AA8721" s="235">
        <v>0.2916666666678793</v>
      </c>
      <c r="AB8721" s="234">
        <v>-5.7</v>
      </c>
      <c r="AC8721" s="127">
        <f t="shared" si="151"/>
        <v>-6</v>
      </c>
    </row>
    <row r="8722" ht="14.5" customHeight="1" spans="11:29" x14ac:dyDescent="0.25">
      <c r="K8722" s="128"/>
      <c r="X8722" s="234">
        <v>2022</v>
      </c>
      <c r="Y8722" s="234">
        <v>12</v>
      </c>
      <c r="Z8722" s="234">
        <v>30</v>
      </c>
      <c r="AA8722" s="235">
        <v>0.3333333333321207</v>
      </c>
      <c r="AB8722" s="234">
        <v>-5.7</v>
      </c>
      <c r="AC8722" s="127">
        <f t="shared" si="151"/>
        <v>-6</v>
      </c>
    </row>
    <row r="8723" ht="14.5" customHeight="1" spans="11:29" x14ac:dyDescent="0.25">
      <c r="K8723" s="128"/>
      <c r="X8723" s="234">
        <v>2022</v>
      </c>
      <c r="Y8723" s="234">
        <v>12</v>
      </c>
      <c r="Z8723" s="234">
        <v>30</v>
      </c>
      <c r="AA8723" s="235">
        <v>0.375</v>
      </c>
      <c r="AB8723" s="234">
        <v>-6.2</v>
      </c>
      <c r="AC8723" s="127">
        <f t="shared" si="151"/>
        <v>-6</v>
      </c>
    </row>
    <row r="8724" ht="14.5" customHeight="1" spans="11:29" x14ac:dyDescent="0.25">
      <c r="K8724" s="128"/>
      <c r="X8724" s="234">
        <v>2022</v>
      </c>
      <c r="Y8724" s="234">
        <v>12</v>
      </c>
      <c r="Z8724" s="234">
        <v>30</v>
      </c>
      <c r="AA8724" s="235">
        <v>0.4166666666678793</v>
      </c>
      <c r="AB8724" s="234">
        <v>-5.6</v>
      </c>
      <c r="AC8724" s="127">
        <f t="shared" si="151"/>
        <v>-6</v>
      </c>
    </row>
    <row r="8725" ht="14.5" customHeight="1" spans="11:29" x14ac:dyDescent="0.25">
      <c r="K8725" s="128"/>
      <c r="X8725" s="234">
        <v>2022</v>
      </c>
      <c r="Y8725" s="234">
        <v>12</v>
      </c>
      <c r="Z8725" s="234">
        <v>30</v>
      </c>
      <c r="AA8725" s="235">
        <v>0.4583333333321207</v>
      </c>
      <c r="AB8725" s="234">
        <v>-6.9</v>
      </c>
      <c r="AC8725" s="127">
        <f t="shared" si="151"/>
        <v>-7</v>
      </c>
    </row>
    <row r="8726" ht="14.5" customHeight="1" spans="11:29" x14ac:dyDescent="0.25">
      <c r="K8726" s="128"/>
      <c r="X8726" s="234">
        <v>2022</v>
      </c>
      <c r="Y8726" s="234">
        <v>12</v>
      </c>
      <c r="Z8726" s="234">
        <v>30</v>
      </c>
      <c r="AA8726" s="235">
        <v>0.5</v>
      </c>
      <c r="AB8726" s="234">
        <v>-2.6</v>
      </c>
      <c r="AC8726" s="127">
        <f t="shared" si="151"/>
        <v>-3</v>
      </c>
    </row>
    <row r="8727" ht="14.5" customHeight="1" spans="11:29" x14ac:dyDescent="0.25">
      <c r="K8727" s="128"/>
      <c r="X8727" s="234">
        <v>2022</v>
      </c>
      <c r="Y8727" s="234">
        <v>12</v>
      </c>
      <c r="Z8727" s="234">
        <v>30</v>
      </c>
      <c r="AA8727" s="235">
        <v>0.5416666666678793</v>
      </c>
      <c r="AB8727" s="234">
        <v>-0.6</v>
      </c>
      <c r="AC8727" s="127">
        <f t="shared" si="151"/>
        <v>-1</v>
      </c>
    </row>
    <row r="8728" ht="14.5" customHeight="1" spans="11:29" x14ac:dyDescent="0.25">
      <c r="K8728" s="128"/>
      <c r="X8728" s="234">
        <v>2022</v>
      </c>
      <c r="Y8728" s="234">
        <v>12</v>
      </c>
      <c r="Z8728" s="234">
        <v>30</v>
      </c>
      <c r="AA8728" s="235">
        <v>0.5833333333321207</v>
      </c>
      <c r="AB8728" s="234">
        <v>1.2</v>
      </c>
      <c r="AC8728" s="127">
        <f t="shared" si="151"/>
        <v>1</v>
      </c>
    </row>
    <row r="8729" ht="14.5" customHeight="1" spans="11:29" x14ac:dyDescent="0.25">
      <c r="K8729" s="128"/>
      <c r="X8729" s="234">
        <v>2022</v>
      </c>
      <c r="Y8729" s="234">
        <v>12</v>
      </c>
      <c r="Z8729" s="234">
        <v>30</v>
      </c>
      <c r="AA8729" s="235">
        <v>0.625</v>
      </c>
      <c r="AB8729" s="234">
        <v>-0.1</v>
      </c>
      <c r="AC8729" s="127">
        <f t="shared" si="151"/>
        <v>0</v>
      </c>
    </row>
    <row r="8730" ht="14.5" customHeight="1" spans="11:29" x14ac:dyDescent="0.25">
      <c r="K8730" s="128"/>
      <c r="X8730" s="234">
        <v>2022</v>
      </c>
      <c r="Y8730" s="234">
        <v>12</v>
      </c>
      <c r="Z8730" s="234">
        <v>30</v>
      </c>
      <c r="AA8730" s="235">
        <v>0.6666666666678793</v>
      </c>
      <c r="AB8730" s="234">
        <v>-1.6</v>
      </c>
      <c r="AC8730" s="127">
        <f t="shared" si="151"/>
        <v>-2</v>
      </c>
    </row>
    <row r="8731" ht="14.5" customHeight="1" spans="11:29" x14ac:dyDescent="0.25">
      <c r="K8731" s="128"/>
      <c r="X8731" s="234">
        <v>2022</v>
      </c>
      <c r="Y8731" s="234">
        <v>12</v>
      </c>
      <c r="Z8731" s="234">
        <v>30</v>
      </c>
      <c r="AA8731" s="235">
        <v>0.7083333333321207</v>
      </c>
      <c r="AB8731" s="234">
        <v>-1.6</v>
      </c>
      <c r="AC8731" s="127">
        <f t="shared" si="151"/>
        <v>-2</v>
      </c>
    </row>
    <row r="8732" ht="14.5" customHeight="1" spans="11:29" x14ac:dyDescent="0.25">
      <c r="K8732" s="128"/>
      <c r="X8732" s="234">
        <v>2022</v>
      </c>
      <c r="Y8732" s="234">
        <v>12</v>
      </c>
      <c r="Z8732" s="234">
        <v>30</v>
      </c>
      <c r="AA8732" s="235">
        <v>0.75</v>
      </c>
      <c r="AB8732" s="234">
        <v>-1.2</v>
      </c>
      <c r="AC8732" s="127">
        <f t="shared" si="151"/>
        <v>-1</v>
      </c>
    </row>
    <row r="8733" ht="14.5" customHeight="1" spans="11:29" x14ac:dyDescent="0.25">
      <c r="K8733" s="128"/>
      <c r="X8733" s="234">
        <v>2022</v>
      </c>
      <c r="Y8733" s="234">
        <v>12</v>
      </c>
      <c r="Z8733" s="234">
        <v>30</v>
      </c>
      <c r="AA8733" s="235">
        <v>0.7916666666678793</v>
      </c>
      <c r="AB8733" s="234">
        <v>-0.6</v>
      </c>
      <c r="AC8733" s="127">
        <f t="shared" si="151"/>
        <v>-1</v>
      </c>
    </row>
    <row r="8734" ht="14.5" customHeight="1" spans="11:29" x14ac:dyDescent="0.25">
      <c r="K8734" s="128"/>
      <c r="X8734" s="234">
        <v>2022</v>
      </c>
      <c r="Y8734" s="234">
        <v>12</v>
      </c>
      <c r="Z8734" s="234">
        <v>30</v>
      </c>
      <c r="AA8734" s="235">
        <v>0.8333333333321207</v>
      </c>
      <c r="AB8734" s="234">
        <v>-1.9</v>
      </c>
      <c r="AC8734" s="127">
        <f t="shared" si="151"/>
        <v>-2</v>
      </c>
    </row>
    <row r="8735" ht="14.5" customHeight="1" spans="11:29" x14ac:dyDescent="0.25">
      <c r="K8735" s="128"/>
      <c r="X8735" s="234">
        <v>2022</v>
      </c>
      <c r="Y8735" s="234">
        <v>12</v>
      </c>
      <c r="Z8735" s="234">
        <v>30</v>
      </c>
      <c r="AA8735" s="235">
        <v>0.875</v>
      </c>
      <c r="AB8735" s="234">
        <v>-0.9</v>
      </c>
      <c r="AC8735" s="127">
        <f t="shared" si="151"/>
        <v>-1</v>
      </c>
    </row>
    <row r="8736" ht="14.5" customHeight="1" spans="11:29" x14ac:dyDescent="0.25">
      <c r="K8736" s="128"/>
      <c r="X8736" s="234">
        <v>2022</v>
      </c>
      <c r="Y8736" s="234">
        <v>12</v>
      </c>
      <c r="Z8736" s="234">
        <v>30</v>
      </c>
      <c r="AA8736" s="235">
        <v>0.9166666666678793</v>
      </c>
      <c r="AB8736" s="234">
        <v>-1.3</v>
      </c>
      <c r="AC8736" s="127">
        <f t="shared" si="151"/>
        <v>-1</v>
      </c>
    </row>
    <row r="8737" ht="14.5" customHeight="1" spans="11:29" x14ac:dyDescent="0.25">
      <c r="K8737" s="128"/>
      <c r="X8737" s="234">
        <v>2022</v>
      </c>
      <c r="Y8737" s="234">
        <v>12</v>
      </c>
      <c r="Z8737" s="234">
        <v>30</v>
      </c>
      <c r="AA8737" s="235">
        <v>0.9583333333321207</v>
      </c>
      <c r="AB8737" s="234">
        <v>-3.3</v>
      </c>
      <c r="AC8737" s="127">
        <f t="shared" si="151"/>
        <v>-3</v>
      </c>
    </row>
    <row r="8738" ht="14.5" customHeight="1" spans="11:29" x14ac:dyDescent="0.25">
      <c r="K8738" s="128"/>
      <c r="X8738" s="234">
        <v>2022</v>
      </c>
      <c r="Y8738" s="234">
        <v>12</v>
      </c>
      <c r="Z8738" s="234">
        <v>31</v>
      </c>
      <c r="AA8738" s="235">
        <v>0</v>
      </c>
      <c r="AB8738" s="234">
        <v>-3</v>
      </c>
      <c r="AC8738" s="127">
        <f t="shared" si="151"/>
        <v>-3</v>
      </c>
    </row>
    <row r="8739" ht="14.5" customHeight="1" spans="11:29" x14ac:dyDescent="0.25">
      <c r="K8739" s="128"/>
      <c r="X8739" s="234">
        <v>2022</v>
      </c>
      <c r="Y8739" s="234">
        <v>12</v>
      </c>
      <c r="Z8739" s="234">
        <v>31</v>
      </c>
      <c r="AA8739" s="235">
        <v>0.041666666667879326</v>
      </c>
      <c r="AB8739" s="234">
        <v>-3.4</v>
      </c>
      <c r="AC8739" s="127">
        <f t="shared" si="151"/>
        <v>-3</v>
      </c>
    </row>
    <row r="8740" ht="14.5" customHeight="1" spans="11:29" x14ac:dyDescent="0.25">
      <c r="K8740" s="128"/>
      <c r="X8740" s="234">
        <v>2022</v>
      </c>
      <c r="Y8740" s="234">
        <v>12</v>
      </c>
      <c r="Z8740" s="234">
        <v>31</v>
      </c>
      <c r="AA8740" s="235">
        <v>0.08333333333212067</v>
      </c>
      <c r="AB8740" s="234">
        <v>-4.2</v>
      </c>
      <c r="AC8740" s="127">
        <f t="shared" si="151"/>
        <v>-4</v>
      </c>
    </row>
    <row r="8741" ht="14.5" customHeight="1" spans="11:29" x14ac:dyDescent="0.25">
      <c r="K8741" s="128"/>
      <c r="X8741" s="234">
        <v>2022</v>
      </c>
      <c r="Y8741" s="234">
        <v>12</v>
      </c>
      <c r="Z8741" s="234">
        <v>31</v>
      </c>
      <c r="AA8741" s="235">
        <v>0.125</v>
      </c>
      <c r="AB8741" s="234">
        <v>-2.8</v>
      </c>
      <c r="AC8741" s="127">
        <f t="shared" si="151"/>
        <v>-3</v>
      </c>
    </row>
    <row r="8742" ht="14.5" customHeight="1" spans="11:29" x14ac:dyDescent="0.25">
      <c r="K8742" s="128"/>
      <c r="X8742" s="234">
        <v>2022</v>
      </c>
      <c r="Y8742" s="234">
        <v>12</v>
      </c>
      <c r="Z8742" s="234">
        <v>31</v>
      </c>
      <c r="AA8742" s="235">
        <v>0.16666666666787933</v>
      </c>
      <c r="AB8742" s="234">
        <v>-7.2</v>
      </c>
      <c r="AC8742" s="127">
        <f t="shared" si="151"/>
        <v>-7</v>
      </c>
    </row>
    <row r="8743" ht="14.5" customHeight="1" spans="11:29" x14ac:dyDescent="0.25">
      <c r="K8743" s="128"/>
      <c r="X8743" s="234">
        <v>2022</v>
      </c>
      <c r="Y8743" s="234">
        <v>12</v>
      </c>
      <c r="Z8743" s="234">
        <v>31</v>
      </c>
      <c r="AA8743" s="235">
        <v>0.20833333333212067</v>
      </c>
      <c r="AB8743" s="234">
        <v>-8.8</v>
      </c>
      <c r="AC8743" s="127">
        <f t="shared" si="151"/>
        <v>-9</v>
      </c>
    </row>
    <row r="8744" ht="14.5" customHeight="1" spans="11:29" x14ac:dyDescent="0.25">
      <c r="K8744" s="128"/>
      <c r="X8744" s="234">
        <v>2022</v>
      </c>
      <c r="Y8744" s="234">
        <v>12</v>
      </c>
      <c r="Z8744" s="234">
        <v>31</v>
      </c>
      <c r="AA8744" s="235">
        <v>0.25</v>
      </c>
      <c r="AB8744" s="234">
        <v>-7.9</v>
      </c>
      <c r="AC8744" s="127">
        <f t="shared" si="151"/>
        <v>-8</v>
      </c>
    </row>
    <row r="8745" ht="14.5" customHeight="1" spans="11:29" x14ac:dyDescent="0.25">
      <c r="K8745" s="128"/>
      <c r="X8745" s="234">
        <v>2022</v>
      </c>
      <c r="Y8745" s="234">
        <v>12</v>
      </c>
      <c r="Z8745" s="234">
        <v>31</v>
      </c>
      <c r="AA8745" s="235">
        <v>0.2916666666678793</v>
      </c>
      <c r="AB8745" s="234">
        <v>-8.3</v>
      </c>
      <c r="AC8745" s="127">
        <f t="shared" si="151"/>
        <v>-8</v>
      </c>
    </row>
    <row r="8746" ht="14.5" customHeight="1" spans="11:29" x14ac:dyDescent="0.25">
      <c r="K8746" s="128"/>
      <c r="X8746" s="234">
        <v>2022</v>
      </c>
      <c r="Y8746" s="234">
        <v>12</v>
      </c>
      <c r="Z8746" s="234">
        <v>31</v>
      </c>
      <c r="AA8746" s="235">
        <v>0.3333333333321207</v>
      </c>
      <c r="AB8746" s="234">
        <v>-10.8</v>
      </c>
      <c r="AC8746" s="127">
        <f t="shared" si="151"/>
        <v>-11</v>
      </c>
    </row>
    <row r="8747" ht="14.5" customHeight="1" spans="11:29" x14ac:dyDescent="0.25">
      <c r="K8747" s="128"/>
      <c r="X8747" s="234">
        <v>2022</v>
      </c>
      <c r="Y8747" s="234">
        <v>12</v>
      </c>
      <c r="Z8747" s="234">
        <v>31</v>
      </c>
      <c r="AA8747" s="235">
        <v>0.375</v>
      </c>
      <c r="AB8747" s="234">
        <v>-11.3</v>
      </c>
      <c r="AC8747" s="127">
        <f t="shared" si="151"/>
        <v>-11</v>
      </c>
    </row>
    <row r="8748" ht="14.5" customHeight="1" spans="11:29" x14ac:dyDescent="0.25">
      <c r="K8748" s="128"/>
      <c r="X8748" s="234">
        <v>2022</v>
      </c>
      <c r="Y8748" s="234">
        <v>12</v>
      </c>
      <c r="Z8748" s="234">
        <v>31</v>
      </c>
      <c r="AA8748" s="235">
        <v>0.4166666666678793</v>
      </c>
      <c r="AB8748" s="234">
        <v>-8.1</v>
      </c>
      <c r="AC8748" s="127">
        <f t="shared" si="151"/>
        <v>-8</v>
      </c>
    </row>
    <row r="8749" ht="14.5" customHeight="1" spans="11:29" x14ac:dyDescent="0.25">
      <c r="K8749" s="128"/>
      <c r="X8749" s="234">
        <v>2022</v>
      </c>
      <c r="Y8749" s="234">
        <v>12</v>
      </c>
      <c r="Z8749" s="234">
        <v>31</v>
      </c>
      <c r="AA8749" s="235">
        <v>0.4583333333321207</v>
      </c>
      <c r="AB8749" s="234">
        <v>-6</v>
      </c>
      <c r="AC8749" s="127">
        <f t="shared" si="151"/>
        <v>-6</v>
      </c>
    </row>
    <row r="8750" ht="14.5" customHeight="1" spans="11:29" x14ac:dyDescent="0.25">
      <c r="K8750" s="128"/>
      <c r="X8750" s="234">
        <v>2022</v>
      </c>
      <c r="Y8750" s="234">
        <v>12</v>
      </c>
      <c r="Z8750" s="234">
        <v>31</v>
      </c>
      <c r="AA8750" s="235">
        <v>0.5</v>
      </c>
      <c r="AB8750" s="234">
        <v>-3.4</v>
      </c>
      <c r="AC8750" s="127">
        <f t="shared" si="151"/>
        <v>-3</v>
      </c>
    </row>
    <row r="8751" ht="14.5" customHeight="1" spans="11:29" x14ac:dyDescent="0.25">
      <c r="K8751" s="128"/>
      <c r="X8751" s="234">
        <v>2022</v>
      </c>
      <c r="Y8751" s="234">
        <v>12</v>
      </c>
      <c r="Z8751" s="234">
        <v>31</v>
      </c>
      <c r="AA8751" s="235">
        <v>0.5416666666678793</v>
      </c>
      <c r="AB8751" s="234">
        <v>-0.7</v>
      </c>
      <c r="AC8751" s="127">
        <f t="shared" si="151"/>
        <v>-1</v>
      </c>
    </row>
    <row r="8752" ht="14.5" customHeight="1" spans="11:29" x14ac:dyDescent="0.25">
      <c r="K8752" s="128"/>
      <c r="X8752" s="234">
        <v>2022</v>
      </c>
      <c r="Y8752" s="234">
        <v>12</v>
      </c>
      <c r="Z8752" s="234">
        <v>31</v>
      </c>
      <c r="AA8752" s="235">
        <v>0.5833333333321207</v>
      </c>
      <c r="AB8752" s="234">
        <v>-1.9</v>
      </c>
      <c r="AC8752" s="127">
        <f t="shared" si="151"/>
        <v>-2</v>
      </c>
    </row>
    <row r="8753" ht="14.5" customHeight="1" spans="11:29" x14ac:dyDescent="0.25">
      <c r="K8753" s="128"/>
      <c r="X8753" s="234">
        <v>2022</v>
      </c>
      <c r="Y8753" s="234">
        <v>12</v>
      </c>
      <c r="Z8753" s="234">
        <v>31</v>
      </c>
      <c r="AA8753" s="235">
        <v>0.625</v>
      </c>
      <c r="AB8753" s="234">
        <v>-1.8</v>
      </c>
      <c r="AC8753" s="127">
        <f t="shared" si="151"/>
        <v>-2</v>
      </c>
    </row>
    <row r="8754" ht="14.5" customHeight="1" spans="11:29" x14ac:dyDescent="0.25">
      <c r="K8754" s="128"/>
      <c r="X8754" s="234">
        <v>2022</v>
      </c>
      <c r="Y8754" s="234">
        <v>12</v>
      </c>
      <c r="Z8754" s="234">
        <v>31</v>
      </c>
      <c r="AA8754" s="235">
        <v>0.6666666666678793</v>
      </c>
      <c r="AB8754" s="234">
        <v>-4.5</v>
      </c>
      <c r="AC8754" s="127">
        <f t="shared" si="151"/>
        <v>-5</v>
      </c>
    </row>
    <row r="8755" ht="14.5" customHeight="1" spans="11:29" x14ac:dyDescent="0.25">
      <c r="K8755" s="128"/>
      <c r="X8755" s="234">
        <v>2022</v>
      </c>
      <c r="Y8755" s="234">
        <v>12</v>
      </c>
      <c r="Z8755" s="234">
        <v>31</v>
      </c>
      <c r="AA8755" s="235">
        <v>0.7083333333321207</v>
      </c>
      <c r="AB8755" s="234">
        <v>-5.8</v>
      </c>
      <c r="AC8755" s="127">
        <f t="shared" si="151"/>
        <v>-6</v>
      </c>
    </row>
    <row r="8756" ht="14.5" customHeight="1" spans="11:29" x14ac:dyDescent="0.25">
      <c r="K8756" s="128"/>
      <c r="X8756" s="234">
        <v>2022</v>
      </c>
      <c r="Y8756" s="234">
        <v>12</v>
      </c>
      <c r="Z8756" s="234">
        <v>31</v>
      </c>
      <c r="AA8756" s="235">
        <v>0.75</v>
      </c>
      <c r="AB8756" s="234">
        <v>-7.7</v>
      </c>
      <c r="AC8756" s="127">
        <f t="shared" si="151"/>
        <v>-8</v>
      </c>
    </row>
    <row r="8757" ht="14.5" customHeight="1" spans="11:29" x14ac:dyDescent="0.25">
      <c r="K8757" s="128"/>
      <c r="X8757" s="234">
        <v>2022</v>
      </c>
      <c r="Y8757" s="234">
        <v>12</v>
      </c>
      <c r="Z8757" s="234">
        <v>31</v>
      </c>
      <c r="AA8757" s="235">
        <v>0.7916666666678793</v>
      </c>
      <c r="AB8757" s="234">
        <v>-6.7</v>
      </c>
      <c r="AC8757" s="127">
        <f t="shared" si="151"/>
        <v>-7</v>
      </c>
    </row>
    <row r="8758" ht="14.5" customHeight="1" spans="11:29" x14ac:dyDescent="0.25">
      <c r="K8758" s="128"/>
      <c r="X8758" s="234">
        <v>2022</v>
      </c>
      <c r="Y8758" s="234">
        <v>12</v>
      </c>
      <c r="Z8758" s="234">
        <v>31</v>
      </c>
      <c r="AA8758" s="235">
        <v>0.8333333333321207</v>
      </c>
      <c r="AB8758" s="234">
        <v>-6.4</v>
      </c>
      <c r="AC8758" s="127">
        <f t="shared" si="151"/>
        <v>-6</v>
      </c>
    </row>
    <row r="8759" ht="14.5" customHeight="1" spans="11:29" x14ac:dyDescent="0.25">
      <c r="K8759" s="128"/>
      <c r="X8759" s="234">
        <v>2022</v>
      </c>
      <c r="Y8759" s="234">
        <v>12</v>
      </c>
      <c r="Z8759" s="234">
        <v>31</v>
      </c>
      <c r="AA8759" s="235">
        <v>0.875</v>
      </c>
      <c r="AB8759" s="234">
        <v>-6.2</v>
      </c>
      <c r="AC8759" s="127">
        <f t="shared" si="151"/>
        <v>-6</v>
      </c>
    </row>
    <row r="8760" ht="14.5" customHeight="1" spans="11:29" x14ac:dyDescent="0.25">
      <c r="K8760" s="128"/>
      <c r="X8760" s="234">
        <v>2022</v>
      </c>
      <c r="Y8760" s="234">
        <v>12</v>
      </c>
      <c r="Z8760" s="234">
        <v>31</v>
      </c>
      <c r="AA8760" s="235">
        <v>0.9166666666678793</v>
      </c>
      <c r="AB8760" s="234">
        <v>-4.7</v>
      </c>
      <c r="AC8760" s="127">
        <f t="shared" si="151"/>
        <v>-5</v>
      </c>
    </row>
    <row r="8761" ht="14.5" customHeight="1" spans="11:29" x14ac:dyDescent="0.25">
      <c r="K8761" s="128"/>
      <c r="X8761" s="234">
        <v>2022</v>
      </c>
      <c r="Y8761" s="234">
        <v>12</v>
      </c>
      <c r="Z8761" s="234">
        <v>31</v>
      </c>
      <c r="AA8761" s="235">
        <v>0.9583333333321207</v>
      </c>
      <c r="AB8761" s="234">
        <v>-3.1</v>
      </c>
      <c r="AC8761" s="127">
        <f t="shared" si="151"/>
        <v>-3</v>
      </c>
    </row>
    <row r="8762" ht="14.5" customHeight="1" spans="11:28" x14ac:dyDescent="0.25">
      <c r="K8762" s="128"/>
      <c r="X8762" s="234"/>
      <c r="Y8762" s="234"/>
      <c r="Z8762" s="234"/>
      <c r="AA8762" s="235"/>
      <c r="AB8762" s="234"/>
    </row>
    <row r="8763" ht="14.5" customHeight="1" spans="11:28" x14ac:dyDescent="0.25">
      <c r="K8763" s="128"/>
      <c r="X8763" s="234"/>
      <c r="Y8763" s="234"/>
      <c r="Z8763" s="234"/>
      <c r="AA8763" s="235"/>
      <c r="AB8763" s="234"/>
    </row>
    <row r="8764" ht="14.5" customHeight="1" spans="11:28" x14ac:dyDescent="0.25">
      <c r="K8764" s="128"/>
      <c r="X8764" s="234"/>
      <c r="Y8764" s="234"/>
      <c r="Z8764" s="234"/>
      <c r="AA8764" s="235"/>
      <c r="AB8764" s="234"/>
    </row>
    <row r="8765" ht="14.5" customHeight="1" spans="11:28" x14ac:dyDescent="0.25">
      <c r="K8765" s="128"/>
      <c r="X8765" s="234"/>
      <c r="Y8765" s="234"/>
      <c r="Z8765" s="234"/>
      <c r="AA8765" s="235"/>
      <c r="AB8765" s="234"/>
    </row>
    <row r="8766" ht="14.5" customHeight="1" spans="11:28" x14ac:dyDescent="0.25">
      <c r="K8766" s="128"/>
      <c r="X8766" s="234"/>
      <c r="Y8766" s="234"/>
      <c r="Z8766" s="234"/>
      <c r="AA8766" s="235"/>
      <c r="AB8766" s="234"/>
    </row>
    <row r="8767" ht="14.5" customHeight="1" spans="11:28" x14ac:dyDescent="0.25">
      <c r="K8767" s="128"/>
      <c r="X8767" s="234"/>
      <c r="Y8767" s="234"/>
      <c r="Z8767" s="234"/>
      <c r="AA8767" s="235"/>
      <c r="AB8767" s="234"/>
    </row>
    <row r="8768" ht="14.5" customHeight="1" spans="11:28" x14ac:dyDescent="0.25">
      <c r="K8768" s="128"/>
      <c r="X8768" s="234"/>
      <c r="Y8768" s="234"/>
      <c r="Z8768" s="234"/>
      <c r="AA8768" s="235"/>
      <c r="AB8768" s="234"/>
    </row>
    <row r="8769" ht="14.5" customHeight="1" spans="11:28" x14ac:dyDescent="0.25">
      <c r="K8769" s="128"/>
      <c r="X8769" s="234"/>
      <c r="Y8769" s="234"/>
      <c r="Z8769" s="234"/>
      <c r="AA8769" s="235"/>
      <c r="AB8769" s="234"/>
    </row>
    <row r="8770" ht="14.5" customHeight="1" spans="11:28" x14ac:dyDescent="0.25">
      <c r="K8770" s="128"/>
      <c r="X8770" s="234"/>
      <c r="Y8770" s="234"/>
      <c r="Z8770" s="234"/>
      <c r="AA8770" s="235"/>
      <c r="AB8770" s="234"/>
    </row>
    <row r="8771" ht="14.5" customHeight="1" spans="11:28" x14ac:dyDescent="0.25">
      <c r="K8771" s="128"/>
      <c r="X8771" s="234"/>
      <c r="Y8771" s="234"/>
      <c r="Z8771" s="234"/>
      <c r="AA8771" s="235"/>
      <c r="AB8771" s="234"/>
    </row>
    <row r="8772" ht="14.5" customHeight="1" spans="11:28" x14ac:dyDescent="0.25">
      <c r="K8772" s="128"/>
      <c r="X8772" s="234"/>
      <c r="Y8772" s="234"/>
      <c r="Z8772" s="234"/>
      <c r="AA8772" s="235"/>
      <c r="AB8772" s="234"/>
    </row>
    <row r="8773" ht="14.5" customHeight="1" spans="11:28" x14ac:dyDescent="0.25">
      <c r="K8773" s="128"/>
      <c r="X8773" s="234"/>
      <c r="Y8773" s="234"/>
      <c r="Z8773" s="234"/>
      <c r="AA8773" s="235"/>
      <c r="AB8773" s="234"/>
    </row>
    <row r="8774" ht="14.5" customHeight="1" spans="11:28" x14ac:dyDescent="0.25">
      <c r="K8774" s="128"/>
      <c r="X8774" s="234"/>
      <c r="Y8774" s="234"/>
      <c r="Z8774" s="234"/>
      <c r="AA8774" s="235"/>
      <c r="AB8774" s="234"/>
    </row>
    <row r="8775" ht="14.5" customHeight="1" spans="11:28" x14ac:dyDescent="0.25">
      <c r="K8775" s="128"/>
      <c r="X8775" s="234"/>
      <c r="Y8775" s="234"/>
      <c r="Z8775" s="234"/>
      <c r="AA8775" s="235"/>
      <c r="AB8775" s="234"/>
    </row>
    <row r="8776" ht="14.5" customHeight="1" spans="11:28" x14ac:dyDescent="0.25">
      <c r="K8776" s="128"/>
      <c r="X8776" s="234"/>
      <c r="Y8776" s="234"/>
      <c r="Z8776" s="234"/>
      <c r="AA8776" s="235"/>
      <c r="AB8776" s="234"/>
    </row>
    <row r="8777" ht="14.5" customHeight="1" spans="11:28" x14ac:dyDescent="0.25">
      <c r="K8777" s="128"/>
      <c r="X8777" s="234"/>
      <c r="Y8777" s="234"/>
      <c r="Z8777" s="234"/>
      <c r="AA8777" s="235"/>
      <c r="AB8777" s="234"/>
    </row>
    <row r="8778" ht="14.5" customHeight="1" spans="11:28" x14ac:dyDescent="0.25">
      <c r="K8778" s="128"/>
      <c r="X8778" s="234"/>
      <c r="Y8778" s="234"/>
      <c r="Z8778" s="234"/>
      <c r="AA8778" s="235"/>
      <c r="AB8778" s="234"/>
    </row>
    <row r="8779" ht="14.5" customHeight="1" spans="11:28" x14ac:dyDescent="0.25">
      <c r="K8779" s="128"/>
      <c r="X8779" s="234"/>
      <c r="Y8779" s="234"/>
      <c r="Z8779" s="234"/>
      <c r="AA8779" s="235"/>
      <c r="AB8779" s="234"/>
    </row>
    <row r="8780" ht="14.5" customHeight="1" spans="11:28" x14ac:dyDescent="0.25">
      <c r="K8780" s="128"/>
      <c r="X8780" s="234"/>
      <c r="Y8780" s="234"/>
      <c r="Z8780" s="234"/>
      <c r="AA8780" s="235"/>
      <c r="AB8780" s="234"/>
    </row>
    <row r="8781" ht="14.5" customHeight="1" spans="11:28" x14ac:dyDescent="0.25">
      <c r="K8781" s="128"/>
      <c r="X8781" s="234"/>
      <c r="Y8781" s="234"/>
      <c r="Z8781" s="234"/>
      <c r="AA8781" s="235"/>
      <c r="AB8781" s="234"/>
    </row>
    <row r="8782" ht="14.5" customHeight="1" spans="11:28" x14ac:dyDescent="0.25">
      <c r="K8782" s="128"/>
      <c r="X8782" s="234"/>
      <c r="Y8782" s="234"/>
      <c r="Z8782" s="234"/>
      <c r="AA8782" s="235"/>
      <c r="AB8782" s="234"/>
    </row>
    <row r="8783" ht="14.5" customHeight="1" spans="11:28" x14ac:dyDescent="0.25">
      <c r="K8783" s="128"/>
      <c r="X8783" s="234"/>
      <c r="Y8783" s="234"/>
      <c r="Z8783" s="234"/>
      <c r="AA8783" s="235"/>
      <c r="AB8783" s="234"/>
    </row>
    <row r="8784" ht="14.5" customHeight="1" spans="11:28" x14ac:dyDescent="0.25">
      <c r="K8784" s="128"/>
      <c r="X8784" s="234"/>
      <c r="Y8784" s="234"/>
      <c r="Z8784" s="234"/>
      <c r="AA8784" s="235"/>
      <c r="AB8784" s="234"/>
    </row>
    <row r="8785" ht="14.5" customHeight="1" spans="11:28" x14ac:dyDescent="0.25">
      <c r="K8785" s="128"/>
      <c r="X8785" s="234"/>
      <c r="Y8785" s="234"/>
      <c r="Z8785" s="234"/>
      <c r="AA8785" s="235"/>
      <c r="AB8785" s="234"/>
    </row>
    <row r="8786" ht="14.5" customHeight="1" spans="11:28" x14ac:dyDescent="0.25">
      <c r="K8786" s="128"/>
      <c r="X8786" s="234"/>
      <c r="Y8786" s="234"/>
      <c r="Z8786" s="234"/>
      <c r="AA8786" s="235"/>
      <c r="AB8786" s="234"/>
    </row>
    <row r="8787" ht="14.5" customHeight="1" spans="11:28" x14ac:dyDescent="0.25">
      <c r="K8787" s="128"/>
      <c r="X8787" s="234"/>
      <c r="Y8787" s="234"/>
      <c r="Z8787" s="234"/>
      <c r="AA8787" s="235"/>
      <c r="AB8787" s="234"/>
    </row>
    <row r="8788" ht="14.5" customHeight="1" spans="11:28" x14ac:dyDescent="0.25">
      <c r="K8788" s="128"/>
      <c r="X8788" s="234"/>
      <c r="Y8788" s="234"/>
      <c r="Z8788" s="234"/>
      <c r="AA8788" s="235"/>
      <c r="AB8788" s="234"/>
    </row>
    <row r="8789" ht="14.5" customHeight="1" spans="11:28" x14ac:dyDescent="0.25">
      <c r="K8789" s="128"/>
      <c r="X8789" s="234"/>
      <c r="Y8789" s="234"/>
      <c r="Z8789" s="234"/>
      <c r="AA8789" s="235"/>
      <c r="AB8789" s="234"/>
    </row>
    <row r="8790" ht="14.5" customHeight="1" spans="11:28" x14ac:dyDescent="0.25">
      <c r="K8790" s="128"/>
      <c r="X8790" s="234"/>
      <c r="Y8790" s="234"/>
      <c r="Z8790" s="234"/>
      <c r="AA8790" s="235"/>
      <c r="AB8790" s="234"/>
    </row>
    <row r="8791" ht="14.5" customHeight="1" spans="11:28" x14ac:dyDescent="0.25">
      <c r="K8791" s="128"/>
      <c r="X8791" s="234"/>
      <c r="Y8791" s="234"/>
      <c r="Z8791" s="234"/>
      <c r="AA8791" s="235"/>
      <c r="AB8791" s="234"/>
    </row>
    <row r="8792" ht="14.5" customHeight="1" spans="11:28" x14ac:dyDescent="0.25">
      <c r="K8792" s="128"/>
      <c r="X8792" s="234"/>
      <c r="Y8792" s="234"/>
      <c r="Z8792" s="234"/>
      <c r="AA8792" s="235"/>
      <c r="AB8792" s="234"/>
    </row>
    <row r="8793" ht="14.5" customHeight="1" spans="11:28" x14ac:dyDescent="0.25">
      <c r="K8793" s="128"/>
      <c r="X8793" s="234"/>
      <c r="Y8793" s="234"/>
      <c r="Z8793" s="234"/>
      <c r="AA8793" s="235"/>
      <c r="AB8793" s="234"/>
    </row>
    <row r="8794" ht="14.5" customHeight="1" spans="11:28" x14ac:dyDescent="0.25">
      <c r="K8794" s="128"/>
      <c r="X8794" s="234"/>
      <c r="Y8794" s="234"/>
      <c r="Z8794" s="234"/>
      <c r="AA8794" s="235"/>
      <c r="AB8794" s="234"/>
    </row>
    <row r="8795" ht="14.5" customHeight="1" spans="11:28" x14ac:dyDescent="0.25">
      <c r="K8795" s="128"/>
      <c r="X8795" s="234"/>
      <c r="Y8795" s="234"/>
      <c r="Z8795" s="234"/>
      <c r="AA8795" s="235"/>
      <c r="AB8795" s="234"/>
    </row>
    <row r="8796" ht="14.5" customHeight="1" spans="11:28" x14ac:dyDescent="0.25">
      <c r="K8796" s="128"/>
      <c r="X8796" s="234"/>
      <c r="Y8796" s="234"/>
      <c r="Z8796" s="234"/>
      <c r="AA8796" s="235"/>
      <c r="AB8796" s="234"/>
    </row>
    <row r="8797" ht="14.5" customHeight="1" spans="11:28" x14ac:dyDescent="0.25">
      <c r="K8797" s="128"/>
      <c r="X8797" s="234"/>
      <c r="Y8797" s="234"/>
      <c r="Z8797" s="234"/>
      <c r="AA8797" s="235"/>
      <c r="AB8797" s="234"/>
    </row>
    <row r="8798" ht="14.5" customHeight="1" spans="11:28" x14ac:dyDescent="0.25">
      <c r="K8798" s="128"/>
      <c r="X8798" s="234"/>
      <c r="Y8798" s="234"/>
      <c r="Z8798" s="234"/>
      <c r="AA8798" s="235"/>
      <c r="AB8798" s="234"/>
    </row>
    <row r="8799" ht="14.5" customHeight="1" spans="11:28" x14ac:dyDescent="0.25">
      <c r="K8799" s="128"/>
      <c r="X8799" s="234"/>
      <c r="Y8799" s="234"/>
      <c r="Z8799" s="234"/>
      <c r="AA8799" s="235"/>
      <c r="AB8799" s="234"/>
    </row>
    <row r="8800" ht="14.5" customHeight="1" spans="11:28" x14ac:dyDescent="0.25">
      <c r="K8800" s="128"/>
      <c r="X8800" s="234"/>
      <c r="Y8800" s="234"/>
      <c r="Z8800" s="234"/>
      <c r="AA8800" s="235"/>
      <c r="AB8800" s="234"/>
    </row>
    <row r="8801" ht="14.5" customHeight="1" spans="11:28" x14ac:dyDescent="0.25">
      <c r="K8801" s="128"/>
      <c r="X8801" s="234"/>
      <c r="Y8801" s="234"/>
      <c r="Z8801" s="234"/>
      <c r="AA8801" s="235"/>
      <c r="AB8801" s="234"/>
    </row>
    <row r="8802" ht="14.5" customHeight="1" spans="11:28" x14ac:dyDescent="0.25">
      <c r="K8802" s="128"/>
      <c r="X8802" s="234"/>
      <c r="Y8802" s="234"/>
      <c r="Z8802" s="234"/>
      <c r="AA8802" s="235"/>
      <c r="AB8802" s="234"/>
    </row>
    <row r="8803" ht="14.5" customHeight="1" spans="11:28" x14ac:dyDescent="0.25">
      <c r="K8803" s="128"/>
      <c r="X8803" s="234"/>
      <c r="Y8803" s="234"/>
      <c r="Z8803" s="234"/>
      <c r="AA8803" s="235"/>
      <c r="AB8803" s="234"/>
    </row>
    <row r="8804" ht="14.5" customHeight="1" spans="11:28" x14ac:dyDescent="0.25">
      <c r="K8804" s="128"/>
      <c r="X8804" s="234"/>
      <c r="Y8804" s="234"/>
      <c r="Z8804" s="234"/>
      <c r="AA8804" s="235"/>
      <c r="AB8804" s="234"/>
    </row>
    <row r="8805" ht="14.5" customHeight="1" spans="11:28" x14ac:dyDescent="0.25">
      <c r="K8805" s="128"/>
      <c r="X8805" s="234"/>
      <c r="Y8805" s="234"/>
      <c r="Z8805" s="234"/>
      <c r="AA8805" s="235"/>
      <c r="AB8805" s="234"/>
    </row>
    <row r="8806" ht="14.5" customHeight="1" spans="11:28" x14ac:dyDescent="0.25">
      <c r="K8806" s="128"/>
      <c r="X8806" s="234"/>
      <c r="Y8806" s="234"/>
      <c r="Z8806" s="234"/>
      <c r="AA8806" s="235"/>
      <c r="AB8806" s="234"/>
    </row>
    <row r="8807" ht="14.5" customHeight="1" spans="11:28" x14ac:dyDescent="0.25">
      <c r="K8807" s="128"/>
      <c r="X8807" s="234"/>
      <c r="Y8807" s="234"/>
      <c r="Z8807" s="234"/>
      <c r="AA8807" s="235"/>
      <c r="AB8807" s="234"/>
    </row>
    <row r="8808" ht="14.5" customHeight="1" spans="11:28" x14ac:dyDescent="0.25">
      <c r="K8808" s="128"/>
      <c r="X8808" s="234"/>
      <c r="Y8808" s="234"/>
      <c r="Z8808" s="234"/>
      <c r="AA8808" s="235"/>
      <c r="AB8808" s="234"/>
    </row>
    <row r="8809" ht="14.5" customHeight="1" spans="11:28" x14ac:dyDescent="0.25">
      <c r="K8809" s="128"/>
      <c r="X8809" s="234"/>
      <c r="Y8809" s="234"/>
      <c r="Z8809" s="234"/>
      <c r="AA8809" s="235"/>
      <c r="AB8809" s="234"/>
    </row>
    <row r="8810" ht="14.5" customHeight="1" spans="11:28" x14ac:dyDescent="0.25">
      <c r="K8810" s="128"/>
      <c r="X8810" s="234"/>
      <c r="Y8810" s="234"/>
      <c r="Z8810" s="234"/>
      <c r="AA8810" s="235"/>
      <c r="AB8810" s="234"/>
    </row>
    <row r="8811" ht="14.5" customHeight="1" spans="11:28" x14ac:dyDescent="0.25">
      <c r="K8811" s="128"/>
      <c r="X8811" s="234"/>
      <c r="Y8811" s="234"/>
      <c r="Z8811" s="234"/>
      <c r="AA8811" s="235"/>
      <c r="AB8811" s="234"/>
    </row>
    <row r="8812" ht="14.5" customHeight="1" spans="11:28" x14ac:dyDescent="0.25">
      <c r="K8812" s="128"/>
      <c r="X8812" s="234"/>
      <c r="Y8812" s="234"/>
      <c r="Z8812" s="234"/>
      <c r="AA8812" s="235"/>
      <c r="AB8812" s="234"/>
    </row>
    <row r="8813" ht="14.5" customHeight="1" spans="11:28" x14ac:dyDescent="0.25">
      <c r="K8813" s="128"/>
      <c r="X8813" s="234"/>
      <c r="Y8813" s="234"/>
      <c r="Z8813" s="234"/>
      <c r="AA8813" s="235"/>
      <c r="AB8813" s="234"/>
    </row>
    <row r="8814" ht="14.5" customHeight="1" spans="11:28" x14ac:dyDescent="0.25">
      <c r="K8814" s="128"/>
      <c r="X8814" s="234"/>
      <c r="Y8814" s="234"/>
      <c r="Z8814" s="234"/>
      <c r="AA8814" s="235"/>
      <c r="AB8814" s="234"/>
    </row>
    <row r="8815" ht="14.5" customHeight="1" spans="11:28" x14ac:dyDescent="0.25">
      <c r="K8815" s="128"/>
      <c r="X8815" s="234"/>
      <c r="Y8815" s="234"/>
      <c r="Z8815" s="234"/>
      <c r="AA8815" s="235"/>
      <c r="AB8815" s="234"/>
    </row>
    <row r="8816" ht="14.5" customHeight="1" spans="11:28" x14ac:dyDescent="0.25">
      <c r="K8816" s="128"/>
      <c r="X8816" s="234"/>
      <c r="Y8816" s="234"/>
      <c r="Z8816" s="234"/>
      <c r="AA8816" s="235"/>
      <c r="AB8816" s="234"/>
    </row>
    <row r="8817" ht="14.5" customHeight="1" spans="11:28" x14ac:dyDescent="0.25">
      <c r="K8817" s="128"/>
      <c r="X8817" s="234"/>
      <c r="Y8817" s="234"/>
      <c r="Z8817" s="234"/>
      <c r="AA8817" s="235"/>
      <c r="AB8817" s="234"/>
    </row>
    <row r="8818" ht="14.5" customHeight="1" spans="11:28" x14ac:dyDescent="0.25">
      <c r="K8818" s="128"/>
      <c r="X8818" s="234"/>
      <c r="Y8818" s="234"/>
      <c r="Z8818" s="234"/>
      <c r="AA8818" s="235"/>
      <c r="AB8818" s="234"/>
    </row>
    <row r="8819" ht="14.5" customHeight="1" spans="11:28" x14ac:dyDescent="0.25">
      <c r="K8819" s="128"/>
      <c r="X8819" s="234"/>
      <c r="Y8819" s="234"/>
      <c r="Z8819" s="234"/>
      <c r="AA8819" s="235"/>
      <c r="AB8819" s="234"/>
    </row>
    <row r="8820" ht="14.5" customHeight="1" spans="11:28" x14ac:dyDescent="0.25">
      <c r="K8820" s="128"/>
      <c r="X8820" s="234"/>
      <c r="Y8820" s="234"/>
      <c r="Z8820" s="234"/>
      <c r="AA8820" s="235"/>
      <c r="AB8820" s="234"/>
    </row>
    <row r="8821" ht="14.5" customHeight="1" spans="11:28" x14ac:dyDescent="0.25">
      <c r="K8821" s="128"/>
      <c r="X8821" s="234"/>
      <c r="Y8821" s="234"/>
      <c r="Z8821" s="234"/>
      <c r="AA8821" s="235"/>
      <c r="AB8821" s="234"/>
    </row>
    <row r="8822" ht="14.5" customHeight="1" spans="11:28" x14ac:dyDescent="0.25">
      <c r="K8822" s="128"/>
      <c r="X8822" s="234"/>
      <c r="Y8822" s="234"/>
      <c r="Z8822" s="234"/>
      <c r="AA8822" s="235"/>
      <c r="AB8822" s="234"/>
    </row>
    <row r="8823" ht="14.5" customHeight="1" spans="11:28" x14ac:dyDescent="0.25">
      <c r="K8823" s="128"/>
      <c r="X8823" s="234"/>
      <c r="Y8823" s="234"/>
      <c r="Z8823" s="234"/>
      <c r="AA8823" s="235"/>
      <c r="AB8823" s="234"/>
    </row>
    <row r="8824" ht="14.5" customHeight="1" spans="11:28" x14ac:dyDescent="0.25">
      <c r="K8824" s="128"/>
      <c r="X8824" s="234"/>
      <c r="Y8824" s="234"/>
      <c r="Z8824" s="234"/>
      <c r="AA8824" s="235"/>
      <c r="AB8824" s="234"/>
    </row>
    <row r="8825" ht="14.5" customHeight="1" spans="11:28" x14ac:dyDescent="0.25">
      <c r="K8825" s="128"/>
      <c r="X8825" s="234"/>
      <c r="Y8825" s="234"/>
      <c r="Z8825" s="234"/>
      <c r="AA8825" s="235"/>
      <c r="AB8825" s="234"/>
    </row>
    <row r="8826" ht="14.5" customHeight="1" spans="11:28" x14ac:dyDescent="0.25">
      <c r="K8826" s="128"/>
      <c r="X8826" s="234"/>
      <c r="Y8826" s="234"/>
      <c r="Z8826" s="234"/>
      <c r="AA8826" s="235"/>
      <c r="AB8826" s="234"/>
    </row>
    <row r="8827" ht="14.5" customHeight="1" spans="11:28" x14ac:dyDescent="0.25">
      <c r="K8827" s="128"/>
      <c r="X8827" s="234"/>
      <c r="Y8827" s="234"/>
      <c r="Z8827" s="234"/>
      <c r="AA8827" s="235"/>
      <c r="AB8827" s="234"/>
    </row>
    <row r="8828" ht="14.5" customHeight="1" spans="11:28" x14ac:dyDescent="0.25">
      <c r="K8828" s="128"/>
      <c r="X8828" s="234"/>
      <c r="Y8828" s="234"/>
      <c r="Z8828" s="234"/>
      <c r="AA8828" s="235"/>
      <c r="AB8828" s="234"/>
    </row>
    <row r="8829" ht="14.5" customHeight="1" spans="11:28" x14ac:dyDescent="0.25">
      <c r="K8829" s="128"/>
      <c r="X8829" s="234"/>
      <c r="Y8829" s="234"/>
      <c r="Z8829" s="234"/>
      <c r="AA8829" s="235"/>
      <c r="AB8829" s="234"/>
    </row>
    <row r="8830" ht="14.5" customHeight="1" spans="11:28" x14ac:dyDescent="0.25">
      <c r="K8830" s="128"/>
      <c r="X8830" s="234"/>
      <c r="Y8830" s="234"/>
      <c r="Z8830" s="234"/>
      <c r="AA8830" s="235"/>
      <c r="AB8830" s="234"/>
    </row>
    <row r="8831" ht="14.5" customHeight="1" spans="11:28" x14ac:dyDescent="0.25">
      <c r="K8831" s="128"/>
      <c r="X8831" s="234"/>
      <c r="Y8831" s="234"/>
      <c r="Z8831" s="234"/>
      <c r="AA8831" s="235"/>
      <c r="AB8831" s="234"/>
    </row>
    <row r="8832" ht="14.5" customHeight="1" spans="11:28" x14ac:dyDescent="0.25">
      <c r="K8832" s="128"/>
      <c r="X8832" s="234"/>
      <c r="Y8832" s="234"/>
      <c r="Z8832" s="234"/>
      <c r="AA8832" s="235"/>
      <c r="AB8832" s="234"/>
    </row>
    <row r="8833" ht="14.5" customHeight="1" spans="11:28" x14ac:dyDescent="0.25">
      <c r="K8833" s="128"/>
      <c r="X8833" s="234"/>
      <c r="Y8833" s="234"/>
      <c r="Z8833" s="234"/>
      <c r="AA8833" s="235"/>
      <c r="AB8833" s="234"/>
    </row>
    <row r="8834" ht="14.5" customHeight="1" spans="11:28" x14ac:dyDescent="0.25">
      <c r="K8834" s="128"/>
      <c r="X8834" s="234"/>
      <c r="Y8834" s="234"/>
      <c r="Z8834" s="234"/>
      <c r="AA8834" s="235"/>
      <c r="AB8834" s="234"/>
    </row>
    <row r="8835" ht="14.5" customHeight="1" spans="11:28" x14ac:dyDescent="0.25">
      <c r="K8835" s="128"/>
      <c r="X8835" s="234"/>
      <c r="Y8835" s="234"/>
      <c r="Z8835" s="234"/>
      <c r="AA8835" s="235"/>
      <c r="AB8835" s="234"/>
    </row>
    <row r="8836" ht="14.5" customHeight="1" spans="11:28" x14ac:dyDescent="0.25">
      <c r="K8836" s="128"/>
      <c r="X8836" s="234"/>
      <c r="Y8836" s="234"/>
      <c r="Z8836" s="234"/>
      <c r="AA8836" s="235"/>
      <c r="AB8836" s="234"/>
    </row>
    <row r="8837" ht="14.5" customHeight="1" spans="11:28" x14ac:dyDescent="0.25">
      <c r="K8837" s="128"/>
      <c r="X8837" s="234"/>
      <c r="Y8837" s="234"/>
      <c r="Z8837" s="234"/>
      <c r="AA8837" s="235"/>
      <c r="AB8837" s="234"/>
    </row>
    <row r="8838" ht="14.5" customHeight="1" spans="11:28" x14ac:dyDescent="0.25">
      <c r="K8838" s="128"/>
      <c r="X8838" s="234"/>
      <c r="Y8838" s="234"/>
      <c r="Z8838" s="234"/>
      <c r="AA8838" s="235"/>
      <c r="AB8838" s="234"/>
    </row>
    <row r="8839" ht="14.5" customHeight="1" spans="11:28" x14ac:dyDescent="0.25">
      <c r="K8839" s="128"/>
      <c r="X8839" s="234"/>
      <c r="Y8839" s="234"/>
      <c r="Z8839" s="234"/>
      <c r="AA8839" s="235"/>
      <c r="AB8839" s="234"/>
    </row>
    <row r="8840" ht="14.5" customHeight="1" spans="11:28" x14ac:dyDescent="0.25">
      <c r="K8840" s="128"/>
      <c r="X8840" s="234"/>
      <c r="Y8840" s="234"/>
      <c r="Z8840" s="234"/>
      <c r="AA8840" s="235"/>
      <c r="AB8840" s="234"/>
    </row>
    <row r="8841" ht="14.5" customHeight="1" spans="11:28" x14ac:dyDescent="0.25">
      <c r="K8841" s="128"/>
      <c r="X8841" s="234"/>
      <c r="Y8841" s="234"/>
      <c r="Z8841" s="234"/>
      <c r="AA8841" s="235"/>
      <c r="AB8841" s="234"/>
    </row>
    <row r="8842" ht="14.5" customHeight="1" spans="11:28" x14ac:dyDescent="0.25">
      <c r="K8842" s="128"/>
      <c r="X8842" s="234"/>
      <c r="Y8842" s="234"/>
      <c r="Z8842" s="234"/>
      <c r="AA8842" s="235"/>
      <c r="AB8842" s="234"/>
    </row>
    <row r="8843" ht="14.5" customHeight="1" spans="11:28" x14ac:dyDescent="0.25">
      <c r="K8843" s="128"/>
      <c r="X8843" s="234"/>
      <c r="Y8843" s="234"/>
      <c r="Z8843" s="234"/>
      <c r="AA8843" s="235"/>
      <c r="AB8843" s="234"/>
    </row>
    <row r="8844" ht="14.5" customHeight="1" spans="11:28" x14ac:dyDescent="0.25">
      <c r="K8844" s="128"/>
      <c r="X8844" s="234"/>
      <c r="Y8844" s="234"/>
      <c r="Z8844" s="234"/>
      <c r="AA8844" s="235"/>
      <c r="AB8844" s="234"/>
    </row>
    <row r="8845" ht="14.5" customHeight="1" spans="11:28" x14ac:dyDescent="0.25">
      <c r="K8845" s="128"/>
      <c r="X8845" s="234"/>
      <c r="Y8845" s="234"/>
      <c r="Z8845" s="234"/>
      <c r="AA8845" s="235"/>
      <c r="AB8845" s="234"/>
    </row>
    <row r="8846" ht="14.5" customHeight="1" spans="11:28" x14ac:dyDescent="0.25">
      <c r="K8846" s="128"/>
      <c r="X8846" s="234"/>
      <c r="Y8846" s="234"/>
      <c r="Z8846" s="234"/>
      <c r="AA8846" s="235"/>
      <c r="AB8846" s="234"/>
    </row>
    <row r="8847" ht="14.5" customHeight="1" spans="11:28" x14ac:dyDescent="0.25">
      <c r="K8847" s="128"/>
      <c r="X8847" s="234"/>
      <c r="Y8847" s="234"/>
      <c r="Z8847" s="234"/>
      <c r="AA8847" s="235"/>
      <c r="AB8847" s="234"/>
    </row>
    <row r="8848" ht="14.5" customHeight="1" spans="11:28" x14ac:dyDescent="0.25">
      <c r="K8848" s="128"/>
      <c r="X8848" s="234"/>
      <c r="Y8848" s="234"/>
      <c r="Z8848" s="234"/>
      <c r="AA8848" s="235"/>
      <c r="AB8848" s="234"/>
    </row>
    <row r="8849" ht="14.5" customHeight="1" spans="11:28" x14ac:dyDescent="0.25">
      <c r="K8849" s="128"/>
      <c r="X8849" s="234"/>
      <c r="Y8849" s="234"/>
      <c r="Z8849" s="234"/>
      <c r="AA8849" s="235"/>
      <c r="AB8849" s="234"/>
    </row>
    <row r="8850" ht="14.5" customHeight="1" spans="11:28" x14ac:dyDescent="0.25">
      <c r="K8850" s="128"/>
      <c r="X8850" s="234"/>
      <c r="Y8850" s="234"/>
      <c r="Z8850" s="234"/>
      <c r="AA8850" s="235"/>
      <c r="AB8850" s="234"/>
    </row>
    <row r="8851" ht="14.5" customHeight="1" spans="11:28" x14ac:dyDescent="0.25">
      <c r="K8851" s="128"/>
      <c r="X8851" s="234"/>
      <c r="Y8851" s="234"/>
      <c r="Z8851" s="234"/>
      <c r="AA8851" s="235"/>
      <c r="AB8851" s="234"/>
    </row>
    <row r="8852" ht="14.5" customHeight="1" spans="11:28" x14ac:dyDescent="0.25">
      <c r="K8852" s="128"/>
      <c r="X8852" s="234"/>
      <c r="Y8852" s="234"/>
      <c r="Z8852" s="234"/>
      <c r="AA8852" s="235"/>
      <c r="AB8852" s="234"/>
    </row>
    <row r="8853" ht="14.5" customHeight="1" spans="11:28" x14ac:dyDescent="0.25">
      <c r="K8853" s="128"/>
      <c r="X8853" s="234"/>
      <c r="Y8853" s="234"/>
      <c r="Z8853" s="234"/>
      <c r="AA8853" s="235"/>
      <c r="AB8853" s="234"/>
    </row>
    <row r="8854" ht="14.5" customHeight="1" spans="11:28" x14ac:dyDescent="0.25">
      <c r="K8854" s="128"/>
      <c r="X8854" s="234"/>
      <c r="Y8854" s="234"/>
      <c r="Z8854" s="234"/>
      <c r="AA8854" s="235"/>
      <c r="AB8854" s="234"/>
    </row>
    <row r="8855" ht="14.5" customHeight="1" spans="11:28" x14ac:dyDescent="0.25">
      <c r="K8855" s="128"/>
      <c r="X8855" s="234"/>
      <c r="Y8855" s="234"/>
      <c r="Z8855" s="234"/>
      <c r="AA8855" s="235"/>
      <c r="AB8855" s="234"/>
    </row>
    <row r="8856" ht="14.5" customHeight="1" spans="11:28" x14ac:dyDescent="0.25">
      <c r="K8856" s="128"/>
      <c r="X8856" s="234"/>
      <c r="Y8856" s="234"/>
      <c r="Z8856" s="234"/>
      <c r="AA8856" s="235"/>
      <c r="AB8856" s="234"/>
    </row>
    <row r="8857" ht="14.5" customHeight="1" spans="11:28" x14ac:dyDescent="0.25">
      <c r="K8857" s="128"/>
      <c r="X8857" s="234"/>
      <c r="Y8857" s="234"/>
      <c r="Z8857" s="234"/>
      <c r="AA8857" s="235"/>
      <c r="AB8857" s="234"/>
    </row>
    <row r="8858" ht="14.5" customHeight="1" spans="11:28" x14ac:dyDescent="0.25">
      <c r="K8858" s="128"/>
      <c r="X8858" s="234"/>
      <c r="Y8858" s="234"/>
      <c r="Z8858" s="234"/>
      <c r="AA8858" s="235"/>
      <c r="AB8858" s="234"/>
    </row>
    <row r="8859" ht="14.5" customHeight="1" spans="11:28" x14ac:dyDescent="0.25">
      <c r="K8859" s="128"/>
      <c r="X8859" s="234"/>
      <c r="Y8859" s="234"/>
      <c r="Z8859" s="234"/>
      <c r="AA8859" s="235"/>
      <c r="AB8859" s="234"/>
    </row>
    <row r="8860" ht="14.5" customHeight="1" spans="11:28" x14ac:dyDescent="0.25">
      <c r="K8860" s="128"/>
      <c r="X8860" s="234"/>
      <c r="Y8860" s="234"/>
      <c r="Z8860" s="234"/>
      <c r="AA8860" s="235"/>
      <c r="AB8860" s="234"/>
    </row>
    <row r="8861" ht="14.5" customHeight="1" spans="11:28" x14ac:dyDescent="0.25">
      <c r="K8861" s="128"/>
      <c r="X8861" s="234"/>
      <c r="Y8861" s="234"/>
      <c r="Z8861" s="234"/>
      <c r="AA8861" s="235"/>
      <c r="AB8861" s="234"/>
    </row>
    <row r="8862" ht="14.5" customHeight="1" spans="11:28" x14ac:dyDescent="0.25">
      <c r="K8862" s="128"/>
      <c r="X8862" s="234"/>
      <c r="Y8862" s="234"/>
      <c r="Z8862" s="234"/>
      <c r="AA8862" s="235"/>
      <c r="AB8862" s="234"/>
    </row>
    <row r="8863" ht="14.5" customHeight="1" spans="11:28" x14ac:dyDescent="0.25">
      <c r="K8863" s="128"/>
      <c r="X8863" s="234"/>
      <c r="Y8863" s="234"/>
      <c r="Z8863" s="234"/>
      <c r="AA8863" s="235"/>
      <c r="AB8863" s="234"/>
    </row>
    <row r="8864" ht="14.5" customHeight="1" spans="11:28" x14ac:dyDescent="0.25">
      <c r="K8864" s="128"/>
      <c r="X8864" s="234"/>
      <c r="Y8864" s="234"/>
      <c r="Z8864" s="234"/>
      <c r="AA8864" s="235"/>
      <c r="AB8864" s="234"/>
    </row>
    <row r="8865" ht="14.5" customHeight="1" spans="11:28" x14ac:dyDescent="0.25">
      <c r="K8865" s="128"/>
      <c r="X8865" s="234"/>
      <c r="Y8865" s="234"/>
      <c r="Z8865" s="234"/>
      <c r="AA8865" s="235"/>
      <c r="AB8865" s="234"/>
    </row>
    <row r="8866" ht="14.5" customHeight="1" spans="11:28" x14ac:dyDescent="0.25">
      <c r="K8866" s="128"/>
      <c r="X8866" s="234"/>
      <c r="Y8866" s="234"/>
      <c r="Z8866" s="234"/>
      <c r="AA8866" s="235"/>
      <c r="AB8866" s="234"/>
    </row>
    <row r="8867" ht="14.5" customHeight="1" spans="11:28" x14ac:dyDescent="0.25">
      <c r="K8867" s="128"/>
      <c r="X8867" s="234"/>
      <c r="Y8867" s="234"/>
      <c r="Z8867" s="234"/>
      <c r="AA8867" s="235"/>
      <c r="AB8867" s="234"/>
    </row>
    <row r="8868" ht="14.5" customHeight="1" spans="11:28" x14ac:dyDescent="0.25">
      <c r="K8868" s="128"/>
      <c r="X8868" s="234"/>
      <c r="Y8868" s="234"/>
      <c r="Z8868" s="234"/>
      <c r="AA8868" s="235"/>
      <c r="AB8868" s="234"/>
    </row>
    <row r="8869" ht="14.5" customHeight="1" spans="11:28" x14ac:dyDescent="0.25">
      <c r="K8869" s="128"/>
      <c r="X8869" s="234"/>
      <c r="Y8869" s="234"/>
      <c r="Z8869" s="234"/>
      <c r="AA8869" s="235"/>
      <c r="AB8869" s="234"/>
    </row>
    <row r="8870" ht="14.5" customHeight="1" spans="11:28" x14ac:dyDescent="0.25">
      <c r="K8870" s="128"/>
      <c r="X8870" s="234"/>
      <c r="Y8870" s="234"/>
      <c r="Z8870" s="234"/>
      <c r="AA8870" s="235"/>
      <c r="AB8870" s="234"/>
    </row>
    <row r="8871" ht="14.5" customHeight="1" spans="11:28" x14ac:dyDescent="0.25">
      <c r="K8871" s="128"/>
      <c r="X8871" s="234"/>
      <c r="Y8871" s="234"/>
      <c r="Z8871" s="234"/>
      <c r="AA8871" s="235"/>
      <c r="AB8871" s="234"/>
    </row>
    <row r="8872" ht="14.5" customHeight="1" spans="11:28" x14ac:dyDescent="0.25">
      <c r="K8872" s="128"/>
      <c r="X8872" s="234"/>
      <c r="Y8872" s="234"/>
      <c r="Z8872" s="234"/>
      <c r="AA8872" s="235"/>
      <c r="AB8872" s="234"/>
    </row>
    <row r="8873" ht="14.5" customHeight="1" spans="11:28" x14ac:dyDescent="0.25">
      <c r="K8873" s="128"/>
      <c r="X8873" s="234"/>
      <c r="Y8873" s="234"/>
      <c r="Z8873" s="234"/>
      <c r="AA8873" s="235"/>
      <c r="AB8873" s="234"/>
    </row>
    <row r="8874" ht="14.5" customHeight="1" spans="11:28" x14ac:dyDescent="0.25">
      <c r="K8874" s="128"/>
      <c r="X8874" s="234"/>
      <c r="Y8874" s="234"/>
      <c r="Z8874" s="234"/>
      <c r="AA8874" s="235"/>
      <c r="AB8874" s="234"/>
    </row>
    <row r="8875" ht="14.5" customHeight="1" spans="11:28" x14ac:dyDescent="0.25">
      <c r="K8875" s="128"/>
      <c r="X8875" s="234"/>
      <c r="Y8875" s="234"/>
      <c r="Z8875" s="234"/>
      <c r="AA8875" s="235"/>
      <c r="AB8875" s="234"/>
    </row>
    <row r="8876" ht="14.5" customHeight="1" spans="11:28" x14ac:dyDescent="0.25">
      <c r="K8876" s="128"/>
      <c r="X8876" s="234"/>
      <c r="Y8876" s="234"/>
      <c r="Z8876" s="234"/>
      <c r="AA8876" s="235"/>
      <c r="AB8876" s="234"/>
    </row>
    <row r="8877" ht="14.5" customHeight="1" spans="11:28" x14ac:dyDescent="0.25">
      <c r="K8877" s="128"/>
      <c r="X8877" s="234"/>
      <c r="Y8877" s="234"/>
      <c r="Z8877" s="234"/>
      <c r="AA8877" s="235"/>
      <c r="AB8877" s="234"/>
    </row>
    <row r="8878" ht="14.5" customHeight="1" spans="11:28" x14ac:dyDescent="0.25">
      <c r="K8878" s="128"/>
      <c r="X8878" s="234"/>
      <c r="Y8878" s="234"/>
      <c r="Z8878" s="234"/>
      <c r="AA8878" s="235"/>
      <c r="AB8878" s="234"/>
    </row>
    <row r="8879" ht="14.5" customHeight="1" spans="11:28" x14ac:dyDescent="0.25">
      <c r="K8879" s="128"/>
      <c r="X8879" s="234"/>
      <c r="Y8879" s="234"/>
      <c r="Z8879" s="234"/>
      <c r="AA8879" s="235"/>
      <c r="AB8879" s="234"/>
    </row>
    <row r="8880" ht="14.5" customHeight="1" spans="11:28" x14ac:dyDescent="0.25">
      <c r="K8880" s="128"/>
      <c r="X8880" s="234"/>
      <c r="Y8880" s="234"/>
      <c r="Z8880" s="234"/>
      <c r="AA8880" s="235"/>
      <c r="AB8880" s="234"/>
    </row>
    <row r="8881" ht="14.5" customHeight="1" spans="11:28" x14ac:dyDescent="0.25">
      <c r="K8881" s="128"/>
      <c r="X8881" s="234"/>
      <c r="Y8881" s="234"/>
      <c r="Z8881" s="234"/>
      <c r="AA8881" s="235"/>
      <c r="AB8881" s="234"/>
    </row>
    <row r="8882" ht="14.5" customHeight="1" spans="11:28" x14ac:dyDescent="0.25">
      <c r="K8882" s="128"/>
      <c r="X8882" s="234"/>
      <c r="Y8882" s="234"/>
      <c r="Z8882" s="234"/>
      <c r="AA8882" s="235"/>
      <c r="AB8882" s="234"/>
    </row>
    <row r="8883" ht="14.5" customHeight="1" spans="11:28" x14ac:dyDescent="0.25">
      <c r="K8883" s="128"/>
      <c r="X8883" s="234"/>
      <c r="Y8883" s="234"/>
      <c r="Z8883" s="234"/>
      <c r="AA8883" s="235"/>
      <c r="AB8883" s="234"/>
    </row>
    <row r="8884" ht="14.5" customHeight="1" spans="11:28" x14ac:dyDescent="0.25">
      <c r="K8884" s="128"/>
      <c r="X8884" s="234"/>
      <c r="Y8884" s="234"/>
      <c r="Z8884" s="234"/>
      <c r="AA8884" s="235"/>
      <c r="AB8884" s="234"/>
    </row>
    <row r="8885" ht="14.5" customHeight="1" spans="11:28" x14ac:dyDescent="0.25">
      <c r="K8885" s="128"/>
      <c r="X8885" s="234"/>
      <c r="Y8885" s="234"/>
      <c r="Z8885" s="234"/>
      <c r="AA8885" s="235"/>
      <c r="AB8885" s="234"/>
    </row>
    <row r="8886" ht="14.5" customHeight="1" spans="11:28" x14ac:dyDescent="0.25">
      <c r="K8886" s="128"/>
      <c r="X8886" s="234"/>
      <c r="Y8886" s="234"/>
      <c r="Z8886" s="234"/>
      <c r="AA8886" s="235"/>
      <c r="AB8886" s="234"/>
    </row>
    <row r="8887" ht="14.5" customHeight="1" spans="11:28" x14ac:dyDescent="0.25">
      <c r="K8887" s="128"/>
      <c r="X8887" s="234"/>
      <c r="Y8887" s="234"/>
      <c r="Z8887" s="234"/>
      <c r="AA8887" s="235"/>
      <c r="AB8887" s="234"/>
    </row>
    <row r="8888" ht="14.5" customHeight="1" spans="11:28" x14ac:dyDescent="0.25">
      <c r="K8888" s="128"/>
      <c r="X8888" s="234"/>
      <c r="Y8888" s="234"/>
      <c r="Z8888" s="234"/>
      <c r="AA8888" s="235"/>
      <c r="AB8888" s="234"/>
    </row>
    <row r="8889" ht="14.5" customHeight="1" spans="11:28" x14ac:dyDescent="0.25">
      <c r="K8889" s="128"/>
      <c r="X8889" s="234"/>
      <c r="Y8889" s="234"/>
      <c r="Z8889" s="234"/>
      <c r="AA8889" s="235"/>
      <c r="AB8889" s="234"/>
    </row>
    <row r="8890" ht="14.5" customHeight="1" spans="11:28" x14ac:dyDescent="0.25">
      <c r="K8890" s="128"/>
      <c r="X8890" s="234"/>
      <c r="Y8890" s="234"/>
      <c r="Z8890" s="234"/>
      <c r="AA8890" s="235"/>
      <c r="AB8890" s="234"/>
    </row>
    <row r="8891" ht="14.5" customHeight="1" spans="11:28" x14ac:dyDescent="0.25">
      <c r="K8891" s="128"/>
      <c r="X8891" s="234"/>
      <c r="Y8891" s="234"/>
      <c r="Z8891" s="234"/>
      <c r="AA8891" s="235"/>
      <c r="AB8891" s="234"/>
    </row>
    <row r="8892" ht="14.5" customHeight="1" spans="11:28" x14ac:dyDescent="0.25">
      <c r="K8892" s="128"/>
      <c r="X8892" s="234"/>
      <c r="Y8892" s="234"/>
      <c r="Z8892" s="234"/>
      <c r="AA8892" s="235"/>
      <c r="AB8892" s="234"/>
    </row>
    <row r="8893" ht="14.5" customHeight="1" spans="11:28" x14ac:dyDescent="0.25">
      <c r="K8893" s="128"/>
      <c r="X8893" s="234"/>
      <c r="Y8893" s="234"/>
      <c r="Z8893" s="234"/>
      <c r="AA8893" s="235"/>
      <c r="AB8893" s="234"/>
    </row>
    <row r="8894" ht="14.5" customHeight="1" spans="11:28" x14ac:dyDescent="0.25">
      <c r="K8894" s="128"/>
      <c r="X8894" s="234"/>
      <c r="Y8894" s="234"/>
      <c r="Z8894" s="234"/>
      <c r="AA8894" s="235"/>
      <c r="AB8894" s="234"/>
    </row>
    <row r="8895" ht="14.5" customHeight="1" spans="11:28" x14ac:dyDescent="0.25">
      <c r="K8895" s="128"/>
      <c r="X8895" s="234"/>
      <c r="Y8895" s="234"/>
      <c r="Z8895" s="234"/>
      <c r="AA8895" s="235"/>
      <c r="AB8895" s="234"/>
    </row>
    <row r="8896" ht="14.5" customHeight="1" spans="11:28" x14ac:dyDescent="0.25">
      <c r="K8896" s="128"/>
      <c r="X8896" s="234"/>
      <c r="Y8896" s="234"/>
      <c r="Z8896" s="234"/>
      <c r="AA8896" s="235"/>
      <c r="AB8896" s="234"/>
    </row>
    <row r="8897" ht="14.5" customHeight="1" spans="11:28" x14ac:dyDescent="0.25">
      <c r="K8897" s="128"/>
      <c r="X8897" s="234"/>
      <c r="Y8897" s="234"/>
      <c r="Z8897" s="234"/>
      <c r="AA8897" s="235"/>
      <c r="AB8897" s="234"/>
    </row>
    <row r="8898" ht="14.5" customHeight="1" spans="11:28" x14ac:dyDescent="0.25">
      <c r="K8898" s="128"/>
      <c r="X8898" s="234"/>
      <c r="Y8898" s="234"/>
      <c r="Z8898" s="234"/>
      <c r="AA8898" s="235"/>
      <c r="AB8898" s="234"/>
    </row>
    <row r="8899" ht="14.5" customHeight="1" spans="11:28" x14ac:dyDescent="0.25">
      <c r="K8899" s="128"/>
      <c r="X8899" s="234"/>
      <c r="Y8899" s="234"/>
      <c r="Z8899" s="234"/>
      <c r="AA8899" s="235"/>
      <c r="AB8899" s="234"/>
    </row>
    <row r="8900" ht="14.5" customHeight="1" spans="11:28" x14ac:dyDescent="0.25">
      <c r="K8900" s="128"/>
      <c r="X8900" s="234"/>
      <c r="Y8900" s="234"/>
      <c r="Z8900" s="234"/>
      <c r="AA8900" s="235"/>
      <c r="AB8900" s="234"/>
    </row>
    <row r="8901" ht="14.5" customHeight="1" spans="11:28" x14ac:dyDescent="0.25">
      <c r="K8901" s="128"/>
      <c r="X8901" s="234"/>
      <c r="Y8901" s="234"/>
      <c r="Z8901" s="234"/>
      <c r="AA8901" s="235"/>
      <c r="AB8901" s="234"/>
    </row>
    <row r="8902" ht="14.5" customHeight="1" spans="11:28" x14ac:dyDescent="0.25">
      <c r="K8902" s="128"/>
      <c r="X8902" s="234"/>
      <c r="Y8902" s="234"/>
      <c r="Z8902" s="234"/>
      <c r="AA8902" s="235"/>
      <c r="AB8902" s="234"/>
    </row>
    <row r="8903" ht="14.5" customHeight="1" spans="11:28" x14ac:dyDescent="0.25">
      <c r="K8903" s="128"/>
      <c r="X8903" s="234"/>
      <c r="Y8903" s="234"/>
      <c r="Z8903" s="234"/>
      <c r="AA8903" s="235"/>
      <c r="AB8903" s="234"/>
    </row>
    <row r="8904" ht="14.5" customHeight="1" spans="11:28" x14ac:dyDescent="0.25">
      <c r="K8904" s="128"/>
      <c r="X8904" s="234"/>
      <c r="Y8904" s="234"/>
      <c r="Z8904" s="234"/>
      <c r="AA8904" s="235"/>
      <c r="AB8904" s="234"/>
    </row>
    <row r="8905" ht="14.5" customHeight="1" spans="11:28" x14ac:dyDescent="0.25">
      <c r="K8905" s="128"/>
      <c r="X8905" s="234"/>
      <c r="Y8905" s="234"/>
      <c r="Z8905" s="234"/>
      <c r="AA8905" s="235"/>
      <c r="AB8905" s="234"/>
    </row>
    <row r="8906" ht="14.5" customHeight="1" spans="11:28" x14ac:dyDescent="0.25">
      <c r="K8906" s="128"/>
      <c r="X8906" s="234"/>
      <c r="Y8906" s="234"/>
      <c r="Z8906" s="234"/>
      <c r="AA8906" s="235"/>
      <c r="AB8906" s="234"/>
    </row>
    <row r="8907" ht="14.5" customHeight="1" spans="11:28" x14ac:dyDescent="0.25">
      <c r="K8907" s="128"/>
      <c r="X8907" s="234"/>
      <c r="Y8907" s="234"/>
      <c r="Z8907" s="234"/>
      <c r="AA8907" s="235"/>
      <c r="AB8907" s="234"/>
    </row>
    <row r="8908" ht="14.5" customHeight="1" spans="11:28" x14ac:dyDescent="0.25">
      <c r="K8908" s="128"/>
      <c r="X8908" s="234"/>
      <c r="Y8908" s="234"/>
      <c r="Z8908" s="234"/>
      <c r="AA8908" s="235"/>
      <c r="AB8908" s="234"/>
    </row>
    <row r="8909" ht="14.5" customHeight="1" spans="11:28" x14ac:dyDescent="0.25">
      <c r="K8909" s="128"/>
      <c r="X8909" s="234"/>
      <c r="Y8909" s="234"/>
      <c r="Z8909" s="234"/>
      <c r="AA8909" s="235"/>
      <c r="AB8909" s="234"/>
    </row>
    <row r="8910" ht="14.5" customHeight="1" spans="11:28" x14ac:dyDescent="0.25">
      <c r="K8910" s="128"/>
      <c r="X8910" s="234"/>
      <c r="Y8910" s="234"/>
      <c r="Z8910" s="234"/>
      <c r="AA8910" s="235"/>
      <c r="AB8910" s="234"/>
    </row>
    <row r="8911" ht="14.5" customHeight="1" spans="11:28" x14ac:dyDescent="0.25">
      <c r="K8911" s="128"/>
      <c r="X8911" s="234"/>
      <c r="Y8911" s="234"/>
      <c r="Z8911" s="234"/>
      <c r="AA8911" s="235"/>
      <c r="AB8911" s="234"/>
    </row>
    <row r="8912" ht="14.5" customHeight="1" spans="11:28" x14ac:dyDescent="0.25">
      <c r="K8912" s="128"/>
      <c r="X8912" s="234"/>
      <c r="Y8912" s="234"/>
      <c r="Z8912" s="234"/>
      <c r="AA8912" s="235"/>
      <c r="AB8912" s="234"/>
    </row>
    <row r="8913" ht="14.5" customHeight="1" spans="11:28" x14ac:dyDescent="0.25">
      <c r="K8913" s="128"/>
      <c r="X8913" s="234"/>
      <c r="Y8913" s="234"/>
      <c r="Z8913" s="234"/>
      <c r="AA8913" s="235"/>
      <c r="AB8913" s="234"/>
    </row>
    <row r="8914" ht="14.5" customHeight="1" spans="11:28" x14ac:dyDescent="0.25">
      <c r="K8914" s="128"/>
      <c r="X8914" s="234"/>
      <c r="Y8914" s="234"/>
      <c r="Z8914" s="234"/>
      <c r="AA8914" s="235"/>
      <c r="AB8914" s="234"/>
    </row>
    <row r="8915" ht="14.5" customHeight="1" spans="11:28" x14ac:dyDescent="0.25">
      <c r="K8915" s="128"/>
      <c r="X8915" s="234"/>
      <c r="Y8915" s="234"/>
      <c r="Z8915" s="234"/>
      <c r="AA8915" s="235"/>
      <c r="AB8915" s="234"/>
    </row>
    <row r="8916" ht="14.5" customHeight="1" spans="11:28" x14ac:dyDescent="0.25">
      <c r="K8916" s="128"/>
      <c r="X8916" s="234"/>
      <c r="Y8916" s="234"/>
      <c r="Z8916" s="234"/>
      <c r="AA8916" s="235"/>
      <c r="AB8916" s="234"/>
    </row>
    <row r="8917" ht="14.5" customHeight="1" spans="11:28" x14ac:dyDescent="0.25">
      <c r="K8917" s="128"/>
      <c r="X8917" s="234"/>
      <c r="Y8917" s="234"/>
      <c r="Z8917" s="234"/>
      <c r="AA8917" s="235"/>
      <c r="AB8917" s="234"/>
    </row>
    <row r="8918" ht="14.5" customHeight="1" spans="11:28" x14ac:dyDescent="0.25">
      <c r="K8918" s="128"/>
      <c r="X8918" s="234"/>
      <c r="Y8918" s="234"/>
      <c r="Z8918" s="234"/>
      <c r="AA8918" s="235"/>
      <c r="AB8918" s="234"/>
    </row>
    <row r="8919" ht="14.5" customHeight="1" spans="11:28" x14ac:dyDescent="0.25">
      <c r="K8919" s="128"/>
      <c r="X8919" s="234"/>
      <c r="Y8919" s="234"/>
      <c r="Z8919" s="234"/>
      <c r="AA8919" s="235"/>
      <c r="AB8919" s="234"/>
    </row>
    <row r="8920" ht="14.5" customHeight="1" spans="11:28" x14ac:dyDescent="0.25">
      <c r="K8920" s="128"/>
      <c r="X8920" s="234"/>
      <c r="Y8920" s="234"/>
      <c r="Z8920" s="234"/>
      <c r="AA8920" s="235"/>
      <c r="AB8920" s="234"/>
    </row>
    <row r="8921" ht="14.5" customHeight="1" spans="11:28" x14ac:dyDescent="0.25">
      <c r="K8921" s="128"/>
      <c r="X8921" s="234"/>
      <c r="Y8921" s="234"/>
      <c r="Z8921" s="234"/>
      <c r="AA8921" s="235"/>
      <c r="AB8921" s="234"/>
    </row>
    <row r="8922" ht="14.5" customHeight="1" spans="11:28" x14ac:dyDescent="0.25">
      <c r="K8922" s="128"/>
      <c r="X8922" s="234"/>
      <c r="Y8922" s="234"/>
      <c r="Z8922" s="234"/>
      <c r="AA8922" s="235"/>
      <c r="AB8922" s="234"/>
    </row>
    <row r="8923" ht="14.5" customHeight="1" spans="11:28" x14ac:dyDescent="0.25">
      <c r="K8923" s="128"/>
      <c r="X8923" s="234"/>
      <c r="Y8923" s="234"/>
      <c r="Z8923" s="234"/>
      <c r="AA8923" s="235"/>
      <c r="AB8923" s="234"/>
    </row>
    <row r="8924" ht="14.5" customHeight="1" spans="11:28" x14ac:dyDescent="0.25">
      <c r="K8924" s="128"/>
      <c r="X8924" s="234"/>
      <c r="Y8924" s="234"/>
      <c r="Z8924" s="234"/>
      <c r="AA8924" s="235"/>
      <c r="AB8924" s="234"/>
    </row>
    <row r="8925" ht="14.5" customHeight="1" spans="11:28" x14ac:dyDescent="0.25">
      <c r="K8925" s="128"/>
      <c r="X8925" s="234"/>
      <c r="Y8925" s="234"/>
      <c r="Z8925" s="234"/>
      <c r="AA8925" s="235"/>
      <c r="AB8925" s="234"/>
    </row>
    <row r="8926" ht="14.5" customHeight="1" spans="11:28" x14ac:dyDescent="0.25">
      <c r="K8926" s="128"/>
      <c r="X8926" s="234"/>
      <c r="Y8926" s="234"/>
      <c r="Z8926" s="234"/>
      <c r="AA8926" s="235"/>
      <c r="AB8926" s="234"/>
    </row>
    <row r="8927" ht="14.5" customHeight="1" spans="11:28" x14ac:dyDescent="0.25">
      <c r="K8927" s="128"/>
      <c r="X8927" s="234"/>
      <c r="Y8927" s="234"/>
      <c r="Z8927" s="234"/>
      <c r="AA8927" s="235"/>
      <c r="AB8927" s="234"/>
    </row>
    <row r="8928" ht="14.5" customHeight="1" spans="11:28" x14ac:dyDescent="0.25">
      <c r="K8928" s="128"/>
      <c r="X8928" s="234"/>
      <c r="Y8928" s="234"/>
      <c r="Z8928" s="234"/>
      <c r="AA8928" s="235"/>
      <c r="AB8928" s="234"/>
    </row>
    <row r="8929" ht="14.5" customHeight="1" spans="11:28" x14ac:dyDescent="0.25">
      <c r="K8929" s="128"/>
      <c r="X8929" s="234"/>
      <c r="Y8929" s="234"/>
      <c r="Z8929" s="234"/>
      <c r="AA8929" s="235"/>
      <c r="AB8929" s="234"/>
    </row>
    <row r="8930" ht="14.5" customHeight="1" spans="11:28" x14ac:dyDescent="0.25">
      <c r="K8930" s="128"/>
      <c r="X8930" s="234"/>
      <c r="Y8930" s="234"/>
      <c r="Z8930" s="234"/>
      <c r="AA8930" s="235"/>
      <c r="AB8930" s="234"/>
    </row>
    <row r="8931" ht="14.5" customHeight="1" spans="11:28" x14ac:dyDescent="0.25">
      <c r="K8931" s="128"/>
      <c r="X8931" s="234"/>
      <c r="Y8931" s="234"/>
      <c r="Z8931" s="234"/>
      <c r="AA8931" s="235"/>
      <c r="AB8931" s="234"/>
    </row>
    <row r="8932" ht="14.5" customHeight="1" spans="11:28" x14ac:dyDescent="0.25">
      <c r="K8932" s="128"/>
      <c r="X8932" s="234"/>
      <c r="Y8932" s="234"/>
      <c r="Z8932" s="234"/>
      <c r="AA8932" s="235"/>
      <c r="AB8932" s="234"/>
    </row>
    <row r="8933" ht="14.5" customHeight="1" spans="11:28" x14ac:dyDescent="0.25">
      <c r="K8933" s="128"/>
      <c r="X8933" s="234"/>
      <c r="Y8933" s="234"/>
      <c r="Z8933" s="234"/>
      <c r="AA8933" s="235"/>
      <c r="AB8933" s="234"/>
    </row>
    <row r="8934" ht="14.5" customHeight="1" spans="11:28" x14ac:dyDescent="0.25">
      <c r="K8934" s="128"/>
      <c r="X8934" s="234"/>
      <c r="Y8934" s="234"/>
      <c r="Z8934" s="234"/>
      <c r="AA8934" s="235"/>
      <c r="AB8934" s="234"/>
    </row>
    <row r="8935" ht="14.5" customHeight="1" spans="11:28" x14ac:dyDescent="0.25">
      <c r="K8935" s="128"/>
      <c r="X8935" s="234"/>
      <c r="Y8935" s="234"/>
      <c r="Z8935" s="234"/>
      <c r="AA8935" s="235"/>
      <c r="AB8935" s="234"/>
    </row>
    <row r="8936" ht="14.5" customHeight="1" spans="11:28" x14ac:dyDescent="0.25">
      <c r="K8936" s="128"/>
      <c r="X8936" s="234"/>
      <c r="Y8936" s="234"/>
      <c r="Z8936" s="234"/>
      <c r="AA8936" s="235"/>
      <c r="AB8936" s="234"/>
    </row>
    <row r="8937" ht="14.5" customHeight="1" spans="11:28" x14ac:dyDescent="0.25">
      <c r="K8937" s="128"/>
      <c r="X8937" s="234"/>
      <c r="Y8937" s="234"/>
      <c r="Z8937" s="234"/>
      <c r="AA8937" s="235"/>
      <c r="AB8937" s="234"/>
    </row>
    <row r="8938" ht="14.5" customHeight="1" spans="11:28" x14ac:dyDescent="0.25">
      <c r="K8938" s="128"/>
      <c r="X8938" s="234"/>
      <c r="Y8938" s="234"/>
      <c r="Z8938" s="234"/>
      <c r="AA8938" s="235"/>
      <c r="AB8938" s="234"/>
    </row>
    <row r="8939" ht="14.5" customHeight="1" spans="11:28" x14ac:dyDescent="0.25">
      <c r="K8939" s="128"/>
      <c r="X8939" s="234"/>
      <c r="Y8939" s="234"/>
      <c r="Z8939" s="234"/>
      <c r="AA8939" s="235"/>
      <c r="AB8939" s="234"/>
    </row>
    <row r="8940" ht="14.5" customHeight="1" spans="11:28" x14ac:dyDescent="0.25">
      <c r="K8940" s="128"/>
      <c r="X8940" s="234"/>
      <c r="Y8940" s="234"/>
      <c r="Z8940" s="234"/>
      <c r="AA8940" s="235"/>
      <c r="AB8940" s="234"/>
    </row>
    <row r="8941" ht="14.5" customHeight="1" spans="11:28" x14ac:dyDescent="0.25">
      <c r="K8941" s="128"/>
      <c r="X8941" s="234"/>
      <c r="Y8941" s="234"/>
      <c r="Z8941" s="234"/>
      <c r="AA8941" s="235"/>
      <c r="AB8941" s="234"/>
    </row>
    <row r="8942" ht="14.5" customHeight="1" spans="11:28" x14ac:dyDescent="0.25">
      <c r="K8942" s="128"/>
      <c r="X8942" s="234"/>
      <c r="Y8942" s="234"/>
      <c r="Z8942" s="234"/>
      <c r="AA8942" s="235"/>
      <c r="AB8942" s="234"/>
    </row>
    <row r="8943" ht="14.5" customHeight="1" spans="11:28" x14ac:dyDescent="0.25">
      <c r="K8943" s="128"/>
      <c r="X8943" s="234"/>
      <c r="Y8943" s="234"/>
      <c r="Z8943" s="234"/>
      <c r="AA8943" s="235"/>
      <c r="AB8943" s="234"/>
    </row>
    <row r="8944" ht="14.5" customHeight="1" spans="11:28" x14ac:dyDescent="0.25">
      <c r="K8944" s="128"/>
      <c r="X8944" s="234"/>
      <c r="Y8944" s="234"/>
      <c r="Z8944" s="234"/>
      <c r="AA8944" s="235"/>
      <c r="AB8944" s="234"/>
    </row>
    <row r="8945" ht="14.5" customHeight="1" spans="11:28" x14ac:dyDescent="0.25">
      <c r="K8945" s="128"/>
      <c r="X8945" s="234"/>
      <c r="Y8945" s="234"/>
      <c r="Z8945" s="234"/>
      <c r="AA8945" s="235"/>
      <c r="AB8945" s="234"/>
    </row>
    <row r="8946" ht="14.5" customHeight="1" spans="11:28" x14ac:dyDescent="0.25">
      <c r="K8946" s="128"/>
      <c r="X8946" s="234"/>
      <c r="Y8946" s="234"/>
      <c r="Z8946" s="234"/>
      <c r="AA8946" s="235"/>
      <c r="AB8946" s="234"/>
    </row>
    <row r="8947" ht="14.5" customHeight="1" spans="11:28" x14ac:dyDescent="0.25">
      <c r="K8947" s="128"/>
      <c r="X8947" s="234"/>
      <c r="Y8947" s="234"/>
      <c r="Z8947" s="234"/>
      <c r="AA8947" s="235"/>
      <c r="AB8947" s="234"/>
    </row>
    <row r="8948" ht="14.5" customHeight="1" spans="11:28" x14ac:dyDescent="0.25">
      <c r="K8948" s="128"/>
      <c r="X8948" s="234"/>
      <c r="Y8948" s="234"/>
      <c r="Z8948" s="234"/>
      <c r="AA8948" s="235"/>
      <c r="AB8948" s="234"/>
    </row>
    <row r="8949" ht="14.5" customHeight="1" spans="11:28" x14ac:dyDescent="0.25">
      <c r="K8949" s="128"/>
      <c r="X8949" s="234"/>
      <c r="Y8949" s="234"/>
      <c r="Z8949" s="234"/>
      <c r="AA8949" s="235"/>
      <c r="AB8949" s="234"/>
    </row>
    <row r="8950" ht="14.5" customHeight="1" spans="11:28" x14ac:dyDescent="0.25">
      <c r="K8950" s="128"/>
      <c r="X8950" s="234"/>
      <c r="Y8950" s="234"/>
      <c r="Z8950" s="234"/>
      <c r="AA8950" s="235"/>
      <c r="AB8950" s="234"/>
    </row>
    <row r="8951" ht="14.5" customHeight="1" spans="11:28" x14ac:dyDescent="0.25">
      <c r="K8951" s="128"/>
      <c r="X8951" s="234"/>
      <c r="Y8951" s="234"/>
      <c r="Z8951" s="234"/>
      <c r="AA8951" s="235"/>
      <c r="AB8951" s="234"/>
    </row>
    <row r="8952" ht="14.5" customHeight="1" spans="11:28" x14ac:dyDescent="0.25">
      <c r="K8952" s="128"/>
      <c r="X8952" s="234"/>
      <c r="Y8952" s="234"/>
      <c r="Z8952" s="234"/>
      <c r="AA8952" s="235"/>
      <c r="AB8952" s="234"/>
    </row>
    <row r="8953" ht="14.5" customHeight="1" spans="11:28" x14ac:dyDescent="0.25">
      <c r="K8953" s="128"/>
      <c r="X8953" s="234"/>
      <c r="Y8953" s="234"/>
      <c r="Z8953" s="234"/>
      <c r="AA8953" s="235"/>
      <c r="AB8953" s="234"/>
    </row>
    <row r="8954" ht="14.5" customHeight="1" spans="11:28" x14ac:dyDescent="0.25">
      <c r="K8954" s="128"/>
      <c r="X8954" s="234"/>
      <c r="Y8954" s="234"/>
      <c r="Z8954" s="234"/>
      <c r="AA8954" s="235"/>
      <c r="AB8954" s="234"/>
    </row>
    <row r="8955" ht="14.5" customHeight="1" spans="11:28" x14ac:dyDescent="0.25">
      <c r="K8955" s="128"/>
      <c r="X8955" s="234"/>
      <c r="Y8955" s="234"/>
      <c r="Z8955" s="234"/>
      <c r="AA8955" s="235"/>
      <c r="AB8955" s="234"/>
    </row>
    <row r="8956" ht="14.5" customHeight="1" spans="11:28" x14ac:dyDescent="0.25">
      <c r="K8956" s="128"/>
      <c r="X8956" s="234"/>
      <c r="Y8956" s="234"/>
      <c r="Z8956" s="234"/>
      <c r="AA8956" s="235"/>
      <c r="AB8956" s="234"/>
    </row>
    <row r="8957" ht="14.5" customHeight="1" spans="11:28" x14ac:dyDescent="0.25">
      <c r="K8957" s="128"/>
      <c r="X8957" s="234"/>
      <c r="Y8957" s="234"/>
      <c r="Z8957" s="234"/>
      <c r="AA8957" s="235"/>
      <c r="AB8957" s="234"/>
    </row>
    <row r="8958" ht="14.5" customHeight="1" spans="11:28" x14ac:dyDescent="0.25">
      <c r="K8958" s="128"/>
      <c r="X8958" s="234"/>
      <c r="Y8958" s="234"/>
      <c r="Z8958" s="234"/>
      <c r="AA8958" s="235"/>
      <c r="AB8958" s="234"/>
    </row>
    <row r="8959" ht="14.5" customHeight="1" spans="11:28" x14ac:dyDescent="0.25">
      <c r="K8959" s="128"/>
      <c r="X8959" s="234"/>
      <c r="Y8959" s="234"/>
      <c r="Z8959" s="234"/>
      <c r="AA8959" s="235"/>
      <c r="AB8959" s="234"/>
    </row>
    <row r="8960" ht="14.5" customHeight="1" spans="11:28" x14ac:dyDescent="0.25">
      <c r="K8960" s="128"/>
      <c r="X8960" s="234"/>
      <c r="Y8960" s="234"/>
      <c r="Z8960" s="234"/>
      <c r="AA8960" s="235"/>
      <c r="AB8960" s="234"/>
    </row>
    <row r="8961" ht="14.5" customHeight="1" spans="11:28" x14ac:dyDescent="0.25">
      <c r="K8961" s="128"/>
      <c r="X8961" s="234"/>
      <c r="Y8961" s="234"/>
      <c r="Z8961" s="234"/>
      <c r="AA8961" s="235"/>
      <c r="AB8961" s="234"/>
    </row>
    <row r="8962" ht="14.5" customHeight="1" spans="11:28" x14ac:dyDescent="0.25">
      <c r="K8962" s="128"/>
      <c r="X8962" s="234"/>
      <c r="Y8962" s="234"/>
      <c r="Z8962" s="234"/>
      <c r="AA8962" s="235"/>
      <c r="AB8962" s="234"/>
    </row>
    <row r="8963" ht="14.5" customHeight="1" spans="11:28" x14ac:dyDescent="0.25">
      <c r="K8963" s="128"/>
      <c r="X8963" s="234"/>
      <c r="Y8963" s="234"/>
      <c r="Z8963" s="234"/>
      <c r="AA8963" s="235"/>
      <c r="AB8963" s="234"/>
    </row>
    <row r="8964" ht="14.5" customHeight="1" spans="11:28" x14ac:dyDescent="0.25">
      <c r="K8964" s="128"/>
      <c r="X8964" s="234"/>
      <c r="Y8964" s="234"/>
      <c r="Z8964" s="234"/>
      <c r="AA8964" s="235"/>
      <c r="AB8964" s="234"/>
    </row>
    <row r="8965" ht="14.5" customHeight="1" spans="11:28" x14ac:dyDescent="0.25">
      <c r="K8965" s="128"/>
      <c r="X8965" s="234"/>
      <c r="Y8965" s="234"/>
      <c r="Z8965" s="234"/>
      <c r="AA8965" s="235"/>
      <c r="AB8965" s="234"/>
    </row>
    <row r="8966" ht="14.5" customHeight="1" spans="11:28" x14ac:dyDescent="0.25">
      <c r="K8966" s="128"/>
      <c r="X8966" s="234"/>
      <c r="Y8966" s="234"/>
      <c r="Z8966" s="234"/>
      <c r="AA8966" s="235"/>
      <c r="AB8966" s="234"/>
    </row>
    <row r="8967" ht="14.5" customHeight="1" spans="11:28" x14ac:dyDescent="0.25">
      <c r="K8967" s="128"/>
      <c r="X8967" s="234"/>
      <c r="Y8967" s="234"/>
      <c r="Z8967" s="234"/>
      <c r="AA8967" s="235"/>
      <c r="AB8967" s="234"/>
    </row>
    <row r="8968" ht="14.5" customHeight="1" spans="11:28" x14ac:dyDescent="0.25">
      <c r="K8968" s="128"/>
      <c r="X8968" s="234"/>
      <c r="Y8968" s="234"/>
      <c r="Z8968" s="234"/>
      <c r="AA8968" s="235"/>
      <c r="AB8968" s="234"/>
    </row>
    <row r="8969" ht="14.5" customHeight="1" spans="11:28" x14ac:dyDescent="0.25">
      <c r="K8969" s="128"/>
      <c r="X8969" s="234"/>
      <c r="Y8969" s="234"/>
      <c r="Z8969" s="234"/>
      <c r="AA8969" s="235"/>
      <c r="AB8969" s="234"/>
    </row>
    <row r="8970" ht="14.5" customHeight="1" spans="11:28" x14ac:dyDescent="0.25">
      <c r="K8970" s="128"/>
      <c r="X8970" s="234"/>
      <c r="Y8970" s="234"/>
      <c r="Z8970" s="234"/>
      <c r="AA8970" s="235"/>
      <c r="AB8970" s="234"/>
    </row>
    <row r="8971" ht="14.5" customHeight="1" spans="11:28" x14ac:dyDescent="0.25">
      <c r="K8971" s="128"/>
      <c r="X8971" s="234"/>
      <c r="Y8971" s="234"/>
      <c r="Z8971" s="234"/>
      <c r="AA8971" s="235"/>
      <c r="AB8971" s="234"/>
    </row>
    <row r="8972" ht="14.5" customHeight="1" spans="11:28" x14ac:dyDescent="0.25">
      <c r="K8972" s="128"/>
      <c r="X8972" s="234"/>
      <c r="Y8972" s="234"/>
      <c r="Z8972" s="234"/>
      <c r="AA8972" s="235"/>
      <c r="AB8972" s="234"/>
    </row>
    <row r="8973" ht="14.5" customHeight="1" spans="11:28" x14ac:dyDescent="0.25">
      <c r="K8973" s="128"/>
      <c r="X8973" s="234"/>
      <c r="Y8973" s="234"/>
      <c r="Z8973" s="234"/>
      <c r="AA8973" s="235"/>
      <c r="AB8973" s="234"/>
    </row>
    <row r="8974" ht="14.5" customHeight="1" spans="11:28" x14ac:dyDescent="0.25">
      <c r="K8974" s="128"/>
      <c r="X8974" s="234"/>
      <c r="Y8974" s="234"/>
      <c r="Z8974" s="234"/>
      <c r="AA8974" s="235"/>
      <c r="AB8974" s="234"/>
    </row>
    <row r="8975" ht="14.5" customHeight="1" spans="11:28" x14ac:dyDescent="0.25">
      <c r="K8975" s="128"/>
      <c r="X8975" s="234"/>
      <c r="Y8975" s="234"/>
      <c r="Z8975" s="234"/>
      <c r="AA8975" s="235"/>
      <c r="AB8975" s="234"/>
    </row>
    <row r="8976" ht="14.5" customHeight="1" spans="11:28" x14ac:dyDescent="0.25">
      <c r="K8976" s="128"/>
      <c r="X8976" s="234"/>
      <c r="Y8976" s="234"/>
      <c r="Z8976" s="234"/>
      <c r="AA8976" s="235"/>
      <c r="AB8976" s="234"/>
    </row>
    <row r="8977" ht="14.5" customHeight="1" spans="11:28" x14ac:dyDescent="0.25">
      <c r="K8977" s="128"/>
      <c r="X8977" s="234"/>
      <c r="Y8977" s="234"/>
      <c r="Z8977" s="234"/>
      <c r="AA8977" s="235"/>
      <c r="AB8977" s="234"/>
    </row>
    <row r="8978" ht="14.5" customHeight="1" spans="11:28" x14ac:dyDescent="0.25">
      <c r="K8978" s="128"/>
      <c r="X8978" s="234"/>
      <c r="Y8978" s="234"/>
      <c r="Z8978" s="234"/>
      <c r="AA8978" s="235"/>
      <c r="AB8978" s="234"/>
    </row>
    <row r="8979" ht="14.5" customHeight="1" spans="11:28" x14ac:dyDescent="0.25">
      <c r="K8979" s="128"/>
      <c r="X8979" s="234"/>
      <c r="Y8979" s="234"/>
      <c r="Z8979" s="234"/>
      <c r="AA8979" s="235"/>
      <c r="AB8979" s="234"/>
    </row>
    <row r="8980" ht="14.5" customHeight="1" spans="11:28" x14ac:dyDescent="0.25">
      <c r="K8980" s="128"/>
      <c r="X8980" s="234"/>
      <c r="Y8980" s="234"/>
      <c r="Z8980" s="234"/>
      <c r="AA8980" s="235"/>
      <c r="AB8980" s="234"/>
    </row>
    <row r="8981" ht="14.5" customHeight="1" spans="11:28" x14ac:dyDescent="0.25">
      <c r="K8981" s="128"/>
      <c r="X8981" s="234"/>
      <c r="Y8981" s="234"/>
      <c r="Z8981" s="234"/>
      <c r="AA8981" s="235"/>
      <c r="AB8981" s="234"/>
    </row>
    <row r="8982" ht="14.5" customHeight="1" spans="11:28" x14ac:dyDescent="0.25">
      <c r="K8982" s="128"/>
      <c r="X8982" s="234"/>
      <c r="Y8982" s="234"/>
      <c r="Z8982" s="234"/>
      <c r="AA8982" s="235"/>
      <c r="AB8982" s="234"/>
    </row>
    <row r="8983" ht="14.5" customHeight="1" spans="11:28" x14ac:dyDescent="0.25">
      <c r="K8983" s="128"/>
      <c r="X8983" s="234"/>
      <c r="Y8983" s="234"/>
      <c r="Z8983" s="234"/>
      <c r="AA8983" s="235"/>
      <c r="AB8983" s="234"/>
    </row>
    <row r="8984" ht="14.5" customHeight="1" spans="11:28" x14ac:dyDescent="0.25">
      <c r="K8984" s="128"/>
      <c r="X8984" s="234"/>
      <c r="Y8984" s="234"/>
      <c r="Z8984" s="234"/>
      <c r="AA8984" s="235"/>
      <c r="AB8984" s="234"/>
    </row>
    <row r="8985" ht="14.5" customHeight="1" spans="11:28" x14ac:dyDescent="0.25">
      <c r="K8985" s="128"/>
      <c r="X8985" s="234"/>
      <c r="Y8985" s="234"/>
      <c r="Z8985" s="234"/>
      <c r="AA8985" s="235"/>
      <c r="AB8985" s="234"/>
    </row>
    <row r="8986" ht="14.5" customHeight="1" spans="11:28" x14ac:dyDescent="0.25">
      <c r="K8986" s="128"/>
      <c r="X8986" s="234"/>
      <c r="Y8986" s="234"/>
      <c r="Z8986" s="234"/>
      <c r="AA8986" s="235"/>
      <c r="AB8986" s="234"/>
    </row>
    <row r="8987" ht="14.5" customHeight="1" spans="11:28" x14ac:dyDescent="0.25">
      <c r="K8987" s="128"/>
      <c r="X8987" s="234"/>
      <c r="Y8987" s="234"/>
      <c r="Z8987" s="234"/>
      <c r="AA8987" s="235"/>
      <c r="AB8987" s="234"/>
    </row>
    <row r="8988" ht="14.5" customHeight="1" spans="11:28" x14ac:dyDescent="0.25">
      <c r="K8988" s="128"/>
      <c r="X8988" s="234"/>
      <c r="Y8988" s="234"/>
      <c r="Z8988" s="234"/>
      <c r="AA8988" s="235"/>
      <c r="AB8988" s="234"/>
    </row>
    <row r="8989" ht="14.5" customHeight="1" spans="11:28" x14ac:dyDescent="0.25">
      <c r="K8989" s="128"/>
      <c r="X8989" s="234"/>
      <c r="Y8989" s="234"/>
      <c r="Z8989" s="234"/>
      <c r="AA8989" s="235"/>
      <c r="AB8989" s="234"/>
    </row>
    <row r="8990" ht="14.5" customHeight="1" spans="11:28" x14ac:dyDescent="0.25">
      <c r="K8990" s="128"/>
      <c r="X8990" s="234"/>
      <c r="Y8990" s="234"/>
      <c r="Z8990" s="234"/>
      <c r="AA8990" s="235"/>
      <c r="AB8990" s="234"/>
    </row>
    <row r="8991" ht="14.5" customHeight="1" spans="11:28" x14ac:dyDescent="0.25">
      <c r="K8991" s="128"/>
      <c r="X8991" s="234"/>
      <c r="Y8991" s="234"/>
      <c r="Z8991" s="234"/>
      <c r="AA8991" s="235"/>
      <c r="AB8991" s="234"/>
    </row>
    <row r="8992" ht="14.5" customHeight="1" spans="11:28" x14ac:dyDescent="0.25">
      <c r="K8992" s="128"/>
      <c r="X8992" s="234"/>
      <c r="Y8992" s="234"/>
      <c r="Z8992" s="234"/>
      <c r="AA8992" s="235"/>
      <c r="AB8992" s="234"/>
    </row>
    <row r="8993" ht="14.5" customHeight="1" spans="11:28" x14ac:dyDescent="0.25">
      <c r="K8993" s="128"/>
      <c r="X8993" s="234"/>
      <c r="Y8993" s="234"/>
      <c r="Z8993" s="234"/>
      <c r="AA8993" s="235"/>
      <c r="AB8993" s="234"/>
    </row>
    <row r="8994" ht="14.5" customHeight="1" spans="11:28" x14ac:dyDescent="0.25">
      <c r="K8994" s="128"/>
      <c r="X8994" s="234"/>
      <c r="Y8994" s="234"/>
      <c r="Z8994" s="234"/>
      <c r="AA8994" s="235"/>
      <c r="AB8994" s="234"/>
    </row>
    <row r="8995" ht="14.5" customHeight="1" spans="11:28" x14ac:dyDescent="0.25">
      <c r="K8995" s="128"/>
      <c r="X8995" s="234"/>
      <c r="Y8995" s="234"/>
      <c r="Z8995" s="234"/>
      <c r="AA8995" s="235"/>
      <c r="AB8995" s="234"/>
    </row>
    <row r="8996" ht="14.5" customHeight="1" spans="11:28" x14ac:dyDescent="0.25">
      <c r="K8996" s="128"/>
      <c r="X8996" s="234"/>
      <c r="Y8996" s="234"/>
      <c r="Z8996" s="234"/>
      <c r="AA8996" s="235"/>
      <c r="AB8996" s="234"/>
    </row>
    <row r="8997" ht="14.5" customHeight="1" spans="11:28" x14ac:dyDescent="0.25">
      <c r="K8997" s="128"/>
      <c r="X8997" s="234"/>
      <c r="Y8997" s="234"/>
      <c r="Z8997" s="234"/>
      <c r="AA8997" s="235"/>
      <c r="AB8997" s="234"/>
    </row>
    <row r="8998" ht="14.5" customHeight="1" spans="11:28" x14ac:dyDescent="0.25">
      <c r="K8998" s="128"/>
      <c r="X8998" s="234"/>
      <c r="Y8998" s="234"/>
      <c r="Z8998" s="234"/>
      <c r="AA8998" s="235"/>
      <c r="AB8998" s="234"/>
    </row>
    <row r="8999" ht="14.5" customHeight="1" spans="11:28" x14ac:dyDescent="0.25">
      <c r="K8999" s="128"/>
      <c r="X8999" s="234"/>
      <c r="Y8999" s="234"/>
      <c r="Z8999" s="234"/>
      <c r="AA8999" s="235"/>
      <c r="AB8999" s="234"/>
    </row>
    <row r="9000" ht="14.5" customHeight="1" spans="11:28" x14ac:dyDescent="0.25">
      <c r="K9000" s="128"/>
      <c r="X9000" s="234"/>
      <c r="Y9000" s="234"/>
      <c r="Z9000" s="234"/>
      <c r="AA9000" s="235"/>
      <c r="AB9000" s="234"/>
    </row>
    <row r="9001" ht="14.5" customHeight="1" spans="11:28" x14ac:dyDescent="0.25">
      <c r="K9001" s="128"/>
      <c r="X9001" s="234"/>
      <c r="Y9001" s="234"/>
      <c r="Z9001" s="234"/>
      <c r="AA9001" s="235"/>
      <c r="AB9001" s="234"/>
    </row>
    <row r="9002" ht="14.5" customHeight="1" spans="11:28" x14ac:dyDescent="0.25">
      <c r="K9002" s="128"/>
      <c r="X9002" s="234"/>
      <c r="Y9002" s="234"/>
      <c r="Z9002" s="234"/>
      <c r="AA9002" s="235"/>
      <c r="AB9002" s="234"/>
    </row>
    <row r="9003" ht="14.5" customHeight="1" spans="11:28" x14ac:dyDescent="0.25">
      <c r="K9003" s="128"/>
      <c r="X9003" s="234"/>
      <c r="Y9003" s="234"/>
      <c r="Z9003" s="234"/>
      <c r="AA9003" s="235"/>
      <c r="AB9003" s="234"/>
    </row>
    <row r="9004" ht="14.5" customHeight="1" spans="11:28" x14ac:dyDescent="0.25">
      <c r="K9004" s="128"/>
      <c r="X9004" s="234"/>
      <c r="Y9004" s="234"/>
      <c r="Z9004" s="234"/>
      <c r="AA9004" s="235"/>
      <c r="AB9004" s="234"/>
    </row>
    <row r="9005" ht="14.5" customHeight="1" spans="11:28" x14ac:dyDescent="0.25">
      <c r="K9005" s="128"/>
      <c r="X9005" s="234"/>
      <c r="Y9005" s="234"/>
      <c r="Z9005" s="234"/>
      <c r="AA9005" s="235"/>
      <c r="AB9005" s="234"/>
    </row>
    <row r="9006" ht="14.5" customHeight="1" spans="11:28" x14ac:dyDescent="0.25">
      <c r="K9006" s="128"/>
      <c r="X9006" s="234"/>
      <c r="Y9006" s="234"/>
      <c r="Z9006" s="234"/>
      <c r="AA9006" s="235"/>
      <c r="AB9006" s="234"/>
    </row>
    <row r="9007" ht="14.5" customHeight="1" spans="11:28" x14ac:dyDescent="0.25">
      <c r="K9007" s="128"/>
      <c r="X9007" s="234"/>
      <c r="Y9007" s="234"/>
      <c r="Z9007" s="234"/>
      <c r="AA9007" s="235"/>
      <c r="AB9007" s="234"/>
    </row>
    <row r="9008" ht="14.5" customHeight="1" spans="11:28" x14ac:dyDescent="0.25">
      <c r="K9008" s="128"/>
      <c r="X9008" s="234"/>
      <c r="Y9008" s="234"/>
      <c r="Z9008" s="234"/>
      <c r="AA9008" s="235"/>
      <c r="AB9008" s="234"/>
    </row>
    <row r="9009" ht="14.5" customHeight="1" spans="11:28" x14ac:dyDescent="0.25">
      <c r="K9009" s="128"/>
      <c r="X9009" s="234"/>
      <c r="Y9009" s="234"/>
      <c r="Z9009" s="234"/>
      <c r="AA9009" s="235"/>
      <c r="AB9009" s="234"/>
    </row>
    <row r="9010" ht="14.5" customHeight="1" spans="11:28" x14ac:dyDescent="0.25">
      <c r="K9010" s="128"/>
      <c r="X9010" s="234"/>
      <c r="Y9010" s="234"/>
      <c r="Z9010" s="234"/>
      <c r="AA9010" s="235"/>
      <c r="AB9010" s="234"/>
    </row>
    <row r="9011" ht="14.5" customHeight="1" spans="11:28" x14ac:dyDescent="0.25">
      <c r="K9011" s="128"/>
      <c r="X9011" s="234"/>
      <c r="Y9011" s="234"/>
      <c r="Z9011" s="234"/>
      <c r="AA9011" s="235"/>
      <c r="AB9011" s="234"/>
    </row>
    <row r="9012" ht="14.5" customHeight="1" spans="11:28" x14ac:dyDescent="0.25">
      <c r="K9012" s="128"/>
      <c r="X9012" s="234"/>
      <c r="Y9012" s="234"/>
      <c r="Z9012" s="234"/>
      <c r="AA9012" s="235"/>
      <c r="AB9012" s="234"/>
    </row>
    <row r="9013" ht="14.5" customHeight="1" spans="11:28" x14ac:dyDescent="0.25">
      <c r="K9013" s="128"/>
      <c r="X9013" s="234"/>
      <c r="Y9013" s="234"/>
      <c r="Z9013" s="234"/>
      <c r="AA9013" s="235"/>
      <c r="AB9013" s="234"/>
    </row>
    <row r="9014" ht="14.5" customHeight="1" spans="11:28" x14ac:dyDescent="0.25">
      <c r="K9014" s="128"/>
      <c r="X9014" s="234"/>
      <c r="Y9014" s="234"/>
      <c r="Z9014" s="234"/>
      <c r="AA9014" s="235"/>
      <c r="AB9014" s="234"/>
    </row>
    <row r="9015" ht="14.5" customHeight="1" spans="11:28" x14ac:dyDescent="0.25">
      <c r="K9015" s="128"/>
      <c r="X9015" s="234"/>
      <c r="Y9015" s="234"/>
      <c r="Z9015" s="234"/>
      <c r="AA9015" s="235"/>
      <c r="AB9015" s="234"/>
    </row>
    <row r="9016" ht="14.5" customHeight="1" spans="11:28" x14ac:dyDescent="0.25">
      <c r="K9016" s="128"/>
      <c r="X9016" s="234"/>
      <c r="Y9016" s="234"/>
      <c r="Z9016" s="234"/>
      <c r="AA9016" s="235"/>
      <c r="AB9016" s="234"/>
    </row>
    <row r="9017" ht="14.5" customHeight="1" spans="11:28" x14ac:dyDescent="0.25">
      <c r="K9017" s="128"/>
      <c r="X9017" s="234"/>
      <c r="Y9017" s="234"/>
      <c r="Z9017" s="234"/>
      <c r="AA9017" s="235"/>
      <c r="AB9017" s="234"/>
    </row>
    <row r="9018" ht="14.5" customHeight="1" spans="11:28" x14ac:dyDescent="0.25">
      <c r="K9018" s="128"/>
      <c r="X9018" s="234"/>
      <c r="Y9018" s="234"/>
      <c r="Z9018" s="234"/>
      <c r="AA9018" s="235"/>
      <c r="AB9018" s="234"/>
    </row>
    <row r="9019" ht="14.5" customHeight="1" spans="11:28" x14ac:dyDescent="0.25">
      <c r="K9019" s="128"/>
      <c r="X9019" s="234"/>
      <c r="Y9019" s="234"/>
      <c r="Z9019" s="234"/>
      <c r="AA9019" s="235"/>
      <c r="AB9019" s="234"/>
    </row>
    <row r="9020" ht="14.5" customHeight="1" spans="11:28" x14ac:dyDescent="0.25">
      <c r="K9020" s="128"/>
      <c r="X9020" s="234"/>
      <c r="Y9020" s="234"/>
      <c r="Z9020" s="234"/>
      <c r="AA9020" s="235"/>
      <c r="AB9020" s="234"/>
    </row>
    <row r="9021" ht="14.5" customHeight="1" spans="11:28" x14ac:dyDescent="0.25">
      <c r="K9021" s="128"/>
      <c r="X9021" s="234"/>
      <c r="Y9021" s="234"/>
      <c r="Z9021" s="234"/>
      <c r="AA9021" s="235"/>
      <c r="AB9021" s="234"/>
    </row>
    <row r="9022" ht="14.5" customHeight="1" spans="11:28" x14ac:dyDescent="0.25">
      <c r="K9022" s="128"/>
      <c r="X9022" s="234"/>
      <c r="Y9022" s="234"/>
      <c r="Z9022" s="234"/>
      <c r="AA9022" s="235"/>
      <c r="AB9022" s="234"/>
    </row>
    <row r="9023" ht="14.5" customHeight="1" spans="11:28" x14ac:dyDescent="0.25">
      <c r="K9023" s="128"/>
      <c r="X9023" s="234"/>
      <c r="Y9023" s="234"/>
      <c r="Z9023" s="234"/>
      <c r="AA9023" s="235"/>
      <c r="AB9023" s="234"/>
    </row>
    <row r="9024" ht="14.5" customHeight="1" spans="11:28" x14ac:dyDescent="0.25">
      <c r="K9024" s="128"/>
      <c r="X9024" s="234"/>
      <c r="Y9024" s="234"/>
      <c r="Z9024" s="234"/>
      <c r="AA9024" s="235"/>
      <c r="AB9024" s="234"/>
    </row>
    <row r="9025" ht="14.5" customHeight="1" spans="11:28" x14ac:dyDescent="0.25">
      <c r="K9025" s="128"/>
      <c r="X9025" s="234"/>
      <c r="Y9025" s="234"/>
      <c r="Z9025" s="234"/>
      <c r="AA9025" s="235"/>
      <c r="AB9025" s="234"/>
    </row>
    <row r="9026" ht="14.5" customHeight="1" spans="11:28" x14ac:dyDescent="0.25">
      <c r="K9026" s="128"/>
      <c r="X9026" s="234"/>
      <c r="Y9026" s="234"/>
      <c r="Z9026" s="234"/>
      <c r="AA9026" s="235"/>
      <c r="AB9026" s="234"/>
    </row>
    <row r="9027" ht="14.5" customHeight="1" spans="11:28" x14ac:dyDescent="0.25">
      <c r="K9027" s="128"/>
      <c r="X9027" s="234"/>
      <c r="Y9027" s="234"/>
      <c r="Z9027" s="234"/>
      <c r="AA9027" s="235"/>
      <c r="AB9027" s="234"/>
    </row>
    <row r="9028" ht="14.5" customHeight="1" spans="11:28" x14ac:dyDescent="0.25">
      <c r="K9028" s="128"/>
      <c r="X9028" s="234"/>
      <c r="Y9028" s="234"/>
      <c r="Z9028" s="234"/>
      <c r="AA9028" s="235"/>
      <c r="AB9028" s="234"/>
    </row>
    <row r="9029" ht="14.5" customHeight="1" spans="11:28" x14ac:dyDescent="0.25">
      <c r="K9029" s="128"/>
      <c r="X9029" s="234"/>
      <c r="Y9029" s="234"/>
      <c r="Z9029" s="234"/>
      <c r="AA9029" s="235"/>
      <c r="AB9029" s="234"/>
    </row>
    <row r="9030" ht="14.5" customHeight="1" spans="11:28" x14ac:dyDescent="0.25">
      <c r="K9030" s="128"/>
      <c r="X9030" s="234"/>
      <c r="Y9030" s="234"/>
      <c r="Z9030" s="234"/>
      <c r="AA9030" s="235"/>
      <c r="AB9030" s="234"/>
    </row>
    <row r="9031" ht="14.5" customHeight="1" spans="11:28" x14ac:dyDescent="0.25">
      <c r="K9031" s="128"/>
      <c r="X9031" s="234"/>
      <c r="Y9031" s="234"/>
      <c r="Z9031" s="234"/>
      <c r="AA9031" s="235"/>
      <c r="AB9031" s="234"/>
    </row>
    <row r="9032" ht="14.5" customHeight="1" spans="11:28" x14ac:dyDescent="0.25">
      <c r="K9032" s="128"/>
      <c r="X9032" s="234"/>
      <c r="Y9032" s="234"/>
      <c r="Z9032" s="234"/>
      <c r="AA9032" s="235"/>
      <c r="AB9032" s="234"/>
    </row>
    <row r="9033" ht="14.5" customHeight="1" spans="11:28" x14ac:dyDescent="0.25">
      <c r="K9033" s="128"/>
      <c r="X9033" s="234"/>
      <c r="Y9033" s="234"/>
      <c r="Z9033" s="234"/>
      <c r="AA9033" s="235"/>
      <c r="AB9033" s="234"/>
    </row>
    <row r="9034" ht="14.5" customHeight="1" spans="11:28" x14ac:dyDescent="0.25">
      <c r="K9034" s="128"/>
      <c r="X9034" s="234"/>
      <c r="Y9034" s="234"/>
      <c r="Z9034" s="234"/>
      <c r="AA9034" s="235"/>
      <c r="AB9034" s="234"/>
    </row>
    <row r="9035" ht="14.5" customHeight="1" spans="11:28" x14ac:dyDescent="0.25">
      <c r="K9035" s="128"/>
      <c r="X9035" s="234"/>
      <c r="Y9035" s="234"/>
      <c r="Z9035" s="234"/>
      <c r="AA9035" s="235"/>
      <c r="AB9035" s="234"/>
    </row>
    <row r="9036" ht="14.5" customHeight="1" spans="11:28" x14ac:dyDescent="0.25">
      <c r="K9036" s="128"/>
      <c r="X9036" s="234"/>
      <c r="Y9036" s="234"/>
      <c r="Z9036" s="234"/>
      <c r="AA9036" s="235"/>
      <c r="AB9036" s="234"/>
    </row>
    <row r="9037" ht="14.5" customHeight="1" spans="11:28" x14ac:dyDescent="0.25">
      <c r="K9037" s="128"/>
      <c r="X9037" s="234"/>
      <c r="Y9037" s="234"/>
      <c r="Z9037" s="234"/>
      <c r="AA9037" s="235"/>
      <c r="AB9037" s="234"/>
    </row>
    <row r="9038" ht="14.5" customHeight="1" spans="11:28" x14ac:dyDescent="0.25">
      <c r="K9038" s="128"/>
      <c r="X9038" s="234"/>
      <c r="Y9038" s="234"/>
      <c r="Z9038" s="234"/>
      <c r="AA9038" s="235"/>
      <c r="AB9038" s="234"/>
    </row>
    <row r="9039" ht="14.5" customHeight="1" spans="11:28" x14ac:dyDescent="0.25">
      <c r="K9039" s="128"/>
      <c r="X9039" s="234"/>
      <c r="Y9039" s="234"/>
      <c r="Z9039" s="234"/>
      <c r="AA9039" s="235"/>
      <c r="AB9039" s="234"/>
    </row>
    <row r="9040" ht="14.5" customHeight="1" spans="11:28" x14ac:dyDescent="0.25">
      <c r="K9040" s="128"/>
      <c r="X9040" s="234"/>
      <c r="Y9040" s="234"/>
      <c r="Z9040" s="234"/>
      <c r="AA9040" s="235"/>
      <c r="AB9040" s="234"/>
    </row>
    <row r="9041" ht="14.5" customHeight="1" spans="11:28" x14ac:dyDescent="0.25">
      <c r="K9041" s="128"/>
      <c r="X9041" s="234"/>
      <c r="Y9041" s="234"/>
      <c r="Z9041" s="234"/>
      <c r="AA9041" s="235"/>
      <c r="AB9041" s="234"/>
    </row>
    <row r="9042" ht="14.5" customHeight="1" spans="11:28" x14ac:dyDescent="0.25">
      <c r="K9042" s="128"/>
      <c r="X9042" s="234"/>
      <c r="Y9042" s="234"/>
      <c r="Z9042" s="234"/>
      <c r="AA9042" s="235"/>
      <c r="AB9042" s="234"/>
    </row>
    <row r="9043" ht="14.5" customHeight="1" spans="11:28" x14ac:dyDescent="0.25">
      <c r="K9043" s="128"/>
      <c r="X9043" s="234"/>
      <c r="Y9043" s="234"/>
      <c r="Z9043" s="234"/>
      <c r="AA9043" s="235"/>
      <c r="AB9043" s="234"/>
    </row>
    <row r="9044" ht="14.5" customHeight="1" spans="11:28" x14ac:dyDescent="0.25">
      <c r="K9044" s="128"/>
      <c r="X9044" s="234"/>
      <c r="Y9044" s="234"/>
      <c r="Z9044" s="234"/>
      <c r="AA9044" s="235"/>
      <c r="AB9044" s="234"/>
    </row>
    <row r="9045" ht="14.5" customHeight="1" spans="11:28" x14ac:dyDescent="0.25">
      <c r="K9045" s="128"/>
      <c r="X9045" s="234"/>
      <c r="Y9045" s="234"/>
      <c r="Z9045" s="234"/>
      <c r="AA9045" s="235"/>
      <c r="AB9045" s="234"/>
    </row>
    <row r="9046" ht="14.5" customHeight="1" spans="11:28" x14ac:dyDescent="0.25">
      <c r="K9046" s="128"/>
      <c r="X9046" s="234"/>
      <c r="Y9046" s="234"/>
      <c r="Z9046" s="234"/>
      <c r="AA9046" s="235"/>
      <c r="AB9046" s="234"/>
    </row>
    <row r="9047" ht="14.5" customHeight="1" spans="11:28" x14ac:dyDescent="0.25">
      <c r="K9047" s="128"/>
      <c r="X9047" s="234"/>
      <c r="Y9047" s="234"/>
      <c r="Z9047" s="234"/>
      <c r="AA9047" s="235"/>
      <c r="AB9047" s="234"/>
    </row>
    <row r="9048" ht="14.5" customHeight="1" spans="11:28" x14ac:dyDescent="0.25">
      <c r="K9048" s="128"/>
      <c r="X9048" s="234"/>
      <c r="Y9048" s="234"/>
      <c r="Z9048" s="234"/>
      <c r="AA9048" s="235"/>
      <c r="AB9048" s="234"/>
    </row>
    <row r="9049" ht="14.5" customHeight="1" spans="11:28" x14ac:dyDescent="0.25">
      <c r="K9049" s="128"/>
      <c r="X9049" s="234"/>
      <c r="Y9049" s="234"/>
      <c r="Z9049" s="234"/>
      <c r="AA9049" s="235"/>
      <c r="AB9049" s="234"/>
    </row>
    <row r="9050" ht="14.5" customHeight="1" spans="11:28" x14ac:dyDescent="0.25">
      <c r="K9050" s="128"/>
      <c r="X9050" s="234"/>
      <c r="Y9050" s="234"/>
      <c r="Z9050" s="234"/>
      <c r="AA9050" s="235"/>
      <c r="AB9050" s="234"/>
    </row>
    <row r="9051" ht="14.5" customHeight="1" spans="11:28" x14ac:dyDescent="0.25">
      <c r="K9051" s="128"/>
      <c r="X9051" s="234"/>
      <c r="Y9051" s="234"/>
      <c r="Z9051" s="234"/>
      <c r="AA9051" s="235"/>
      <c r="AB9051" s="234"/>
    </row>
    <row r="9052" ht="14.5" customHeight="1" spans="11:28" x14ac:dyDescent="0.25">
      <c r="K9052" s="128"/>
      <c r="X9052" s="234"/>
      <c r="Y9052" s="234"/>
      <c r="Z9052" s="234"/>
      <c r="AA9052" s="235"/>
      <c r="AB9052" s="234"/>
    </row>
    <row r="9053" ht="14.5" customHeight="1" spans="11:28" x14ac:dyDescent="0.25">
      <c r="K9053" s="128"/>
      <c r="X9053" s="234"/>
      <c r="Y9053" s="234"/>
      <c r="Z9053" s="234"/>
      <c r="AA9053" s="235"/>
      <c r="AB9053" s="234"/>
    </row>
    <row r="9054" ht="14.5" customHeight="1" spans="11:28" x14ac:dyDescent="0.25">
      <c r="K9054" s="128"/>
      <c r="X9054" s="234"/>
      <c r="Y9054" s="234"/>
      <c r="Z9054" s="234"/>
      <c r="AA9054" s="235"/>
      <c r="AB9054" s="234"/>
    </row>
    <row r="9055" ht="14.5" customHeight="1" spans="11:28" x14ac:dyDescent="0.25">
      <c r="K9055" s="128"/>
      <c r="X9055" s="234"/>
      <c r="Y9055" s="234"/>
      <c r="Z9055" s="234"/>
      <c r="AA9055" s="235"/>
      <c r="AB9055" s="234"/>
    </row>
    <row r="9056" ht="14.5" customHeight="1" spans="11:28" x14ac:dyDescent="0.25">
      <c r="K9056" s="128"/>
      <c r="X9056" s="234"/>
      <c r="Y9056" s="234"/>
      <c r="Z9056" s="234"/>
      <c r="AA9056" s="235"/>
      <c r="AB9056" s="234"/>
    </row>
    <row r="9057" ht="14.5" customHeight="1" spans="11:28" x14ac:dyDescent="0.25">
      <c r="K9057" s="128"/>
      <c r="X9057" s="234"/>
      <c r="Y9057" s="234"/>
      <c r="Z9057" s="234"/>
      <c r="AA9057" s="235"/>
      <c r="AB9057" s="234"/>
    </row>
    <row r="9058" ht="14.5" customHeight="1" spans="11:28" x14ac:dyDescent="0.25">
      <c r="K9058" s="128"/>
      <c r="X9058" s="234"/>
      <c r="Y9058" s="234"/>
      <c r="Z9058" s="234"/>
      <c r="AA9058" s="235"/>
      <c r="AB9058" s="234"/>
    </row>
    <row r="9059" ht="14.5" customHeight="1" spans="11:28" x14ac:dyDescent="0.25">
      <c r="K9059" s="128"/>
      <c r="X9059" s="234"/>
      <c r="Y9059" s="234"/>
      <c r="Z9059" s="234"/>
      <c r="AA9059" s="235"/>
      <c r="AB9059" s="234"/>
    </row>
    <row r="9060" ht="14.5" customHeight="1" spans="11:28" x14ac:dyDescent="0.25">
      <c r="K9060" s="128"/>
      <c r="X9060" s="234"/>
      <c r="Y9060" s="234"/>
      <c r="Z9060" s="234"/>
      <c r="AA9060" s="235"/>
      <c r="AB9060" s="234"/>
    </row>
    <row r="9061" ht="14.5" customHeight="1" spans="11:28" x14ac:dyDescent="0.25">
      <c r="K9061" s="128"/>
      <c r="X9061" s="234"/>
      <c r="Y9061" s="234"/>
      <c r="Z9061" s="234"/>
      <c r="AA9061" s="235"/>
      <c r="AB9061" s="234"/>
    </row>
    <row r="9062" ht="14.5" customHeight="1" spans="11:28" x14ac:dyDescent="0.25">
      <c r="K9062" s="128"/>
      <c r="X9062" s="234"/>
      <c r="Y9062" s="234"/>
      <c r="Z9062" s="234"/>
      <c r="AA9062" s="235"/>
      <c r="AB9062" s="234"/>
    </row>
    <row r="9063" ht="14.5" customHeight="1" spans="11:28" x14ac:dyDescent="0.25">
      <c r="K9063" s="128"/>
      <c r="X9063" s="234"/>
      <c r="Y9063" s="234"/>
      <c r="Z9063" s="234"/>
      <c r="AA9063" s="235"/>
      <c r="AB9063" s="234"/>
    </row>
    <row r="9064" ht="14.5" customHeight="1" spans="11:28" x14ac:dyDescent="0.25">
      <c r="K9064" s="128"/>
      <c r="X9064" s="234"/>
      <c r="Y9064" s="234"/>
      <c r="Z9064" s="234"/>
      <c r="AA9064" s="235"/>
      <c r="AB9064" s="234"/>
    </row>
    <row r="9065" ht="14.5" customHeight="1" spans="11:28" x14ac:dyDescent="0.25">
      <c r="K9065" s="128"/>
      <c r="X9065" s="234"/>
      <c r="Y9065" s="234"/>
      <c r="Z9065" s="234"/>
      <c r="AA9065" s="235"/>
      <c r="AB9065" s="234"/>
    </row>
    <row r="9066" ht="14.5" customHeight="1" spans="11:28" x14ac:dyDescent="0.25">
      <c r="K9066" s="128"/>
      <c r="X9066" s="234"/>
      <c r="Y9066" s="234"/>
      <c r="Z9066" s="234"/>
      <c r="AA9066" s="235"/>
      <c r="AB9066" s="234"/>
    </row>
    <row r="9067" ht="14.5" customHeight="1" spans="11:28" x14ac:dyDescent="0.25">
      <c r="K9067" s="128"/>
      <c r="X9067" s="234"/>
      <c r="Y9067" s="234"/>
      <c r="Z9067" s="234"/>
      <c r="AA9067" s="235"/>
      <c r="AB9067" s="234"/>
    </row>
    <row r="9068" ht="14.5" customHeight="1" spans="11:28" x14ac:dyDescent="0.25">
      <c r="K9068" s="128"/>
      <c r="X9068" s="234"/>
      <c r="Y9068" s="234"/>
      <c r="Z9068" s="234"/>
      <c r="AA9068" s="235"/>
      <c r="AB9068" s="234"/>
    </row>
    <row r="9069" ht="14.5" customHeight="1" spans="11:28" x14ac:dyDescent="0.25">
      <c r="K9069" s="128"/>
      <c r="X9069" s="234"/>
      <c r="Y9069" s="234"/>
      <c r="Z9069" s="234"/>
      <c r="AA9069" s="235"/>
      <c r="AB9069" s="234"/>
    </row>
    <row r="9070" ht="14.5" customHeight="1" spans="11:28" x14ac:dyDescent="0.25">
      <c r="K9070" s="128"/>
      <c r="X9070" s="234"/>
      <c r="Y9070" s="234"/>
      <c r="Z9070" s="234"/>
      <c r="AA9070" s="235"/>
      <c r="AB9070" s="234"/>
    </row>
    <row r="9071" ht="14.5" customHeight="1" spans="11:28" x14ac:dyDescent="0.25">
      <c r="K9071" s="128"/>
      <c r="X9071" s="234"/>
      <c r="Y9071" s="234"/>
      <c r="Z9071" s="234"/>
      <c r="AA9071" s="235"/>
      <c r="AB9071" s="234"/>
    </row>
    <row r="9072" ht="14.5" customHeight="1" spans="11:28" x14ac:dyDescent="0.25">
      <c r="K9072" s="128"/>
      <c r="X9072" s="234"/>
      <c r="Y9072" s="234"/>
      <c r="Z9072" s="234"/>
      <c r="AA9072" s="235"/>
      <c r="AB9072" s="234"/>
    </row>
    <row r="9073" ht="14.5" customHeight="1" spans="11:28" x14ac:dyDescent="0.25">
      <c r="K9073" s="128"/>
      <c r="X9073" s="234"/>
      <c r="Y9073" s="234"/>
      <c r="Z9073" s="234"/>
      <c r="AA9073" s="235"/>
      <c r="AB9073" s="234"/>
    </row>
    <row r="9074" ht="14.5" customHeight="1" spans="11:28" x14ac:dyDescent="0.25">
      <c r="K9074" s="128"/>
      <c r="X9074" s="234"/>
      <c r="Y9074" s="234"/>
      <c r="Z9074" s="234"/>
      <c r="AA9074" s="235"/>
      <c r="AB9074" s="234"/>
    </row>
    <row r="9075" ht="14.5" customHeight="1" spans="11:28" x14ac:dyDescent="0.25">
      <c r="K9075" s="128"/>
      <c r="X9075" s="234"/>
      <c r="Y9075" s="234"/>
      <c r="Z9075" s="234"/>
      <c r="AA9075" s="235"/>
      <c r="AB9075" s="234"/>
    </row>
    <row r="9076" ht="14.5" customHeight="1" spans="11:28" x14ac:dyDescent="0.25">
      <c r="K9076" s="128"/>
      <c r="X9076" s="234"/>
      <c r="Y9076" s="234"/>
      <c r="Z9076" s="234"/>
      <c r="AA9076" s="235"/>
      <c r="AB9076" s="234"/>
    </row>
    <row r="9077" ht="14.5" customHeight="1" spans="11:28" x14ac:dyDescent="0.25">
      <c r="K9077" s="128"/>
      <c r="X9077" s="234"/>
      <c r="Y9077" s="234"/>
      <c r="Z9077" s="234"/>
      <c r="AA9077" s="235"/>
      <c r="AB9077" s="234"/>
    </row>
    <row r="9078" ht="14.5" customHeight="1" spans="11:28" x14ac:dyDescent="0.25">
      <c r="K9078" s="128"/>
      <c r="X9078" s="234"/>
      <c r="Y9078" s="234"/>
      <c r="Z9078" s="234"/>
      <c r="AA9078" s="235"/>
      <c r="AB9078" s="234"/>
    </row>
    <row r="9079" ht="14.5" customHeight="1" spans="11:28" x14ac:dyDescent="0.25">
      <c r="K9079" s="128"/>
      <c r="X9079" s="234"/>
      <c r="Y9079" s="234"/>
      <c r="Z9079" s="234"/>
      <c r="AA9079" s="235"/>
      <c r="AB9079" s="234"/>
    </row>
    <row r="9080" ht="14.5" customHeight="1" spans="11:28" x14ac:dyDescent="0.25">
      <c r="K9080" s="128"/>
      <c r="X9080" s="234"/>
      <c r="Y9080" s="234"/>
      <c r="Z9080" s="234"/>
      <c r="AA9080" s="235"/>
      <c r="AB9080" s="234"/>
    </row>
    <row r="9081" ht="14.5" customHeight="1" spans="11:28" x14ac:dyDescent="0.25">
      <c r="K9081" s="128"/>
      <c r="X9081" s="234"/>
      <c r="Y9081" s="234"/>
      <c r="Z9081" s="234"/>
      <c r="AA9081" s="235"/>
      <c r="AB9081" s="234"/>
    </row>
    <row r="9082" ht="14.5" customHeight="1" spans="11:28" x14ac:dyDescent="0.25">
      <c r="K9082" s="128"/>
      <c r="X9082" s="234"/>
      <c r="Y9082" s="234"/>
      <c r="Z9082" s="234"/>
      <c r="AA9082" s="235"/>
      <c r="AB9082" s="234"/>
    </row>
    <row r="9083" ht="14.5" customHeight="1" spans="11:28" x14ac:dyDescent="0.25">
      <c r="K9083" s="128"/>
      <c r="X9083" s="234"/>
      <c r="Y9083" s="234"/>
      <c r="Z9083" s="234"/>
      <c r="AA9083" s="235"/>
      <c r="AB9083" s="234"/>
    </row>
    <row r="9084" ht="14.5" customHeight="1" spans="11:28" x14ac:dyDescent="0.25">
      <c r="K9084" s="128"/>
      <c r="X9084" s="234"/>
      <c r="Y9084" s="234"/>
      <c r="Z9084" s="234"/>
      <c r="AA9084" s="235"/>
      <c r="AB9084" s="234"/>
    </row>
    <row r="9085" ht="14.5" customHeight="1" spans="11:28" x14ac:dyDescent="0.25">
      <c r="K9085" s="128"/>
      <c r="X9085" s="234"/>
      <c r="Y9085" s="234"/>
      <c r="Z9085" s="234"/>
      <c r="AA9085" s="235"/>
      <c r="AB9085" s="234"/>
    </row>
    <row r="9086" ht="14.5" customHeight="1" spans="11:28" x14ac:dyDescent="0.25">
      <c r="K9086" s="128"/>
      <c r="X9086" s="234"/>
      <c r="Y9086" s="234"/>
      <c r="Z9086" s="234"/>
      <c r="AA9086" s="235"/>
      <c r="AB9086" s="234"/>
    </row>
    <row r="9087" ht="14.5" customHeight="1" spans="11:28" x14ac:dyDescent="0.25">
      <c r="K9087" s="128"/>
      <c r="X9087" s="234"/>
      <c r="Y9087" s="234"/>
      <c r="Z9087" s="234"/>
      <c r="AA9087" s="235"/>
      <c r="AB9087" s="234"/>
    </row>
    <row r="9088" ht="14.5" customHeight="1" spans="11:28" x14ac:dyDescent="0.25">
      <c r="K9088" s="128"/>
      <c r="X9088" s="234"/>
      <c r="Y9088" s="234"/>
      <c r="Z9088" s="234"/>
      <c r="AA9088" s="235"/>
      <c r="AB9088" s="234"/>
    </row>
    <row r="9089" ht="14.5" customHeight="1" spans="11:28" x14ac:dyDescent="0.25">
      <c r="K9089" s="128"/>
      <c r="X9089" s="234"/>
      <c r="Y9089" s="234"/>
      <c r="Z9089" s="234"/>
      <c r="AA9089" s="235"/>
      <c r="AB9089" s="234"/>
    </row>
    <row r="9090" ht="14.5" customHeight="1" spans="11:28" x14ac:dyDescent="0.25">
      <c r="K9090" s="128"/>
      <c r="X9090" s="234"/>
      <c r="Y9090" s="234"/>
      <c r="Z9090" s="234"/>
      <c r="AA9090" s="235"/>
      <c r="AB9090" s="234"/>
    </row>
    <row r="9091" ht="14.5" customHeight="1" spans="11:28" x14ac:dyDescent="0.25">
      <c r="K9091" s="128"/>
      <c r="X9091" s="234"/>
      <c r="Y9091" s="234"/>
      <c r="Z9091" s="234"/>
      <c r="AA9091" s="235"/>
      <c r="AB9091" s="234"/>
    </row>
    <row r="9092" ht="14.5" customHeight="1" spans="11:28" x14ac:dyDescent="0.25">
      <c r="K9092" s="128"/>
      <c r="X9092" s="234"/>
      <c r="Y9092" s="234"/>
      <c r="Z9092" s="234"/>
      <c r="AA9092" s="235"/>
      <c r="AB9092" s="234"/>
    </row>
    <row r="9093" ht="14.5" customHeight="1" spans="11:28" x14ac:dyDescent="0.25">
      <c r="K9093" s="128"/>
      <c r="X9093" s="234"/>
      <c r="Y9093" s="234"/>
      <c r="Z9093" s="234"/>
      <c r="AA9093" s="235"/>
      <c r="AB9093" s="234"/>
    </row>
    <row r="9094" ht="14.5" customHeight="1" spans="11:28" x14ac:dyDescent="0.25">
      <c r="K9094" s="128"/>
      <c r="X9094" s="234"/>
      <c r="Y9094" s="234"/>
      <c r="Z9094" s="234"/>
      <c r="AA9094" s="235"/>
      <c r="AB9094" s="234"/>
    </row>
    <row r="9095" ht="14.5" customHeight="1" spans="11:28" x14ac:dyDescent="0.25">
      <c r="K9095" s="128"/>
      <c r="X9095" s="234"/>
      <c r="Y9095" s="234"/>
      <c r="Z9095" s="234"/>
      <c r="AA9095" s="235"/>
      <c r="AB9095" s="234"/>
    </row>
    <row r="9096" ht="14.5" customHeight="1" spans="11:28" x14ac:dyDescent="0.25">
      <c r="K9096" s="128"/>
      <c r="X9096" s="234"/>
      <c r="Y9096" s="234"/>
      <c r="Z9096" s="234"/>
      <c r="AA9096" s="235"/>
      <c r="AB9096" s="234"/>
    </row>
    <row r="9097" ht="14.5" customHeight="1" spans="11:28" x14ac:dyDescent="0.25">
      <c r="K9097" s="128"/>
      <c r="X9097" s="234"/>
      <c r="Y9097" s="234"/>
      <c r="Z9097" s="234"/>
      <c r="AA9097" s="235"/>
      <c r="AB9097" s="234"/>
    </row>
    <row r="9098" ht="14.5" customHeight="1" spans="11:28" x14ac:dyDescent="0.25">
      <c r="K9098" s="128"/>
      <c r="X9098" s="234"/>
      <c r="Y9098" s="234"/>
      <c r="Z9098" s="234"/>
      <c r="AA9098" s="235"/>
      <c r="AB9098" s="234"/>
    </row>
    <row r="9099" ht="14.5" customHeight="1" spans="11:28" x14ac:dyDescent="0.25">
      <c r="K9099" s="128"/>
      <c r="X9099" s="234"/>
      <c r="Y9099" s="234"/>
      <c r="Z9099" s="234"/>
      <c r="AA9099" s="235"/>
      <c r="AB9099" s="234"/>
    </row>
    <row r="9100" ht="14.5" customHeight="1" spans="11:28" x14ac:dyDescent="0.25">
      <c r="K9100" s="128"/>
      <c r="X9100" s="234"/>
      <c r="Y9100" s="234"/>
      <c r="Z9100" s="234"/>
      <c r="AA9100" s="235"/>
      <c r="AB9100" s="234"/>
    </row>
    <row r="9101" ht="14.5" customHeight="1" spans="11:28" x14ac:dyDescent="0.25">
      <c r="K9101" s="128"/>
      <c r="X9101" s="234"/>
      <c r="Y9101" s="234"/>
      <c r="Z9101" s="234"/>
      <c r="AA9101" s="235"/>
      <c r="AB9101" s="234"/>
    </row>
    <row r="9102" ht="14.5" customHeight="1" spans="11:28" x14ac:dyDescent="0.25">
      <c r="K9102" s="128"/>
      <c r="X9102" s="234"/>
      <c r="Y9102" s="234"/>
      <c r="Z9102" s="234"/>
      <c r="AA9102" s="235"/>
      <c r="AB9102" s="234"/>
    </row>
    <row r="9103" ht="14.5" customHeight="1" spans="11:28" x14ac:dyDescent="0.25">
      <c r="K9103" s="128"/>
      <c r="X9103" s="234"/>
      <c r="Y9103" s="234"/>
      <c r="Z9103" s="234"/>
      <c r="AA9103" s="235"/>
      <c r="AB9103" s="234"/>
    </row>
    <row r="9104" ht="14.5" customHeight="1" spans="11:28" x14ac:dyDescent="0.25">
      <c r="K9104" s="128"/>
      <c r="X9104" s="234"/>
      <c r="Y9104" s="234"/>
      <c r="Z9104" s="234"/>
      <c r="AA9104" s="235"/>
      <c r="AB9104" s="234"/>
    </row>
    <row r="9105" ht="14.5" customHeight="1" spans="11:28" x14ac:dyDescent="0.25">
      <c r="K9105" s="128"/>
      <c r="X9105" s="234"/>
      <c r="Y9105" s="234"/>
      <c r="Z9105" s="234"/>
      <c r="AA9105" s="235"/>
      <c r="AB9105" s="234"/>
    </row>
    <row r="9106" ht="14.5" customHeight="1" spans="11:28" x14ac:dyDescent="0.25">
      <c r="K9106" s="128"/>
      <c r="X9106" s="234"/>
      <c r="Y9106" s="234"/>
      <c r="Z9106" s="234"/>
      <c r="AA9106" s="235"/>
      <c r="AB9106" s="234"/>
    </row>
    <row r="9107" ht="14.5" customHeight="1" spans="11:28" x14ac:dyDescent="0.25">
      <c r="K9107" s="128"/>
      <c r="X9107" s="234"/>
      <c r="Y9107" s="234"/>
      <c r="Z9107" s="234"/>
      <c r="AA9107" s="235"/>
      <c r="AB9107" s="234"/>
    </row>
    <row r="9108" ht="14.5" customHeight="1" spans="11:28" x14ac:dyDescent="0.25">
      <c r="K9108" s="128"/>
      <c r="X9108" s="234"/>
      <c r="Y9108" s="234"/>
      <c r="Z9108" s="234"/>
      <c r="AA9108" s="235"/>
      <c r="AB9108" s="234"/>
    </row>
    <row r="9109" ht="14.5" customHeight="1" spans="11:28" x14ac:dyDescent="0.25">
      <c r="K9109" s="128"/>
      <c r="X9109" s="234"/>
      <c r="Y9109" s="234"/>
      <c r="Z9109" s="234"/>
      <c r="AA9109" s="235"/>
      <c r="AB9109" s="234"/>
    </row>
    <row r="9110" ht="14.5" customHeight="1" spans="11:28" x14ac:dyDescent="0.25">
      <c r="K9110" s="128"/>
      <c r="X9110" s="234"/>
      <c r="Y9110" s="234"/>
      <c r="Z9110" s="234"/>
      <c r="AA9110" s="235"/>
      <c r="AB9110" s="234"/>
    </row>
    <row r="9111" ht="14.5" customHeight="1" spans="11:28" x14ac:dyDescent="0.25">
      <c r="K9111" s="128"/>
      <c r="X9111" s="234"/>
      <c r="Y9111" s="234"/>
      <c r="Z9111" s="234"/>
      <c r="AA9111" s="235"/>
      <c r="AB9111" s="234"/>
    </row>
    <row r="9112" ht="14.5" customHeight="1" spans="11:28" x14ac:dyDescent="0.25">
      <c r="K9112" s="128"/>
      <c r="X9112" s="234"/>
      <c r="Y9112" s="234"/>
      <c r="Z9112" s="234"/>
      <c r="AA9112" s="235"/>
      <c r="AB9112" s="234"/>
    </row>
    <row r="9113" ht="14.5" customHeight="1" spans="11:28" x14ac:dyDescent="0.25">
      <c r="K9113" s="128"/>
      <c r="X9113" s="234"/>
      <c r="Y9113" s="234"/>
      <c r="Z9113" s="234"/>
      <c r="AA9113" s="235"/>
      <c r="AB9113" s="234"/>
    </row>
    <row r="9114" ht="14.5" customHeight="1" spans="11:28" x14ac:dyDescent="0.25">
      <c r="K9114" s="128"/>
      <c r="X9114" s="234"/>
      <c r="Y9114" s="234"/>
      <c r="Z9114" s="234"/>
      <c r="AA9114" s="235"/>
      <c r="AB9114" s="234"/>
    </row>
    <row r="9115" ht="14.5" customHeight="1" spans="11:28" x14ac:dyDescent="0.25">
      <c r="K9115" s="128"/>
      <c r="X9115" s="234"/>
      <c r="Y9115" s="234"/>
      <c r="Z9115" s="234"/>
      <c r="AA9115" s="235"/>
      <c r="AB9115" s="234"/>
    </row>
    <row r="9116" ht="14.5" customHeight="1" spans="11:28" x14ac:dyDescent="0.25">
      <c r="K9116" s="128"/>
      <c r="X9116" s="234"/>
      <c r="Y9116" s="234"/>
      <c r="Z9116" s="234"/>
      <c r="AA9116" s="235"/>
      <c r="AB9116" s="234"/>
    </row>
    <row r="9117" ht="14.5" customHeight="1" spans="11:28" x14ac:dyDescent="0.25">
      <c r="K9117" s="128"/>
      <c r="X9117" s="234"/>
      <c r="Y9117" s="234"/>
      <c r="Z9117" s="234"/>
      <c r="AA9117" s="235"/>
      <c r="AB9117" s="234"/>
    </row>
    <row r="9118" ht="14.5" customHeight="1" spans="11:28" x14ac:dyDescent="0.25">
      <c r="K9118" s="128"/>
      <c r="X9118" s="234"/>
      <c r="Y9118" s="234"/>
      <c r="Z9118" s="234"/>
      <c r="AA9118" s="235"/>
      <c r="AB9118" s="234"/>
    </row>
    <row r="9119" ht="14.5" customHeight="1" spans="11:28" x14ac:dyDescent="0.25">
      <c r="K9119" s="128"/>
      <c r="X9119" s="234"/>
      <c r="Y9119" s="234"/>
      <c r="Z9119" s="234"/>
      <c r="AA9119" s="235"/>
      <c r="AB9119" s="234"/>
    </row>
    <row r="9120" ht="14.5" customHeight="1" spans="11:28" x14ac:dyDescent="0.25">
      <c r="K9120" s="128"/>
      <c r="X9120" s="234"/>
      <c r="Y9120" s="234"/>
      <c r="Z9120" s="234"/>
      <c r="AA9120" s="235"/>
      <c r="AB9120" s="234"/>
    </row>
    <row r="9121" ht="14.5" customHeight="1" spans="11:28" x14ac:dyDescent="0.25">
      <c r="K9121" s="128"/>
      <c r="X9121" s="234"/>
      <c r="Y9121" s="234"/>
      <c r="Z9121" s="234"/>
      <c r="AA9121" s="235"/>
      <c r="AB9121" s="234"/>
    </row>
    <row r="9122" ht="14.5" customHeight="1" spans="11:28" x14ac:dyDescent="0.25">
      <c r="K9122" s="128"/>
      <c r="X9122" s="234"/>
      <c r="Y9122" s="234"/>
      <c r="Z9122" s="234"/>
      <c r="AA9122" s="235"/>
      <c r="AB9122" s="234"/>
    </row>
    <row r="9123" ht="14.5" customHeight="1" spans="11:28" x14ac:dyDescent="0.25">
      <c r="K9123" s="128"/>
      <c r="X9123" s="234"/>
      <c r="Y9123" s="234"/>
      <c r="Z9123" s="234"/>
      <c r="AA9123" s="235"/>
      <c r="AB9123" s="234"/>
    </row>
    <row r="9124" ht="14.5" customHeight="1" spans="11:28" x14ac:dyDescent="0.25">
      <c r="K9124" s="128"/>
      <c r="X9124" s="234"/>
      <c r="Y9124" s="234"/>
      <c r="Z9124" s="234"/>
      <c r="AA9124" s="235"/>
      <c r="AB9124" s="234"/>
    </row>
    <row r="9125" ht="14.5" customHeight="1" spans="11:28" x14ac:dyDescent="0.25">
      <c r="K9125" s="128"/>
      <c r="X9125" s="234"/>
      <c r="Y9125" s="234"/>
      <c r="Z9125" s="234"/>
      <c r="AA9125" s="235"/>
      <c r="AB9125" s="234"/>
    </row>
    <row r="9126" ht="14.5" customHeight="1" spans="11:28" x14ac:dyDescent="0.25">
      <c r="K9126" s="128"/>
      <c r="X9126" s="234"/>
      <c r="Y9126" s="234"/>
      <c r="Z9126" s="234"/>
      <c r="AA9126" s="235"/>
      <c r="AB9126" s="234"/>
    </row>
    <row r="9127" ht="14.5" customHeight="1" spans="11:28" x14ac:dyDescent="0.25">
      <c r="K9127" s="128"/>
      <c r="X9127" s="234"/>
      <c r="Y9127" s="234"/>
      <c r="Z9127" s="234"/>
      <c r="AA9127" s="235"/>
      <c r="AB9127" s="234"/>
    </row>
    <row r="9128" ht="14.5" customHeight="1" spans="11:28" x14ac:dyDescent="0.25">
      <c r="K9128" s="128"/>
      <c r="X9128" s="234"/>
      <c r="Y9128" s="234"/>
      <c r="Z9128" s="234"/>
      <c r="AA9128" s="235"/>
      <c r="AB9128" s="234"/>
    </row>
    <row r="9129" ht="14.5" customHeight="1" spans="11:28" x14ac:dyDescent="0.25">
      <c r="K9129" s="128"/>
      <c r="X9129" s="234"/>
      <c r="Y9129" s="234"/>
      <c r="Z9129" s="234"/>
      <c r="AA9129" s="235"/>
      <c r="AB9129" s="234"/>
    </row>
    <row r="9130" ht="14.5" customHeight="1" spans="11:28" x14ac:dyDescent="0.25">
      <c r="K9130" s="128"/>
      <c r="X9130" s="234"/>
      <c r="Y9130" s="234"/>
      <c r="Z9130" s="234"/>
      <c r="AA9130" s="235"/>
      <c r="AB9130" s="234"/>
    </row>
    <row r="9131" ht="14.5" customHeight="1" spans="11:28" x14ac:dyDescent="0.25">
      <c r="K9131" s="128"/>
      <c r="X9131" s="234"/>
      <c r="Y9131" s="234"/>
      <c r="Z9131" s="234"/>
      <c r="AA9131" s="235"/>
      <c r="AB9131" s="234"/>
    </row>
    <row r="9132" ht="14.5" customHeight="1" spans="11:28" x14ac:dyDescent="0.25">
      <c r="K9132" s="128"/>
      <c r="X9132" s="234"/>
      <c r="Y9132" s="234"/>
      <c r="Z9132" s="234"/>
      <c r="AA9132" s="235"/>
      <c r="AB9132" s="234"/>
    </row>
    <row r="9133" ht="14.5" customHeight="1" spans="11:28" x14ac:dyDescent="0.25">
      <c r="K9133" s="128"/>
      <c r="X9133" s="234"/>
      <c r="Y9133" s="234"/>
      <c r="Z9133" s="234"/>
      <c r="AA9133" s="235"/>
      <c r="AB9133" s="234"/>
    </row>
    <row r="9134" ht="14.5" customHeight="1" spans="11:28" x14ac:dyDescent="0.25">
      <c r="K9134" s="128"/>
      <c r="X9134" s="234"/>
      <c r="Y9134" s="234"/>
      <c r="Z9134" s="234"/>
      <c r="AA9134" s="235"/>
      <c r="AB9134" s="234"/>
    </row>
    <row r="9135" ht="14.5" customHeight="1" spans="11:28" x14ac:dyDescent="0.25">
      <c r="K9135" s="128"/>
      <c r="X9135" s="234"/>
      <c r="Y9135" s="234"/>
      <c r="Z9135" s="234"/>
      <c r="AA9135" s="235"/>
      <c r="AB9135" s="234"/>
    </row>
    <row r="9136" ht="14.5" customHeight="1" spans="11:28" x14ac:dyDescent="0.25">
      <c r="K9136" s="128"/>
      <c r="X9136" s="234"/>
      <c r="Y9136" s="234"/>
      <c r="Z9136" s="234"/>
      <c r="AA9136" s="235"/>
      <c r="AB9136" s="234"/>
    </row>
    <row r="9137" ht="14.5" customHeight="1" spans="11:28" x14ac:dyDescent="0.25">
      <c r="K9137" s="128"/>
      <c r="X9137" s="234"/>
      <c r="Y9137" s="234"/>
      <c r="Z9137" s="234"/>
      <c r="AA9137" s="235"/>
      <c r="AB9137" s="234"/>
    </row>
    <row r="9138" ht="14.5" customHeight="1" spans="11:28" x14ac:dyDescent="0.25">
      <c r="K9138" s="128"/>
      <c r="X9138" s="234"/>
      <c r="Y9138" s="234"/>
      <c r="Z9138" s="234"/>
      <c r="AA9138" s="235"/>
      <c r="AB9138" s="234"/>
    </row>
    <row r="9139" ht="14.5" customHeight="1" spans="11:28" x14ac:dyDescent="0.25">
      <c r="K9139" s="128"/>
      <c r="X9139" s="234"/>
      <c r="Y9139" s="234"/>
      <c r="Z9139" s="234"/>
      <c r="AA9139" s="235"/>
      <c r="AB9139" s="234"/>
    </row>
    <row r="9140" ht="14.5" customHeight="1" spans="11:28" x14ac:dyDescent="0.25">
      <c r="K9140" s="128"/>
      <c r="X9140" s="234"/>
      <c r="Y9140" s="234"/>
      <c r="Z9140" s="234"/>
      <c r="AA9140" s="235"/>
      <c r="AB9140" s="234"/>
    </row>
    <row r="9141" ht="14.5" customHeight="1" spans="11:28" x14ac:dyDescent="0.25">
      <c r="K9141" s="128"/>
      <c r="X9141" s="234"/>
      <c r="Y9141" s="234"/>
      <c r="Z9141" s="234"/>
      <c r="AA9141" s="235"/>
      <c r="AB9141" s="234"/>
    </row>
    <row r="9142" ht="14.5" customHeight="1" spans="11:28" x14ac:dyDescent="0.25">
      <c r="K9142" s="128"/>
      <c r="X9142" s="234"/>
      <c r="Y9142" s="234"/>
      <c r="Z9142" s="234"/>
      <c r="AA9142" s="235"/>
      <c r="AB9142" s="234"/>
    </row>
    <row r="9143" ht="14.5" customHeight="1" spans="11:28" x14ac:dyDescent="0.25">
      <c r="K9143" s="128"/>
      <c r="X9143" s="234"/>
      <c r="Y9143" s="234"/>
      <c r="Z9143" s="234"/>
      <c r="AA9143" s="235"/>
      <c r="AB9143" s="234"/>
    </row>
    <row r="9144" ht="14.5" customHeight="1" spans="11:28" x14ac:dyDescent="0.25">
      <c r="K9144" s="128"/>
      <c r="X9144" s="234"/>
      <c r="Y9144" s="234"/>
      <c r="Z9144" s="234"/>
      <c r="AA9144" s="235"/>
      <c r="AB9144" s="234"/>
    </row>
    <row r="9145" ht="14.5" customHeight="1" spans="11:28" x14ac:dyDescent="0.25">
      <c r="K9145" s="128"/>
      <c r="X9145" s="234"/>
      <c r="Y9145" s="234"/>
      <c r="Z9145" s="234"/>
      <c r="AA9145" s="235"/>
      <c r="AB9145" s="234"/>
    </row>
    <row r="9146" ht="14.5" customHeight="1" spans="11:28" x14ac:dyDescent="0.25">
      <c r="K9146" s="128"/>
      <c r="X9146" s="234"/>
      <c r="Y9146" s="234"/>
      <c r="Z9146" s="234"/>
      <c r="AA9146" s="235"/>
      <c r="AB9146" s="234"/>
    </row>
    <row r="9147" ht="14.5" customHeight="1" spans="11:28" x14ac:dyDescent="0.25">
      <c r="K9147" s="128"/>
      <c r="X9147" s="234"/>
      <c r="Y9147" s="234"/>
      <c r="Z9147" s="234"/>
      <c r="AA9147" s="235"/>
      <c r="AB9147" s="234"/>
    </row>
    <row r="9148" ht="14.5" customHeight="1" spans="11:28" x14ac:dyDescent="0.25">
      <c r="K9148" s="128"/>
      <c r="X9148" s="234"/>
      <c r="Y9148" s="234"/>
      <c r="Z9148" s="234"/>
      <c r="AA9148" s="235"/>
      <c r="AB9148" s="234"/>
    </row>
    <row r="9149" ht="14.5" customHeight="1" spans="11:28" x14ac:dyDescent="0.25">
      <c r="K9149" s="128"/>
      <c r="X9149" s="234"/>
      <c r="Y9149" s="234"/>
      <c r="Z9149" s="234"/>
      <c r="AA9149" s="235"/>
      <c r="AB9149" s="234"/>
    </row>
    <row r="9150" ht="14.5" customHeight="1" spans="11:28" x14ac:dyDescent="0.25">
      <c r="K9150" s="128"/>
      <c r="X9150" s="234"/>
      <c r="Y9150" s="234"/>
      <c r="Z9150" s="234"/>
      <c r="AA9150" s="235"/>
      <c r="AB9150" s="234"/>
    </row>
    <row r="9151" ht="14.5" customHeight="1" spans="11:28" x14ac:dyDescent="0.25">
      <c r="K9151" s="128"/>
      <c r="X9151" s="234"/>
      <c r="Y9151" s="234"/>
      <c r="Z9151" s="234"/>
      <c r="AA9151" s="235"/>
      <c r="AB9151" s="234"/>
    </row>
    <row r="9152" ht="14.5" customHeight="1" spans="11:28" x14ac:dyDescent="0.25">
      <c r="K9152" s="128"/>
      <c r="X9152" s="234"/>
      <c r="Y9152" s="234"/>
      <c r="Z9152" s="234"/>
      <c r="AA9152" s="235"/>
      <c r="AB9152" s="234"/>
    </row>
    <row r="9153" ht="14.5" customHeight="1" spans="11:28" x14ac:dyDescent="0.25">
      <c r="K9153" s="128"/>
      <c r="X9153" s="234"/>
      <c r="Y9153" s="234"/>
      <c r="Z9153" s="234"/>
      <c r="AA9153" s="235"/>
      <c r="AB9153" s="234"/>
    </row>
    <row r="9154" ht="14.5" customHeight="1" spans="11:28" x14ac:dyDescent="0.25">
      <c r="K9154" s="128"/>
      <c r="X9154" s="234"/>
      <c r="Y9154" s="234"/>
      <c r="Z9154" s="234"/>
      <c r="AA9154" s="235"/>
      <c r="AB9154" s="234"/>
    </row>
    <row r="9155" ht="14.5" customHeight="1" spans="11:28" x14ac:dyDescent="0.25">
      <c r="K9155" s="128"/>
      <c r="X9155" s="234"/>
      <c r="Y9155" s="234"/>
      <c r="Z9155" s="234"/>
      <c r="AA9155" s="235"/>
      <c r="AB9155" s="234"/>
    </row>
    <row r="9156" ht="14.5" customHeight="1" spans="11:28" x14ac:dyDescent="0.25">
      <c r="K9156" s="128"/>
      <c r="X9156" s="234"/>
      <c r="Y9156" s="234"/>
      <c r="Z9156" s="234"/>
      <c r="AA9156" s="235"/>
      <c r="AB9156" s="234"/>
    </row>
    <row r="9157" ht="14.5" customHeight="1" spans="11:28" x14ac:dyDescent="0.25">
      <c r="K9157" s="128"/>
      <c r="X9157" s="234"/>
      <c r="Y9157" s="234"/>
      <c r="Z9157" s="234"/>
      <c r="AA9157" s="235"/>
      <c r="AB9157" s="234"/>
    </row>
    <row r="9158" ht="14.5" customHeight="1" spans="11:28" x14ac:dyDescent="0.25">
      <c r="K9158" s="128"/>
      <c r="X9158" s="234"/>
      <c r="Y9158" s="234"/>
      <c r="Z9158" s="234"/>
      <c r="AA9158" s="235"/>
      <c r="AB9158" s="234"/>
    </row>
    <row r="9159" ht="14.5" customHeight="1" spans="11:28" x14ac:dyDescent="0.25">
      <c r="K9159" s="128"/>
      <c r="X9159" s="234"/>
      <c r="Y9159" s="234"/>
      <c r="Z9159" s="234"/>
      <c r="AA9159" s="235"/>
      <c r="AB9159" s="234"/>
    </row>
    <row r="9160" ht="14.5" customHeight="1" spans="11:28" x14ac:dyDescent="0.25">
      <c r="K9160" s="128"/>
      <c r="X9160" s="234"/>
      <c r="Y9160" s="234"/>
      <c r="Z9160" s="234"/>
      <c r="AA9160" s="235"/>
      <c r="AB9160" s="234"/>
    </row>
    <row r="9161" ht="14.5" customHeight="1" spans="11:28" x14ac:dyDescent="0.25">
      <c r="K9161" s="128"/>
      <c r="X9161" s="234"/>
      <c r="Y9161" s="234"/>
      <c r="Z9161" s="234"/>
      <c r="AA9161" s="235"/>
      <c r="AB9161" s="234"/>
    </row>
    <row r="9162" ht="14.5" customHeight="1" spans="11:28" x14ac:dyDescent="0.25">
      <c r="K9162" s="128"/>
      <c r="X9162" s="234"/>
      <c r="Y9162" s="234"/>
      <c r="Z9162" s="234"/>
      <c r="AA9162" s="235"/>
      <c r="AB9162" s="234"/>
    </row>
    <row r="9163" ht="14.5" customHeight="1" spans="11:28" x14ac:dyDescent="0.25">
      <c r="K9163" s="128"/>
      <c r="X9163" s="234"/>
      <c r="Y9163" s="234"/>
      <c r="Z9163" s="234"/>
      <c r="AA9163" s="235"/>
      <c r="AB9163" s="234"/>
    </row>
    <row r="9164" ht="14.5" customHeight="1" spans="11:28" x14ac:dyDescent="0.25">
      <c r="K9164" s="128"/>
      <c r="X9164" s="234"/>
      <c r="Y9164" s="234"/>
      <c r="Z9164" s="234"/>
      <c r="AA9164" s="235"/>
      <c r="AB9164" s="234"/>
    </row>
    <row r="9165" ht="14.5" customHeight="1" spans="11:28" x14ac:dyDescent="0.25">
      <c r="K9165" s="128"/>
      <c r="X9165" s="234"/>
      <c r="Y9165" s="234"/>
      <c r="Z9165" s="234"/>
      <c r="AA9165" s="235"/>
      <c r="AB9165" s="234"/>
    </row>
    <row r="9166" ht="14.5" customHeight="1" spans="11:28" x14ac:dyDescent="0.25">
      <c r="K9166" s="128"/>
      <c r="X9166" s="234"/>
      <c r="Y9166" s="234"/>
      <c r="Z9166" s="234"/>
      <c r="AA9166" s="235"/>
      <c r="AB9166" s="234"/>
    </row>
    <row r="9167" ht="14.5" customHeight="1" spans="11:28" x14ac:dyDescent="0.25">
      <c r="K9167" s="128"/>
      <c r="X9167" s="234"/>
      <c r="Y9167" s="234"/>
      <c r="Z9167" s="234"/>
      <c r="AA9167" s="235"/>
      <c r="AB9167" s="234"/>
    </row>
    <row r="9168" ht="14.5" customHeight="1" spans="11:28" x14ac:dyDescent="0.25">
      <c r="K9168" s="128"/>
      <c r="X9168" s="234"/>
      <c r="Y9168" s="234"/>
      <c r="Z9168" s="234"/>
      <c r="AA9168" s="235"/>
      <c r="AB9168" s="234"/>
    </row>
    <row r="9169" ht="14.5" customHeight="1" spans="11:28" x14ac:dyDescent="0.25">
      <c r="K9169" s="128"/>
      <c r="X9169" s="234"/>
      <c r="Y9169" s="234"/>
      <c r="Z9169" s="234"/>
      <c r="AA9169" s="235"/>
      <c r="AB9169" s="234"/>
    </row>
    <row r="9170" ht="14.5" customHeight="1" spans="11:28" x14ac:dyDescent="0.25">
      <c r="K9170" s="128"/>
      <c r="X9170" s="234"/>
      <c r="Y9170" s="234"/>
      <c r="Z9170" s="234"/>
      <c r="AA9170" s="235"/>
      <c r="AB9170" s="234"/>
    </row>
    <row r="9171" ht="14.5" customHeight="1" spans="11:28" x14ac:dyDescent="0.25">
      <c r="K9171" s="128"/>
      <c r="X9171" s="234"/>
      <c r="Y9171" s="234"/>
      <c r="Z9171" s="234"/>
      <c r="AA9171" s="235"/>
      <c r="AB9171" s="234"/>
    </row>
    <row r="9172" ht="14.5" customHeight="1" spans="11:28" x14ac:dyDescent="0.25">
      <c r="K9172" s="128"/>
      <c r="X9172" s="234"/>
      <c r="Y9172" s="234"/>
      <c r="Z9172" s="234"/>
      <c r="AA9172" s="235"/>
      <c r="AB9172" s="234"/>
    </row>
    <row r="9173" ht="14.5" customHeight="1" spans="11:28" x14ac:dyDescent="0.25">
      <c r="K9173" s="128"/>
      <c r="X9173" s="234"/>
      <c r="Y9173" s="234"/>
      <c r="Z9173" s="234"/>
      <c r="AA9173" s="235"/>
      <c r="AB9173" s="234"/>
    </row>
    <row r="9174" ht="14.5" customHeight="1" spans="11:28" x14ac:dyDescent="0.25">
      <c r="K9174" s="128"/>
      <c r="X9174" s="234"/>
      <c r="Y9174" s="234"/>
      <c r="Z9174" s="234"/>
      <c r="AA9174" s="235"/>
      <c r="AB9174" s="234"/>
    </row>
    <row r="9175" ht="14.5" customHeight="1" spans="11:28" x14ac:dyDescent="0.25">
      <c r="K9175" s="128"/>
      <c r="X9175" s="234"/>
      <c r="Y9175" s="234"/>
      <c r="Z9175" s="234"/>
      <c r="AA9175" s="235"/>
      <c r="AB9175" s="234"/>
    </row>
    <row r="9176" ht="14.5" customHeight="1" spans="11:28" x14ac:dyDescent="0.25">
      <c r="K9176" s="128"/>
      <c r="X9176" s="234"/>
      <c r="Y9176" s="234"/>
      <c r="Z9176" s="234"/>
      <c r="AA9176" s="235"/>
      <c r="AB9176" s="234"/>
    </row>
    <row r="9177" ht="14.5" customHeight="1" spans="11:28" x14ac:dyDescent="0.25">
      <c r="K9177" s="128"/>
      <c r="X9177" s="234"/>
      <c r="Y9177" s="234"/>
      <c r="Z9177" s="234"/>
      <c r="AA9177" s="235"/>
      <c r="AB9177" s="234"/>
    </row>
    <row r="9178" ht="14.5" customHeight="1" spans="11:28" x14ac:dyDescent="0.25">
      <c r="K9178" s="128"/>
      <c r="X9178" s="234"/>
      <c r="Y9178" s="234"/>
      <c r="Z9178" s="234"/>
      <c r="AA9178" s="235"/>
      <c r="AB9178" s="234"/>
    </row>
    <row r="9179" ht="14.5" customHeight="1" spans="11:28" x14ac:dyDescent="0.25">
      <c r="K9179" s="128"/>
      <c r="X9179" s="234"/>
      <c r="Y9179" s="234"/>
      <c r="Z9179" s="234"/>
      <c r="AA9179" s="235"/>
      <c r="AB9179" s="234"/>
    </row>
    <row r="9180" ht="14.5" customHeight="1" spans="11:28" x14ac:dyDescent="0.25">
      <c r="K9180" s="128"/>
      <c r="X9180" s="234"/>
      <c r="Y9180" s="234"/>
      <c r="Z9180" s="234"/>
      <c r="AA9180" s="235"/>
      <c r="AB9180" s="234"/>
    </row>
    <row r="9181" ht="14.5" customHeight="1" spans="11:28" x14ac:dyDescent="0.25">
      <c r="K9181" s="128"/>
      <c r="X9181" s="234"/>
      <c r="Y9181" s="234"/>
      <c r="Z9181" s="234"/>
      <c r="AA9181" s="235"/>
      <c r="AB9181" s="234"/>
    </row>
    <row r="9182" ht="14.5" customHeight="1" spans="11:28" x14ac:dyDescent="0.25">
      <c r="K9182" s="128"/>
      <c r="X9182" s="234"/>
      <c r="Y9182" s="234"/>
      <c r="Z9182" s="234"/>
      <c r="AA9182" s="235"/>
      <c r="AB9182" s="234"/>
    </row>
    <row r="9183" ht="14.5" customHeight="1" spans="11:28" x14ac:dyDescent="0.25">
      <c r="K9183" s="128"/>
      <c r="X9183" s="234"/>
      <c r="Y9183" s="234"/>
      <c r="Z9183" s="234"/>
      <c r="AA9183" s="235"/>
      <c r="AB9183" s="234"/>
    </row>
    <row r="9184" ht="14.5" customHeight="1" spans="11:28" x14ac:dyDescent="0.25">
      <c r="K9184" s="128"/>
      <c r="X9184" s="234"/>
      <c r="Y9184" s="234"/>
      <c r="Z9184" s="234"/>
      <c r="AA9184" s="235"/>
      <c r="AB9184" s="234"/>
    </row>
    <row r="9185" ht="14.5" customHeight="1" spans="11:28" x14ac:dyDescent="0.25">
      <c r="K9185" s="128"/>
      <c r="X9185" s="234"/>
      <c r="Y9185" s="234"/>
      <c r="Z9185" s="234"/>
      <c r="AA9185" s="235"/>
      <c r="AB9185" s="234"/>
    </row>
    <row r="9186" ht="14.5" customHeight="1" spans="11:28" x14ac:dyDescent="0.25">
      <c r="K9186" s="128"/>
      <c r="X9186" s="234"/>
      <c r="Y9186" s="234"/>
      <c r="Z9186" s="234"/>
      <c r="AA9186" s="235"/>
      <c r="AB9186" s="234"/>
    </row>
    <row r="9187" ht="14.5" customHeight="1" spans="11:28" x14ac:dyDescent="0.25">
      <c r="K9187" s="128"/>
      <c r="X9187" s="234"/>
      <c r="Y9187" s="234"/>
      <c r="Z9187" s="234"/>
      <c r="AA9187" s="235"/>
      <c r="AB9187" s="234"/>
    </row>
    <row r="9188" ht="14.5" customHeight="1" spans="11:28" x14ac:dyDescent="0.25">
      <c r="K9188" s="128"/>
      <c r="X9188" s="234"/>
      <c r="Y9188" s="234"/>
      <c r="Z9188" s="234"/>
      <c r="AA9188" s="235"/>
      <c r="AB9188" s="234"/>
    </row>
    <row r="9189" ht="14.5" customHeight="1" spans="11:28" x14ac:dyDescent="0.25">
      <c r="K9189" s="128"/>
      <c r="X9189" s="234"/>
      <c r="Y9189" s="234"/>
      <c r="Z9189" s="234"/>
      <c r="AA9189" s="235"/>
      <c r="AB9189" s="234"/>
    </row>
    <row r="9190" ht="14.5" customHeight="1" spans="11:28" x14ac:dyDescent="0.25">
      <c r="K9190" s="128"/>
      <c r="X9190" s="234"/>
      <c r="Y9190" s="234"/>
      <c r="Z9190" s="234"/>
      <c r="AA9190" s="235"/>
      <c r="AB9190" s="234"/>
    </row>
    <row r="9191" ht="14.5" customHeight="1" spans="11:28" x14ac:dyDescent="0.25">
      <c r="K9191" s="128"/>
      <c r="X9191" s="234"/>
      <c r="Y9191" s="234"/>
      <c r="Z9191" s="234"/>
      <c r="AA9191" s="235"/>
      <c r="AB9191" s="234"/>
    </row>
    <row r="9192" ht="14.5" customHeight="1" spans="11:28" x14ac:dyDescent="0.25">
      <c r="K9192" s="128"/>
      <c r="X9192" s="234"/>
      <c r="Y9192" s="234"/>
      <c r="Z9192" s="234"/>
      <c r="AA9192" s="235"/>
      <c r="AB9192" s="234"/>
    </row>
    <row r="9193" ht="14.5" customHeight="1" spans="11:28" x14ac:dyDescent="0.25">
      <c r="K9193" s="128"/>
      <c r="X9193" s="234"/>
      <c r="Y9193" s="234"/>
      <c r="Z9193" s="234"/>
      <c r="AA9193" s="235"/>
      <c r="AB9193" s="234"/>
    </row>
    <row r="9194" ht="14.5" customHeight="1" spans="11:28" x14ac:dyDescent="0.25">
      <c r="K9194" s="128"/>
      <c r="X9194" s="234"/>
      <c r="Y9194" s="234"/>
      <c r="Z9194" s="234"/>
      <c r="AA9194" s="235"/>
      <c r="AB9194" s="234"/>
    </row>
    <row r="9195" ht="14.5" customHeight="1" spans="11:28" x14ac:dyDescent="0.25">
      <c r="K9195" s="128"/>
      <c r="X9195" s="234"/>
      <c r="Y9195" s="234"/>
      <c r="Z9195" s="234"/>
      <c r="AA9195" s="235"/>
      <c r="AB9195" s="234"/>
    </row>
    <row r="9196" ht="14.5" customHeight="1" spans="11:28" x14ac:dyDescent="0.25">
      <c r="K9196" s="128"/>
      <c r="X9196" s="234"/>
      <c r="Y9196" s="234"/>
      <c r="Z9196" s="234"/>
      <c r="AA9196" s="235"/>
      <c r="AB9196" s="234"/>
    </row>
    <row r="9197" ht="14.5" customHeight="1" spans="11:28" x14ac:dyDescent="0.25">
      <c r="K9197" s="128"/>
      <c r="X9197" s="234"/>
      <c r="Y9197" s="234"/>
      <c r="Z9197" s="234"/>
      <c r="AA9197" s="235"/>
      <c r="AB9197" s="234"/>
    </row>
    <row r="9198" ht="14.5" customHeight="1" spans="11:28" x14ac:dyDescent="0.25">
      <c r="K9198" s="128"/>
      <c r="X9198" s="234"/>
      <c r="Y9198" s="234"/>
      <c r="Z9198" s="234"/>
      <c r="AA9198" s="235"/>
      <c r="AB9198" s="234"/>
    </row>
    <row r="9199" ht="14.5" customHeight="1" spans="11:28" x14ac:dyDescent="0.25">
      <c r="K9199" s="128"/>
      <c r="X9199" s="234"/>
      <c r="Y9199" s="234"/>
      <c r="Z9199" s="234"/>
      <c r="AA9199" s="235"/>
      <c r="AB9199" s="234"/>
    </row>
    <row r="9200" ht="14.5" customHeight="1" spans="11:28" x14ac:dyDescent="0.25">
      <c r="K9200" s="128"/>
      <c r="X9200" s="234"/>
      <c r="Y9200" s="234"/>
      <c r="Z9200" s="234"/>
      <c r="AA9200" s="235"/>
      <c r="AB9200" s="234"/>
    </row>
    <row r="9201" ht="14.5" customHeight="1" spans="11:28" x14ac:dyDescent="0.25">
      <c r="K9201" s="128"/>
      <c r="X9201" s="234"/>
      <c r="Y9201" s="234"/>
      <c r="Z9201" s="234"/>
      <c r="AA9201" s="235"/>
      <c r="AB9201" s="234"/>
    </row>
    <row r="9202" ht="14.5" customHeight="1" spans="11:28" x14ac:dyDescent="0.25">
      <c r="K9202" s="128"/>
      <c r="X9202" s="234"/>
      <c r="Y9202" s="234"/>
      <c r="Z9202" s="234"/>
      <c r="AA9202" s="235"/>
      <c r="AB9202" s="234"/>
    </row>
    <row r="9203" ht="14.5" customHeight="1" spans="11:28" x14ac:dyDescent="0.25">
      <c r="K9203" s="128"/>
      <c r="X9203" s="234"/>
      <c r="Y9203" s="234"/>
      <c r="Z9203" s="234"/>
      <c r="AA9203" s="235"/>
      <c r="AB9203" s="234"/>
    </row>
    <row r="9204" ht="14.5" customHeight="1" spans="11:28" x14ac:dyDescent="0.25">
      <c r="K9204" s="128"/>
      <c r="X9204" s="234"/>
      <c r="Y9204" s="234"/>
      <c r="Z9204" s="234"/>
      <c r="AA9204" s="235"/>
      <c r="AB9204" s="234"/>
    </row>
    <row r="9205" ht="14.5" customHeight="1" spans="11:28" x14ac:dyDescent="0.25">
      <c r="K9205" s="128"/>
      <c r="X9205" s="234"/>
      <c r="Y9205" s="234"/>
      <c r="Z9205" s="234"/>
      <c r="AA9205" s="235"/>
      <c r="AB9205" s="234"/>
    </row>
    <row r="9206" ht="14.5" customHeight="1" spans="11:28" x14ac:dyDescent="0.25">
      <c r="K9206" s="128"/>
      <c r="X9206" s="234"/>
      <c r="Y9206" s="234"/>
      <c r="Z9206" s="234"/>
      <c r="AA9206" s="235"/>
      <c r="AB9206" s="234"/>
    </row>
    <row r="9207" ht="14.5" customHeight="1" spans="11:28" x14ac:dyDescent="0.25">
      <c r="K9207" s="128"/>
      <c r="X9207" s="234"/>
      <c r="Y9207" s="234"/>
      <c r="Z9207" s="234"/>
      <c r="AA9207" s="235"/>
      <c r="AB9207" s="234"/>
    </row>
    <row r="9208" ht="14.5" customHeight="1" spans="11:28" x14ac:dyDescent="0.25">
      <c r="K9208" s="128"/>
      <c r="X9208" s="234"/>
      <c r="Y9208" s="234"/>
      <c r="Z9208" s="234"/>
      <c r="AA9208" s="235"/>
      <c r="AB9208" s="234"/>
    </row>
    <row r="9209" ht="14.5" customHeight="1" spans="11:28" x14ac:dyDescent="0.25">
      <c r="K9209" s="128"/>
      <c r="X9209" s="234"/>
      <c r="Y9209" s="234"/>
      <c r="Z9209" s="234"/>
      <c r="AA9209" s="235"/>
      <c r="AB9209" s="234"/>
    </row>
    <row r="9210" ht="14.5" customHeight="1" spans="11:28" x14ac:dyDescent="0.25">
      <c r="K9210" s="128"/>
      <c r="X9210" s="234"/>
      <c r="Y9210" s="234"/>
      <c r="Z9210" s="234"/>
      <c r="AA9210" s="235"/>
      <c r="AB9210" s="234"/>
    </row>
    <row r="9211" ht="14.5" customHeight="1" spans="11:28" x14ac:dyDescent="0.25">
      <c r="K9211" s="128"/>
      <c r="X9211" s="234"/>
      <c r="Y9211" s="234"/>
      <c r="Z9211" s="234"/>
      <c r="AA9211" s="235"/>
      <c r="AB9211" s="234"/>
    </row>
    <row r="9212" ht="14.5" customHeight="1" spans="11:28" x14ac:dyDescent="0.25">
      <c r="K9212" s="128"/>
      <c r="X9212" s="234"/>
      <c r="Y9212" s="234"/>
      <c r="Z9212" s="234"/>
      <c r="AA9212" s="235"/>
      <c r="AB9212" s="234"/>
    </row>
    <row r="9213" ht="14.5" customHeight="1" spans="11:28" x14ac:dyDescent="0.25">
      <c r="K9213" s="128"/>
      <c r="X9213" s="234"/>
      <c r="Y9213" s="234"/>
      <c r="Z9213" s="234"/>
      <c r="AA9213" s="235"/>
      <c r="AB9213" s="234"/>
    </row>
    <row r="9214" ht="14.5" customHeight="1" spans="11:28" x14ac:dyDescent="0.25">
      <c r="K9214" s="128"/>
      <c r="X9214" s="234"/>
      <c r="Y9214" s="234"/>
      <c r="Z9214" s="234"/>
      <c r="AA9214" s="235"/>
      <c r="AB9214" s="234"/>
    </row>
    <row r="9215" ht="14.5" customHeight="1" spans="11:28" x14ac:dyDescent="0.25">
      <c r="K9215" s="128"/>
      <c r="X9215" s="234"/>
      <c r="Y9215" s="234"/>
      <c r="Z9215" s="234"/>
      <c r="AA9215" s="235"/>
      <c r="AB9215" s="234"/>
    </row>
    <row r="9216" ht="14.5" customHeight="1" spans="11:28" x14ac:dyDescent="0.25">
      <c r="K9216" s="128"/>
      <c r="X9216" s="234"/>
      <c r="Y9216" s="234"/>
      <c r="Z9216" s="234"/>
      <c r="AA9216" s="235"/>
      <c r="AB9216" s="234"/>
    </row>
    <row r="9217" ht="14.5" customHeight="1" spans="11:28" x14ac:dyDescent="0.25">
      <c r="K9217" s="128"/>
      <c r="X9217" s="234"/>
      <c r="Y9217" s="234"/>
      <c r="Z9217" s="234"/>
      <c r="AA9217" s="235"/>
      <c r="AB9217" s="234"/>
    </row>
    <row r="9218" ht="14.5" customHeight="1" spans="11:28" x14ac:dyDescent="0.25">
      <c r="K9218" s="128"/>
      <c r="X9218" s="234"/>
      <c r="Y9218" s="234"/>
      <c r="Z9218" s="234"/>
      <c r="AA9218" s="235"/>
      <c r="AB9218" s="234"/>
    </row>
    <row r="9219" ht="14.5" customHeight="1" spans="11:28" x14ac:dyDescent="0.25">
      <c r="K9219" s="128"/>
      <c r="X9219" s="234"/>
      <c r="Y9219" s="234"/>
      <c r="Z9219" s="234"/>
      <c r="AA9219" s="235"/>
      <c r="AB9219" s="234"/>
    </row>
    <row r="9220" ht="14.5" customHeight="1" spans="11:28" x14ac:dyDescent="0.25">
      <c r="K9220" s="128"/>
      <c r="X9220" s="234"/>
      <c r="Y9220" s="234"/>
      <c r="Z9220" s="234"/>
      <c r="AA9220" s="235"/>
      <c r="AB9220" s="234"/>
    </row>
    <row r="9221" ht="14.5" customHeight="1" spans="11:28" x14ac:dyDescent="0.25">
      <c r="K9221" s="128"/>
      <c r="X9221" s="234"/>
      <c r="Y9221" s="234"/>
      <c r="Z9221" s="234"/>
      <c r="AA9221" s="235"/>
      <c r="AB9221" s="234"/>
    </row>
    <row r="9222" ht="14.5" customHeight="1" spans="11:28" x14ac:dyDescent="0.25">
      <c r="K9222" s="128"/>
      <c r="X9222" s="234"/>
      <c r="Y9222" s="234"/>
      <c r="Z9222" s="234"/>
      <c r="AA9222" s="235"/>
      <c r="AB9222" s="234"/>
    </row>
    <row r="9223" ht="14.5" customHeight="1" spans="11:28" x14ac:dyDescent="0.25">
      <c r="K9223" s="128"/>
      <c r="X9223" s="234"/>
      <c r="Y9223" s="234"/>
      <c r="Z9223" s="234"/>
      <c r="AA9223" s="235"/>
      <c r="AB9223" s="234"/>
    </row>
    <row r="9224" ht="14.5" customHeight="1" spans="11:28" x14ac:dyDescent="0.25">
      <c r="K9224" s="128"/>
      <c r="X9224" s="234"/>
      <c r="Y9224" s="234"/>
      <c r="Z9224" s="234"/>
      <c r="AA9224" s="235"/>
      <c r="AB9224" s="234"/>
    </row>
    <row r="9225" ht="14.5" customHeight="1" spans="11:28" x14ac:dyDescent="0.25">
      <c r="K9225" s="128"/>
      <c r="X9225" s="234"/>
      <c r="Y9225" s="234"/>
      <c r="Z9225" s="234"/>
      <c r="AA9225" s="235"/>
      <c r="AB9225" s="234"/>
    </row>
    <row r="9226" ht="14.5" customHeight="1" spans="11:28" x14ac:dyDescent="0.25">
      <c r="K9226" s="128"/>
      <c r="X9226" s="234"/>
      <c r="Y9226" s="234"/>
      <c r="Z9226" s="234"/>
      <c r="AA9226" s="235"/>
      <c r="AB9226" s="234"/>
    </row>
    <row r="9227" ht="14.5" customHeight="1" spans="11:28" x14ac:dyDescent="0.25">
      <c r="K9227" s="128"/>
      <c r="X9227" s="234"/>
      <c r="Y9227" s="234"/>
      <c r="Z9227" s="234"/>
      <c r="AA9227" s="235"/>
      <c r="AB9227" s="234"/>
    </row>
    <row r="9228" ht="14.5" customHeight="1" spans="11:28" x14ac:dyDescent="0.25">
      <c r="K9228" s="128"/>
      <c r="X9228" s="234"/>
      <c r="Y9228" s="234"/>
      <c r="Z9228" s="234"/>
      <c r="AA9228" s="235"/>
      <c r="AB9228" s="234"/>
    </row>
    <row r="9229" ht="14.5" customHeight="1" spans="11:28" x14ac:dyDescent="0.25">
      <c r="K9229" s="128"/>
      <c r="X9229" s="234"/>
      <c r="Y9229" s="234"/>
      <c r="Z9229" s="234"/>
      <c r="AA9229" s="235"/>
      <c r="AB9229" s="234"/>
    </row>
    <row r="9230" ht="14.5" customHeight="1" spans="11:28" x14ac:dyDescent="0.25">
      <c r="K9230" s="128"/>
      <c r="X9230" s="234"/>
      <c r="Y9230" s="234"/>
      <c r="Z9230" s="234"/>
      <c r="AA9230" s="235"/>
      <c r="AB9230" s="234"/>
    </row>
    <row r="9231" ht="14.5" customHeight="1" spans="11:28" x14ac:dyDescent="0.25">
      <c r="K9231" s="128"/>
      <c r="X9231" s="234"/>
      <c r="Y9231" s="234"/>
      <c r="Z9231" s="234"/>
      <c r="AA9231" s="235"/>
      <c r="AB9231" s="234"/>
    </row>
    <row r="9232" ht="14.5" customHeight="1" spans="11:28" x14ac:dyDescent="0.25">
      <c r="K9232" s="128"/>
      <c r="X9232" s="234"/>
      <c r="Y9232" s="234"/>
      <c r="Z9232" s="234"/>
      <c r="AA9232" s="235"/>
      <c r="AB9232" s="234"/>
    </row>
    <row r="9233" ht="14.5" customHeight="1" spans="11:28" x14ac:dyDescent="0.25">
      <c r="K9233" s="128"/>
      <c r="X9233" s="234"/>
      <c r="Y9233" s="234"/>
      <c r="Z9233" s="234"/>
      <c r="AA9233" s="235"/>
      <c r="AB9233" s="234"/>
    </row>
    <row r="9234" ht="14.5" customHeight="1" spans="11:28" x14ac:dyDescent="0.25">
      <c r="K9234" s="128"/>
      <c r="X9234" s="234"/>
      <c r="Y9234" s="234"/>
      <c r="Z9234" s="234"/>
      <c r="AA9234" s="235"/>
      <c r="AB9234" s="234"/>
    </row>
    <row r="9235" ht="14.5" customHeight="1" spans="11:28" x14ac:dyDescent="0.25">
      <c r="K9235" s="128"/>
      <c r="X9235" s="234"/>
      <c r="Y9235" s="234"/>
      <c r="Z9235" s="234"/>
      <c r="AA9235" s="235"/>
      <c r="AB9235" s="234"/>
    </row>
    <row r="9236" ht="14.5" customHeight="1" spans="11:28" x14ac:dyDescent="0.25">
      <c r="K9236" s="128"/>
      <c r="X9236" s="234"/>
      <c r="Y9236" s="234"/>
      <c r="Z9236" s="234"/>
      <c r="AA9236" s="235"/>
      <c r="AB9236" s="234"/>
    </row>
    <row r="9237" ht="14.5" customHeight="1" spans="11:28" x14ac:dyDescent="0.25">
      <c r="K9237" s="128"/>
      <c r="X9237" s="234"/>
      <c r="Y9237" s="234"/>
      <c r="Z9237" s="234"/>
      <c r="AA9237" s="235"/>
      <c r="AB9237" s="234"/>
    </row>
    <row r="9238" ht="14.5" customHeight="1" spans="11:28" x14ac:dyDescent="0.25">
      <c r="K9238" s="128"/>
      <c r="X9238" s="234"/>
      <c r="Y9238" s="234"/>
      <c r="Z9238" s="234"/>
      <c r="AA9238" s="235"/>
      <c r="AB9238" s="234"/>
    </row>
    <row r="9239" ht="14.5" customHeight="1" spans="11:28" x14ac:dyDescent="0.25">
      <c r="K9239" s="128"/>
      <c r="X9239" s="234"/>
      <c r="Y9239" s="234"/>
      <c r="Z9239" s="234"/>
      <c r="AA9239" s="235"/>
      <c r="AB9239" s="234"/>
    </row>
    <row r="9240" ht="14.5" customHeight="1" spans="11:28" x14ac:dyDescent="0.25">
      <c r="K9240" s="128"/>
      <c r="X9240" s="234"/>
      <c r="Y9240" s="234"/>
      <c r="Z9240" s="234"/>
      <c r="AA9240" s="235"/>
      <c r="AB9240" s="234"/>
    </row>
    <row r="9241" ht="14.5" customHeight="1" spans="11:28" x14ac:dyDescent="0.25">
      <c r="K9241" s="128"/>
      <c r="X9241" s="234"/>
      <c r="Y9241" s="234"/>
      <c r="Z9241" s="234"/>
      <c r="AA9241" s="235"/>
      <c r="AB9241" s="234"/>
    </row>
    <row r="9242" ht="14.5" customHeight="1" spans="11:28" x14ac:dyDescent="0.25">
      <c r="K9242" s="128"/>
      <c r="X9242" s="234"/>
      <c r="Y9242" s="234"/>
      <c r="Z9242" s="234"/>
      <c r="AA9242" s="235"/>
      <c r="AB9242" s="234"/>
    </row>
    <row r="9243" ht="14.5" customHeight="1" spans="11:28" x14ac:dyDescent="0.25">
      <c r="K9243" s="128"/>
      <c r="X9243" s="234"/>
      <c r="Y9243" s="234"/>
      <c r="Z9243" s="234"/>
      <c r="AA9243" s="235"/>
      <c r="AB9243" s="234"/>
    </row>
    <row r="9244" ht="14.5" customHeight="1" spans="11:28" x14ac:dyDescent="0.25">
      <c r="K9244" s="128"/>
      <c r="X9244" s="234"/>
      <c r="Y9244" s="234"/>
      <c r="Z9244" s="234"/>
      <c r="AA9244" s="235"/>
      <c r="AB9244" s="234"/>
    </row>
    <row r="9245" ht="14.5" customHeight="1" spans="11:28" x14ac:dyDescent="0.25">
      <c r="K9245" s="128"/>
      <c r="X9245" s="234"/>
      <c r="Y9245" s="234"/>
      <c r="Z9245" s="234"/>
      <c r="AA9245" s="235"/>
      <c r="AB9245" s="234"/>
    </row>
    <row r="9246" ht="14.5" customHeight="1" spans="11:28" x14ac:dyDescent="0.25">
      <c r="K9246" s="128"/>
      <c r="X9246" s="234"/>
      <c r="Y9246" s="234"/>
      <c r="Z9246" s="234"/>
      <c r="AA9246" s="235"/>
      <c r="AB9246" s="234"/>
    </row>
    <row r="9247" ht="14.5" customHeight="1" spans="11:28" x14ac:dyDescent="0.25">
      <c r="K9247" s="128"/>
      <c r="X9247" s="234"/>
      <c r="Y9247" s="234"/>
      <c r="Z9247" s="234"/>
      <c r="AA9247" s="235"/>
      <c r="AB9247" s="234"/>
    </row>
    <row r="9248" ht="14.5" customHeight="1" spans="11:28" x14ac:dyDescent="0.25">
      <c r="K9248" s="128"/>
      <c r="X9248" s="234"/>
      <c r="Y9248" s="234"/>
      <c r="Z9248" s="234"/>
      <c r="AA9248" s="235"/>
      <c r="AB9248" s="234"/>
    </row>
    <row r="9249" ht="14.5" customHeight="1" spans="11:28" x14ac:dyDescent="0.25">
      <c r="K9249" s="128"/>
      <c r="X9249" s="234"/>
      <c r="Y9249" s="234"/>
      <c r="Z9249" s="234"/>
      <c r="AA9249" s="235"/>
      <c r="AB9249" s="234"/>
    </row>
    <row r="9250" ht="14.5" customHeight="1" spans="11:28" x14ac:dyDescent="0.25">
      <c r="K9250" s="128"/>
      <c r="X9250" s="234"/>
      <c r="Y9250" s="234"/>
      <c r="Z9250" s="234"/>
      <c r="AA9250" s="235"/>
      <c r="AB9250" s="234"/>
    </row>
    <row r="9251" ht="14.5" customHeight="1" spans="11:28" x14ac:dyDescent="0.25">
      <c r="K9251" s="128"/>
      <c r="X9251" s="234"/>
      <c r="Y9251" s="234"/>
      <c r="Z9251" s="234"/>
      <c r="AA9251" s="235"/>
      <c r="AB9251" s="234"/>
    </row>
    <row r="9252" ht="14.5" customHeight="1" spans="11:28" x14ac:dyDescent="0.25">
      <c r="K9252" s="128"/>
      <c r="X9252" s="234"/>
      <c r="Y9252" s="234"/>
      <c r="Z9252" s="234"/>
      <c r="AA9252" s="235"/>
      <c r="AB9252" s="234"/>
    </row>
    <row r="9253" ht="14.5" customHeight="1" spans="11:28" x14ac:dyDescent="0.25">
      <c r="K9253" s="128"/>
      <c r="X9253" s="234"/>
      <c r="Y9253" s="234"/>
      <c r="Z9253" s="234"/>
      <c r="AA9253" s="235"/>
      <c r="AB9253" s="234"/>
    </row>
    <row r="9254" ht="14.5" customHeight="1" spans="11:28" x14ac:dyDescent="0.25">
      <c r="K9254" s="128"/>
      <c r="X9254" s="234"/>
      <c r="Y9254" s="234"/>
      <c r="Z9254" s="234"/>
      <c r="AA9254" s="235"/>
      <c r="AB9254" s="234"/>
    </row>
    <row r="9255" ht="14.5" customHeight="1" spans="11:28" x14ac:dyDescent="0.25">
      <c r="K9255" s="128"/>
      <c r="X9255" s="234"/>
      <c r="Y9255" s="234"/>
      <c r="Z9255" s="234"/>
      <c r="AA9255" s="235"/>
      <c r="AB9255" s="234"/>
    </row>
    <row r="9256" ht="14.5" customHeight="1" spans="11:28" x14ac:dyDescent="0.25">
      <c r="K9256" s="128"/>
      <c r="X9256" s="234"/>
      <c r="Y9256" s="234"/>
      <c r="Z9256" s="234"/>
      <c r="AA9256" s="235"/>
      <c r="AB9256" s="234"/>
    </row>
    <row r="9257" ht="14.5" customHeight="1" spans="11:28" x14ac:dyDescent="0.25">
      <c r="K9257" s="128"/>
      <c r="X9257" s="234"/>
      <c r="Y9257" s="234"/>
      <c r="Z9257" s="234"/>
      <c r="AA9257" s="235"/>
      <c r="AB9257" s="234"/>
    </row>
    <row r="9258" ht="14.5" customHeight="1" spans="11:28" x14ac:dyDescent="0.25">
      <c r="K9258" s="128"/>
      <c r="X9258" s="234"/>
      <c r="Y9258" s="234"/>
      <c r="Z9258" s="234"/>
      <c r="AA9258" s="235"/>
      <c r="AB9258" s="234"/>
    </row>
    <row r="9259" ht="14.5" customHeight="1" spans="11:28" x14ac:dyDescent="0.25">
      <c r="K9259" s="128"/>
      <c r="X9259" s="234"/>
      <c r="Y9259" s="234"/>
      <c r="Z9259" s="234"/>
      <c r="AA9259" s="235"/>
      <c r="AB9259" s="234"/>
    </row>
    <row r="9260" ht="14.5" customHeight="1" spans="11:28" x14ac:dyDescent="0.25">
      <c r="K9260" s="128"/>
      <c r="X9260" s="234"/>
      <c r="Y9260" s="234"/>
      <c r="Z9260" s="234"/>
      <c r="AA9260" s="235"/>
      <c r="AB9260" s="234"/>
    </row>
    <row r="9261" ht="14.5" customHeight="1" spans="11:28" x14ac:dyDescent="0.25">
      <c r="K9261" s="128"/>
      <c r="X9261" s="234"/>
      <c r="Y9261" s="234"/>
      <c r="Z9261" s="234"/>
      <c r="AA9261" s="235"/>
      <c r="AB9261" s="234"/>
    </row>
    <row r="9262" ht="14.5" customHeight="1" spans="11:28" x14ac:dyDescent="0.25">
      <c r="K9262" s="128"/>
      <c r="X9262" s="234"/>
      <c r="Y9262" s="234"/>
      <c r="Z9262" s="234"/>
      <c r="AA9262" s="235"/>
      <c r="AB9262" s="234"/>
    </row>
    <row r="9263" ht="14.5" customHeight="1" spans="11:28" x14ac:dyDescent="0.25">
      <c r="K9263" s="128"/>
      <c r="X9263" s="234"/>
      <c r="Y9263" s="234"/>
      <c r="Z9263" s="234"/>
      <c r="AA9263" s="235"/>
      <c r="AB9263" s="234"/>
    </row>
    <row r="9264" ht="14.5" customHeight="1" spans="11:28" x14ac:dyDescent="0.25">
      <c r="K9264" s="128"/>
      <c r="X9264" s="234"/>
      <c r="Y9264" s="234"/>
      <c r="Z9264" s="234"/>
      <c r="AA9264" s="235"/>
      <c r="AB9264" s="234"/>
    </row>
    <row r="9265" ht="14.5" customHeight="1" spans="11:28" x14ac:dyDescent="0.25">
      <c r="K9265" s="128"/>
      <c r="X9265" s="234"/>
      <c r="Y9265" s="234"/>
      <c r="Z9265" s="234"/>
      <c r="AA9265" s="235"/>
      <c r="AB9265" s="234"/>
    </row>
    <row r="9266" ht="14.5" customHeight="1" spans="11:28" x14ac:dyDescent="0.25">
      <c r="K9266" s="128"/>
      <c r="X9266" s="234"/>
      <c r="Y9266" s="234"/>
      <c r="Z9266" s="234"/>
      <c r="AA9266" s="235"/>
      <c r="AB9266" s="234"/>
    </row>
    <row r="9267" ht="14.5" customHeight="1" spans="11:28" x14ac:dyDescent="0.25">
      <c r="K9267" s="128"/>
      <c r="X9267" s="234"/>
      <c r="Y9267" s="234"/>
      <c r="Z9267" s="234"/>
      <c r="AA9267" s="235"/>
      <c r="AB9267" s="234"/>
    </row>
    <row r="9268" ht="14.5" customHeight="1" spans="11:28" x14ac:dyDescent="0.25">
      <c r="K9268" s="128"/>
      <c r="X9268" s="234"/>
      <c r="Y9268" s="234"/>
      <c r="Z9268" s="234"/>
      <c r="AA9268" s="235"/>
      <c r="AB9268" s="234"/>
    </row>
    <row r="9269" ht="14.5" customHeight="1" spans="11:28" x14ac:dyDescent="0.25">
      <c r="K9269" s="128"/>
      <c r="X9269" s="234"/>
      <c r="Y9269" s="234"/>
      <c r="Z9269" s="234"/>
      <c r="AA9269" s="235"/>
      <c r="AB9269" s="234"/>
    </row>
    <row r="9270" ht="14.5" customHeight="1" spans="11:28" x14ac:dyDescent="0.25">
      <c r="K9270" s="128"/>
      <c r="X9270" s="234"/>
      <c r="Y9270" s="234"/>
      <c r="Z9270" s="234"/>
      <c r="AA9270" s="235"/>
      <c r="AB9270" s="234"/>
    </row>
    <row r="9271" ht="14.5" customHeight="1" spans="11:28" x14ac:dyDescent="0.25">
      <c r="K9271" s="128"/>
      <c r="X9271" s="234"/>
      <c r="Y9271" s="234"/>
      <c r="Z9271" s="234"/>
      <c r="AA9271" s="235"/>
      <c r="AB9271" s="234"/>
    </row>
    <row r="9272" ht="14.5" customHeight="1" spans="11:28" x14ac:dyDescent="0.25">
      <c r="K9272" s="128"/>
      <c r="X9272" s="234"/>
      <c r="Y9272" s="234"/>
      <c r="Z9272" s="234"/>
      <c r="AA9272" s="235"/>
      <c r="AB9272" s="234"/>
    </row>
    <row r="9273" ht="14.5" customHeight="1" spans="11:28" x14ac:dyDescent="0.25">
      <c r="K9273" s="128"/>
      <c r="X9273" s="234"/>
      <c r="Y9273" s="234"/>
      <c r="Z9273" s="234"/>
      <c r="AA9273" s="235"/>
      <c r="AB9273" s="234"/>
    </row>
    <row r="9274" ht="14.5" customHeight="1" spans="11:28" x14ac:dyDescent="0.25">
      <c r="K9274" s="128"/>
      <c r="X9274" s="234"/>
      <c r="Y9274" s="234"/>
      <c r="Z9274" s="234"/>
      <c r="AA9274" s="235"/>
      <c r="AB9274" s="234"/>
    </row>
    <row r="9275" ht="14.5" customHeight="1" spans="11:28" x14ac:dyDescent="0.25">
      <c r="K9275" s="128"/>
      <c r="X9275" s="234"/>
      <c r="Y9275" s="234"/>
      <c r="Z9275" s="234"/>
      <c r="AA9275" s="235"/>
      <c r="AB9275" s="234"/>
    </row>
    <row r="9276" ht="14.5" customHeight="1" spans="11:28" x14ac:dyDescent="0.25">
      <c r="K9276" s="128"/>
      <c r="X9276" s="234"/>
      <c r="Y9276" s="234"/>
      <c r="Z9276" s="234"/>
      <c r="AA9276" s="235"/>
      <c r="AB9276" s="234"/>
    </row>
    <row r="9277" ht="14.5" customHeight="1" spans="11:28" x14ac:dyDescent="0.25">
      <c r="K9277" s="128"/>
      <c r="X9277" s="234"/>
      <c r="Y9277" s="234"/>
      <c r="Z9277" s="234"/>
      <c r="AA9277" s="235"/>
      <c r="AB9277" s="234"/>
    </row>
    <row r="9278" ht="14.5" customHeight="1" spans="11:28" x14ac:dyDescent="0.25">
      <c r="K9278" s="128"/>
      <c r="X9278" s="234"/>
      <c r="Y9278" s="234"/>
      <c r="Z9278" s="234"/>
      <c r="AA9278" s="235"/>
      <c r="AB9278" s="234"/>
    </row>
    <row r="9279" ht="14.5" customHeight="1" spans="11:28" x14ac:dyDescent="0.25">
      <c r="K9279" s="128"/>
      <c r="X9279" s="234"/>
      <c r="Y9279" s="234"/>
      <c r="Z9279" s="234"/>
      <c r="AA9279" s="235"/>
      <c r="AB9279" s="234"/>
    </row>
    <row r="9280" ht="14.5" customHeight="1" spans="11:28" x14ac:dyDescent="0.25">
      <c r="K9280" s="128"/>
      <c r="X9280" s="234"/>
      <c r="Y9280" s="234"/>
      <c r="Z9280" s="234"/>
      <c r="AA9280" s="235"/>
      <c r="AB9280" s="234"/>
    </row>
    <row r="9281" ht="14.5" customHeight="1" spans="11:28" x14ac:dyDescent="0.25">
      <c r="K9281" s="128"/>
      <c r="X9281" s="234"/>
      <c r="Y9281" s="234"/>
      <c r="Z9281" s="234"/>
      <c r="AA9281" s="235"/>
      <c r="AB9281" s="234"/>
    </row>
    <row r="9282" ht="14.5" customHeight="1" spans="11:28" x14ac:dyDescent="0.25">
      <c r="K9282" s="128"/>
      <c r="X9282" s="234"/>
      <c r="Y9282" s="234"/>
      <c r="Z9282" s="234"/>
      <c r="AA9282" s="235"/>
      <c r="AB9282" s="234"/>
    </row>
    <row r="9283" ht="14.5" customHeight="1" spans="11:28" x14ac:dyDescent="0.25">
      <c r="K9283" s="128"/>
      <c r="X9283" s="234"/>
      <c r="Y9283" s="234"/>
      <c r="Z9283" s="234"/>
      <c r="AA9283" s="235"/>
      <c r="AB9283" s="234"/>
    </row>
    <row r="9284" ht="14.5" customHeight="1" spans="11:28" x14ac:dyDescent="0.25">
      <c r="K9284" s="128"/>
      <c r="X9284" s="234"/>
      <c r="Y9284" s="234"/>
      <c r="Z9284" s="234"/>
      <c r="AA9284" s="235"/>
      <c r="AB9284" s="234"/>
    </row>
    <row r="9285" ht="14.5" customHeight="1" spans="11:28" x14ac:dyDescent="0.25">
      <c r="K9285" s="128"/>
      <c r="X9285" s="234"/>
      <c r="Y9285" s="234"/>
      <c r="Z9285" s="234"/>
      <c r="AA9285" s="235"/>
      <c r="AB9285" s="234"/>
    </row>
    <row r="9286" ht="14.5" customHeight="1" spans="11:28" x14ac:dyDescent="0.25">
      <c r="K9286" s="128"/>
      <c r="X9286" s="234"/>
      <c r="Y9286" s="234"/>
      <c r="Z9286" s="234"/>
      <c r="AA9286" s="235"/>
      <c r="AB9286" s="234"/>
    </row>
    <row r="9287" ht="14.5" customHeight="1" spans="11:28" x14ac:dyDescent="0.25">
      <c r="K9287" s="128"/>
      <c r="X9287" s="234"/>
      <c r="Y9287" s="234"/>
      <c r="Z9287" s="234"/>
      <c r="AA9287" s="235"/>
      <c r="AB9287" s="234"/>
    </row>
    <row r="9288" ht="14.5" customHeight="1" spans="11:28" x14ac:dyDescent="0.25">
      <c r="K9288" s="128"/>
      <c r="X9288" s="234"/>
      <c r="Y9288" s="234"/>
      <c r="Z9288" s="234"/>
      <c r="AA9288" s="235"/>
      <c r="AB9288" s="234"/>
    </row>
    <row r="9289" ht="14.5" customHeight="1" spans="11:28" x14ac:dyDescent="0.25">
      <c r="K9289" s="128"/>
      <c r="X9289" s="234"/>
      <c r="Y9289" s="234"/>
      <c r="Z9289" s="234"/>
      <c r="AA9289" s="235"/>
      <c r="AB9289" s="234"/>
    </row>
    <row r="9290" ht="14.5" customHeight="1" spans="11:28" x14ac:dyDescent="0.25">
      <c r="K9290" s="128"/>
      <c r="X9290" s="234"/>
      <c r="Y9290" s="234"/>
      <c r="Z9290" s="234"/>
      <c r="AA9290" s="235"/>
      <c r="AB9290" s="234"/>
    </row>
    <row r="9291" ht="14.5" customHeight="1" spans="11:28" x14ac:dyDescent="0.25">
      <c r="K9291" s="128"/>
      <c r="X9291" s="234"/>
      <c r="Y9291" s="234"/>
      <c r="Z9291" s="234"/>
      <c r="AA9291" s="235"/>
      <c r="AB9291" s="234"/>
    </row>
    <row r="9292" ht="14.5" customHeight="1" spans="11:28" x14ac:dyDescent="0.25">
      <c r="K9292" s="128"/>
      <c r="X9292" s="234"/>
      <c r="Y9292" s="234"/>
      <c r="Z9292" s="234"/>
      <c r="AA9292" s="235"/>
      <c r="AB9292" s="234"/>
    </row>
    <row r="9293" ht="14.5" customHeight="1" spans="11:28" x14ac:dyDescent="0.25">
      <c r="K9293" s="128"/>
      <c r="X9293" s="234"/>
      <c r="Y9293" s="234"/>
      <c r="Z9293" s="234"/>
      <c r="AA9293" s="235"/>
      <c r="AB9293" s="234"/>
    </row>
    <row r="9294" ht="14.5" customHeight="1" spans="11:28" x14ac:dyDescent="0.25">
      <c r="K9294" s="128"/>
      <c r="X9294" s="234"/>
      <c r="Y9294" s="234"/>
      <c r="Z9294" s="234"/>
      <c r="AA9294" s="235"/>
      <c r="AB9294" s="234"/>
    </row>
    <row r="9295" ht="14.5" customHeight="1" spans="11:28" x14ac:dyDescent="0.25">
      <c r="K9295" s="128"/>
      <c r="X9295" s="234"/>
      <c r="Y9295" s="234"/>
      <c r="Z9295" s="234"/>
      <c r="AA9295" s="235"/>
      <c r="AB9295" s="234"/>
    </row>
    <row r="9296" ht="14.5" customHeight="1" spans="11:28" x14ac:dyDescent="0.25">
      <c r="K9296" s="128"/>
      <c r="X9296" s="234"/>
      <c r="Y9296" s="234"/>
      <c r="Z9296" s="234"/>
      <c r="AA9296" s="235"/>
      <c r="AB9296" s="234"/>
    </row>
    <row r="9297" ht="14.5" customHeight="1" spans="11:28" x14ac:dyDescent="0.25">
      <c r="K9297" s="128"/>
      <c r="X9297" s="234"/>
      <c r="Y9297" s="234"/>
      <c r="Z9297" s="234"/>
      <c r="AA9297" s="235"/>
      <c r="AB9297" s="234"/>
    </row>
    <row r="9298" ht="14.5" customHeight="1" spans="11:28" x14ac:dyDescent="0.25">
      <c r="K9298" s="128"/>
      <c r="X9298" s="234"/>
      <c r="Y9298" s="234"/>
      <c r="Z9298" s="234"/>
      <c r="AA9298" s="235"/>
      <c r="AB9298" s="234"/>
    </row>
    <row r="9299" ht="14.5" customHeight="1" spans="11:28" x14ac:dyDescent="0.25">
      <c r="K9299" s="128"/>
      <c r="X9299" s="234"/>
      <c r="Y9299" s="234"/>
      <c r="Z9299" s="234"/>
      <c r="AA9299" s="235"/>
      <c r="AB9299" s="234"/>
    </row>
    <row r="9300" ht="14.5" customHeight="1" spans="11:28" x14ac:dyDescent="0.25">
      <c r="K9300" s="128"/>
      <c r="X9300" s="234"/>
      <c r="Y9300" s="234"/>
      <c r="Z9300" s="234"/>
      <c r="AA9300" s="235"/>
      <c r="AB9300" s="234"/>
    </row>
    <row r="9301" ht="14.5" customHeight="1" spans="11:28" x14ac:dyDescent="0.25">
      <c r="K9301" s="128"/>
      <c r="X9301" s="234"/>
      <c r="Y9301" s="234"/>
      <c r="Z9301" s="234"/>
      <c r="AA9301" s="235"/>
      <c r="AB9301" s="234"/>
    </row>
    <row r="9302" ht="14.5" customHeight="1" spans="11:28" x14ac:dyDescent="0.25">
      <c r="K9302" s="128"/>
      <c r="X9302" s="234"/>
      <c r="Y9302" s="234"/>
      <c r="Z9302" s="234"/>
      <c r="AA9302" s="235"/>
      <c r="AB9302" s="234"/>
    </row>
    <row r="9303" ht="14.5" customHeight="1" spans="11:28" x14ac:dyDescent="0.25">
      <c r="K9303" s="128"/>
      <c r="X9303" s="234"/>
      <c r="Y9303" s="234"/>
      <c r="Z9303" s="234"/>
      <c r="AA9303" s="235"/>
      <c r="AB9303" s="234"/>
    </row>
    <row r="9304" ht="14.5" customHeight="1" spans="11:28" x14ac:dyDescent="0.25">
      <c r="K9304" s="128"/>
      <c r="X9304" s="234"/>
      <c r="Y9304" s="234"/>
      <c r="Z9304" s="234"/>
      <c r="AA9304" s="235"/>
      <c r="AB9304" s="234"/>
    </row>
    <row r="9305" ht="14.5" customHeight="1" spans="11:28" x14ac:dyDescent="0.25">
      <c r="K9305" s="128"/>
      <c r="X9305" s="234"/>
      <c r="Y9305" s="234"/>
      <c r="Z9305" s="234"/>
      <c r="AA9305" s="235"/>
      <c r="AB9305" s="234"/>
    </row>
    <row r="9306" ht="14.5" customHeight="1" spans="11:28" x14ac:dyDescent="0.25">
      <c r="K9306" s="128"/>
      <c r="X9306" s="234"/>
      <c r="Y9306" s="234"/>
      <c r="Z9306" s="234"/>
      <c r="AA9306" s="235"/>
      <c r="AB9306" s="234"/>
    </row>
    <row r="9307" ht="14.5" customHeight="1" spans="11:28" x14ac:dyDescent="0.25">
      <c r="K9307" s="128"/>
      <c r="X9307" s="234"/>
      <c r="Y9307" s="234"/>
      <c r="Z9307" s="234"/>
      <c r="AA9307" s="235"/>
      <c r="AB9307" s="234"/>
    </row>
    <row r="9308" ht="14.5" customHeight="1" spans="11:28" x14ac:dyDescent="0.25">
      <c r="K9308" s="128"/>
      <c r="X9308" s="234"/>
      <c r="Y9308" s="234"/>
      <c r="Z9308" s="234"/>
      <c r="AA9308" s="235"/>
      <c r="AB9308" s="234"/>
    </row>
    <row r="9309" ht="14.5" customHeight="1" spans="11:28" x14ac:dyDescent="0.25">
      <c r="K9309" s="128"/>
      <c r="X9309" s="234"/>
      <c r="Y9309" s="234"/>
      <c r="Z9309" s="234"/>
      <c r="AA9309" s="235"/>
      <c r="AB9309" s="234"/>
    </row>
    <row r="9310" ht="14.5" customHeight="1" spans="11:28" x14ac:dyDescent="0.25">
      <c r="K9310" s="128"/>
      <c r="X9310" s="234"/>
      <c r="Y9310" s="234"/>
      <c r="Z9310" s="234"/>
      <c r="AA9310" s="235"/>
      <c r="AB9310" s="234"/>
    </row>
    <row r="9311" ht="14.5" customHeight="1" spans="11:28" x14ac:dyDescent="0.25">
      <c r="K9311" s="128"/>
      <c r="X9311" s="234"/>
      <c r="Y9311" s="234"/>
      <c r="Z9311" s="234"/>
      <c r="AA9311" s="235"/>
      <c r="AB9311" s="234"/>
    </row>
    <row r="9312" ht="14.5" customHeight="1" spans="11:28" x14ac:dyDescent="0.25">
      <c r="K9312" s="128"/>
      <c r="X9312" s="234"/>
      <c r="Y9312" s="234"/>
      <c r="Z9312" s="234"/>
      <c r="AA9312" s="235"/>
      <c r="AB9312" s="234"/>
    </row>
    <row r="9313" ht="14.5" customHeight="1" spans="11:28" x14ac:dyDescent="0.25">
      <c r="K9313" s="128"/>
      <c r="X9313" s="234"/>
      <c r="Y9313" s="234"/>
      <c r="Z9313" s="234"/>
      <c r="AA9313" s="235"/>
      <c r="AB9313" s="234"/>
    </row>
    <row r="9314" ht="14.5" customHeight="1" spans="11:28" x14ac:dyDescent="0.25">
      <c r="K9314" s="128"/>
      <c r="X9314" s="234"/>
      <c r="Y9314" s="234"/>
      <c r="Z9314" s="234"/>
      <c r="AA9314" s="235"/>
      <c r="AB9314" s="234"/>
    </row>
    <row r="9315" ht="14.5" customHeight="1" spans="11:28" x14ac:dyDescent="0.25">
      <c r="K9315" s="128"/>
      <c r="X9315" s="234"/>
      <c r="Y9315" s="234"/>
      <c r="Z9315" s="234"/>
      <c r="AA9315" s="235"/>
      <c r="AB9315" s="234"/>
    </row>
    <row r="9316" ht="14.5" customHeight="1" spans="11:28" x14ac:dyDescent="0.25">
      <c r="K9316" s="128"/>
      <c r="X9316" s="234"/>
      <c r="Y9316" s="234"/>
      <c r="Z9316" s="234"/>
      <c r="AA9316" s="235"/>
      <c r="AB9316" s="234"/>
    </row>
    <row r="9317" ht="14.5" customHeight="1" spans="11:28" x14ac:dyDescent="0.25">
      <c r="K9317" s="128"/>
      <c r="X9317" s="234"/>
      <c r="Y9317" s="234"/>
      <c r="Z9317" s="234"/>
      <c r="AA9317" s="235"/>
      <c r="AB9317" s="234"/>
    </row>
    <row r="9318" ht="14.5" customHeight="1" spans="11:28" x14ac:dyDescent="0.25">
      <c r="K9318" s="128"/>
      <c r="X9318" s="234"/>
      <c r="Y9318" s="234"/>
      <c r="Z9318" s="234"/>
      <c r="AA9318" s="235"/>
      <c r="AB9318" s="234"/>
    </row>
    <row r="9319" ht="14.5" customHeight="1" spans="11:28" x14ac:dyDescent="0.25">
      <c r="K9319" s="128"/>
      <c r="X9319" s="234"/>
      <c r="Y9319" s="234"/>
      <c r="Z9319" s="234"/>
      <c r="AA9319" s="235"/>
      <c r="AB9319" s="234"/>
    </row>
    <row r="9320" ht="14.5" customHeight="1" spans="11:28" x14ac:dyDescent="0.25">
      <c r="K9320" s="128"/>
      <c r="X9320" s="234"/>
      <c r="Y9320" s="234"/>
      <c r="Z9320" s="234"/>
      <c r="AA9320" s="235"/>
      <c r="AB9320" s="234"/>
    </row>
    <row r="9321" ht="14.5" customHeight="1" spans="11:28" x14ac:dyDescent="0.25">
      <c r="K9321" s="128"/>
      <c r="X9321" s="234"/>
      <c r="Y9321" s="234"/>
      <c r="Z9321" s="234"/>
      <c r="AA9321" s="235"/>
      <c r="AB9321" s="234"/>
    </row>
    <row r="9322" ht="14.5" customHeight="1" spans="11:28" x14ac:dyDescent="0.25">
      <c r="K9322" s="128"/>
      <c r="X9322" s="234"/>
      <c r="Y9322" s="234"/>
      <c r="Z9322" s="234"/>
      <c r="AA9322" s="235"/>
      <c r="AB9322" s="234"/>
    </row>
    <row r="9323" ht="14.5" customHeight="1" spans="11:28" x14ac:dyDescent="0.25">
      <c r="K9323" s="128"/>
      <c r="X9323" s="234"/>
      <c r="Y9323" s="234"/>
      <c r="Z9323" s="234"/>
      <c r="AA9323" s="235"/>
      <c r="AB9323" s="234"/>
    </row>
    <row r="9324" ht="14.5" customHeight="1" spans="11:28" x14ac:dyDescent="0.25">
      <c r="K9324" s="128"/>
      <c r="X9324" s="234"/>
      <c r="Y9324" s="234"/>
      <c r="Z9324" s="234"/>
      <c r="AA9324" s="235"/>
      <c r="AB9324" s="234"/>
    </row>
    <row r="9325" ht="14.5" customHeight="1" spans="11:28" x14ac:dyDescent="0.25">
      <c r="K9325" s="128"/>
      <c r="X9325" s="234"/>
      <c r="Y9325" s="234"/>
      <c r="Z9325" s="234"/>
      <c r="AA9325" s="235"/>
      <c r="AB9325" s="234"/>
    </row>
    <row r="9326" ht="14.5" customHeight="1" spans="11:28" x14ac:dyDescent="0.25">
      <c r="K9326" s="128"/>
      <c r="X9326" s="234"/>
      <c r="Y9326" s="234"/>
      <c r="Z9326" s="234"/>
      <c r="AA9326" s="235"/>
      <c r="AB9326" s="234"/>
    </row>
    <row r="9327" ht="14.5" customHeight="1" spans="11:28" x14ac:dyDescent="0.25">
      <c r="K9327" s="128"/>
      <c r="X9327" s="234"/>
      <c r="Y9327" s="234"/>
      <c r="Z9327" s="234"/>
      <c r="AA9327" s="235"/>
      <c r="AB9327" s="234"/>
    </row>
    <row r="9328" ht="14.5" customHeight="1" spans="11:28" x14ac:dyDescent="0.25">
      <c r="K9328" s="128"/>
      <c r="X9328" s="234"/>
      <c r="Y9328" s="234"/>
      <c r="Z9328" s="234"/>
      <c r="AA9328" s="235"/>
      <c r="AB9328" s="234"/>
    </row>
    <row r="9329" ht="14.5" customHeight="1" spans="11:28" x14ac:dyDescent="0.25">
      <c r="K9329" s="128"/>
      <c r="X9329" s="234"/>
      <c r="Y9329" s="234"/>
      <c r="Z9329" s="234"/>
      <c r="AA9329" s="235"/>
      <c r="AB9329" s="234"/>
    </row>
    <row r="9330" ht="14.5" customHeight="1" spans="11:28" x14ac:dyDescent="0.25">
      <c r="K9330" s="128"/>
      <c r="X9330" s="234"/>
      <c r="Y9330" s="234"/>
      <c r="Z9330" s="234"/>
      <c r="AA9330" s="235"/>
      <c r="AB9330" s="234"/>
    </row>
    <row r="9331" ht="14.5" customHeight="1" spans="11:28" x14ac:dyDescent="0.25">
      <c r="K9331" s="128"/>
      <c r="X9331" s="234"/>
      <c r="Y9331" s="234"/>
      <c r="Z9331" s="234"/>
      <c r="AA9331" s="235"/>
      <c r="AB9331" s="234"/>
    </row>
    <row r="9332" ht="14.5" customHeight="1" spans="11:28" x14ac:dyDescent="0.25">
      <c r="K9332" s="128"/>
      <c r="X9332" s="234"/>
      <c r="Y9332" s="234"/>
      <c r="Z9332" s="234"/>
      <c r="AA9332" s="235"/>
      <c r="AB9332" s="234"/>
    </row>
    <row r="9333" ht="14.5" customHeight="1" spans="11:28" x14ac:dyDescent="0.25">
      <c r="K9333" s="128"/>
      <c r="X9333" s="234"/>
      <c r="Y9333" s="234"/>
      <c r="Z9333" s="234"/>
      <c r="AA9333" s="235"/>
      <c r="AB9333" s="234"/>
    </row>
    <row r="9334" ht="14.5" customHeight="1" spans="11:28" x14ac:dyDescent="0.25">
      <c r="K9334" s="128"/>
      <c r="X9334" s="234"/>
      <c r="Y9334" s="234"/>
      <c r="Z9334" s="234"/>
      <c r="AA9334" s="235"/>
      <c r="AB9334" s="234"/>
    </row>
    <row r="9335" ht="14.5" customHeight="1" spans="11:28" x14ac:dyDescent="0.25">
      <c r="K9335" s="128"/>
      <c r="X9335" s="234"/>
      <c r="Y9335" s="234"/>
      <c r="Z9335" s="234"/>
      <c r="AA9335" s="235"/>
      <c r="AB9335" s="234"/>
    </row>
    <row r="9336" ht="14.5" customHeight="1" spans="11:28" x14ac:dyDescent="0.25">
      <c r="K9336" s="128"/>
      <c r="X9336" s="234"/>
      <c r="Y9336" s="234"/>
      <c r="Z9336" s="234"/>
      <c r="AA9336" s="235"/>
      <c r="AB9336" s="234"/>
    </row>
    <row r="9337" ht="14.5" customHeight="1" spans="11:28" x14ac:dyDescent="0.25">
      <c r="K9337" s="128"/>
      <c r="X9337" s="234"/>
      <c r="Y9337" s="234"/>
      <c r="Z9337" s="234"/>
      <c r="AA9337" s="235"/>
      <c r="AB9337" s="234"/>
    </row>
    <row r="9338" ht="14.5" customHeight="1" spans="11:28" x14ac:dyDescent="0.25">
      <c r="K9338" s="128"/>
      <c r="X9338" s="234"/>
      <c r="Y9338" s="234"/>
      <c r="Z9338" s="234"/>
      <c r="AA9338" s="235"/>
      <c r="AB9338" s="234"/>
    </row>
    <row r="9339" ht="14.5" customHeight="1" spans="11:28" x14ac:dyDescent="0.25">
      <c r="K9339" s="128"/>
      <c r="X9339" s="234"/>
      <c r="Y9339" s="234"/>
      <c r="Z9339" s="234"/>
      <c r="AA9339" s="235"/>
      <c r="AB9339" s="234"/>
    </row>
    <row r="9340" ht="14.5" customHeight="1" spans="11:28" x14ac:dyDescent="0.25">
      <c r="K9340" s="128"/>
      <c r="X9340" s="234"/>
      <c r="Y9340" s="234"/>
      <c r="Z9340" s="234"/>
      <c r="AA9340" s="235"/>
      <c r="AB9340" s="234"/>
    </row>
    <row r="9341" ht="14.5" customHeight="1" spans="11:28" x14ac:dyDescent="0.25">
      <c r="K9341" s="128"/>
      <c r="X9341" s="234"/>
      <c r="Y9341" s="234"/>
      <c r="Z9341" s="234"/>
      <c r="AA9341" s="235"/>
      <c r="AB9341" s="234"/>
    </row>
    <row r="9342" ht="14.5" customHeight="1" spans="11:28" x14ac:dyDescent="0.25">
      <c r="K9342" s="128"/>
      <c r="X9342" s="234"/>
      <c r="Y9342" s="234"/>
      <c r="Z9342" s="234"/>
      <c r="AA9342" s="235"/>
      <c r="AB9342" s="234"/>
    </row>
    <row r="9343" ht="14.5" customHeight="1" spans="11:28" x14ac:dyDescent="0.25">
      <c r="K9343" s="128"/>
      <c r="X9343" s="234"/>
      <c r="Y9343" s="234"/>
      <c r="Z9343" s="234"/>
      <c r="AA9343" s="235"/>
      <c r="AB9343" s="234"/>
    </row>
    <row r="9344" ht="14.5" customHeight="1" spans="11:28" x14ac:dyDescent="0.25">
      <c r="K9344" s="128"/>
      <c r="X9344" s="234"/>
      <c r="Y9344" s="234"/>
      <c r="Z9344" s="234"/>
      <c r="AA9344" s="235"/>
      <c r="AB9344" s="234"/>
    </row>
    <row r="9345" ht="14.5" customHeight="1" spans="11:28" x14ac:dyDescent="0.25">
      <c r="K9345" s="128"/>
      <c r="X9345" s="234"/>
      <c r="Y9345" s="234"/>
      <c r="Z9345" s="234"/>
      <c r="AA9345" s="235"/>
      <c r="AB9345" s="234"/>
    </row>
    <row r="9346" ht="14.5" customHeight="1" spans="11:28" x14ac:dyDescent="0.25">
      <c r="K9346" s="128"/>
      <c r="X9346" s="234"/>
      <c r="Y9346" s="234"/>
      <c r="Z9346" s="234"/>
      <c r="AA9346" s="235"/>
      <c r="AB9346" s="234"/>
    </row>
    <row r="9347" ht="14.5" customHeight="1" spans="11:28" x14ac:dyDescent="0.25">
      <c r="K9347" s="128"/>
      <c r="X9347" s="234"/>
      <c r="Y9347" s="234"/>
      <c r="Z9347" s="234"/>
      <c r="AA9347" s="235"/>
      <c r="AB9347" s="234"/>
    </row>
    <row r="9348" ht="14.5" customHeight="1" spans="11:28" x14ac:dyDescent="0.25">
      <c r="K9348" s="128"/>
      <c r="X9348" s="234"/>
      <c r="Y9348" s="234"/>
      <c r="Z9348" s="234"/>
      <c r="AA9348" s="235"/>
      <c r="AB9348" s="234"/>
    </row>
    <row r="9349" ht="14.5" customHeight="1" spans="11:28" x14ac:dyDescent="0.25">
      <c r="K9349" s="128"/>
      <c r="X9349" s="234"/>
      <c r="Y9349" s="234"/>
      <c r="Z9349" s="234"/>
      <c r="AA9349" s="235"/>
      <c r="AB9349" s="234"/>
    </row>
    <row r="9350" ht="14.5" customHeight="1" spans="11:28" x14ac:dyDescent="0.25">
      <c r="K9350" s="128"/>
      <c r="X9350" s="234"/>
      <c r="Y9350" s="234"/>
      <c r="Z9350" s="234"/>
      <c r="AA9350" s="235"/>
      <c r="AB9350" s="234"/>
    </row>
    <row r="9351" ht="14.5" customHeight="1" spans="11:28" x14ac:dyDescent="0.25">
      <c r="K9351" s="128"/>
      <c r="X9351" s="234"/>
      <c r="Y9351" s="234"/>
      <c r="Z9351" s="234"/>
      <c r="AA9351" s="235"/>
      <c r="AB9351" s="234"/>
    </row>
    <row r="9352" ht="14.5" customHeight="1" spans="11:28" x14ac:dyDescent="0.25">
      <c r="K9352" s="128"/>
      <c r="X9352" s="234"/>
      <c r="Y9352" s="234"/>
      <c r="Z9352" s="234"/>
      <c r="AA9352" s="235"/>
      <c r="AB9352" s="234"/>
    </row>
    <row r="9353" ht="14.5" customHeight="1" spans="11:28" x14ac:dyDescent="0.25">
      <c r="K9353" s="128"/>
      <c r="X9353" s="234"/>
      <c r="Y9353" s="234"/>
      <c r="Z9353" s="234"/>
      <c r="AA9353" s="235"/>
      <c r="AB9353" s="234"/>
    </row>
    <row r="9354" ht="14.5" customHeight="1" spans="11:28" x14ac:dyDescent="0.25">
      <c r="K9354" s="128"/>
      <c r="X9354" s="234"/>
      <c r="Y9354" s="234"/>
      <c r="Z9354" s="234"/>
      <c r="AA9354" s="235"/>
      <c r="AB9354" s="234"/>
    </row>
    <row r="9355" ht="14.5" customHeight="1" spans="11:28" x14ac:dyDescent="0.25">
      <c r="K9355" s="128"/>
      <c r="X9355" s="234"/>
      <c r="Y9355" s="234"/>
      <c r="Z9355" s="234"/>
      <c r="AA9355" s="235"/>
      <c r="AB9355" s="234"/>
    </row>
    <row r="9356" ht="14.5" customHeight="1" spans="11:28" x14ac:dyDescent="0.25">
      <c r="K9356" s="128"/>
      <c r="X9356" s="234"/>
      <c r="Y9356" s="234"/>
      <c r="Z9356" s="234"/>
      <c r="AA9356" s="235"/>
      <c r="AB9356" s="234"/>
    </row>
    <row r="9357" ht="14.5" customHeight="1" spans="11:28" x14ac:dyDescent="0.25">
      <c r="K9357" s="128"/>
      <c r="X9357" s="234"/>
      <c r="Y9357" s="234"/>
      <c r="Z9357" s="234"/>
      <c r="AA9357" s="235"/>
      <c r="AB9357" s="234"/>
    </row>
    <row r="9358" ht="14.5" customHeight="1" spans="11:28" x14ac:dyDescent="0.25">
      <c r="K9358" s="128"/>
      <c r="X9358" s="234"/>
      <c r="Y9358" s="234"/>
      <c r="Z9358" s="234"/>
      <c r="AA9358" s="235"/>
      <c r="AB9358" s="234"/>
    </row>
    <row r="9359" ht="14.5" customHeight="1" spans="11:28" x14ac:dyDescent="0.25">
      <c r="K9359" s="128"/>
      <c r="X9359" s="234"/>
      <c r="Y9359" s="234"/>
      <c r="Z9359" s="234"/>
      <c r="AA9359" s="235"/>
      <c r="AB9359" s="234"/>
    </row>
    <row r="9360" ht="14.5" customHeight="1" spans="11:28" x14ac:dyDescent="0.25">
      <c r="K9360" s="128"/>
      <c r="X9360" s="234"/>
      <c r="Y9360" s="234"/>
      <c r="Z9360" s="234"/>
      <c r="AA9360" s="235"/>
      <c r="AB9360" s="234"/>
    </row>
    <row r="9361" ht="14.5" customHeight="1" spans="11:28" x14ac:dyDescent="0.25">
      <c r="K9361" s="128"/>
      <c r="X9361" s="234"/>
      <c r="Y9361" s="234"/>
      <c r="Z9361" s="234"/>
      <c r="AA9361" s="235"/>
      <c r="AB9361" s="234"/>
    </row>
    <row r="9362" ht="14.5" customHeight="1" spans="11:28" x14ac:dyDescent="0.25">
      <c r="K9362" s="128"/>
      <c r="X9362" s="234"/>
      <c r="Y9362" s="234"/>
      <c r="Z9362" s="234"/>
      <c r="AA9362" s="235"/>
      <c r="AB9362" s="234"/>
    </row>
    <row r="9363" ht="14.5" customHeight="1" spans="11:28" x14ac:dyDescent="0.25">
      <c r="K9363" s="128"/>
      <c r="X9363" s="234"/>
      <c r="Y9363" s="234"/>
      <c r="Z9363" s="234"/>
      <c r="AA9363" s="235"/>
      <c r="AB9363" s="234"/>
    </row>
    <row r="9364" ht="14.5" customHeight="1" spans="11:28" x14ac:dyDescent="0.25">
      <c r="K9364" s="128"/>
      <c r="X9364" s="234"/>
      <c r="Y9364" s="234"/>
      <c r="Z9364" s="234"/>
      <c r="AA9364" s="235"/>
      <c r="AB9364" s="234"/>
    </row>
    <row r="9365" ht="14.5" customHeight="1" spans="11:28" x14ac:dyDescent="0.25">
      <c r="K9365" s="128"/>
      <c r="X9365" s="234"/>
      <c r="Y9365" s="234"/>
      <c r="Z9365" s="234"/>
      <c r="AA9365" s="235"/>
      <c r="AB9365" s="234"/>
    </row>
    <row r="9366" ht="14.5" customHeight="1" spans="11:28" x14ac:dyDescent="0.25">
      <c r="K9366" s="128"/>
      <c r="X9366" s="234"/>
      <c r="Y9366" s="234"/>
      <c r="Z9366" s="234"/>
      <c r="AA9366" s="235"/>
      <c r="AB9366" s="234"/>
    </row>
    <row r="9367" ht="14.5" customHeight="1" spans="11:28" x14ac:dyDescent="0.25">
      <c r="K9367" s="128"/>
      <c r="X9367" s="234"/>
      <c r="Y9367" s="234"/>
      <c r="Z9367" s="234"/>
      <c r="AA9367" s="235"/>
      <c r="AB9367" s="234"/>
    </row>
    <row r="9368" ht="14.5" customHeight="1" spans="11:28" x14ac:dyDescent="0.25">
      <c r="K9368" s="128"/>
      <c r="X9368" s="234"/>
      <c r="Y9368" s="234"/>
      <c r="Z9368" s="234"/>
      <c r="AA9368" s="235"/>
      <c r="AB9368" s="234"/>
    </row>
    <row r="9369" ht="14.5" customHeight="1" spans="11:28" x14ac:dyDescent="0.25">
      <c r="K9369" s="128"/>
      <c r="X9369" s="234"/>
      <c r="Y9369" s="234"/>
      <c r="Z9369" s="234"/>
      <c r="AA9369" s="235"/>
      <c r="AB9369" s="234"/>
    </row>
    <row r="9370" ht="14.5" customHeight="1" spans="11:28" x14ac:dyDescent="0.25">
      <c r="K9370" s="128"/>
      <c r="X9370" s="234"/>
      <c r="Y9370" s="234"/>
      <c r="Z9370" s="234"/>
      <c r="AA9370" s="235"/>
      <c r="AB9370" s="234"/>
    </row>
    <row r="9371" ht="14.5" customHeight="1" spans="11:28" x14ac:dyDescent="0.25">
      <c r="K9371" s="128"/>
      <c r="X9371" s="234"/>
      <c r="Y9371" s="234"/>
      <c r="Z9371" s="234"/>
      <c r="AA9371" s="235"/>
      <c r="AB9371" s="234"/>
    </row>
    <row r="9372" ht="14.5" customHeight="1" spans="11:28" x14ac:dyDescent="0.25">
      <c r="K9372" s="128"/>
      <c r="X9372" s="234"/>
      <c r="Y9372" s="234"/>
      <c r="Z9372" s="234"/>
      <c r="AA9372" s="235"/>
      <c r="AB9372" s="234"/>
    </row>
    <row r="9373" ht="14.5" customHeight="1" spans="11:28" x14ac:dyDescent="0.25">
      <c r="K9373" s="128"/>
      <c r="X9373" s="234"/>
      <c r="Y9373" s="234"/>
      <c r="Z9373" s="234"/>
      <c r="AA9373" s="235"/>
      <c r="AB9373" s="234"/>
    </row>
    <row r="9374" ht="14.5" customHeight="1" spans="11:28" x14ac:dyDescent="0.25">
      <c r="K9374" s="128"/>
      <c r="X9374" s="234"/>
      <c r="Y9374" s="234"/>
      <c r="Z9374" s="234"/>
      <c r="AA9374" s="235"/>
      <c r="AB9374" s="234"/>
    </row>
    <row r="9375" ht="14.5" customHeight="1" spans="11:28" x14ac:dyDescent="0.25">
      <c r="K9375" s="128"/>
      <c r="X9375" s="234"/>
      <c r="Y9375" s="234"/>
      <c r="Z9375" s="234"/>
      <c r="AA9375" s="235"/>
      <c r="AB9375" s="234"/>
    </row>
    <row r="9376" ht="14.5" customHeight="1" spans="11:28" x14ac:dyDescent="0.25">
      <c r="K9376" s="128"/>
      <c r="X9376" s="234"/>
      <c r="Y9376" s="234"/>
      <c r="Z9376" s="234"/>
      <c r="AA9376" s="235"/>
      <c r="AB9376" s="234"/>
    </row>
    <row r="9377" ht="14.5" customHeight="1" spans="11:28" x14ac:dyDescent="0.25">
      <c r="K9377" s="128"/>
      <c r="X9377" s="234"/>
      <c r="Y9377" s="234"/>
      <c r="Z9377" s="234"/>
      <c r="AA9377" s="235"/>
      <c r="AB9377" s="234"/>
    </row>
    <row r="9378" ht="14.5" customHeight="1" spans="11:28" x14ac:dyDescent="0.25">
      <c r="K9378" s="128"/>
      <c r="X9378" s="234"/>
      <c r="Y9378" s="234"/>
      <c r="Z9378" s="234"/>
      <c r="AA9378" s="235"/>
      <c r="AB9378" s="234"/>
    </row>
    <row r="9379" ht="14.5" customHeight="1" spans="11:28" x14ac:dyDescent="0.25">
      <c r="K9379" s="128"/>
      <c r="X9379" s="234"/>
      <c r="Y9379" s="234"/>
      <c r="Z9379" s="234"/>
      <c r="AA9379" s="235"/>
      <c r="AB9379" s="234"/>
    </row>
    <row r="9380" ht="14.5" customHeight="1" spans="11:28" x14ac:dyDescent="0.25">
      <c r="K9380" s="128"/>
      <c r="X9380" s="234"/>
      <c r="Y9380" s="234"/>
      <c r="Z9380" s="234"/>
      <c r="AA9380" s="235"/>
      <c r="AB9380" s="234"/>
    </row>
    <row r="9381" ht="14.5" customHeight="1" spans="11:28" x14ac:dyDescent="0.25">
      <c r="K9381" s="128"/>
      <c r="X9381" s="234"/>
      <c r="Y9381" s="234"/>
      <c r="Z9381" s="234"/>
      <c r="AA9381" s="235"/>
      <c r="AB9381" s="234"/>
    </row>
    <row r="9382" ht="14.5" customHeight="1" spans="11:28" x14ac:dyDescent="0.25">
      <c r="K9382" s="128"/>
      <c r="X9382" s="234"/>
      <c r="Y9382" s="234"/>
      <c r="Z9382" s="234"/>
      <c r="AA9382" s="235"/>
      <c r="AB9382" s="234"/>
    </row>
    <row r="9383" ht="14.5" customHeight="1" spans="11:28" x14ac:dyDescent="0.25">
      <c r="K9383" s="128"/>
      <c r="X9383" s="234"/>
      <c r="Y9383" s="234"/>
      <c r="Z9383" s="234"/>
      <c r="AA9383" s="235"/>
      <c r="AB9383" s="234"/>
    </row>
    <row r="9384" ht="14.5" customHeight="1" spans="11:28" x14ac:dyDescent="0.25">
      <c r="K9384" s="128"/>
      <c r="X9384" s="234"/>
      <c r="Y9384" s="234"/>
      <c r="Z9384" s="234"/>
      <c r="AA9384" s="235"/>
      <c r="AB9384" s="234"/>
    </row>
    <row r="9385" ht="14.5" customHeight="1" spans="11:28" x14ac:dyDescent="0.25">
      <c r="K9385" s="128"/>
      <c r="X9385" s="234"/>
      <c r="Y9385" s="234"/>
      <c r="Z9385" s="234"/>
      <c r="AA9385" s="235"/>
      <c r="AB9385" s="234"/>
    </row>
    <row r="9386" ht="14.5" customHeight="1" spans="11:28" x14ac:dyDescent="0.25">
      <c r="K9386" s="128"/>
      <c r="X9386" s="234"/>
      <c r="Y9386" s="234"/>
      <c r="Z9386" s="234"/>
      <c r="AA9386" s="235"/>
      <c r="AB9386" s="234"/>
    </row>
    <row r="9387" ht="14.5" customHeight="1" spans="11:28" x14ac:dyDescent="0.25">
      <c r="K9387" s="128"/>
      <c r="X9387" s="234"/>
      <c r="Y9387" s="234"/>
      <c r="Z9387" s="234"/>
      <c r="AA9387" s="235"/>
      <c r="AB9387" s="234"/>
    </row>
    <row r="9388" ht="14.5" customHeight="1" spans="11:28" x14ac:dyDescent="0.25">
      <c r="K9388" s="128"/>
      <c r="X9388" s="234"/>
      <c r="Y9388" s="234"/>
      <c r="Z9388" s="234"/>
      <c r="AA9388" s="235"/>
      <c r="AB9388" s="234"/>
    </row>
    <row r="9389" ht="14.5" customHeight="1" spans="11:28" x14ac:dyDescent="0.25">
      <c r="K9389" s="128"/>
      <c r="X9389" s="234"/>
      <c r="Y9389" s="234"/>
      <c r="Z9389" s="234"/>
      <c r="AA9389" s="235"/>
      <c r="AB9389" s="234"/>
    </row>
    <row r="9390" ht="14.5" customHeight="1" spans="11:28" x14ac:dyDescent="0.25">
      <c r="K9390" s="128"/>
      <c r="X9390" s="234"/>
      <c r="Y9390" s="234"/>
      <c r="Z9390" s="234"/>
      <c r="AA9390" s="235"/>
      <c r="AB9390" s="234"/>
    </row>
    <row r="9391" ht="14.5" customHeight="1" spans="11:28" x14ac:dyDescent="0.25">
      <c r="K9391" s="128"/>
      <c r="X9391" s="234"/>
      <c r="Y9391" s="234"/>
      <c r="Z9391" s="234"/>
      <c r="AA9391" s="235"/>
      <c r="AB9391" s="234"/>
    </row>
    <row r="9392" ht="14.5" customHeight="1" spans="11:28" x14ac:dyDescent="0.25">
      <c r="K9392" s="128"/>
      <c r="X9392" s="234"/>
      <c r="Y9392" s="234"/>
      <c r="Z9392" s="234"/>
      <c r="AA9392" s="235"/>
      <c r="AB9392" s="234"/>
    </row>
    <row r="9393" ht="14.5" customHeight="1" spans="11:28" x14ac:dyDescent="0.25">
      <c r="K9393" s="128"/>
      <c r="X9393" s="234"/>
      <c r="Y9393" s="234"/>
      <c r="Z9393" s="234"/>
      <c r="AA9393" s="235"/>
      <c r="AB9393" s="234"/>
    </row>
    <row r="9394" ht="14.5" customHeight="1" spans="11:28" x14ac:dyDescent="0.25">
      <c r="K9394" s="128"/>
      <c r="X9394" s="234"/>
      <c r="Y9394" s="234"/>
      <c r="Z9394" s="234"/>
      <c r="AA9394" s="235"/>
      <c r="AB9394" s="234"/>
    </row>
    <row r="9395" ht="14.5" customHeight="1" spans="11:28" x14ac:dyDescent="0.25">
      <c r="K9395" s="128"/>
      <c r="X9395" s="234"/>
      <c r="Y9395" s="234"/>
      <c r="Z9395" s="234"/>
      <c r="AA9395" s="235"/>
      <c r="AB9395" s="234"/>
    </row>
    <row r="9396" ht="14.5" customHeight="1" spans="11:28" x14ac:dyDescent="0.25">
      <c r="K9396" s="128"/>
      <c r="X9396" s="234"/>
      <c r="Y9396" s="234"/>
      <c r="Z9396" s="234"/>
      <c r="AA9396" s="235"/>
      <c r="AB9396" s="234"/>
    </row>
    <row r="9397" ht="14.5" customHeight="1" spans="11:28" x14ac:dyDescent="0.25">
      <c r="K9397" s="128"/>
      <c r="X9397" s="234"/>
      <c r="Y9397" s="234"/>
      <c r="Z9397" s="234"/>
      <c r="AA9397" s="235"/>
      <c r="AB9397" s="234"/>
    </row>
    <row r="9398" ht="14.5" customHeight="1" spans="11:28" x14ac:dyDescent="0.25">
      <c r="K9398" s="128"/>
      <c r="X9398" s="234"/>
      <c r="Y9398" s="234"/>
      <c r="Z9398" s="234"/>
      <c r="AA9398" s="235"/>
      <c r="AB9398" s="234"/>
    </row>
    <row r="9399" ht="14.5" customHeight="1" spans="11:28" x14ac:dyDescent="0.25">
      <c r="K9399" s="128"/>
      <c r="X9399" s="234"/>
      <c r="Y9399" s="234"/>
      <c r="Z9399" s="234"/>
      <c r="AA9399" s="235"/>
      <c r="AB9399" s="234"/>
    </row>
    <row r="9400" ht="14.5" customHeight="1" spans="11:28" x14ac:dyDescent="0.25">
      <c r="K9400" s="128"/>
      <c r="X9400" s="234"/>
      <c r="Y9400" s="234"/>
      <c r="Z9400" s="234"/>
      <c r="AA9400" s="235"/>
      <c r="AB9400" s="234"/>
    </row>
    <row r="9401" ht="14.5" customHeight="1" spans="11:28" x14ac:dyDescent="0.25">
      <c r="K9401" s="128"/>
      <c r="X9401" s="234"/>
      <c r="Y9401" s="234"/>
      <c r="Z9401" s="234"/>
      <c r="AA9401" s="235"/>
      <c r="AB9401" s="234"/>
    </row>
    <row r="9402" ht="14.5" customHeight="1" spans="11:28" x14ac:dyDescent="0.25">
      <c r="K9402" s="128"/>
      <c r="X9402" s="234"/>
      <c r="Y9402" s="234"/>
      <c r="Z9402" s="234"/>
      <c r="AA9402" s="235"/>
      <c r="AB9402" s="234"/>
    </row>
    <row r="9403" ht="14.5" customHeight="1" spans="11:28" x14ac:dyDescent="0.25">
      <c r="K9403" s="128"/>
      <c r="X9403" s="234"/>
      <c r="Y9403" s="234"/>
      <c r="Z9403" s="234"/>
      <c r="AA9403" s="235"/>
      <c r="AB9403" s="234"/>
    </row>
    <row r="9404" ht="14.5" customHeight="1" spans="11:28" x14ac:dyDescent="0.25">
      <c r="K9404" s="128"/>
      <c r="X9404" s="234"/>
      <c r="Y9404" s="234"/>
      <c r="Z9404" s="234"/>
      <c r="AA9404" s="235"/>
      <c r="AB9404" s="234"/>
    </row>
    <row r="9405" ht="14.5" customHeight="1" spans="11:28" x14ac:dyDescent="0.25">
      <c r="K9405" s="128"/>
      <c r="X9405" s="234"/>
      <c r="Y9405" s="234"/>
      <c r="Z9405" s="234"/>
      <c r="AA9405" s="235"/>
      <c r="AB9405" s="234"/>
    </row>
    <row r="9406" ht="14.5" customHeight="1" spans="11:28" x14ac:dyDescent="0.25">
      <c r="K9406" s="128"/>
      <c r="X9406" s="234"/>
      <c r="Y9406" s="234"/>
      <c r="Z9406" s="234"/>
      <c r="AA9406" s="235"/>
      <c r="AB9406" s="234"/>
    </row>
    <row r="9407" ht="14.5" customHeight="1" spans="11:28" x14ac:dyDescent="0.25">
      <c r="K9407" s="128"/>
      <c r="X9407" s="234"/>
      <c r="Y9407" s="234"/>
      <c r="Z9407" s="234"/>
      <c r="AA9407" s="235"/>
      <c r="AB9407" s="234"/>
    </row>
    <row r="9408" ht="14.5" customHeight="1" spans="11:28" x14ac:dyDescent="0.25">
      <c r="K9408" s="128"/>
      <c r="X9408" s="234"/>
      <c r="Y9408" s="234"/>
      <c r="Z9408" s="234"/>
      <c r="AA9408" s="235"/>
      <c r="AB9408" s="234"/>
    </row>
    <row r="9409" ht="14.5" customHeight="1" spans="11:28" x14ac:dyDescent="0.25">
      <c r="K9409" s="128"/>
      <c r="X9409" s="234"/>
      <c r="Y9409" s="234"/>
      <c r="Z9409" s="234"/>
      <c r="AA9409" s="235"/>
      <c r="AB9409" s="234"/>
    </row>
    <row r="9410" ht="14.5" customHeight="1" spans="11:28" x14ac:dyDescent="0.25">
      <c r="K9410" s="128"/>
      <c r="X9410" s="234"/>
      <c r="Y9410" s="234"/>
      <c r="Z9410" s="234"/>
      <c r="AA9410" s="235"/>
      <c r="AB9410" s="234"/>
    </row>
    <row r="9411" ht="14.5" customHeight="1" spans="11:28" x14ac:dyDescent="0.25">
      <c r="K9411" s="128"/>
      <c r="X9411" s="234"/>
      <c r="Y9411" s="234"/>
      <c r="Z9411" s="234"/>
      <c r="AA9411" s="235"/>
      <c r="AB9411" s="234"/>
    </row>
    <row r="9412" ht="14.5" customHeight="1" spans="11:28" x14ac:dyDescent="0.25">
      <c r="K9412" s="128"/>
      <c r="X9412" s="234"/>
      <c r="Y9412" s="234"/>
      <c r="Z9412" s="234"/>
      <c r="AA9412" s="235"/>
      <c r="AB9412" s="234"/>
    </row>
    <row r="9413" ht="14.5" customHeight="1" spans="11:28" x14ac:dyDescent="0.25">
      <c r="K9413" s="128"/>
      <c r="X9413" s="234"/>
      <c r="Y9413" s="234"/>
      <c r="Z9413" s="234"/>
      <c r="AA9413" s="235"/>
      <c r="AB9413" s="234"/>
    </row>
    <row r="9414" ht="14.5" customHeight="1" spans="11:28" x14ac:dyDescent="0.25">
      <c r="K9414" s="128"/>
      <c r="X9414" s="234"/>
      <c r="Y9414" s="234"/>
      <c r="Z9414" s="234"/>
      <c r="AA9414" s="235"/>
      <c r="AB9414" s="234"/>
    </row>
    <row r="9415" ht="14.5" customHeight="1" spans="11:28" x14ac:dyDescent="0.25">
      <c r="K9415" s="128"/>
      <c r="X9415" s="234"/>
      <c r="Y9415" s="234"/>
      <c r="Z9415" s="234"/>
      <c r="AA9415" s="235"/>
      <c r="AB9415" s="234"/>
    </row>
    <row r="9416" ht="14.5" customHeight="1" spans="11:28" x14ac:dyDescent="0.25">
      <c r="K9416" s="128"/>
      <c r="X9416" s="234"/>
      <c r="Y9416" s="234"/>
      <c r="Z9416" s="234"/>
      <c r="AA9416" s="235"/>
      <c r="AB9416" s="234"/>
    </row>
    <row r="9417" ht="14.5" customHeight="1" spans="11:28" x14ac:dyDescent="0.25">
      <c r="K9417" s="128"/>
      <c r="X9417" s="234"/>
      <c r="Y9417" s="234"/>
      <c r="Z9417" s="234"/>
      <c r="AA9417" s="235"/>
      <c r="AB9417" s="234"/>
    </row>
    <row r="9418" ht="14.5" customHeight="1" spans="11:28" x14ac:dyDescent="0.25">
      <c r="K9418" s="128"/>
      <c r="X9418" s="234"/>
      <c r="Y9418" s="234"/>
      <c r="Z9418" s="234"/>
      <c r="AA9418" s="235"/>
      <c r="AB9418" s="234"/>
    </row>
    <row r="9419" ht="14.5" customHeight="1" spans="11:28" x14ac:dyDescent="0.25">
      <c r="K9419" s="128"/>
      <c r="X9419" s="234"/>
      <c r="Y9419" s="234"/>
      <c r="Z9419" s="234"/>
      <c r="AA9419" s="235"/>
      <c r="AB9419" s="234"/>
    </row>
    <row r="9420" ht="14.5" customHeight="1" spans="11:28" x14ac:dyDescent="0.25">
      <c r="K9420" s="128"/>
      <c r="X9420" s="234"/>
      <c r="Y9420" s="234"/>
      <c r="Z9420" s="234"/>
      <c r="AA9420" s="235"/>
      <c r="AB9420" s="234"/>
    </row>
    <row r="9421" ht="14.5" customHeight="1" spans="11:28" x14ac:dyDescent="0.25">
      <c r="K9421" s="128"/>
      <c r="X9421" s="234"/>
      <c r="Y9421" s="234"/>
      <c r="Z9421" s="234"/>
      <c r="AA9421" s="235"/>
      <c r="AB9421" s="234"/>
    </row>
    <row r="9422" ht="14.5" customHeight="1" spans="11:28" x14ac:dyDescent="0.25">
      <c r="K9422" s="128"/>
      <c r="X9422" s="234"/>
      <c r="Y9422" s="234"/>
      <c r="Z9422" s="234"/>
      <c r="AA9422" s="235"/>
      <c r="AB9422" s="234"/>
    </row>
    <row r="9423" ht="14.5" customHeight="1" spans="11:28" x14ac:dyDescent="0.25">
      <c r="K9423" s="128"/>
      <c r="X9423" s="234"/>
      <c r="Y9423" s="234"/>
      <c r="Z9423" s="234"/>
      <c r="AA9423" s="235"/>
      <c r="AB9423" s="234"/>
    </row>
    <row r="9424" ht="14.5" customHeight="1" spans="11:28" x14ac:dyDescent="0.25">
      <c r="K9424" s="128"/>
      <c r="X9424" s="234"/>
      <c r="Y9424" s="234"/>
      <c r="Z9424" s="234"/>
      <c r="AA9424" s="235"/>
      <c r="AB9424" s="234"/>
    </row>
    <row r="9425" ht="14.5" customHeight="1" spans="11:28" x14ac:dyDescent="0.25">
      <c r="K9425" s="128"/>
      <c r="X9425" s="234"/>
      <c r="Y9425" s="234"/>
      <c r="Z9425" s="234"/>
      <c r="AA9425" s="235"/>
      <c r="AB9425" s="234"/>
    </row>
    <row r="9426" ht="14.5" customHeight="1" spans="11:28" x14ac:dyDescent="0.25">
      <c r="K9426" s="128"/>
      <c r="X9426" s="234"/>
      <c r="Y9426" s="234"/>
      <c r="Z9426" s="234"/>
      <c r="AA9426" s="235"/>
      <c r="AB9426" s="234"/>
    </row>
    <row r="9427" ht="14.5" customHeight="1" spans="11:28" x14ac:dyDescent="0.25">
      <c r="K9427" s="128"/>
      <c r="X9427" s="234"/>
      <c r="Y9427" s="234"/>
      <c r="Z9427" s="234"/>
      <c r="AA9427" s="235"/>
      <c r="AB9427" s="234"/>
    </row>
    <row r="9428" ht="14.5" customHeight="1" spans="11:28" x14ac:dyDescent="0.25">
      <c r="K9428" s="128"/>
      <c r="X9428" s="234"/>
      <c r="Y9428" s="234"/>
      <c r="Z9428" s="234"/>
      <c r="AA9428" s="235"/>
      <c r="AB9428" s="234"/>
    </row>
    <row r="9429" ht="14.5" customHeight="1" spans="11:28" x14ac:dyDescent="0.25">
      <c r="K9429" s="128"/>
      <c r="X9429" s="234"/>
      <c r="Y9429" s="234"/>
      <c r="Z9429" s="234"/>
      <c r="AA9429" s="235"/>
      <c r="AB9429" s="234"/>
    </row>
    <row r="9430" ht="14.5" customHeight="1" spans="11:28" x14ac:dyDescent="0.25">
      <c r="K9430" s="128"/>
      <c r="X9430" s="234"/>
      <c r="Y9430" s="234"/>
      <c r="Z9430" s="234"/>
      <c r="AA9430" s="235"/>
      <c r="AB9430" s="234"/>
    </row>
    <row r="9431" ht="14.5" customHeight="1" spans="11:28" x14ac:dyDescent="0.25">
      <c r="K9431" s="128"/>
      <c r="X9431" s="234"/>
      <c r="Y9431" s="234"/>
      <c r="Z9431" s="234"/>
      <c r="AA9431" s="235"/>
      <c r="AB9431" s="234"/>
    </row>
    <row r="9432" ht="14.5" customHeight="1" spans="11:28" x14ac:dyDescent="0.25">
      <c r="K9432" s="128"/>
      <c r="X9432" s="234"/>
      <c r="Y9432" s="234"/>
      <c r="Z9432" s="234"/>
      <c r="AA9432" s="235"/>
      <c r="AB9432" s="234"/>
    </row>
    <row r="9433" ht="14.5" customHeight="1" spans="11:28" x14ac:dyDescent="0.25">
      <c r="K9433" s="128"/>
      <c r="X9433" s="234"/>
      <c r="Y9433" s="234"/>
      <c r="Z9433" s="234"/>
      <c r="AA9433" s="235"/>
      <c r="AB9433" s="234"/>
    </row>
    <row r="9434" ht="14.5" customHeight="1" spans="11:28" x14ac:dyDescent="0.25">
      <c r="K9434" s="128"/>
      <c r="X9434" s="234"/>
      <c r="Y9434" s="234"/>
      <c r="Z9434" s="234"/>
      <c r="AA9434" s="235"/>
      <c r="AB9434" s="234"/>
    </row>
    <row r="9435" ht="14.5" customHeight="1" spans="11:28" x14ac:dyDescent="0.25">
      <c r="K9435" s="128"/>
      <c r="X9435" s="234"/>
      <c r="Y9435" s="234"/>
      <c r="Z9435" s="234"/>
      <c r="AA9435" s="235"/>
      <c r="AB9435" s="234"/>
    </row>
    <row r="9436" ht="14.5" customHeight="1" spans="11:28" x14ac:dyDescent="0.25">
      <c r="K9436" s="128"/>
      <c r="X9436" s="234"/>
      <c r="Y9436" s="234"/>
      <c r="Z9436" s="234"/>
      <c r="AA9436" s="235"/>
      <c r="AB9436" s="234"/>
    </row>
    <row r="9437" ht="14.5" customHeight="1" spans="11:28" x14ac:dyDescent="0.25">
      <c r="K9437" s="128"/>
      <c r="X9437" s="234"/>
      <c r="Y9437" s="234"/>
      <c r="Z9437" s="234"/>
      <c r="AA9437" s="235"/>
      <c r="AB9437" s="234"/>
    </row>
    <row r="9438" ht="14.5" customHeight="1" spans="11:28" x14ac:dyDescent="0.25">
      <c r="K9438" s="128"/>
      <c r="X9438" s="234"/>
      <c r="Y9438" s="234"/>
      <c r="Z9438" s="234"/>
      <c r="AA9438" s="235"/>
      <c r="AB9438" s="234"/>
    </row>
    <row r="9439" ht="14.5" customHeight="1" spans="11:28" x14ac:dyDescent="0.25">
      <c r="K9439" s="128"/>
      <c r="X9439" s="234"/>
      <c r="Y9439" s="234"/>
      <c r="Z9439" s="234"/>
      <c r="AA9439" s="235"/>
      <c r="AB9439" s="234"/>
    </row>
    <row r="9440" ht="14.5" customHeight="1" spans="11:28" x14ac:dyDescent="0.25">
      <c r="K9440" s="128"/>
      <c r="X9440" s="234"/>
      <c r="Y9440" s="234"/>
      <c r="Z9440" s="234"/>
      <c r="AA9440" s="235"/>
      <c r="AB9440" s="234"/>
    </row>
    <row r="9441" ht="14.5" customHeight="1" spans="11:28" x14ac:dyDescent="0.25">
      <c r="K9441" s="128"/>
      <c r="X9441" s="234"/>
      <c r="Y9441" s="234"/>
      <c r="Z9441" s="234"/>
      <c r="AA9441" s="235"/>
      <c r="AB9441" s="234"/>
    </row>
    <row r="9442" ht="14.5" customHeight="1" spans="11:28" x14ac:dyDescent="0.25">
      <c r="K9442" s="128"/>
      <c r="X9442" s="234"/>
      <c r="Y9442" s="234"/>
      <c r="Z9442" s="234"/>
      <c r="AA9442" s="235"/>
      <c r="AB9442" s="234"/>
    </row>
    <row r="9443" ht="14.5" customHeight="1" spans="11:28" x14ac:dyDescent="0.25">
      <c r="K9443" s="128"/>
      <c r="X9443" s="234"/>
      <c r="Y9443" s="234"/>
      <c r="Z9443" s="234"/>
      <c r="AA9443" s="235"/>
      <c r="AB9443" s="234"/>
    </row>
    <row r="9444" ht="14.5" customHeight="1" spans="11:28" x14ac:dyDescent="0.25">
      <c r="K9444" s="128"/>
      <c r="X9444" s="234"/>
      <c r="Y9444" s="234"/>
      <c r="Z9444" s="234"/>
      <c r="AA9444" s="235"/>
      <c r="AB9444" s="234"/>
    </row>
    <row r="9445" ht="14.5" customHeight="1" spans="11:28" x14ac:dyDescent="0.25">
      <c r="K9445" s="128"/>
      <c r="X9445" s="234"/>
      <c r="Y9445" s="234"/>
      <c r="Z9445" s="234"/>
      <c r="AA9445" s="235"/>
      <c r="AB9445" s="234"/>
    </row>
    <row r="9446" ht="14.5" customHeight="1" spans="11:28" x14ac:dyDescent="0.25">
      <c r="K9446" s="128"/>
      <c r="X9446" s="234"/>
      <c r="Y9446" s="234"/>
      <c r="Z9446" s="234"/>
      <c r="AA9446" s="235"/>
      <c r="AB9446" s="234"/>
    </row>
    <row r="9447" ht="14.5" customHeight="1" spans="11:28" x14ac:dyDescent="0.25">
      <c r="K9447" s="128"/>
      <c r="X9447" s="234"/>
      <c r="Y9447" s="234"/>
      <c r="Z9447" s="234"/>
      <c r="AA9447" s="235"/>
      <c r="AB9447" s="234"/>
    </row>
    <row r="9448" ht="14.5" customHeight="1" spans="11:28" x14ac:dyDescent="0.25">
      <c r="K9448" s="128"/>
      <c r="X9448" s="234"/>
      <c r="Y9448" s="234"/>
      <c r="Z9448" s="234"/>
      <c r="AA9448" s="235"/>
      <c r="AB9448" s="234"/>
    </row>
    <row r="9449" ht="14.5" customHeight="1" spans="11:28" x14ac:dyDescent="0.25">
      <c r="K9449" s="128"/>
      <c r="X9449" s="234"/>
      <c r="Y9449" s="234"/>
      <c r="Z9449" s="234"/>
      <c r="AA9449" s="235"/>
      <c r="AB9449" s="234"/>
    </row>
    <row r="9450" ht="14.5" customHeight="1" spans="11:28" x14ac:dyDescent="0.25">
      <c r="K9450" s="128"/>
      <c r="X9450" s="234"/>
      <c r="Y9450" s="234"/>
      <c r="Z9450" s="234"/>
      <c r="AA9450" s="235"/>
      <c r="AB9450" s="234"/>
    </row>
    <row r="9451" ht="14.5" customHeight="1" spans="11:28" x14ac:dyDescent="0.25">
      <c r="K9451" s="128"/>
      <c r="X9451" s="234"/>
      <c r="Y9451" s="234"/>
      <c r="Z9451" s="234"/>
      <c r="AA9451" s="235"/>
      <c r="AB9451" s="234"/>
    </row>
    <row r="9452" ht="14.5" customHeight="1" spans="11:28" x14ac:dyDescent="0.25">
      <c r="K9452" s="128"/>
      <c r="X9452" s="234"/>
      <c r="Y9452" s="234"/>
      <c r="Z9452" s="234"/>
      <c r="AA9452" s="235"/>
      <c r="AB9452" s="234"/>
    </row>
    <row r="9453" ht="14.5" customHeight="1" spans="11:28" x14ac:dyDescent="0.25">
      <c r="K9453" s="128"/>
      <c r="X9453" s="234"/>
      <c r="Y9453" s="234"/>
      <c r="Z9453" s="234"/>
      <c r="AA9453" s="235"/>
      <c r="AB9453" s="234"/>
    </row>
    <row r="9454" ht="14.5" customHeight="1" spans="11:28" x14ac:dyDescent="0.25">
      <c r="K9454" s="128"/>
      <c r="X9454" s="234"/>
      <c r="Y9454" s="234"/>
      <c r="Z9454" s="234"/>
      <c r="AA9454" s="235"/>
      <c r="AB9454" s="234"/>
    </row>
    <row r="9455" ht="14.5" customHeight="1" spans="11:28" x14ac:dyDescent="0.25">
      <c r="K9455" s="128"/>
      <c r="X9455" s="234"/>
      <c r="Y9455" s="234"/>
      <c r="Z9455" s="234"/>
      <c r="AA9455" s="235"/>
      <c r="AB9455" s="234"/>
    </row>
    <row r="9456" ht="14.5" customHeight="1" spans="11:28" x14ac:dyDescent="0.25">
      <c r="K9456" s="128"/>
      <c r="X9456" s="234"/>
      <c r="Y9456" s="234"/>
      <c r="Z9456" s="234"/>
      <c r="AA9456" s="235"/>
      <c r="AB9456" s="234"/>
    </row>
    <row r="9457" ht="14.5" customHeight="1" spans="11:28" x14ac:dyDescent="0.25">
      <c r="K9457" s="128"/>
      <c r="X9457" s="234"/>
      <c r="Y9457" s="234"/>
      <c r="Z9457" s="234"/>
      <c r="AA9457" s="235"/>
      <c r="AB9457" s="234"/>
    </row>
    <row r="9458" ht="14.5" customHeight="1" spans="11:28" x14ac:dyDescent="0.25">
      <c r="K9458" s="128"/>
      <c r="X9458" s="234"/>
      <c r="Y9458" s="234"/>
      <c r="Z9458" s="234"/>
      <c r="AA9458" s="235"/>
      <c r="AB9458" s="234"/>
    </row>
    <row r="9459" ht="14.5" customHeight="1" spans="11:28" x14ac:dyDescent="0.25">
      <c r="K9459" s="128"/>
      <c r="X9459" s="234"/>
      <c r="Y9459" s="234"/>
      <c r="Z9459" s="234"/>
      <c r="AA9459" s="235"/>
      <c r="AB9459" s="234"/>
    </row>
    <row r="9460" ht="14.5" customHeight="1" spans="11:28" x14ac:dyDescent="0.25">
      <c r="K9460" s="128"/>
      <c r="X9460" s="234"/>
      <c r="Y9460" s="234"/>
      <c r="Z9460" s="234"/>
      <c r="AA9460" s="235"/>
      <c r="AB9460" s="234"/>
    </row>
    <row r="9461" ht="14.5" customHeight="1" spans="11:28" x14ac:dyDescent="0.25">
      <c r="K9461" s="128"/>
      <c r="X9461" s="234"/>
      <c r="Y9461" s="234"/>
      <c r="Z9461" s="234"/>
      <c r="AA9461" s="235"/>
      <c r="AB9461" s="234"/>
    </row>
    <row r="9462" ht="14.5" customHeight="1" spans="11:28" x14ac:dyDescent="0.25">
      <c r="K9462" s="128"/>
      <c r="X9462" s="234"/>
      <c r="Y9462" s="234"/>
      <c r="Z9462" s="234"/>
      <c r="AA9462" s="235"/>
      <c r="AB9462" s="234"/>
    </row>
    <row r="9463" ht="14.5" customHeight="1" spans="11:28" x14ac:dyDescent="0.25">
      <c r="K9463" s="128"/>
      <c r="X9463" s="234"/>
      <c r="Y9463" s="234"/>
      <c r="Z9463" s="234"/>
      <c r="AA9463" s="235"/>
      <c r="AB9463" s="234"/>
    </row>
    <row r="9464" ht="14.5" customHeight="1" spans="11:28" x14ac:dyDescent="0.25">
      <c r="K9464" s="128"/>
      <c r="X9464" s="234"/>
      <c r="Y9464" s="234"/>
      <c r="Z9464" s="234"/>
      <c r="AA9464" s="235"/>
      <c r="AB9464" s="234"/>
    </row>
    <row r="9465" ht="14.5" customHeight="1" spans="11:28" x14ac:dyDescent="0.25">
      <c r="K9465" s="128"/>
      <c r="X9465" s="234"/>
      <c r="Y9465" s="234"/>
      <c r="Z9465" s="234"/>
      <c r="AA9465" s="235"/>
      <c r="AB9465" s="234"/>
    </row>
    <row r="9466" ht="14.5" customHeight="1" spans="11:28" x14ac:dyDescent="0.25">
      <c r="K9466" s="128"/>
      <c r="X9466" s="234"/>
      <c r="Y9466" s="234"/>
      <c r="Z9466" s="234"/>
      <c r="AA9466" s="235"/>
      <c r="AB9466" s="234"/>
    </row>
    <row r="9467" ht="14.5" customHeight="1" spans="11:28" x14ac:dyDescent="0.25">
      <c r="K9467" s="128"/>
      <c r="X9467" s="234"/>
      <c r="Y9467" s="234"/>
      <c r="Z9467" s="234"/>
      <c r="AA9467" s="235"/>
      <c r="AB9467" s="234"/>
    </row>
    <row r="9468" ht="14.5" customHeight="1" spans="11:28" x14ac:dyDescent="0.25">
      <c r="K9468" s="128"/>
      <c r="X9468" s="234"/>
      <c r="Y9468" s="234"/>
      <c r="Z9468" s="234"/>
      <c r="AA9468" s="235"/>
      <c r="AB9468" s="234"/>
    </row>
    <row r="9469" ht="14.5" customHeight="1" spans="11:28" x14ac:dyDescent="0.25">
      <c r="K9469" s="128"/>
      <c r="X9469" s="234"/>
      <c r="Y9469" s="234"/>
      <c r="Z9469" s="234"/>
      <c r="AA9469" s="235"/>
      <c r="AB9469" s="234"/>
    </row>
    <row r="9470" ht="14.5" customHeight="1" spans="11:28" x14ac:dyDescent="0.25">
      <c r="K9470" s="128"/>
      <c r="X9470" s="234"/>
      <c r="Y9470" s="234"/>
      <c r="Z9470" s="234"/>
      <c r="AA9470" s="235"/>
      <c r="AB9470" s="234"/>
    </row>
    <row r="9471" ht="14.5" customHeight="1" spans="11:28" x14ac:dyDescent="0.25">
      <c r="K9471" s="128"/>
      <c r="X9471" s="234"/>
      <c r="Y9471" s="234"/>
      <c r="Z9471" s="234"/>
      <c r="AA9471" s="235"/>
      <c r="AB9471" s="234"/>
    </row>
    <row r="9472" ht="14.5" customHeight="1" spans="11:28" x14ac:dyDescent="0.25">
      <c r="K9472" s="128"/>
      <c r="X9472" s="234"/>
      <c r="Y9472" s="234"/>
      <c r="Z9472" s="234"/>
      <c r="AA9472" s="235"/>
      <c r="AB9472" s="234"/>
    </row>
    <row r="9473" ht="14.5" customHeight="1" spans="11:28" x14ac:dyDescent="0.25">
      <c r="K9473" s="128"/>
      <c r="X9473" s="234"/>
      <c r="Y9473" s="234"/>
      <c r="Z9473" s="234"/>
      <c r="AA9473" s="235"/>
      <c r="AB9473" s="234"/>
    </row>
    <row r="9474" ht="14.5" customHeight="1" spans="11:28" x14ac:dyDescent="0.25">
      <c r="K9474" s="128"/>
      <c r="X9474" s="234"/>
      <c r="Y9474" s="234"/>
      <c r="Z9474" s="234"/>
      <c r="AA9474" s="235"/>
      <c r="AB9474" s="234"/>
    </row>
    <row r="9475" ht="14.5" customHeight="1" spans="11:28" x14ac:dyDescent="0.25">
      <c r="K9475" s="128"/>
      <c r="X9475" s="234"/>
      <c r="Y9475" s="234"/>
      <c r="Z9475" s="234"/>
      <c r="AA9475" s="235"/>
      <c r="AB9475" s="234"/>
    </row>
    <row r="9476" ht="14.5" customHeight="1" spans="11:28" x14ac:dyDescent="0.25">
      <c r="K9476" s="128"/>
      <c r="X9476" s="234"/>
      <c r="Y9476" s="234"/>
      <c r="Z9476" s="234"/>
      <c r="AA9476" s="235"/>
      <c r="AB9476" s="234"/>
    </row>
    <row r="9477" ht="14.5" customHeight="1" spans="11:28" x14ac:dyDescent="0.25">
      <c r="K9477" s="128"/>
      <c r="X9477" s="234"/>
      <c r="Y9477" s="234"/>
      <c r="Z9477" s="234"/>
      <c r="AA9477" s="235"/>
      <c r="AB9477" s="234"/>
    </row>
    <row r="9478" ht="14.5" customHeight="1" spans="11:28" x14ac:dyDescent="0.25">
      <c r="K9478" s="128"/>
      <c r="X9478" s="234"/>
      <c r="Y9478" s="234"/>
      <c r="Z9478" s="234"/>
      <c r="AA9478" s="235"/>
      <c r="AB9478" s="234"/>
    </row>
    <row r="9479" ht="14.5" customHeight="1" spans="11:28" x14ac:dyDescent="0.25">
      <c r="K9479" s="128"/>
      <c r="X9479" s="234"/>
      <c r="Y9479" s="234"/>
      <c r="Z9479" s="234"/>
      <c r="AA9479" s="235"/>
      <c r="AB9479" s="234"/>
    </row>
    <row r="9480" ht="14.5" customHeight="1" spans="11:28" x14ac:dyDescent="0.25">
      <c r="K9480" s="128"/>
      <c r="X9480" s="234"/>
      <c r="Y9480" s="234"/>
      <c r="Z9480" s="234"/>
      <c r="AA9480" s="235"/>
      <c r="AB9480" s="234"/>
    </row>
    <row r="9481" ht="14.5" customHeight="1" spans="11:28" x14ac:dyDescent="0.25">
      <c r="K9481" s="128"/>
      <c r="X9481" s="234"/>
      <c r="Y9481" s="234"/>
      <c r="Z9481" s="234"/>
      <c r="AA9481" s="235"/>
      <c r="AB9481" s="234"/>
    </row>
    <row r="9482" ht="14.5" customHeight="1" spans="11:28" x14ac:dyDescent="0.25">
      <c r="K9482" s="128"/>
      <c r="X9482" s="234"/>
      <c r="Y9482" s="234"/>
      <c r="Z9482" s="234"/>
      <c r="AA9482" s="235"/>
      <c r="AB9482" s="234"/>
    </row>
    <row r="9483" ht="14.5" customHeight="1" spans="11:28" x14ac:dyDescent="0.25">
      <c r="K9483" s="128"/>
      <c r="X9483" s="234"/>
      <c r="Y9483" s="234"/>
      <c r="Z9483" s="234"/>
      <c r="AA9483" s="235"/>
      <c r="AB9483" s="234"/>
    </row>
    <row r="9484" ht="14.5" customHeight="1" spans="11:28" x14ac:dyDescent="0.25">
      <c r="K9484" s="128"/>
      <c r="X9484" s="234"/>
      <c r="Y9484" s="234"/>
      <c r="Z9484" s="234"/>
      <c r="AA9484" s="235"/>
      <c r="AB9484" s="234"/>
    </row>
    <row r="9485" ht="14.5" customHeight="1" spans="11:28" x14ac:dyDescent="0.25">
      <c r="K9485" s="128"/>
      <c r="X9485" s="234"/>
      <c r="Y9485" s="234"/>
      <c r="Z9485" s="234"/>
      <c r="AA9485" s="235"/>
      <c r="AB9485" s="234"/>
    </row>
    <row r="9486" ht="14.5" customHeight="1" spans="11:28" x14ac:dyDescent="0.25">
      <c r="K9486" s="128"/>
      <c r="X9486" s="234"/>
      <c r="Y9486" s="234"/>
      <c r="Z9486" s="234"/>
      <c r="AA9486" s="235"/>
      <c r="AB9486" s="234"/>
    </row>
    <row r="9487" ht="14.5" customHeight="1" spans="11:28" x14ac:dyDescent="0.25">
      <c r="K9487" s="128"/>
      <c r="X9487" s="234"/>
      <c r="Y9487" s="234"/>
      <c r="Z9487" s="234"/>
      <c r="AA9487" s="235"/>
      <c r="AB9487" s="234"/>
    </row>
    <row r="9488" ht="14.5" customHeight="1" spans="11:28" x14ac:dyDescent="0.25">
      <c r="K9488" s="128"/>
      <c r="X9488" s="234"/>
      <c r="Y9488" s="234"/>
      <c r="Z9488" s="234"/>
      <c r="AA9488" s="235"/>
      <c r="AB9488" s="234"/>
    </row>
    <row r="9489" ht="14.5" customHeight="1" spans="11:28" x14ac:dyDescent="0.25">
      <c r="K9489" s="128"/>
      <c r="X9489" s="234"/>
      <c r="Y9489" s="234"/>
      <c r="Z9489" s="234"/>
      <c r="AA9489" s="235"/>
      <c r="AB9489" s="234"/>
    </row>
    <row r="9490" ht="14.5" customHeight="1" spans="11:28" x14ac:dyDescent="0.25">
      <c r="K9490" s="128"/>
      <c r="X9490" s="234"/>
      <c r="Y9490" s="234"/>
      <c r="Z9490" s="234"/>
      <c r="AA9490" s="235"/>
      <c r="AB9490" s="234"/>
    </row>
    <row r="9491" ht="14.5" customHeight="1" spans="11:28" x14ac:dyDescent="0.25">
      <c r="K9491" s="128"/>
      <c r="X9491" s="234"/>
      <c r="Y9491" s="234"/>
      <c r="Z9491" s="234"/>
      <c r="AA9491" s="235"/>
      <c r="AB9491" s="234"/>
    </row>
    <row r="9492" ht="14.5" customHeight="1" spans="11:28" x14ac:dyDescent="0.25">
      <c r="K9492" s="128"/>
      <c r="X9492" s="234"/>
      <c r="Y9492" s="234"/>
      <c r="Z9492" s="234"/>
      <c r="AA9492" s="235"/>
      <c r="AB9492" s="234"/>
    </row>
    <row r="9493" ht="14.5" customHeight="1" spans="11:28" x14ac:dyDescent="0.25">
      <c r="K9493" s="128"/>
      <c r="X9493" s="234"/>
      <c r="Y9493" s="234"/>
      <c r="Z9493" s="234"/>
      <c r="AA9493" s="235"/>
      <c r="AB9493" s="234"/>
    </row>
    <row r="9494" ht="14.5" customHeight="1" spans="11:28" x14ac:dyDescent="0.25">
      <c r="K9494" s="128"/>
      <c r="X9494" s="234"/>
      <c r="Y9494" s="234"/>
      <c r="Z9494" s="234"/>
      <c r="AA9494" s="235"/>
      <c r="AB9494" s="234"/>
    </row>
    <row r="9495" ht="14.5" customHeight="1" spans="11:28" x14ac:dyDescent="0.25">
      <c r="K9495" s="128"/>
      <c r="X9495" s="234"/>
      <c r="Y9495" s="234"/>
      <c r="Z9495" s="234"/>
      <c r="AA9495" s="235"/>
      <c r="AB9495" s="234"/>
    </row>
    <row r="9496" ht="14.5" customHeight="1" spans="11:28" x14ac:dyDescent="0.25">
      <c r="K9496" s="128"/>
      <c r="X9496" s="234"/>
      <c r="Y9496" s="234"/>
      <c r="Z9496" s="234"/>
      <c r="AA9496" s="235"/>
      <c r="AB9496" s="234"/>
    </row>
    <row r="9497" ht="14.5" customHeight="1" spans="11:28" x14ac:dyDescent="0.25">
      <c r="K9497" s="128"/>
      <c r="X9497" s="234"/>
      <c r="Y9497" s="234"/>
      <c r="Z9497" s="234"/>
      <c r="AA9497" s="235"/>
      <c r="AB9497" s="234"/>
    </row>
    <row r="9498" ht="14.5" customHeight="1" spans="11:28" x14ac:dyDescent="0.25">
      <c r="K9498" s="128"/>
      <c r="X9498" s="234"/>
      <c r="Y9498" s="234"/>
      <c r="Z9498" s="234"/>
      <c r="AA9498" s="235"/>
      <c r="AB9498" s="234"/>
    </row>
    <row r="9499" ht="14.5" customHeight="1" spans="11:28" x14ac:dyDescent="0.25">
      <c r="K9499" s="128"/>
      <c r="X9499" s="234"/>
      <c r="Y9499" s="234"/>
      <c r="Z9499" s="234"/>
      <c r="AA9499" s="235"/>
      <c r="AB9499" s="234"/>
    </row>
    <row r="9500" ht="14.5" customHeight="1" spans="11:28" x14ac:dyDescent="0.25">
      <c r="K9500" s="128"/>
      <c r="X9500" s="234"/>
      <c r="Y9500" s="234"/>
      <c r="Z9500" s="234"/>
      <c r="AA9500" s="235"/>
      <c r="AB9500" s="234"/>
    </row>
    <row r="9501" ht="14.5" customHeight="1" spans="11:28" x14ac:dyDescent="0.25">
      <c r="K9501" s="128"/>
      <c r="X9501" s="234"/>
      <c r="Y9501" s="234"/>
      <c r="Z9501" s="234"/>
      <c r="AA9501" s="235"/>
      <c r="AB9501" s="234"/>
    </row>
    <row r="9502" ht="14.5" customHeight="1" spans="11:28" x14ac:dyDescent="0.25">
      <c r="K9502" s="128"/>
      <c r="X9502" s="234"/>
      <c r="Y9502" s="234"/>
      <c r="Z9502" s="234"/>
      <c r="AA9502" s="235"/>
      <c r="AB9502" s="234"/>
    </row>
    <row r="9503" ht="14.5" customHeight="1" spans="11:28" x14ac:dyDescent="0.25">
      <c r="K9503" s="128"/>
      <c r="X9503" s="234"/>
      <c r="Y9503" s="234"/>
      <c r="Z9503" s="234"/>
      <c r="AA9503" s="235"/>
      <c r="AB9503" s="234"/>
    </row>
    <row r="9504" ht="14.5" customHeight="1" spans="11:28" x14ac:dyDescent="0.25">
      <c r="K9504" s="128"/>
      <c r="X9504" s="234"/>
      <c r="Y9504" s="234"/>
      <c r="Z9504" s="234"/>
      <c r="AA9504" s="235"/>
      <c r="AB9504" s="234"/>
    </row>
    <row r="9505" ht="14.5" customHeight="1" spans="11:28" x14ac:dyDescent="0.25">
      <c r="K9505" s="128"/>
      <c r="X9505" s="234"/>
      <c r="Y9505" s="234"/>
      <c r="Z9505" s="234"/>
      <c r="AA9505" s="235"/>
      <c r="AB9505" s="234"/>
    </row>
    <row r="9506" ht="14.5" customHeight="1" spans="11:28" x14ac:dyDescent="0.25">
      <c r="K9506" s="128"/>
      <c r="X9506" s="234"/>
      <c r="Y9506" s="234"/>
      <c r="Z9506" s="234"/>
      <c r="AA9506" s="235"/>
      <c r="AB9506" s="234"/>
    </row>
    <row r="9507" ht="14.5" customHeight="1" spans="11:28" x14ac:dyDescent="0.25">
      <c r="K9507" s="128"/>
      <c r="X9507" s="234"/>
      <c r="Y9507" s="234"/>
      <c r="Z9507" s="234"/>
      <c r="AA9507" s="235"/>
      <c r="AB9507" s="234"/>
    </row>
    <row r="9508" ht="14.5" customHeight="1" spans="11:28" x14ac:dyDescent="0.25">
      <c r="K9508" s="128"/>
      <c r="X9508" s="234"/>
      <c r="Y9508" s="234"/>
      <c r="Z9508" s="234"/>
      <c r="AA9508" s="235"/>
      <c r="AB9508" s="234"/>
    </row>
    <row r="9509" ht="14.5" customHeight="1" spans="11:28" x14ac:dyDescent="0.25">
      <c r="K9509" s="128"/>
      <c r="X9509" s="234"/>
      <c r="Y9509" s="234"/>
      <c r="Z9509" s="234"/>
      <c r="AA9509" s="235"/>
      <c r="AB9509" s="234"/>
    </row>
    <row r="9510" ht="14.5" customHeight="1" spans="11:28" x14ac:dyDescent="0.25">
      <c r="K9510" s="128"/>
      <c r="X9510" s="234"/>
      <c r="Y9510" s="234"/>
      <c r="Z9510" s="234"/>
      <c r="AA9510" s="235"/>
      <c r="AB9510" s="234"/>
    </row>
    <row r="9511" ht="14.5" customHeight="1" spans="11:28" x14ac:dyDescent="0.25">
      <c r="K9511" s="128"/>
      <c r="X9511" s="234"/>
      <c r="Y9511" s="234"/>
      <c r="Z9511" s="234"/>
      <c r="AA9511" s="235"/>
      <c r="AB9511" s="234"/>
    </row>
    <row r="9512" ht="14.5" customHeight="1" spans="11:28" x14ac:dyDescent="0.25">
      <c r="K9512" s="128"/>
      <c r="X9512" s="234"/>
      <c r="Y9512" s="234"/>
      <c r="Z9512" s="234"/>
      <c r="AA9512" s="235"/>
      <c r="AB9512" s="234"/>
    </row>
    <row r="9513" ht="14.5" customHeight="1" spans="11:28" x14ac:dyDescent="0.25">
      <c r="K9513" s="128"/>
      <c r="X9513" s="234"/>
      <c r="Y9513" s="234"/>
      <c r="Z9513" s="234"/>
      <c r="AA9513" s="235"/>
      <c r="AB9513" s="234"/>
    </row>
    <row r="9514" ht="14.5" customHeight="1" spans="11:28" x14ac:dyDescent="0.25">
      <c r="K9514" s="128"/>
      <c r="X9514" s="234"/>
      <c r="Y9514" s="234"/>
      <c r="Z9514" s="234"/>
      <c r="AA9514" s="235"/>
      <c r="AB9514" s="234"/>
    </row>
    <row r="9515" ht="14.5" customHeight="1" spans="11:28" x14ac:dyDescent="0.25">
      <c r="K9515" s="128"/>
      <c r="X9515" s="234"/>
      <c r="Y9515" s="234"/>
      <c r="Z9515" s="234"/>
      <c r="AA9515" s="235"/>
      <c r="AB9515" s="234"/>
    </row>
    <row r="9516" ht="14.5" customHeight="1" spans="11:28" x14ac:dyDescent="0.25">
      <c r="K9516" s="128"/>
      <c r="X9516" s="234"/>
      <c r="Y9516" s="234"/>
      <c r="Z9516" s="234"/>
      <c r="AA9516" s="235"/>
      <c r="AB9516" s="234"/>
    </row>
    <row r="9517" ht="14.5" customHeight="1" spans="11:28" x14ac:dyDescent="0.25">
      <c r="K9517" s="128"/>
      <c r="X9517" s="234"/>
      <c r="Y9517" s="234"/>
      <c r="Z9517" s="234"/>
      <c r="AA9517" s="235"/>
      <c r="AB9517" s="234"/>
    </row>
    <row r="9518" ht="14.5" customHeight="1" spans="11:28" x14ac:dyDescent="0.25">
      <c r="K9518" s="128"/>
      <c r="X9518" s="234"/>
      <c r="Y9518" s="234"/>
      <c r="Z9518" s="234"/>
      <c r="AA9518" s="235"/>
      <c r="AB9518" s="234"/>
    </row>
    <row r="9519" ht="14.5" customHeight="1" spans="11:28" x14ac:dyDescent="0.25">
      <c r="K9519" s="128"/>
      <c r="X9519" s="234"/>
      <c r="Y9519" s="234"/>
      <c r="Z9519" s="234"/>
      <c r="AA9519" s="235"/>
      <c r="AB9519" s="234"/>
    </row>
    <row r="9520" ht="14.5" customHeight="1" spans="11:28" x14ac:dyDescent="0.25">
      <c r="K9520" s="128"/>
      <c r="X9520" s="234"/>
      <c r="Y9520" s="234"/>
      <c r="Z9520" s="234"/>
      <c r="AA9520" s="235"/>
      <c r="AB9520" s="234"/>
    </row>
    <row r="9521" ht="14.5" customHeight="1" spans="11:28" x14ac:dyDescent="0.25">
      <c r="K9521" s="128"/>
      <c r="X9521" s="234"/>
      <c r="Y9521" s="234"/>
      <c r="Z9521" s="234"/>
      <c r="AA9521" s="235"/>
      <c r="AB9521" s="234"/>
    </row>
    <row r="9522" ht="14.5" customHeight="1" spans="11:28" x14ac:dyDescent="0.25">
      <c r="K9522" s="128"/>
      <c r="X9522" s="234"/>
      <c r="Y9522" s="234"/>
      <c r="Z9522" s="234"/>
      <c r="AA9522" s="235"/>
      <c r="AB9522" s="234"/>
    </row>
    <row r="9523" ht="14.5" customHeight="1" spans="11:28" x14ac:dyDescent="0.25">
      <c r="K9523" s="128"/>
      <c r="X9523" s="234"/>
      <c r="Y9523" s="234"/>
      <c r="Z9523" s="234"/>
      <c r="AA9523" s="235"/>
      <c r="AB9523" s="234"/>
    </row>
    <row r="9524" ht="14.5" customHeight="1" spans="11:28" x14ac:dyDescent="0.25">
      <c r="K9524" s="128"/>
      <c r="X9524" s="234"/>
      <c r="Y9524" s="234"/>
      <c r="Z9524" s="234"/>
      <c r="AA9524" s="235"/>
      <c r="AB9524" s="234"/>
    </row>
    <row r="9525" ht="14.5" customHeight="1" spans="11:28" x14ac:dyDescent="0.25">
      <c r="K9525" s="128"/>
      <c r="X9525" s="234"/>
      <c r="Y9525" s="234"/>
      <c r="Z9525" s="234"/>
      <c r="AA9525" s="235"/>
      <c r="AB9525" s="234"/>
    </row>
    <row r="9526" ht="14.5" customHeight="1" spans="11:28" x14ac:dyDescent="0.25">
      <c r="K9526" s="128"/>
      <c r="X9526" s="234"/>
      <c r="Y9526" s="234"/>
      <c r="Z9526" s="234"/>
      <c r="AA9526" s="235"/>
      <c r="AB9526" s="234"/>
    </row>
    <row r="9527" ht="14.5" customHeight="1" spans="11:28" x14ac:dyDescent="0.25">
      <c r="K9527" s="128"/>
      <c r="X9527" s="234"/>
      <c r="Y9527" s="234"/>
      <c r="Z9527" s="234"/>
      <c r="AA9527" s="235"/>
      <c r="AB9527" s="234"/>
    </row>
    <row r="9528" ht="14.5" customHeight="1" spans="11:28" x14ac:dyDescent="0.25">
      <c r="K9528" s="128"/>
      <c r="X9528" s="234"/>
      <c r="Y9528" s="234"/>
      <c r="Z9528" s="234"/>
      <c r="AA9528" s="235"/>
      <c r="AB9528" s="234"/>
    </row>
    <row r="9529" ht="14.5" customHeight="1" spans="11:28" x14ac:dyDescent="0.25">
      <c r="K9529" s="128"/>
      <c r="X9529" s="234"/>
      <c r="Y9529" s="234"/>
      <c r="Z9529" s="234"/>
      <c r="AA9529" s="235"/>
      <c r="AB9529" s="234"/>
    </row>
    <row r="9530" ht="14.5" customHeight="1" spans="11:28" x14ac:dyDescent="0.25">
      <c r="K9530" s="128"/>
      <c r="X9530" s="234"/>
      <c r="Y9530" s="234"/>
      <c r="Z9530" s="234"/>
      <c r="AA9530" s="235"/>
      <c r="AB9530" s="234"/>
    </row>
    <row r="9531" ht="14.5" customHeight="1" spans="11:28" x14ac:dyDescent="0.25">
      <c r="K9531" s="128"/>
      <c r="X9531" s="234"/>
      <c r="Y9531" s="234"/>
      <c r="Z9531" s="234"/>
      <c r="AA9531" s="235"/>
      <c r="AB9531" s="234"/>
    </row>
    <row r="9532" ht="14.5" customHeight="1" spans="11:28" x14ac:dyDescent="0.25">
      <c r="K9532" s="128"/>
      <c r="X9532" s="234"/>
      <c r="Y9532" s="234"/>
      <c r="Z9532" s="234"/>
      <c r="AA9532" s="235"/>
      <c r="AB9532" s="234"/>
    </row>
    <row r="9533" ht="14.5" customHeight="1" spans="11:28" x14ac:dyDescent="0.25">
      <c r="K9533" s="128"/>
      <c r="X9533" s="234"/>
      <c r="Y9533" s="234"/>
      <c r="Z9533" s="234"/>
      <c r="AA9533" s="235"/>
      <c r="AB9533" s="234"/>
    </row>
    <row r="9534" ht="14.5" customHeight="1" spans="11:28" x14ac:dyDescent="0.25">
      <c r="K9534" s="128"/>
      <c r="X9534" s="234"/>
      <c r="Y9534" s="234"/>
      <c r="Z9534" s="234"/>
      <c r="AA9534" s="235"/>
      <c r="AB9534" s="234"/>
    </row>
    <row r="9535" ht="14.5" customHeight="1" spans="11:28" x14ac:dyDescent="0.25">
      <c r="K9535" s="128"/>
      <c r="X9535" s="234"/>
      <c r="Y9535" s="234"/>
      <c r="Z9535" s="234"/>
      <c r="AA9535" s="235"/>
      <c r="AB9535" s="234"/>
    </row>
    <row r="9536" ht="14.5" customHeight="1" spans="11:28" x14ac:dyDescent="0.25">
      <c r="K9536" s="128"/>
      <c r="X9536" s="234"/>
      <c r="Y9536" s="234"/>
      <c r="Z9536" s="234"/>
      <c r="AA9536" s="235"/>
      <c r="AB9536" s="234"/>
    </row>
    <row r="9537" ht="14.5" customHeight="1" spans="11:28" x14ac:dyDescent="0.25">
      <c r="K9537" s="128"/>
      <c r="X9537" s="234"/>
      <c r="Y9537" s="234"/>
      <c r="Z9537" s="234"/>
      <c r="AA9537" s="235"/>
      <c r="AB9537" s="234"/>
    </row>
    <row r="9538" ht="14.5" customHeight="1" spans="11:28" x14ac:dyDescent="0.25">
      <c r="K9538" s="128"/>
      <c r="X9538" s="234"/>
      <c r="Y9538" s="234"/>
      <c r="Z9538" s="234"/>
      <c r="AA9538" s="235"/>
      <c r="AB9538" s="234"/>
    </row>
    <row r="9539" ht="14.5" customHeight="1" spans="11:28" x14ac:dyDescent="0.25">
      <c r="K9539" s="128"/>
      <c r="X9539" s="234"/>
      <c r="Y9539" s="234"/>
      <c r="Z9539" s="234"/>
      <c r="AA9539" s="235"/>
      <c r="AB9539" s="234"/>
    </row>
    <row r="9540" ht="14.5" customHeight="1" spans="11:28" x14ac:dyDescent="0.25">
      <c r="K9540" s="128"/>
      <c r="X9540" s="234"/>
      <c r="Y9540" s="234"/>
      <c r="Z9540" s="234"/>
      <c r="AA9540" s="235"/>
      <c r="AB9540" s="234"/>
    </row>
    <row r="9541" ht="14.5" customHeight="1" spans="11:28" x14ac:dyDescent="0.25">
      <c r="K9541" s="128"/>
      <c r="X9541" s="234"/>
      <c r="Y9541" s="234"/>
      <c r="Z9541" s="234"/>
      <c r="AA9541" s="235"/>
      <c r="AB9541" s="234"/>
    </row>
    <row r="9542" ht="14.5" customHeight="1" spans="11:28" x14ac:dyDescent="0.25">
      <c r="K9542" s="128"/>
      <c r="X9542" s="234"/>
      <c r="Y9542" s="234"/>
      <c r="Z9542" s="234"/>
      <c r="AA9542" s="235"/>
      <c r="AB9542" s="234"/>
    </row>
    <row r="9543" ht="14.5" customHeight="1" spans="11:28" x14ac:dyDescent="0.25">
      <c r="K9543" s="128"/>
      <c r="X9543" s="234"/>
      <c r="Y9543" s="234"/>
      <c r="Z9543" s="234"/>
      <c r="AA9543" s="235"/>
      <c r="AB9543" s="234"/>
    </row>
    <row r="9544" ht="14.5" customHeight="1" spans="11:28" x14ac:dyDescent="0.25">
      <c r="K9544" s="128"/>
      <c r="X9544" s="234"/>
      <c r="Y9544" s="234"/>
      <c r="Z9544" s="234"/>
      <c r="AA9544" s="235"/>
      <c r="AB9544" s="234"/>
    </row>
    <row r="9545" ht="14.5" customHeight="1" spans="11:28" x14ac:dyDescent="0.25">
      <c r="K9545" s="128"/>
      <c r="X9545" s="234"/>
      <c r="Y9545" s="234"/>
      <c r="Z9545" s="234"/>
      <c r="AA9545" s="235"/>
      <c r="AB9545" s="234"/>
    </row>
    <row r="9546" ht="14.5" customHeight="1" spans="11:28" x14ac:dyDescent="0.25">
      <c r="K9546" s="128"/>
      <c r="X9546" s="234"/>
      <c r="Y9546" s="234"/>
      <c r="Z9546" s="234"/>
      <c r="AA9546" s="235"/>
      <c r="AB9546" s="234"/>
    </row>
    <row r="9547" ht="14.5" customHeight="1" spans="11:28" x14ac:dyDescent="0.25">
      <c r="K9547" s="128"/>
      <c r="X9547" s="234"/>
      <c r="Y9547" s="234"/>
      <c r="Z9547" s="234"/>
      <c r="AA9547" s="235"/>
      <c r="AB9547" s="234"/>
    </row>
    <row r="9548" ht="14.5" customHeight="1" spans="11:28" x14ac:dyDescent="0.25">
      <c r="K9548" s="128"/>
      <c r="X9548" s="234"/>
      <c r="Y9548" s="234"/>
      <c r="Z9548" s="234"/>
      <c r="AA9548" s="235"/>
      <c r="AB9548" s="234"/>
    </row>
    <row r="9549" ht="14.5" customHeight="1" spans="11:28" x14ac:dyDescent="0.25">
      <c r="K9549" s="128"/>
      <c r="X9549" s="234"/>
      <c r="Y9549" s="234"/>
      <c r="Z9549" s="234"/>
      <c r="AA9549" s="235"/>
      <c r="AB9549" s="234"/>
    </row>
    <row r="9550" ht="14.5" customHeight="1" spans="11:28" x14ac:dyDescent="0.25">
      <c r="K9550" s="128"/>
      <c r="X9550" s="234"/>
      <c r="Y9550" s="234"/>
      <c r="Z9550" s="234"/>
      <c r="AA9550" s="235"/>
      <c r="AB9550" s="234"/>
    </row>
    <row r="9551" ht="14.5" customHeight="1" spans="11:28" x14ac:dyDescent="0.25">
      <c r="K9551" s="128"/>
      <c r="X9551" s="234"/>
      <c r="Y9551" s="234"/>
      <c r="Z9551" s="234"/>
      <c r="AA9551" s="235"/>
      <c r="AB9551" s="234"/>
    </row>
    <row r="9552" ht="14.5" customHeight="1" spans="11:28" x14ac:dyDescent="0.25">
      <c r="K9552" s="128"/>
      <c r="X9552" s="234"/>
      <c r="Y9552" s="234"/>
      <c r="Z9552" s="234"/>
      <c r="AA9552" s="235"/>
      <c r="AB9552" s="234"/>
    </row>
    <row r="9553" ht="14.5" customHeight="1" spans="11:28" x14ac:dyDescent="0.25">
      <c r="K9553" s="128"/>
      <c r="X9553" s="234"/>
      <c r="Y9553" s="234"/>
      <c r="Z9553" s="234"/>
      <c r="AA9553" s="235"/>
      <c r="AB9553" s="234"/>
    </row>
    <row r="9554" ht="14.5" customHeight="1" spans="11:28" x14ac:dyDescent="0.25">
      <c r="K9554" s="128"/>
      <c r="X9554" s="234"/>
      <c r="Y9554" s="234"/>
      <c r="Z9554" s="234"/>
      <c r="AA9554" s="235"/>
      <c r="AB9554" s="234"/>
    </row>
    <row r="9555" ht="14.5" customHeight="1" spans="11:28" x14ac:dyDescent="0.25">
      <c r="K9555" s="128"/>
      <c r="X9555" s="234"/>
      <c r="Y9555" s="234"/>
      <c r="Z9555" s="234"/>
      <c r="AA9555" s="235"/>
      <c r="AB9555" s="234"/>
    </row>
    <row r="9556" ht="14.5" customHeight="1" spans="11:28" x14ac:dyDescent="0.25">
      <c r="K9556" s="128"/>
      <c r="X9556" s="234"/>
      <c r="Y9556" s="234"/>
      <c r="Z9556" s="234"/>
      <c r="AA9556" s="235"/>
      <c r="AB9556" s="234"/>
    </row>
    <row r="9557" ht="14.5" customHeight="1" spans="11:28" x14ac:dyDescent="0.25">
      <c r="K9557" s="128"/>
      <c r="X9557" s="234"/>
      <c r="Y9557" s="234"/>
      <c r="Z9557" s="234"/>
      <c r="AA9557" s="235"/>
      <c r="AB9557" s="234"/>
    </row>
    <row r="9558" ht="14.5" customHeight="1" spans="11:28" x14ac:dyDescent="0.25">
      <c r="K9558" s="128"/>
      <c r="X9558" s="234"/>
      <c r="Y9558" s="234"/>
      <c r="Z9558" s="234"/>
      <c r="AA9558" s="235"/>
      <c r="AB9558" s="234"/>
    </row>
    <row r="9559" ht="14.5" customHeight="1" spans="11:28" x14ac:dyDescent="0.25">
      <c r="K9559" s="128"/>
      <c r="X9559" s="234"/>
      <c r="Y9559" s="234"/>
      <c r="Z9559" s="234"/>
      <c r="AA9559" s="235"/>
      <c r="AB9559" s="234"/>
    </row>
    <row r="9560" ht="14.5" customHeight="1" spans="11:28" x14ac:dyDescent="0.25">
      <c r="K9560" s="128"/>
      <c r="X9560" s="234"/>
      <c r="Y9560" s="234"/>
      <c r="Z9560" s="234"/>
      <c r="AA9560" s="235"/>
      <c r="AB9560" s="234"/>
    </row>
    <row r="9561" ht="14.5" customHeight="1" spans="11:28" x14ac:dyDescent="0.25">
      <c r="K9561" s="128"/>
      <c r="X9561" s="234"/>
      <c r="Y9561" s="234"/>
      <c r="Z9561" s="234"/>
      <c r="AA9561" s="235"/>
      <c r="AB9561" s="234"/>
    </row>
    <row r="9562" ht="14.5" customHeight="1" spans="11:28" x14ac:dyDescent="0.25">
      <c r="K9562" s="128"/>
      <c r="X9562" s="234"/>
      <c r="Y9562" s="234"/>
      <c r="Z9562" s="234"/>
      <c r="AA9562" s="235"/>
      <c r="AB9562" s="234"/>
    </row>
    <row r="9563" ht="14.5" customHeight="1" spans="11:28" x14ac:dyDescent="0.25">
      <c r="K9563" s="128"/>
      <c r="X9563" s="234"/>
      <c r="Y9563" s="234"/>
      <c r="Z9563" s="234"/>
      <c r="AA9563" s="235"/>
      <c r="AB9563" s="234"/>
    </row>
    <row r="9564" ht="14.5" customHeight="1" spans="11:28" x14ac:dyDescent="0.25">
      <c r="K9564" s="128"/>
      <c r="X9564" s="234"/>
      <c r="Y9564" s="234"/>
      <c r="Z9564" s="234"/>
      <c r="AA9564" s="235"/>
      <c r="AB9564" s="234"/>
    </row>
    <row r="9565" ht="14.5" customHeight="1" spans="11:28" x14ac:dyDescent="0.25">
      <c r="K9565" s="128"/>
      <c r="X9565" s="234"/>
      <c r="Y9565" s="234"/>
      <c r="Z9565" s="234"/>
      <c r="AA9565" s="235"/>
      <c r="AB9565" s="234"/>
    </row>
    <row r="9566" ht="14.5" customHeight="1" spans="11:28" x14ac:dyDescent="0.25">
      <c r="K9566" s="128"/>
      <c r="X9566" s="234"/>
      <c r="Y9566" s="234"/>
      <c r="Z9566" s="234"/>
      <c r="AA9566" s="235"/>
      <c r="AB9566" s="234"/>
    </row>
    <row r="9567" ht="14.5" customHeight="1" spans="11:28" x14ac:dyDescent="0.25">
      <c r="K9567" s="128"/>
      <c r="X9567" s="234"/>
      <c r="Y9567" s="234"/>
      <c r="Z9567" s="234"/>
      <c r="AA9567" s="235"/>
      <c r="AB9567" s="234"/>
    </row>
    <row r="9568" ht="14.5" customHeight="1" spans="11:28" x14ac:dyDescent="0.25">
      <c r="K9568" s="128"/>
      <c r="X9568" s="234"/>
      <c r="Y9568" s="234"/>
      <c r="Z9568" s="234"/>
      <c r="AA9568" s="235"/>
      <c r="AB9568" s="234"/>
    </row>
    <row r="9569" ht="14.5" customHeight="1" spans="11:28" x14ac:dyDescent="0.25">
      <c r="K9569" s="128"/>
      <c r="X9569" s="234"/>
      <c r="Y9569" s="234"/>
      <c r="Z9569" s="234"/>
      <c r="AA9569" s="235"/>
      <c r="AB9569" s="234"/>
    </row>
    <row r="9570" ht="14.5" customHeight="1" spans="11:28" x14ac:dyDescent="0.25">
      <c r="K9570" s="128"/>
      <c r="X9570" s="234"/>
      <c r="Y9570" s="234"/>
      <c r="Z9570" s="234"/>
      <c r="AA9570" s="235"/>
      <c r="AB9570" s="234"/>
    </row>
    <row r="9571" ht="14.5" customHeight="1" spans="11:28" x14ac:dyDescent="0.25">
      <c r="K9571" s="128"/>
      <c r="X9571" s="234"/>
      <c r="Y9571" s="234"/>
      <c r="Z9571" s="234"/>
      <c r="AA9571" s="235"/>
      <c r="AB9571" s="234"/>
    </row>
    <row r="9572" ht="14.5" customHeight="1" spans="11:28" x14ac:dyDescent="0.25">
      <c r="K9572" s="128"/>
      <c r="X9572" s="234"/>
      <c r="Y9572" s="234"/>
      <c r="Z9572" s="234"/>
      <c r="AA9572" s="235"/>
      <c r="AB9572" s="234"/>
    </row>
    <row r="9573" ht="14.5" customHeight="1" spans="11:28" x14ac:dyDescent="0.25">
      <c r="K9573" s="128"/>
      <c r="X9573" s="234"/>
      <c r="Y9573" s="234"/>
      <c r="Z9573" s="234"/>
      <c r="AA9573" s="235"/>
      <c r="AB9573" s="234"/>
    </row>
    <row r="9574" ht="14.5" customHeight="1" spans="11:28" x14ac:dyDescent="0.25">
      <c r="K9574" s="128"/>
      <c r="X9574" s="234"/>
      <c r="Y9574" s="234"/>
      <c r="Z9574" s="234"/>
      <c r="AA9574" s="235"/>
      <c r="AB9574" s="234"/>
    </row>
    <row r="9575" ht="14.5" customHeight="1" spans="11:28" x14ac:dyDescent="0.25">
      <c r="K9575" s="128"/>
      <c r="X9575" s="234"/>
      <c r="Y9575" s="234"/>
      <c r="Z9575" s="234"/>
      <c r="AA9575" s="235"/>
      <c r="AB9575" s="234"/>
    </row>
    <row r="9576" ht="14.5" customHeight="1" spans="11:28" x14ac:dyDescent="0.25">
      <c r="K9576" s="128"/>
      <c r="X9576" s="234"/>
      <c r="Y9576" s="234"/>
      <c r="Z9576" s="234"/>
      <c r="AA9576" s="235"/>
      <c r="AB9576" s="234"/>
    </row>
    <row r="9577" ht="14.5" customHeight="1" spans="11:28" x14ac:dyDescent="0.25">
      <c r="K9577" s="128"/>
      <c r="X9577" s="234"/>
      <c r="Y9577" s="234"/>
      <c r="Z9577" s="234"/>
      <c r="AA9577" s="235"/>
      <c r="AB9577" s="234"/>
    </row>
    <row r="9578" ht="14.5" customHeight="1" spans="11:28" x14ac:dyDescent="0.25">
      <c r="K9578" s="128"/>
      <c r="X9578" s="234"/>
      <c r="Y9578" s="234"/>
      <c r="Z9578" s="234"/>
      <c r="AA9578" s="235"/>
      <c r="AB9578" s="234"/>
    </row>
    <row r="9579" ht="14.5" customHeight="1" spans="11:28" x14ac:dyDescent="0.25">
      <c r="K9579" s="128"/>
      <c r="X9579" s="234"/>
      <c r="Y9579" s="234"/>
      <c r="Z9579" s="234"/>
      <c r="AA9579" s="235"/>
      <c r="AB9579" s="234"/>
    </row>
    <row r="9580" ht="14.5" customHeight="1" spans="11:28" x14ac:dyDescent="0.25">
      <c r="K9580" s="128"/>
      <c r="X9580" s="234"/>
      <c r="Y9580" s="234"/>
      <c r="Z9580" s="234"/>
      <c r="AA9580" s="235"/>
      <c r="AB9580" s="234"/>
    </row>
    <row r="9581" ht="14.5" customHeight="1" spans="11:28" x14ac:dyDescent="0.25">
      <c r="K9581" s="128"/>
      <c r="X9581" s="234"/>
      <c r="Y9581" s="234"/>
      <c r="Z9581" s="234"/>
      <c r="AA9581" s="235"/>
      <c r="AB9581" s="234"/>
    </row>
    <row r="9582" ht="14.5" customHeight="1" spans="11:28" x14ac:dyDescent="0.25">
      <c r="K9582" s="128"/>
      <c r="X9582" s="234"/>
      <c r="Y9582" s="234"/>
      <c r="Z9582" s="234"/>
      <c r="AA9582" s="235"/>
      <c r="AB9582" s="234"/>
    </row>
    <row r="9583" ht="14.5" customHeight="1" spans="11:28" x14ac:dyDescent="0.25">
      <c r="K9583" s="128"/>
      <c r="X9583" s="234"/>
      <c r="Y9583" s="234"/>
      <c r="Z9583" s="234"/>
      <c r="AA9583" s="235"/>
      <c r="AB9583" s="234"/>
    </row>
    <row r="9584" ht="14.5" customHeight="1" spans="11:28" x14ac:dyDescent="0.25">
      <c r="K9584" s="128"/>
      <c r="X9584" s="234"/>
      <c r="Y9584" s="234"/>
      <c r="Z9584" s="234"/>
      <c r="AA9584" s="235"/>
      <c r="AB9584" s="234"/>
    </row>
    <row r="9585" ht="14.5" customHeight="1" spans="11:28" x14ac:dyDescent="0.25">
      <c r="K9585" s="128"/>
      <c r="X9585" s="234"/>
      <c r="Y9585" s="234"/>
      <c r="Z9585" s="234"/>
      <c r="AA9585" s="235"/>
      <c r="AB9585" s="234"/>
    </row>
    <row r="9586" ht="14.5" customHeight="1" spans="11:28" x14ac:dyDescent="0.25">
      <c r="K9586" s="128"/>
      <c r="X9586" s="234"/>
      <c r="Y9586" s="234"/>
      <c r="Z9586" s="234"/>
      <c r="AA9586" s="235"/>
      <c r="AB9586" s="234"/>
    </row>
    <row r="9587" ht="14.5" customHeight="1" spans="11:28" x14ac:dyDescent="0.25">
      <c r="K9587" s="128"/>
      <c r="X9587" s="234"/>
      <c r="Y9587" s="234"/>
      <c r="Z9587" s="234"/>
      <c r="AA9587" s="235"/>
      <c r="AB9587" s="234"/>
    </row>
    <row r="9588" ht="14.5" customHeight="1" spans="11:28" x14ac:dyDescent="0.25">
      <c r="K9588" s="128"/>
      <c r="X9588" s="234"/>
      <c r="Y9588" s="234"/>
      <c r="Z9588" s="234"/>
      <c r="AA9588" s="235"/>
      <c r="AB9588" s="234"/>
    </row>
    <row r="9589" ht="14.5" customHeight="1" spans="11:28" x14ac:dyDescent="0.25">
      <c r="K9589" s="128"/>
      <c r="X9589" s="234"/>
      <c r="Y9589" s="234"/>
      <c r="Z9589" s="234"/>
      <c r="AA9589" s="235"/>
      <c r="AB9589" s="234"/>
    </row>
    <row r="9590" ht="14.5" customHeight="1" spans="11:28" x14ac:dyDescent="0.25">
      <c r="K9590" s="128"/>
      <c r="X9590" s="234"/>
      <c r="Y9590" s="234"/>
      <c r="Z9590" s="234"/>
      <c r="AA9590" s="235"/>
      <c r="AB9590" s="234"/>
    </row>
    <row r="9591" ht="14.5" customHeight="1" spans="11:28" x14ac:dyDescent="0.25">
      <c r="K9591" s="128"/>
      <c r="X9591" s="234"/>
      <c r="Y9591" s="234"/>
      <c r="Z9591" s="234"/>
      <c r="AA9591" s="235"/>
      <c r="AB9591" s="234"/>
    </row>
    <row r="9592" ht="14.5" customHeight="1" spans="11:28" x14ac:dyDescent="0.25">
      <c r="K9592" s="128"/>
      <c r="X9592" s="234"/>
      <c r="Y9592" s="234"/>
      <c r="Z9592" s="234"/>
      <c r="AA9592" s="235"/>
      <c r="AB9592" s="234"/>
    </row>
    <row r="9593" ht="14.5" customHeight="1" spans="11:28" x14ac:dyDescent="0.25">
      <c r="K9593" s="128"/>
      <c r="X9593" s="234"/>
      <c r="Y9593" s="234"/>
      <c r="Z9593" s="234"/>
      <c r="AA9593" s="235"/>
      <c r="AB9593" s="234"/>
    </row>
    <row r="9594" ht="14.5" customHeight="1" spans="11:28" x14ac:dyDescent="0.25">
      <c r="K9594" s="128"/>
      <c r="X9594" s="234"/>
      <c r="Y9594" s="234"/>
      <c r="Z9594" s="234"/>
      <c r="AA9594" s="235"/>
      <c r="AB9594" s="234"/>
    </row>
    <row r="9595" ht="14.5" customHeight="1" spans="11:28" x14ac:dyDescent="0.25">
      <c r="K9595" s="128"/>
      <c r="X9595" s="234"/>
      <c r="Y9595" s="234"/>
      <c r="Z9595" s="234"/>
      <c r="AA9595" s="235"/>
      <c r="AB9595" s="234"/>
    </row>
    <row r="9596" ht="14.5" customHeight="1" spans="11:28" x14ac:dyDescent="0.25">
      <c r="K9596" s="128"/>
      <c r="X9596" s="234"/>
      <c r="Y9596" s="234"/>
      <c r="Z9596" s="234"/>
      <c r="AA9596" s="235"/>
      <c r="AB9596" s="234"/>
    </row>
    <row r="9597" ht="14.5" customHeight="1" spans="11:28" x14ac:dyDescent="0.25">
      <c r="K9597" s="128"/>
      <c r="X9597" s="234"/>
      <c r="Y9597" s="234"/>
      <c r="Z9597" s="234"/>
      <c r="AA9597" s="235"/>
      <c r="AB9597" s="234"/>
    </row>
    <row r="9598" ht="14.5" customHeight="1" spans="11:28" x14ac:dyDescent="0.25">
      <c r="K9598" s="128"/>
      <c r="X9598" s="234"/>
      <c r="Y9598" s="234"/>
      <c r="Z9598" s="234"/>
      <c r="AA9598" s="235"/>
      <c r="AB9598" s="234"/>
    </row>
    <row r="9599" ht="14.5" customHeight="1" spans="11:28" x14ac:dyDescent="0.25">
      <c r="K9599" s="128"/>
      <c r="X9599" s="234"/>
      <c r="Y9599" s="234"/>
      <c r="Z9599" s="234"/>
      <c r="AA9599" s="235"/>
      <c r="AB9599" s="234"/>
    </row>
    <row r="9600" ht="14.5" customHeight="1" spans="11:28" x14ac:dyDescent="0.25">
      <c r="K9600" s="128"/>
      <c r="X9600" s="234"/>
      <c r="Y9600" s="234"/>
      <c r="Z9600" s="234"/>
      <c r="AA9600" s="235"/>
      <c r="AB9600" s="234"/>
    </row>
    <row r="9601" ht="14.5" customHeight="1" spans="11:28" x14ac:dyDescent="0.25">
      <c r="K9601" s="128"/>
      <c r="X9601" s="234"/>
      <c r="Y9601" s="234"/>
      <c r="Z9601" s="234"/>
      <c r="AA9601" s="235"/>
      <c r="AB9601" s="234"/>
    </row>
    <row r="9602" ht="14.5" customHeight="1" spans="11:28" x14ac:dyDescent="0.25">
      <c r="K9602" s="128"/>
      <c r="X9602" s="234"/>
      <c r="Y9602" s="234"/>
      <c r="Z9602" s="234"/>
      <c r="AA9602" s="235"/>
      <c r="AB9602" s="234"/>
    </row>
    <row r="9603" ht="14.5" customHeight="1" spans="11:28" x14ac:dyDescent="0.25">
      <c r="K9603" s="128"/>
      <c r="X9603" s="234"/>
      <c r="Y9603" s="234"/>
      <c r="Z9603" s="234"/>
      <c r="AA9603" s="235"/>
      <c r="AB9603" s="234"/>
    </row>
    <row r="9604" ht="14.5" customHeight="1" spans="11:28" x14ac:dyDescent="0.25">
      <c r="K9604" s="128"/>
      <c r="X9604" s="234"/>
      <c r="Y9604" s="234"/>
      <c r="Z9604" s="234"/>
      <c r="AA9604" s="235"/>
      <c r="AB9604" s="234"/>
    </row>
    <row r="9605" ht="14.5" customHeight="1" spans="11:28" x14ac:dyDescent="0.25">
      <c r="K9605" s="128"/>
      <c r="X9605" s="234"/>
      <c r="Y9605" s="234"/>
      <c r="Z9605" s="234"/>
      <c r="AA9605" s="235"/>
      <c r="AB9605" s="234"/>
    </row>
    <row r="9606" ht="14.5" customHeight="1" spans="11:28" x14ac:dyDescent="0.25">
      <c r="K9606" s="128"/>
      <c r="X9606" s="234"/>
      <c r="Y9606" s="234"/>
      <c r="Z9606" s="234"/>
      <c r="AA9606" s="235"/>
      <c r="AB9606" s="234"/>
    </row>
    <row r="9607" ht="14.5" customHeight="1" spans="11:28" x14ac:dyDescent="0.25">
      <c r="K9607" s="128"/>
      <c r="X9607" s="234"/>
      <c r="Y9607" s="234"/>
      <c r="Z9607" s="234"/>
      <c r="AA9607" s="235"/>
      <c r="AB9607" s="234"/>
    </row>
    <row r="9608" ht="14.5" customHeight="1" spans="11:28" x14ac:dyDescent="0.25">
      <c r="K9608" s="128"/>
      <c r="X9608" s="234"/>
      <c r="Y9608" s="234"/>
      <c r="Z9608" s="234"/>
      <c r="AA9608" s="235"/>
      <c r="AB9608" s="234"/>
    </row>
    <row r="9609" ht="14.5" customHeight="1" spans="11:28" x14ac:dyDescent="0.25">
      <c r="K9609" s="128"/>
      <c r="X9609" s="234"/>
      <c r="Y9609" s="234"/>
      <c r="Z9609" s="234"/>
      <c r="AA9609" s="235"/>
      <c r="AB9609" s="234"/>
    </row>
    <row r="9610" ht="14.5" customHeight="1" spans="11:28" x14ac:dyDescent="0.25">
      <c r="K9610" s="128"/>
      <c r="X9610" s="234"/>
      <c r="Y9610" s="234"/>
      <c r="Z9610" s="234"/>
      <c r="AA9610" s="235"/>
      <c r="AB9610" s="234"/>
    </row>
    <row r="9611" ht="14.5" customHeight="1" spans="11:28" x14ac:dyDescent="0.25">
      <c r="K9611" s="128"/>
      <c r="X9611" s="234"/>
      <c r="Y9611" s="234"/>
      <c r="Z9611" s="234"/>
      <c r="AA9611" s="235"/>
      <c r="AB9611" s="234"/>
    </row>
    <row r="9612" ht="14.5" customHeight="1" spans="11:28" x14ac:dyDescent="0.25">
      <c r="K9612" s="128"/>
      <c r="X9612" s="234"/>
      <c r="Y9612" s="234"/>
      <c r="Z9612" s="234"/>
      <c r="AA9612" s="235"/>
      <c r="AB9612" s="234"/>
    </row>
    <row r="9613" ht="14.5" customHeight="1" spans="11:28" x14ac:dyDescent="0.25">
      <c r="K9613" s="128"/>
      <c r="X9613" s="234"/>
      <c r="Y9613" s="234"/>
      <c r="Z9613" s="234"/>
      <c r="AA9613" s="235"/>
      <c r="AB9613" s="234"/>
    </row>
    <row r="9614" ht="14.5" customHeight="1" spans="11:28" x14ac:dyDescent="0.25">
      <c r="K9614" s="128"/>
      <c r="X9614" s="234"/>
      <c r="Y9614" s="234"/>
      <c r="Z9614" s="234"/>
      <c r="AA9614" s="235"/>
      <c r="AB9614" s="234"/>
    </row>
    <row r="9615" ht="14.5" customHeight="1" spans="11:28" x14ac:dyDescent="0.25">
      <c r="K9615" s="128"/>
      <c r="X9615" s="234"/>
      <c r="Y9615" s="234"/>
      <c r="Z9615" s="234"/>
      <c r="AA9615" s="235"/>
      <c r="AB9615" s="234"/>
    </row>
    <row r="9616" ht="14.5" customHeight="1" spans="11:28" x14ac:dyDescent="0.25">
      <c r="K9616" s="128"/>
      <c r="X9616" s="234"/>
      <c r="Y9616" s="234"/>
      <c r="Z9616" s="234"/>
      <c r="AA9616" s="235"/>
      <c r="AB9616" s="234"/>
    </row>
    <row r="9617" ht="14.5" customHeight="1" spans="11:28" x14ac:dyDescent="0.25">
      <c r="K9617" s="128"/>
      <c r="X9617" s="234"/>
      <c r="Y9617" s="234"/>
      <c r="Z9617" s="234"/>
      <c r="AA9617" s="235"/>
      <c r="AB9617" s="234"/>
    </row>
    <row r="9618" ht="14.5" customHeight="1" spans="11:28" x14ac:dyDescent="0.25">
      <c r="K9618" s="128"/>
      <c r="X9618" s="234"/>
      <c r="Y9618" s="234"/>
      <c r="Z9618" s="234"/>
      <c r="AA9618" s="235"/>
      <c r="AB9618" s="234"/>
    </row>
    <row r="9619" ht="14.5" customHeight="1" spans="11:28" x14ac:dyDescent="0.25">
      <c r="K9619" s="128"/>
      <c r="X9619" s="234"/>
      <c r="Y9619" s="234"/>
      <c r="Z9619" s="234"/>
      <c r="AA9619" s="235"/>
      <c r="AB9619" s="234"/>
    </row>
    <row r="9620" ht="14.5" customHeight="1" spans="11:28" x14ac:dyDescent="0.25">
      <c r="K9620" s="128"/>
      <c r="X9620" s="234"/>
      <c r="Y9620" s="234"/>
      <c r="Z9620" s="234"/>
      <c r="AA9620" s="235"/>
      <c r="AB9620" s="234"/>
    </row>
    <row r="9621" ht="14.5" customHeight="1" spans="11:28" x14ac:dyDescent="0.25">
      <c r="K9621" s="128"/>
      <c r="X9621" s="234"/>
      <c r="Y9621" s="234"/>
      <c r="Z9621" s="234"/>
      <c r="AA9621" s="235"/>
      <c r="AB9621" s="234"/>
    </row>
    <row r="9622" ht="14.5" customHeight="1" spans="11:28" x14ac:dyDescent="0.25">
      <c r="K9622" s="128"/>
      <c r="X9622" s="234"/>
      <c r="Y9622" s="234"/>
      <c r="Z9622" s="234"/>
      <c r="AA9622" s="235"/>
      <c r="AB9622" s="234"/>
    </row>
    <row r="9623" ht="14.5" customHeight="1" spans="11:28" x14ac:dyDescent="0.25">
      <c r="K9623" s="128"/>
      <c r="X9623" s="234"/>
      <c r="Y9623" s="234"/>
      <c r="Z9623" s="234"/>
      <c r="AA9623" s="235"/>
      <c r="AB9623" s="234"/>
    </row>
    <row r="9624" ht="14.5" customHeight="1" spans="11:28" x14ac:dyDescent="0.25">
      <c r="K9624" s="128"/>
      <c r="X9624" s="234"/>
      <c r="Y9624" s="234"/>
      <c r="Z9624" s="234"/>
      <c r="AA9624" s="235"/>
      <c r="AB9624" s="234"/>
    </row>
    <row r="9625" ht="14.5" customHeight="1" spans="11:28" x14ac:dyDescent="0.25">
      <c r="K9625" s="128"/>
      <c r="X9625" s="234"/>
      <c r="Y9625" s="234"/>
      <c r="Z9625" s="234"/>
      <c r="AA9625" s="235"/>
      <c r="AB9625" s="234"/>
    </row>
    <row r="9626" ht="14.5" customHeight="1" spans="11:28" x14ac:dyDescent="0.25">
      <c r="K9626" s="128"/>
      <c r="X9626" s="234"/>
      <c r="Y9626" s="234"/>
      <c r="Z9626" s="234"/>
      <c r="AA9626" s="235"/>
      <c r="AB9626" s="234"/>
    </row>
    <row r="9627" ht="14.5" customHeight="1" spans="11:28" x14ac:dyDescent="0.25">
      <c r="K9627" s="128"/>
      <c r="X9627" s="234"/>
      <c r="Y9627" s="234"/>
      <c r="Z9627" s="234"/>
      <c r="AA9627" s="235"/>
      <c r="AB9627" s="234"/>
    </row>
    <row r="9628" ht="14.5" customHeight="1" spans="11:28" x14ac:dyDescent="0.25">
      <c r="K9628" s="128"/>
      <c r="X9628" s="234"/>
      <c r="Y9628" s="234"/>
      <c r="Z9628" s="234"/>
      <c r="AA9628" s="235"/>
      <c r="AB9628" s="234"/>
    </row>
    <row r="9629" ht="14.5" customHeight="1" spans="11:28" x14ac:dyDescent="0.25">
      <c r="K9629" s="128"/>
      <c r="X9629" s="234"/>
      <c r="Y9629" s="234"/>
      <c r="Z9629" s="234"/>
      <c r="AA9629" s="235"/>
      <c r="AB9629" s="234"/>
    </row>
    <row r="9630" ht="14.5" customHeight="1" spans="11:28" x14ac:dyDescent="0.25">
      <c r="K9630" s="128"/>
      <c r="X9630" s="234"/>
      <c r="Y9630" s="234"/>
      <c r="Z9630" s="234"/>
      <c r="AA9630" s="235"/>
      <c r="AB9630" s="234"/>
    </row>
    <row r="9631" ht="14.5" customHeight="1" spans="11:28" x14ac:dyDescent="0.25">
      <c r="K9631" s="128"/>
      <c r="X9631" s="234"/>
      <c r="Y9631" s="234"/>
      <c r="Z9631" s="234"/>
      <c r="AA9631" s="235"/>
      <c r="AB9631" s="234"/>
    </row>
    <row r="9632" ht="14.5" customHeight="1" spans="11:28" x14ac:dyDescent="0.25">
      <c r="K9632" s="128"/>
      <c r="X9632" s="234"/>
      <c r="Y9632" s="234"/>
      <c r="Z9632" s="234"/>
      <c r="AA9632" s="235"/>
      <c r="AB9632" s="234"/>
    </row>
    <row r="9633" ht="14.5" customHeight="1" spans="11:28" x14ac:dyDescent="0.25">
      <c r="K9633" s="128"/>
      <c r="X9633" s="234"/>
      <c r="Y9633" s="234"/>
      <c r="Z9633" s="234"/>
      <c r="AA9633" s="235"/>
      <c r="AB9633" s="234"/>
    </row>
    <row r="9634" ht="14.5" customHeight="1" spans="11:28" x14ac:dyDescent="0.25">
      <c r="K9634" s="128"/>
      <c r="X9634" s="234"/>
      <c r="Y9634" s="234"/>
      <c r="Z9634" s="234"/>
      <c r="AA9634" s="235"/>
      <c r="AB9634" s="234"/>
    </row>
    <row r="9635" ht="14.5" customHeight="1" spans="11:28" x14ac:dyDescent="0.25">
      <c r="K9635" s="128"/>
      <c r="X9635" s="234"/>
      <c r="Y9635" s="234"/>
      <c r="Z9635" s="234"/>
      <c r="AA9635" s="235"/>
      <c r="AB9635" s="234"/>
    </row>
    <row r="9636" ht="14.5" customHeight="1" spans="11:28" x14ac:dyDescent="0.25">
      <c r="K9636" s="128"/>
      <c r="X9636" s="234"/>
      <c r="Y9636" s="234"/>
      <c r="Z9636" s="234"/>
      <c r="AA9636" s="235"/>
      <c r="AB9636" s="234"/>
    </row>
    <row r="9637" ht="14.5" customHeight="1" spans="11:28" x14ac:dyDescent="0.25">
      <c r="K9637" s="128"/>
      <c r="X9637" s="234"/>
      <c r="Y9637" s="234"/>
      <c r="Z9637" s="234"/>
      <c r="AA9637" s="235"/>
      <c r="AB9637" s="234"/>
    </row>
    <row r="9638" ht="14.5" customHeight="1" spans="11:28" x14ac:dyDescent="0.25">
      <c r="K9638" s="128"/>
      <c r="X9638" s="234"/>
      <c r="Y9638" s="234"/>
      <c r="Z9638" s="234"/>
      <c r="AA9638" s="235"/>
      <c r="AB9638" s="234"/>
    </row>
    <row r="9639" ht="14.5" customHeight="1" spans="11:28" x14ac:dyDescent="0.25">
      <c r="K9639" s="128"/>
      <c r="X9639" s="234"/>
      <c r="Y9639" s="234"/>
      <c r="Z9639" s="234"/>
      <c r="AA9639" s="235"/>
      <c r="AB9639" s="234"/>
    </row>
    <row r="9640" ht="14.5" customHeight="1" spans="11:28" x14ac:dyDescent="0.25">
      <c r="K9640" s="128"/>
      <c r="X9640" s="234"/>
      <c r="Y9640" s="234"/>
      <c r="Z9640" s="234"/>
      <c r="AA9640" s="235"/>
      <c r="AB9640" s="234"/>
    </row>
    <row r="9641" ht="14.5" customHeight="1" spans="11:28" x14ac:dyDescent="0.25">
      <c r="K9641" s="128"/>
      <c r="X9641" s="234"/>
      <c r="Y9641" s="234"/>
      <c r="Z9641" s="234"/>
      <c r="AA9641" s="235"/>
      <c r="AB9641" s="234"/>
    </row>
    <row r="9642" ht="14.5" customHeight="1" spans="11:28" x14ac:dyDescent="0.25">
      <c r="K9642" s="128"/>
      <c r="X9642" s="234"/>
      <c r="Y9642" s="234"/>
      <c r="Z9642" s="234"/>
      <c r="AA9642" s="235"/>
      <c r="AB9642" s="234"/>
    </row>
    <row r="9643" ht="14.5" customHeight="1" spans="11:28" x14ac:dyDescent="0.25">
      <c r="K9643" s="128"/>
      <c r="X9643" s="234"/>
      <c r="Y9643" s="234"/>
      <c r="Z9643" s="234"/>
      <c r="AA9643" s="235"/>
      <c r="AB9643" s="234"/>
    </row>
    <row r="9644" ht="14.5" customHeight="1" spans="11:28" x14ac:dyDescent="0.25">
      <c r="K9644" s="128"/>
      <c r="X9644" s="234"/>
      <c r="Y9644" s="234"/>
      <c r="Z9644" s="234"/>
      <c r="AA9644" s="235"/>
      <c r="AB9644" s="234"/>
    </row>
    <row r="9645" ht="14.5" customHeight="1" spans="11:28" x14ac:dyDescent="0.25">
      <c r="K9645" s="128"/>
      <c r="X9645" s="234"/>
      <c r="Y9645" s="234"/>
      <c r="Z9645" s="234"/>
      <c r="AA9645" s="235"/>
      <c r="AB9645" s="234"/>
    </row>
    <row r="9646" ht="14.5" customHeight="1" spans="11:28" x14ac:dyDescent="0.25">
      <c r="K9646" s="128"/>
      <c r="X9646" s="234"/>
      <c r="Y9646" s="234"/>
      <c r="Z9646" s="234"/>
      <c r="AA9646" s="235"/>
      <c r="AB9646" s="234"/>
    </row>
    <row r="9647" ht="14.5" customHeight="1" spans="11:28" x14ac:dyDescent="0.25">
      <c r="K9647" s="128"/>
      <c r="X9647" s="234"/>
      <c r="Y9647" s="234"/>
      <c r="Z9647" s="234"/>
      <c r="AA9647" s="235"/>
      <c r="AB9647" s="234"/>
    </row>
    <row r="9648" ht="14.5" customHeight="1" spans="11:28" x14ac:dyDescent="0.25">
      <c r="K9648" s="128"/>
      <c r="X9648" s="234"/>
      <c r="Y9648" s="234"/>
      <c r="Z9648" s="234"/>
      <c r="AA9648" s="235"/>
      <c r="AB9648" s="234"/>
    </row>
    <row r="9649" ht="14.5" customHeight="1" spans="11:28" x14ac:dyDescent="0.25">
      <c r="K9649" s="128"/>
      <c r="X9649" s="234"/>
      <c r="Y9649" s="234"/>
      <c r="Z9649" s="234"/>
      <c r="AA9649" s="235"/>
      <c r="AB9649" s="234"/>
    </row>
    <row r="9650" ht="14.5" customHeight="1" spans="11:28" x14ac:dyDescent="0.25">
      <c r="K9650" s="128"/>
      <c r="X9650" s="234"/>
      <c r="Y9650" s="234"/>
      <c r="Z9650" s="234"/>
      <c r="AA9650" s="235"/>
      <c r="AB9650" s="234"/>
    </row>
    <row r="9651" ht="14.5" customHeight="1" spans="11:28" x14ac:dyDescent="0.25">
      <c r="K9651" s="128"/>
      <c r="X9651" s="234"/>
      <c r="Y9651" s="234"/>
      <c r="Z9651" s="234"/>
      <c r="AA9651" s="235"/>
      <c r="AB9651" s="234"/>
    </row>
    <row r="9652" ht="14.5" customHeight="1" spans="11:28" x14ac:dyDescent="0.25">
      <c r="K9652" s="128"/>
      <c r="X9652" s="234"/>
      <c r="Y9652" s="234"/>
      <c r="Z9652" s="234"/>
      <c r="AA9652" s="235"/>
      <c r="AB9652" s="234"/>
    </row>
    <row r="9653" ht="14.5" customHeight="1" spans="11:28" x14ac:dyDescent="0.25">
      <c r="K9653" s="128"/>
      <c r="X9653" s="234"/>
      <c r="Y9653" s="234"/>
      <c r="Z9653" s="234"/>
      <c r="AA9653" s="235"/>
      <c r="AB9653" s="234"/>
    </row>
    <row r="9654" ht="14.5" customHeight="1" spans="11:28" x14ac:dyDescent="0.25">
      <c r="K9654" s="128"/>
      <c r="X9654" s="234"/>
      <c r="Y9654" s="234"/>
      <c r="Z9654" s="234"/>
      <c r="AA9654" s="235"/>
      <c r="AB9654" s="234"/>
    </row>
    <row r="9655" ht="14.5" customHeight="1" spans="11:28" x14ac:dyDescent="0.25">
      <c r="K9655" s="128"/>
      <c r="X9655" s="234"/>
      <c r="Y9655" s="234"/>
      <c r="Z9655" s="234"/>
      <c r="AA9655" s="235"/>
      <c r="AB9655" s="234"/>
    </row>
    <row r="9656" ht="14.5" customHeight="1" spans="11:28" x14ac:dyDescent="0.25">
      <c r="K9656" s="128"/>
      <c r="X9656" s="234"/>
      <c r="Y9656" s="234"/>
      <c r="Z9656" s="234"/>
      <c r="AA9656" s="235"/>
      <c r="AB9656" s="234"/>
    </row>
    <row r="9657" ht="14.5" customHeight="1" spans="11:28" x14ac:dyDescent="0.25">
      <c r="K9657" s="128"/>
      <c r="X9657" s="234"/>
      <c r="Y9657" s="234"/>
      <c r="Z9657" s="234"/>
      <c r="AA9657" s="235"/>
      <c r="AB9657" s="234"/>
    </row>
    <row r="9658" ht="14.5" customHeight="1" spans="11:28" x14ac:dyDescent="0.25">
      <c r="K9658" s="128"/>
      <c r="X9658" s="234"/>
      <c r="Y9658" s="234"/>
      <c r="Z9658" s="234"/>
      <c r="AA9658" s="235"/>
      <c r="AB9658" s="234"/>
    </row>
    <row r="9659" ht="14.5" customHeight="1" spans="11:28" x14ac:dyDescent="0.25">
      <c r="K9659" s="128"/>
      <c r="X9659" s="234"/>
      <c r="Y9659" s="234"/>
      <c r="Z9659" s="234"/>
      <c r="AA9659" s="235"/>
      <c r="AB9659" s="234"/>
    </row>
    <row r="9660" ht="14.5" customHeight="1" spans="11:28" x14ac:dyDescent="0.25">
      <c r="K9660" s="128"/>
      <c r="X9660" s="234"/>
      <c r="Y9660" s="234"/>
      <c r="Z9660" s="234"/>
      <c r="AA9660" s="235"/>
      <c r="AB9660" s="234"/>
    </row>
    <row r="9661" ht="14.5" customHeight="1" spans="11:28" x14ac:dyDescent="0.25">
      <c r="K9661" s="128"/>
      <c r="X9661" s="234"/>
      <c r="Y9661" s="234"/>
      <c r="Z9661" s="234"/>
      <c r="AA9661" s="235"/>
      <c r="AB9661" s="234"/>
    </row>
    <row r="9662" ht="14.5" customHeight="1" spans="11:28" x14ac:dyDescent="0.25">
      <c r="K9662" s="128"/>
      <c r="X9662" s="234"/>
      <c r="Y9662" s="234"/>
      <c r="Z9662" s="234"/>
      <c r="AA9662" s="235"/>
      <c r="AB9662" s="234"/>
    </row>
    <row r="9663" ht="14.5" customHeight="1" spans="11:28" x14ac:dyDescent="0.25">
      <c r="K9663" s="128"/>
      <c r="X9663" s="234"/>
      <c r="Y9663" s="234"/>
      <c r="Z9663" s="234"/>
      <c r="AA9663" s="235"/>
      <c r="AB9663" s="234"/>
    </row>
    <row r="9664" ht="14.5" customHeight="1" spans="11:28" x14ac:dyDescent="0.25">
      <c r="K9664" s="128"/>
      <c r="X9664" s="234"/>
      <c r="Y9664" s="234"/>
      <c r="Z9664" s="234"/>
      <c r="AA9664" s="235"/>
      <c r="AB9664" s="234"/>
    </row>
    <row r="9665" ht="14.5" customHeight="1" spans="11:28" x14ac:dyDescent="0.25">
      <c r="K9665" s="128"/>
      <c r="X9665" s="234"/>
      <c r="Y9665" s="234"/>
      <c r="Z9665" s="234"/>
      <c r="AA9665" s="235"/>
      <c r="AB9665" s="234"/>
    </row>
    <row r="9666" ht="14.5" customHeight="1" spans="11:28" x14ac:dyDescent="0.25">
      <c r="K9666" s="128"/>
      <c r="X9666" s="234"/>
      <c r="Y9666" s="234"/>
      <c r="Z9666" s="234"/>
      <c r="AA9666" s="235"/>
      <c r="AB9666" s="234"/>
    </row>
    <row r="9667" ht="14.5" customHeight="1" spans="11:28" x14ac:dyDescent="0.25">
      <c r="K9667" s="128"/>
      <c r="X9667" s="234"/>
      <c r="Y9667" s="234"/>
      <c r="Z9667" s="234"/>
      <c r="AA9667" s="235"/>
      <c r="AB9667" s="234"/>
    </row>
    <row r="9668" ht="14.5" customHeight="1" spans="11:28" x14ac:dyDescent="0.25">
      <c r="K9668" s="128"/>
      <c r="X9668" s="234"/>
      <c r="Y9668" s="234"/>
      <c r="Z9668" s="234"/>
      <c r="AA9668" s="235"/>
      <c r="AB9668" s="234"/>
    </row>
    <row r="9669" ht="14.5" customHeight="1" spans="11:28" x14ac:dyDescent="0.25">
      <c r="K9669" s="128"/>
      <c r="X9669" s="234"/>
      <c r="Y9669" s="234"/>
      <c r="Z9669" s="234"/>
      <c r="AA9669" s="235"/>
      <c r="AB9669" s="234"/>
    </row>
    <row r="9670" ht="14.5" customHeight="1" spans="11:28" x14ac:dyDescent="0.25">
      <c r="K9670" s="128"/>
      <c r="X9670" s="234"/>
      <c r="Y9670" s="234"/>
      <c r="Z9670" s="234"/>
      <c r="AA9670" s="235"/>
      <c r="AB9670" s="234"/>
    </row>
    <row r="9671" ht="14.5" customHeight="1" spans="11:28" x14ac:dyDescent="0.25">
      <c r="K9671" s="128"/>
      <c r="X9671" s="234"/>
      <c r="Y9671" s="234"/>
      <c r="Z9671" s="234"/>
      <c r="AA9671" s="235"/>
      <c r="AB9671" s="234"/>
    </row>
    <row r="9672" ht="14.5" customHeight="1" spans="11:28" x14ac:dyDescent="0.25">
      <c r="K9672" s="128"/>
      <c r="X9672" s="234"/>
      <c r="Y9672" s="234"/>
      <c r="Z9672" s="234"/>
      <c r="AA9672" s="235"/>
      <c r="AB9672" s="234"/>
    </row>
    <row r="9673" ht="14.5" customHeight="1" spans="11:28" x14ac:dyDescent="0.25">
      <c r="K9673" s="128"/>
      <c r="X9673" s="234"/>
      <c r="Y9673" s="234"/>
      <c r="Z9673" s="234"/>
      <c r="AA9673" s="235"/>
      <c r="AB9673" s="234"/>
    </row>
    <row r="9674" ht="14.5" customHeight="1" spans="11:28" x14ac:dyDescent="0.25">
      <c r="K9674" s="128"/>
      <c r="X9674" s="234"/>
      <c r="Y9674" s="234"/>
      <c r="Z9674" s="234"/>
      <c r="AA9674" s="235"/>
      <c r="AB9674" s="234"/>
    </row>
    <row r="9675" ht="14.5" customHeight="1" spans="11:28" x14ac:dyDescent="0.25">
      <c r="K9675" s="128"/>
      <c r="X9675" s="234"/>
      <c r="Y9675" s="234"/>
      <c r="Z9675" s="234"/>
      <c r="AA9675" s="235"/>
      <c r="AB9675" s="234"/>
    </row>
    <row r="9676" ht="14.5" customHeight="1" spans="11:28" x14ac:dyDescent="0.25">
      <c r="K9676" s="128"/>
      <c r="X9676" s="234"/>
      <c r="Y9676" s="234"/>
      <c r="Z9676" s="234"/>
      <c r="AA9676" s="235"/>
      <c r="AB9676" s="234"/>
    </row>
    <row r="9677" ht="14.5" customHeight="1" spans="11:28" x14ac:dyDescent="0.25">
      <c r="K9677" s="128"/>
      <c r="X9677" s="234"/>
      <c r="Y9677" s="234"/>
      <c r="Z9677" s="234"/>
      <c r="AA9677" s="235"/>
      <c r="AB9677" s="234"/>
    </row>
    <row r="9678" ht="14.5" customHeight="1" spans="11:28" x14ac:dyDescent="0.25">
      <c r="K9678" s="128"/>
      <c r="X9678" s="234"/>
      <c r="Y9678" s="234"/>
      <c r="Z9678" s="234"/>
      <c r="AA9678" s="235"/>
      <c r="AB9678" s="234"/>
    </row>
    <row r="9679" ht="14.5" customHeight="1" spans="11:28" x14ac:dyDescent="0.25">
      <c r="K9679" s="128"/>
      <c r="X9679" s="234"/>
      <c r="Y9679" s="234"/>
      <c r="Z9679" s="234"/>
      <c r="AA9679" s="235"/>
      <c r="AB9679" s="234"/>
    </row>
    <row r="9680" ht="14.5" customHeight="1" spans="11:28" x14ac:dyDescent="0.25">
      <c r="K9680" s="128"/>
      <c r="X9680" s="234"/>
      <c r="Y9680" s="234"/>
      <c r="Z9680" s="234"/>
      <c r="AA9680" s="235"/>
      <c r="AB9680" s="234"/>
    </row>
    <row r="9681" ht="14.5" customHeight="1" spans="11:28" x14ac:dyDescent="0.25">
      <c r="K9681" s="128"/>
      <c r="X9681" s="234"/>
      <c r="Y9681" s="234"/>
      <c r="Z9681" s="234"/>
      <c r="AA9681" s="235"/>
      <c r="AB9681" s="234"/>
    </row>
    <row r="9682" ht="14.5" customHeight="1" spans="11:28" x14ac:dyDescent="0.25">
      <c r="K9682" s="128"/>
      <c r="X9682" s="234"/>
      <c r="Y9682" s="234"/>
      <c r="Z9682" s="234"/>
      <c r="AA9682" s="235"/>
      <c r="AB9682" s="234"/>
    </row>
    <row r="9683" ht="14.5" customHeight="1" spans="11:28" x14ac:dyDescent="0.25">
      <c r="K9683" s="128"/>
      <c r="X9683" s="234"/>
      <c r="Y9683" s="234"/>
      <c r="Z9683" s="234"/>
      <c r="AA9683" s="235"/>
      <c r="AB9683" s="234"/>
    </row>
    <row r="9684" ht="14.5" customHeight="1" spans="11:28" x14ac:dyDescent="0.25">
      <c r="K9684" s="128"/>
      <c r="X9684" s="234"/>
      <c r="Y9684" s="234"/>
      <c r="Z9684" s="234"/>
      <c r="AA9684" s="235"/>
      <c r="AB9684" s="234"/>
    </row>
    <row r="9685" ht="14.5" customHeight="1" spans="11:28" x14ac:dyDescent="0.25">
      <c r="K9685" s="128"/>
      <c r="X9685" s="234"/>
      <c r="Y9685" s="234"/>
      <c r="Z9685" s="234"/>
      <c r="AA9685" s="235"/>
      <c r="AB9685" s="234"/>
    </row>
    <row r="9686" ht="14.5" customHeight="1" spans="11:28" x14ac:dyDescent="0.25">
      <c r="K9686" s="128"/>
      <c r="X9686" s="234"/>
      <c r="Y9686" s="234"/>
      <c r="Z9686" s="234"/>
      <c r="AA9686" s="235"/>
      <c r="AB9686" s="234"/>
    </row>
    <row r="9687" ht="14.5" customHeight="1" spans="11:28" x14ac:dyDescent="0.25">
      <c r="K9687" s="128"/>
      <c r="X9687" s="234"/>
      <c r="Y9687" s="234"/>
      <c r="Z9687" s="234"/>
      <c r="AA9687" s="235"/>
      <c r="AB9687" s="234"/>
    </row>
    <row r="9688" ht="14.5" customHeight="1" spans="11:28" x14ac:dyDescent="0.25">
      <c r="K9688" s="128"/>
      <c r="X9688" s="234"/>
      <c r="Y9688" s="234"/>
      <c r="Z9688" s="234"/>
      <c r="AA9688" s="235"/>
      <c r="AB9688" s="234"/>
    </row>
    <row r="9689" ht="14.5" customHeight="1" spans="11:28" x14ac:dyDescent="0.25">
      <c r="K9689" s="128"/>
      <c r="X9689" s="234"/>
      <c r="Y9689" s="234"/>
      <c r="Z9689" s="234"/>
      <c r="AA9689" s="235"/>
      <c r="AB9689" s="234"/>
    </row>
    <row r="9690" ht="14.5" customHeight="1" spans="11:28" x14ac:dyDescent="0.25">
      <c r="K9690" s="128"/>
      <c r="X9690" s="234"/>
      <c r="Y9690" s="234"/>
      <c r="Z9690" s="234"/>
      <c r="AA9690" s="235"/>
      <c r="AB9690" s="234"/>
    </row>
    <row r="9691" ht="14.5" customHeight="1" spans="11:28" x14ac:dyDescent="0.25">
      <c r="K9691" s="128"/>
      <c r="X9691" s="234"/>
      <c r="Y9691" s="234"/>
      <c r="Z9691" s="234"/>
      <c r="AA9691" s="235"/>
      <c r="AB9691" s="234"/>
    </row>
    <row r="9692" ht="14.5" customHeight="1" spans="11:28" x14ac:dyDescent="0.25">
      <c r="K9692" s="128"/>
      <c r="X9692" s="234"/>
      <c r="Y9692" s="234"/>
      <c r="Z9692" s="234"/>
      <c r="AA9692" s="235"/>
      <c r="AB9692" s="234"/>
    </row>
    <row r="9693" ht="14.5" customHeight="1" spans="11:28" x14ac:dyDescent="0.25">
      <c r="K9693" s="128"/>
      <c r="X9693" s="234"/>
      <c r="Y9693" s="234"/>
      <c r="Z9693" s="234"/>
      <c r="AA9693" s="235"/>
      <c r="AB9693" s="234"/>
    </row>
    <row r="9694" ht="14.5" customHeight="1" spans="11:28" x14ac:dyDescent="0.25">
      <c r="K9694" s="128"/>
      <c r="X9694" s="234"/>
      <c r="Y9694" s="234"/>
      <c r="Z9694" s="234"/>
      <c r="AA9694" s="235"/>
      <c r="AB9694" s="234"/>
    </row>
    <row r="9695" ht="14.5" customHeight="1" spans="11:28" x14ac:dyDescent="0.25">
      <c r="K9695" s="128"/>
      <c r="X9695" s="234"/>
      <c r="Y9695" s="234"/>
      <c r="Z9695" s="234"/>
      <c r="AA9695" s="235"/>
      <c r="AB9695" s="234"/>
    </row>
    <row r="9696" ht="14.5" customHeight="1" spans="11:28" x14ac:dyDescent="0.25">
      <c r="K9696" s="128"/>
      <c r="X9696" s="234"/>
      <c r="Y9696" s="234"/>
      <c r="Z9696" s="234"/>
      <c r="AA9696" s="235"/>
      <c r="AB9696" s="234"/>
    </row>
    <row r="9697" ht="14.5" customHeight="1" spans="11:28" x14ac:dyDescent="0.25">
      <c r="K9697" s="128"/>
      <c r="X9697" s="234"/>
      <c r="Y9697" s="234"/>
      <c r="Z9697" s="234"/>
      <c r="AA9697" s="235"/>
      <c r="AB9697" s="234"/>
    </row>
    <row r="9698" ht="14.5" customHeight="1" spans="11:28" x14ac:dyDescent="0.25">
      <c r="K9698" s="128"/>
      <c r="X9698" s="234"/>
      <c r="Y9698" s="234"/>
      <c r="Z9698" s="234"/>
      <c r="AA9698" s="235"/>
      <c r="AB9698" s="234"/>
    </row>
    <row r="9699" ht="14.5" customHeight="1" spans="11:28" x14ac:dyDescent="0.25">
      <c r="K9699" s="128"/>
      <c r="X9699" s="234"/>
      <c r="Y9699" s="234"/>
      <c r="Z9699" s="234"/>
      <c r="AA9699" s="235"/>
      <c r="AB9699" s="234"/>
    </row>
    <row r="9700" ht="14.5" customHeight="1" spans="11:28" x14ac:dyDescent="0.25">
      <c r="K9700" s="128"/>
      <c r="X9700" s="234"/>
      <c r="Y9700" s="234"/>
      <c r="Z9700" s="234"/>
      <c r="AA9700" s="235"/>
      <c r="AB9700" s="234"/>
    </row>
    <row r="9701" ht="14.5" customHeight="1" spans="11:28" x14ac:dyDescent="0.25">
      <c r="K9701" s="128"/>
      <c r="X9701" s="234"/>
      <c r="Y9701" s="234"/>
      <c r="Z9701" s="234"/>
      <c r="AA9701" s="235"/>
      <c r="AB9701" s="234"/>
    </row>
    <row r="9702" ht="14.5" customHeight="1" spans="11:28" x14ac:dyDescent="0.25">
      <c r="K9702" s="128"/>
      <c r="X9702" s="234"/>
      <c r="Y9702" s="234"/>
      <c r="Z9702" s="234"/>
      <c r="AA9702" s="235"/>
      <c r="AB9702" s="234"/>
    </row>
    <row r="9703" ht="14.5" customHeight="1" spans="11:28" x14ac:dyDescent="0.25">
      <c r="K9703" s="128"/>
      <c r="X9703" s="234"/>
      <c r="Y9703" s="234"/>
      <c r="Z9703" s="234"/>
      <c r="AA9703" s="235"/>
      <c r="AB9703" s="234"/>
    </row>
    <row r="9704" ht="14.5" customHeight="1" spans="11:28" x14ac:dyDescent="0.25">
      <c r="K9704" s="128"/>
      <c r="X9704" s="234"/>
      <c r="Y9704" s="234"/>
      <c r="Z9704" s="234"/>
      <c r="AA9704" s="235"/>
      <c r="AB9704" s="234"/>
    </row>
    <row r="9705" ht="14.5" customHeight="1" spans="11:28" x14ac:dyDescent="0.25">
      <c r="K9705" s="128"/>
      <c r="X9705" s="234"/>
      <c r="Y9705" s="234"/>
      <c r="Z9705" s="234"/>
      <c r="AA9705" s="235"/>
      <c r="AB9705" s="234"/>
    </row>
    <row r="9706" ht="14.5" customHeight="1" spans="11:28" x14ac:dyDescent="0.25">
      <c r="K9706" s="128"/>
      <c r="X9706" s="234"/>
      <c r="Y9706" s="234"/>
      <c r="Z9706" s="234"/>
      <c r="AA9706" s="235"/>
      <c r="AB9706" s="234"/>
    </row>
    <row r="9707" ht="14.5" customHeight="1" spans="11:28" x14ac:dyDescent="0.25">
      <c r="K9707" s="128"/>
      <c r="X9707" s="234"/>
      <c r="Y9707" s="234"/>
      <c r="Z9707" s="234"/>
      <c r="AA9707" s="235"/>
      <c r="AB9707" s="234"/>
    </row>
    <row r="9708" ht="14.5" customHeight="1" spans="11:28" x14ac:dyDescent="0.25">
      <c r="K9708" s="128"/>
      <c r="X9708" s="234"/>
      <c r="Y9708" s="234"/>
      <c r="Z9708" s="234"/>
      <c r="AA9708" s="235"/>
      <c r="AB9708" s="234"/>
    </row>
    <row r="9709" ht="14.5" customHeight="1" spans="11:28" x14ac:dyDescent="0.25">
      <c r="K9709" s="128"/>
      <c r="X9709" s="234"/>
      <c r="Y9709" s="234"/>
      <c r="Z9709" s="234"/>
      <c r="AA9709" s="235"/>
      <c r="AB9709" s="234"/>
    </row>
    <row r="9710" ht="14.5" customHeight="1" spans="11:28" x14ac:dyDescent="0.25">
      <c r="K9710" s="128"/>
      <c r="X9710" s="234"/>
      <c r="Y9710" s="234"/>
      <c r="Z9710" s="234"/>
      <c r="AA9710" s="235"/>
      <c r="AB9710" s="234"/>
    </row>
    <row r="9711" ht="14.5" customHeight="1" spans="11:28" x14ac:dyDescent="0.25">
      <c r="K9711" s="128"/>
      <c r="X9711" s="234"/>
      <c r="Y9711" s="234"/>
      <c r="Z9711" s="234"/>
      <c r="AA9711" s="235"/>
      <c r="AB9711" s="234"/>
    </row>
    <row r="9712" ht="14.5" customHeight="1" spans="11:28" x14ac:dyDescent="0.25">
      <c r="K9712" s="128"/>
      <c r="X9712" s="234"/>
      <c r="Y9712" s="234"/>
      <c r="Z9712" s="234"/>
      <c r="AA9712" s="235"/>
      <c r="AB9712" s="234"/>
    </row>
    <row r="9713" ht="14.5" customHeight="1" spans="11:28" x14ac:dyDescent="0.25">
      <c r="K9713" s="128"/>
      <c r="X9713" s="234"/>
      <c r="Y9713" s="234"/>
      <c r="Z9713" s="234"/>
      <c r="AA9713" s="235"/>
      <c r="AB9713" s="234"/>
    </row>
    <row r="9714" ht="14.5" customHeight="1" spans="11:28" x14ac:dyDescent="0.25">
      <c r="K9714" s="128"/>
      <c r="X9714" s="234"/>
      <c r="Y9714" s="234"/>
      <c r="Z9714" s="234"/>
      <c r="AA9714" s="235"/>
      <c r="AB9714" s="234"/>
    </row>
    <row r="9715" ht="14.5" customHeight="1" spans="11:28" x14ac:dyDescent="0.25">
      <c r="K9715" s="128"/>
      <c r="X9715" s="234"/>
      <c r="Y9715" s="234"/>
      <c r="Z9715" s="234"/>
      <c r="AA9715" s="235"/>
      <c r="AB9715" s="234"/>
    </row>
    <row r="9716" ht="14.5" customHeight="1" spans="11:28" x14ac:dyDescent="0.25">
      <c r="K9716" s="128"/>
      <c r="X9716" s="234"/>
      <c r="Y9716" s="234"/>
      <c r="Z9716" s="234"/>
      <c r="AA9716" s="235"/>
      <c r="AB9716" s="234"/>
    </row>
    <row r="9717" ht="14.5" customHeight="1" spans="11:28" x14ac:dyDescent="0.25">
      <c r="K9717" s="128"/>
      <c r="X9717" s="234"/>
      <c r="Y9717" s="234"/>
      <c r="Z9717" s="234"/>
      <c r="AA9717" s="235"/>
      <c r="AB9717" s="234"/>
    </row>
    <row r="9718" ht="14.5" customHeight="1" spans="11:28" x14ac:dyDescent="0.25">
      <c r="K9718" s="128"/>
      <c r="X9718" s="234"/>
      <c r="Y9718" s="234"/>
      <c r="Z9718" s="234"/>
      <c r="AA9718" s="235"/>
      <c r="AB9718" s="234"/>
    </row>
    <row r="9719" ht="14.5" customHeight="1" spans="11:28" x14ac:dyDescent="0.25">
      <c r="K9719" s="128"/>
      <c r="X9719" s="234"/>
      <c r="Y9719" s="234"/>
      <c r="Z9719" s="234"/>
      <c r="AA9719" s="235"/>
      <c r="AB9719" s="234"/>
    </row>
    <row r="9720" ht="14.5" customHeight="1" spans="11:28" x14ac:dyDescent="0.25">
      <c r="K9720" s="128"/>
      <c r="X9720" s="234"/>
      <c r="Y9720" s="234"/>
      <c r="Z9720" s="234"/>
      <c r="AA9720" s="235"/>
      <c r="AB9720" s="234"/>
    </row>
    <row r="9721" ht="14.5" customHeight="1" spans="11:28" x14ac:dyDescent="0.25">
      <c r="K9721" s="128"/>
      <c r="X9721" s="234"/>
      <c r="Y9721" s="234"/>
      <c r="Z9721" s="234"/>
      <c r="AA9721" s="235"/>
      <c r="AB9721" s="234"/>
    </row>
    <row r="9722" ht="14.5" customHeight="1" spans="11:28" x14ac:dyDescent="0.25">
      <c r="K9722" s="128"/>
      <c r="X9722" s="234"/>
      <c r="Y9722" s="234"/>
      <c r="Z9722" s="234"/>
      <c r="AA9722" s="235"/>
      <c r="AB9722" s="234"/>
    </row>
    <row r="9723" ht="14.5" customHeight="1" spans="11:28" x14ac:dyDescent="0.25">
      <c r="K9723" s="128"/>
      <c r="X9723" s="234"/>
      <c r="Y9723" s="234"/>
      <c r="Z9723" s="234"/>
      <c r="AA9723" s="235"/>
      <c r="AB9723" s="234"/>
    </row>
    <row r="9724" ht="14.5" customHeight="1" spans="11:28" x14ac:dyDescent="0.25">
      <c r="K9724" s="128"/>
      <c r="X9724" s="234"/>
      <c r="Y9724" s="234"/>
      <c r="Z9724" s="234"/>
      <c r="AA9724" s="235"/>
      <c r="AB9724" s="234"/>
    </row>
    <row r="9725" ht="14.5" customHeight="1" spans="11:28" x14ac:dyDescent="0.25">
      <c r="K9725" s="128"/>
      <c r="X9725" s="234"/>
      <c r="Y9725" s="234"/>
      <c r="Z9725" s="234"/>
      <c r="AA9725" s="235"/>
      <c r="AB9725" s="234"/>
    </row>
    <row r="9726" ht="14.5" customHeight="1" spans="11:28" x14ac:dyDescent="0.25">
      <c r="K9726" s="128"/>
      <c r="X9726" s="234"/>
      <c r="Y9726" s="234"/>
      <c r="Z9726" s="234"/>
      <c r="AA9726" s="235"/>
      <c r="AB9726" s="234"/>
    </row>
    <row r="9727" ht="14.5" customHeight="1" spans="11:28" x14ac:dyDescent="0.25">
      <c r="K9727" s="128"/>
      <c r="X9727" s="234"/>
      <c r="Y9727" s="234"/>
      <c r="Z9727" s="234"/>
      <c r="AA9727" s="235"/>
      <c r="AB9727" s="234"/>
    </row>
    <row r="9728" ht="14.5" customHeight="1" spans="11:28" x14ac:dyDescent="0.25">
      <c r="K9728" s="128"/>
      <c r="X9728" s="234"/>
      <c r="Y9728" s="234"/>
      <c r="Z9728" s="234"/>
      <c r="AA9728" s="235"/>
      <c r="AB9728" s="234"/>
    </row>
    <row r="9729" ht="14.5" customHeight="1" spans="11:28" x14ac:dyDescent="0.25">
      <c r="K9729" s="128"/>
      <c r="X9729" s="234"/>
      <c r="Y9729" s="234"/>
      <c r="Z9729" s="234"/>
      <c r="AA9729" s="235"/>
      <c r="AB9729" s="234"/>
    </row>
    <row r="9730" ht="14.5" customHeight="1" spans="11:28" x14ac:dyDescent="0.25">
      <c r="K9730" s="128"/>
      <c r="X9730" s="234"/>
      <c r="Y9730" s="234"/>
      <c r="Z9730" s="234"/>
      <c r="AA9730" s="235"/>
      <c r="AB9730" s="234"/>
    </row>
    <row r="9731" ht="14.5" customHeight="1" spans="11:28" x14ac:dyDescent="0.25">
      <c r="K9731" s="128"/>
      <c r="X9731" s="234"/>
      <c r="Y9731" s="234"/>
      <c r="Z9731" s="234"/>
      <c r="AA9731" s="235"/>
      <c r="AB9731" s="234"/>
    </row>
    <row r="9732" ht="14.5" customHeight="1" spans="11:28" x14ac:dyDescent="0.25">
      <c r="K9732" s="128"/>
      <c r="X9732" s="234"/>
      <c r="Y9732" s="234"/>
      <c r="Z9732" s="234"/>
      <c r="AA9732" s="235"/>
      <c r="AB9732" s="234"/>
    </row>
    <row r="9733" ht="14.5" customHeight="1" spans="11:28" x14ac:dyDescent="0.25">
      <c r="K9733" s="128"/>
      <c r="X9733" s="234"/>
      <c r="Y9733" s="234"/>
      <c r="Z9733" s="234"/>
      <c r="AA9733" s="235"/>
      <c r="AB9733" s="234"/>
    </row>
    <row r="9734" ht="14.5" customHeight="1" spans="11:28" x14ac:dyDescent="0.25">
      <c r="K9734" s="128"/>
      <c r="X9734" s="234"/>
      <c r="Y9734" s="234"/>
      <c r="Z9734" s="234"/>
      <c r="AA9734" s="235"/>
      <c r="AB9734" s="234"/>
    </row>
    <row r="9735" ht="14.5" customHeight="1" spans="11:28" x14ac:dyDescent="0.25">
      <c r="K9735" s="128"/>
      <c r="X9735" s="234"/>
      <c r="Y9735" s="234"/>
      <c r="Z9735" s="234"/>
      <c r="AA9735" s="235"/>
      <c r="AB9735" s="234"/>
    </row>
    <row r="9736" ht="14.5" customHeight="1" spans="11:28" x14ac:dyDescent="0.25">
      <c r="K9736" s="128"/>
      <c r="X9736" s="234"/>
      <c r="Y9736" s="234"/>
      <c r="Z9736" s="234"/>
      <c r="AA9736" s="235"/>
      <c r="AB9736" s="234"/>
    </row>
    <row r="9737" ht="14.5" customHeight="1" spans="11:28" x14ac:dyDescent="0.25">
      <c r="K9737" s="128"/>
      <c r="X9737" s="234"/>
      <c r="Y9737" s="234"/>
      <c r="Z9737" s="234"/>
      <c r="AA9737" s="235"/>
      <c r="AB9737" s="234"/>
    </row>
    <row r="9738" ht="14.5" customHeight="1" spans="11:28" x14ac:dyDescent="0.25">
      <c r="K9738" s="128"/>
      <c r="X9738" s="234"/>
      <c r="Y9738" s="234"/>
      <c r="Z9738" s="234"/>
      <c r="AA9738" s="235"/>
      <c r="AB9738" s="234"/>
    </row>
    <row r="9739" ht="14.5" customHeight="1" spans="11:28" x14ac:dyDescent="0.25">
      <c r="K9739" s="128"/>
      <c r="X9739" s="234"/>
      <c r="Y9739" s="234"/>
      <c r="Z9739" s="234"/>
      <c r="AA9739" s="235"/>
      <c r="AB9739" s="234"/>
    </row>
    <row r="9740" ht="14.5" customHeight="1" spans="11:28" x14ac:dyDescent="0.25">
      <c r="K9740" s="128"/>
      <c r="X9740" s="234"/>
      <c r="Y9740" s="234"/>
      <c r="Z9740" s="234"/>
      <c r="AA9740" s="235"/>
      <c r="AB9740" s="234"/>
    </row>
    <row r="9741" ht="14.5" customHeight="1" spans="11:28" x14ac:dyDescent="0.25">
      <c r="K9741" s="128"/>
      <c r="X9741" s="234"/>
      <c r="Y9741" s="234"/>
      <c r="Z9741" s="234"/>
      <c r="AA9741" s="235"/>
      <c r="AB9741" s="234"/>
    </row>
    <row r="9742" ht="14.5" customHeight="1" spans="11:28" x14ac:dyDescent="0.25">
      <c r="K9742" s="128"/>
      <c r="X9742" s="234"/>
      <c r="Y9742" s="234"/>
      <c r="Z9742" s="234"/>
      <c r="AA9742" s="235"/>
      <c r="AB9742" s="234"/>
    </row>
    <row r="9743" ht="14.5" customHeight="1" spans="11:28" x14ac:dyDescent="0.25">
      <c r="K9743" s="128"/>
      <c r="X9743" s="234"/>
      <c r="Y9743" s="234"/>
      <c r="Z9743" s="234"/>
      <c r="AA9743" s="235"/>
      <c r="AB9743" s="234"/>
    </row>
    <row r="9744" ht="14.5" customHeight="1" spans="11:28" x14ac:dyDescent="0.25">
      <c r="K9744" s="128"/>
      <c r="X9744" s="234"/>
      <c r="Y9744" s="234"/>
      <c r="Z9744" s="234"/>
      <c r="AA9744" s="235"/>
      <c r="AB9744" s="234"/>
    </row>
    <row r="9745" ht="14.5" customHeight="1" spans="11:28" x14ac:dyDescent="0.25">
      <c r="K9745" s="128"/>
      <c r="X9745" s="234"/>
      <c r="Y9745" s="234"/>
      <c r="Z9745" s="234"/>
      <c r="AA9745" s="235"/>
      <c r="AB9745" s="234"/>
    </row>
    <row r="9746" ht="14.5" customHeight="1" spans="11:28" x14ac:dyDescent="0.25">
      <c r="K9746" s="128"/>
      <c r="X9746" s="234"/>
      <c r="Y9746" s="234"/>
      <c r="Z9746" s="234"/>
      <c r="AA9746" s="235"/>
      <c r="AB9746" s="234"/>
    </row>
    <row r="9747" ht="14.5" customHeight="1" spans="11:28" x14ac:dyDescent="0.25">
      <c r="K9747" s="128"/>
      <c r="X9747" s="234"/>
      <c r="Y9747" s="234"/>
      <c r="Z9747" s="234"/>
      <c r="AA9747" s="235"/>
      <c r="AB9747" s="234"/>
    </row>
    <row r="9748" ht="14.5" customHeight="1" spans="11:28" x14ac:dyDescent="0.25">
      <c r="K9748" s="128"/>
      <c r="X9748" s="234"/>
      <c r="Y9748" s="234"/>
      <c r="Z9748" s="234"/>
      <c r="AA9748" s="235"/>
      <c r="AB9748" s="234"/>
    </row>
    <row r="9749" ht="14.5" customHeight="1" spans="11:28" x14ac:dyDescent="0.25">
      <c r="K9749" s="128"/>
      <c r="X9749" s="234"/>
      <c r="Y9749" s="234"/>
      <c r="Z9749" s="234"/>
      <c r="AA9749" s="235"/>
      <c r="AB9749" s="234"/>
    </row>
    <row r="9750" ht="14.5" customHeight="1" spans="11:28" x14ac:dyDescent="0.25">
      <c r="K9750" s="128"/>
      <c r="X9750" s="234"/>
      <c r="Y9750" s="234"/>
      <c r="Z9750" s="234"/>
      <c r="AA9750" s="235"/>
      <c r="AB9750" s="234"/>
    </row>
    <row r="9751" ht="14.5" customHeight="1" spans="11:28" x14ac:dyDescent="0.25">
      <c r="K9751" s="128"/>
      <c r="X9751" s="234"/>
      <c r="Y9751" s="234"/>
      <c r="Z9751" s="234"/>
      <c r="AA9751" s="235"/>
      <c r="AB9751" s="234"/>
    </row>
    <row r="9752" ht="14.5" customHeight="1" spans="11:28" x14ac:dyDescent="0.25">
      <c r="K9752" s="128"/>
      <c r="X9752" s="234"/>
      <c r="Y9752" s="234"/>
      <c r="Z9752" s="234"/>
      <c r="AA9752" s="235"/>
      <c r="AB9752" s="234"/>
    </row>
    <row r="9753" ht="14.5" customHeight="1" spans="11:28" x14ac:dyDescent="0.25">
      <c r="K9753" s="128"/>
      <c r="X9753" s="234"/>
      <c r="Y9753" s="234"/>
      <c r="Z9753" s="234"/>
      <c r="AA9753" s="235"/>
      <c r="AB9753" s="234"/>
    </row>
    <row r="9754" ht="14.5" customHeight="1" spans="11:28" x14ac:dyDescent="0.25">
      <c r="K9754" s="128"/>
      <c r="X9754" s="234"/>
      <c r="Y9754" s="234"/>
      <c r="Z9754" s="234"/>
      <c r="AA9754" s="235"/>
      <c r="AB9754" s="234"/>
    </row>
    <row r="9755" ht="14.5" customHeight="1" spans="11:28" x14ac:dyDescent="0.25">
      <c r="K9755" s="128"/>
      <c r="X9755" s="234"/>
      <c r="Y9755" s="234"/>
      <c r="Z9755" s="234"/>
      <c r="AA9755" s="235"/>
      <c r="AB9755" s="234"/>
    </row>
    <row r="9756" ht="14.5" customHeight="1" spans="11:28" x14ac:dyDescent="0.25">
      <c r="K9756" s="128"/>
      <c r="X9756" s="234"/>
      <c r="Y9756" s="234"/>
      <c r="Z9756" s="234"/>
      <c r="AA9756" s="235"/>
      <c r="AB9756" s="234"/>
    </row>
    <row r="9757" ht="14.5" customHeight="1" spans="11:28" x14ac:dyDescent="0.25">
      <c r="K9757" s="128"/>
      <c r="X9757" s="234"/>
      <c r="Y9757" s="234"/>
      <c r="Z9757" s="234"/>
      <c r="AA9757" s="235"/>
      <c r="AB9757" s="234"/>
    </row>
    <row r="9758" ht="14.5" customHeight="1" spans="11:28" x14ac:dyDescent="0.25">
      <c r="K9758" s="128"/>
      <c r="X9758" s="234"/>
      <c r="Y9758" s="234"/>
      <c r="Z9758" s="234"/>
      <c r="AA9758" s="235"/>
      <c r="AB9758" s="234"/>
    </row>
    <row r="9759" ht="14.5" customHeight="1" spans="11:28" x14ac:dyDescent="0.25">
      <c r="K9759" s="128"/>
      <c r="X9759" s="234"/>
      <c r="Y9759" s="234"/>
      <c r="Z9759" s="234"/>
      <c r="AA9759" s="235"/>
      <c r="AB9759" s="234"/>
    </row>
    <row r="9760" ht="14.5" customHeight="1" spans="11:28" x14ac:dyDescent="0.25">
      <c r="K9760" s="128"/>
      <c r="X9760" s="234"/>
      <c r="Y9760" s="234"/>
      <c r="Z9760" s="234"/>
      <c r="AA9760" s="235"/>
      <c r="AB9760" s="234"/>
    </row>
    <row r="9761" ht="14.5" customHeight="1" spans="11:28" x14ac:dyDescent="0.25">
      <c r="K9761" s="128"/>
      <c r="X9761" s="234"/>
      <c r="Y9761" s="234"/>
      <c r="Z9761" s="234"/>
      <c r="AA9761" s="235"/>
      <c r="AB9761" s="234"/>
    </row>
    <row r="9762" ht="14.5" customHeight="1" spans="11:28" x14ac:dyDescent="0.25">
      <c r="K9762" s="128"/>
      <c r="X9762" s="234"/>
      <c r="Y9762" s="234"/>
      <c r="Z9762" s="234"/>
      <c r="AA9762" s="235"/>
      <c r="AB9762" s="234"/>
    </row>
    <row r="9763" ht="14.5" customHeight="1" spans="11:28" x14ac:dyDescent="0.25">
      <c r="K9763" s="128"/>
      <c r="X9763" s="234"/>
      <c r="Y9763" s="234"/>
      <c r="Z9763" s="234"/>
      <c r="AA9763" s="235"/>
      <c r="AB9763" s="234"/>
    </row>
    <row r="9764" ht="14.5" customHeight="1" spans="11:28" x14ac:dyDescent="0.25">
      <c r="K9764" s="128"/>
      <c r="X9764" s="234"/>
      <c r="Y9764" s="234"/>
      <c r="Z9764" s="234"/>
      <c r="AA9764" s="235"/>
      <c r="AB9764" s="234"/>
    </row>
    <row r="9765" ht="14.5" customHeight="1" spans="11:28" x14ac:dyDescent="0.25">
      <c r="K9765" s="128"/>
      <c r="X9765" s="234"/>
      <c r="Y9765" s="234"/>
      <c r="Z9765" s="234"/>
      <c r="AA9765" s="235"/>
      <c r="AB9765" s="234"/>
    </row>
    <row r="9766" ht="14.5" customHeight="1" spans="11:28" x14ac:dyDescent="0.25">
      <c r="K9766" s="128"/>
      <c r="X9766" s="234"/>
      <c r="Y9766" s="234"/>
      <c r="Z9766" s="234"/>
      <c r="AA9766" s="235"/>
      <c r="AB9766" s="234"/>
    </row>
    <row r="9767" ht="14.5" customHeight="1" spans="11:28" x14ac:dyDescent="0.25">
      <c r="K9767" s="128"/>
      <c r="X9767" s="234"/>
      <c r="Y9767" s="234"/>
      <c r="Z9767" s="234"/>
      <c r="AA9767" s="235"/>
      <c r="AB9767" s="234"/>
    </row>
    <row r="9768" ht="14.5" customHeight="1" spans="11:28" x14ac:dyDescent="0.25">
      <c r="K9768" s="128"/>
      <c r="X9768" s="234"/>
      <c r="Y9768" s="234"/>
      <c r="Z9768" s="234"/>
      <c r="AA9768" s="235"/>
      <c r="AB9768" s="234"/>
    </row>
    <row r="9769" ht="14.5" customHeight="1" spans="11:28" x14ac:dyDescent="0.25">
      <c r="K9769" s="128"/>
      <c r="X9769" s="234"/>
      <c r="Y9769" s="234"/>
      <c r="Z9769" s="234"/>
      <c r="AA9769" s="235"/>
      <c r="AB9769" s="234"/>
    </row>
    <row r="9770" ht="14.5" customHeight="1" spans="11:28" x14ac:dyDescent="0.25">
      <c r="K9770" s="128"/>
      <c r="X9770" s="234"/>
      <c r="Y9770" s="234"/>
      <c r="Z9770" s="234"/>
      <c r="AA9770" s="235"/>
      <c r="AB9770" s="234"/>
    </row>
    <row r="9771" ht="14.5" customHeight="1" spans="11:28" x14ac:dyDescent="0.25">
      <c r="K9771" s="128"/>
      <c r="X9771" s="234"/>
      <c r="Y9771" s="234"/>
      <c r="Z9771" s="234"/>
      <c r="AA9771" s="235"/>
      <c r="AB9771" s="234"/>
    </row>
    <row r="9772" ht="14.5" customHeight="1" spans="11:28" x14ac:dyDescent="0.25">
      <c r="K9772" s="128"/>
      <c r="X9772" s="234"/>
      <c r="Y9772" s="234"/>
      <c r="Z9772" s="234"/>
      <c r="AA9772" s="235"/>
      <c r="AB9772" s="234"/>
    </row>
    <row r="9773" ht="14.5" customHeight="1" spans="11:28" x14ac:dyDescent="0.25">
      <c r="K9773" s="128"/>
      <c r="X9773" s="234"/>
      <c r="Y9773" s="234"/>
      <c r="Z9773" s="234"/>
      <c r="AA9773" s="235"/>
      <c r="AB9773" s="234"/>
    </row>
    <row r="9774" ht="14.5" customHeight="1" spans="11:28" x14ac:dyDescent="0.25">
      <c r="K9774" s="128"/>
      <c r="X9774" s="234"/>
      <c r="Y9774" s="234"/>
      <c r="Z9774" s="234"/>
      <c r="AA9774" s="235"/>
      <c r="AB9774" s="234"/>
    </row>
    <row r="9775" ht="14.5" customHeight="1" spans="11:28" x14ac:dyDescent="0.25">
      <c r="K9775" s="128"/>
      <c r="X9775" s="234"/>
      <c r="Y9775" s="234"/>
      <c r="Z9775" s="234"/>
      <c r="AA9775" s="235"/>
      <c r="AB9775" s="234"/>
    </row>
    <row r="9776" ht="14.5" customHeight="1" spans="11:28" x14ac:dyDescent="0.25">
      <c r="K9776" s="128"/>
      <c r="X9776" s="234"/>
      <c r="Y9776" s="234"/>
      <c r="Z9776" s="234"/>
      <c r="AA9776" s="235"/>
      <c r="AB9776" s="234"/>
    </row>
    <row r="9777" ht="14.5" customHeight="1" spans="11:28" x14ac:dyDescent="0.25">
      <c r="K9777" s="128"/>
      <c r="X9777" s="234"/>
      <c r="Y9777" s="234"/>
      <c r="Z9777" s="234"/>
      <c r="AA9777" s="235"/>
      <c r="AB9777" s="234"/>
    </row>
    <row r="9778" ht="14.5" customHeight="1" spans="11:28" x14ac:dyDescent="0.25">
      <c r="K9778" s="128"/>
      <c r="X9778" s="234"/>
      <c r="Y9778" s="234"/>
      <c r="Z9778" s="234"/>
      <c r="AA9778" s="235"/>
      <c r="AB9778" s="234"/>
    </row>
    <row r="9779" ht="14.5" customHeight="1" spans="11:28" x14ac:dyDescent="0.25">
      <c r="K9779" s="128"/>
      <c r="X9779" s="234"/>
      <c r="Y9779" s="234"/>
      <c r="Z9779" s="234"/>
      <c r="AA9779" s="235"/>
      <c r="AB9779" s="234"/>
    </row>
    <row r="9780" ht="14.5" customHeight="1" spans="11:28" x14ac:dyDescent="0.25">
      <c r="K9780" s="128"/>
      <c r="X9780" s="234"/>
      <c r="Y9780" s="234"/>
      <c r="Z9780" s="234"/>
      <c r="AA9780" s="235"/>
      <c r="AB9780" s="234"/>
    </row>
    <row r="9781" ht="14.5" customHeight="1" spans="11:28" x14ac:dyDescent="0.25">
      <c r="K9781" s="128"/>
      <c r="X9781" s="234"/>
      <c r="Y9781" s="234"/>
      <c r="Z9781" s="234"/>
      <c r="AA9781" s="235"/>
      <c r="AB9781" s="234"/>
    </row>
    <row r="9782" ht="14.5" customHeight="1" spans="11:28" x14ac:dyDescent="0.25">
      <c r="K9782" s="128"/>
      <c r="X9782" s="234"/>
      <c r="Y9782" s="234"/>
      <c r="Z9782" s="234"/>
      <c r="AA9782" s="235"/>
      <c r="AB9782" s="234"/>
    </row>
    <row r="9783" ht="14.5" customHeight="1" spans="11:28" x14ac:dyDescent="0.25">
      <c r="K9783" s="128"/>
      <c r="X9783" s="234"/>
      <c r="Y9783" s="234"/>
      <c r="Z9783" s="234"/>
      <c r="AA9783" s="235"/>
      <c r="AB9783" s="234"/>
    </row>
    <row r="9784" ht="14.5" customHeight="1" spans="11:28" x14ac:dyDescent="0.25">
      <c r="K9784" s="128"/>
      <c r="X9784" s="234"/>
      <c r="Y9784" s="234"/>
      <c r="Z9784" s="234"/>
      <c r="AA9784" s="235"/>
      <c r="AB9784" s="234"/>
    </row>
    <row r="9785" ht="14.5" customHeight="1" spans="11:28" x14ac:dyDescent="0.25">
      <c r="K9785" s="128"/>
      <c r="X9785" s="234"/>
      <c r="Y9785" s="234"/>
      <c r="Z9785" s="234"/>
      <c r="AA9785" s="235"/>
      <c r="AB9785" s="234"/>
    </row>
    <row r="9786" ht="14.5" customHeight="1" spans="11:28" x14ac:dyDescent="0.25">
      <c r="K9786" s="128"/>
      <c r="X9786" s="234"/>
      <c r="Y9786" s="234"/>
      <c r="Z9786" s="234"/>
      <c r="AA9786" s="235"/>
      <c r="AB9786" s="234"/>
    </row>
    <row r="9787" ht="14.5" customHeight="1" spans="11:28" x14ac:dyDescent="0.25">
      <c r="K9787" s="128"/>
      <c r="X9787" s="234"/>
      <c r="Y9787" s="234"/>
      <c r="Z9787" s="234"/>
      <c r="AA9787" s="235"/>
      <c r="AB9787" s="234"/>
    </row>
    <row r="9788" ht="14.5" customHeight="1" spans="11:28" x14ac:dyDescent="0.25">
      <c r="K9788" s="128"/>
      <c r="X9788" s="234"/>
      <c r="Y9788" s="234"/>
      <c r="Z9788" s="234"/>
      <c r="AA9788" s="235"/>
      <c r="AB9788" s="234"/>
    </row>
    <row r="9789" ht="14.5" customHeight="1" spans="11:28" x14ac:dyDescent="0.25">
      <c r="K9789" s="128"/>
      <c r="X9789" s="234"/>
      <c r="Y9789" s="234"/>
      <c r="Z9789" s="234"/>
      <c r="AA9789" s="235"/>
      <c r="AB9789" s="234"/>
    </row>
    <row r="9790" ht="14.5" customHeight="1" spans="11:28" x14ac:dyDescent="0.25">
      <c r="K9790" s="128"/>
      <c r="X9790" s="234"/>
      <c r="Y9790" s="234"/>
      <c r="Z9790" s="234"/>
      <c r="AA9790" s="235"/>
      <c r="AB9790" s="234"/>
    </row>
    <row r="9791" ht="14.5" customHeight="1" spans="11:28" x14ac:dyDescent="0.25">
      <c r="K9791" s="128"/>
      <c r="X9791" s="234"/>
      <c r="Y9791" s="234"/>
      <c r="Z9791" s="234"/>
      <c r="AA9791" s="235"/>
      <c r="AB9791" s="234"/>
    </row>
    <row r="9792" ht="14.5" customHeight="1" spans="11:28" x14ac:dyDescent="0.25">
      <c r="K9792" s="128"/>
      <c r="X9792" s="234"/>
      <c r="Y9792" s="234"/>
      <c r="Z9792" s="234"/>
      <c r="AA9792" s="235"/>
      <c r="AB9792" s="234"/>
    </row>
    <row r="9793" ht="14.5" customHeight="1" spans="11:28" x14ac:dyDescent="0.25">
      <c r="K9793" s="128"/>
      <c r="X9793" s="234"/>
      <c r="Y9793" s="234"/>
      <c r="Z9793" s="234"/>
      <c r="AA9793" s="235"/>
      <c r="AB9793" s="234"/>
    </row>
    <row r="9794" ht="14.5" customHeight="1" spans="11:28" x14ac:dyDescent="0.25">
      <c r="K9794" s="128"/>
      <c r="X9794" s="234"/>
      <c r="Y9794" s="234"/>
      <c r="Z9794" s="234"/>
      <c r="AA9794" s="235"/>
      <c r="AB9794" s="234"/>
    </row>
    <row r="9795" ht="14.5" customHeight="1" spans="11:28" x14ac:dyDescent="0.25">
      <c r="K9795" s="128"/>
      <c r="X9795" s="234"/>
      <c r="Y9795" s="234"/>
      <c r="Z9795" s="234"/>
      <c r="AA9795" s="235"/>
      <c r="AB9795" s="234"/>
    </row>
    <row r="9796" ht="14.5" customHeight="1" spans="11:28" x14ac:dyDescent="0.25">
      <c r="K9796" s="128"/>
      <c r="X9796" s="234"/>
      <c r="Y9796" s="234"/>
      <c r="Z9796" s="234"/>
      <c r="AA9796" s="235"/>
      <c r="AB9796" s="234"/>
    </row>
    <row r="9797" ht="14.5" customHeight="1" spans="11:28" x14ac:dyDescent="0.25">
      <c r="K9797" s="128"/>
      <c r="X9797" s="234"/>
      <c r="Y9797" s="234"/>
      <c r="Z9797" s="234"/>
      <c r="AA9797" s="235"/>
      <c r="AB9797" s="234"/>
    </row>
    <row r="9798" ht="14.5" customHeight="1" spans="11:28" x14ac:dyDescent="0.25">
      <c r="K9798" s="128"/>
      <c r="X9798" s="234"/>
      <c r="Y9798" s="234"/>
      <c r="Z9798" s="234"/>
      <c r="AA9798" s="235"/>
      <c r="AB9798" s="234"/>
    </row>
    <row r="9799" ht="14.5" customHeight="1" spans="11:28" x14ac:dyDescent="0.25">
      <c r="K9799" s="128"/>
      <c r="X9799" s="234"/>
      <c r="Y9799" s="234"/>
      <c r="Z9799" s="234"/>
      <c r="AA9799" s="235"/>
      <c r="AB9799" s="234"/>
    </row>
    <row r="9800" ht="14.5" customHeight="1" spans="11:28" x14ac:dyDescent="0.25">
      <c r="K9800" s="128"/>
      <c r="X9800" s="234"/>
      <c r="Y9800" s="234"/>
      <c r="Z9800" s="234"/>
      <c r="AA9800" s="235"/>
      <c r="AB9800" s="234"/>
    </row>
    <row r="9801" ht="14.5" customHeight="1" spans="11:28" x14ac:dyDescent="0.25">
      <c r="K9801" s="128"/>
      <c r="X9801" s="234"/>
      <c r="Y9801" s="234"/>
      <c r="Z9801" s="234"/>
      <c r="AA9801" s="235"/>
      <c r="AB9801" s="234"/>
    </row>
    <row r="9802" ht="14.5" customHeight="1" spans="11:28" x14ac:dyDescent="0.25">
      <c r="K9802" s="128"/>
      <c r="X9802" s="234"/>
      <c r="Y9802" s="234"/>
      <c r="Z9802" s="234"/>
      <c r="AA9802" s="235"/>
      <c r="AB9802" s="234"/>
    </row>
    <row r="9803" ht="14.5" customHeight="1" spans="11:28" x14ac:dyDescent="0.25">
      <c r="K9803" s="128"/>
      <c r="X9803" s="234"/>
      <c r="Y9803" s="234"/>
      <c r="Z9803" s="234"/>
      <c r="AA9803" s="235"/>
      <c r="AB9803" s="234"/>
    </row>
    <row r="9804" ht="14.5" customHeight="1" spans="11:28" x14ac:dyDescent="0.25">
      <c r="K9804" s="128"/>
      <c r="X9804" s="234"/>
      <c r="Y9804" s="234"/>
      <c r="Z9804" s="234"/>
      <c r="AA9804" s="235"/>
      <c r="AB9804" s="234"/>
    </row>
    <row r="9805" ht="14.5" customHeight="1" spans="11:28" x14ac:dyDescent="0.25">
      <c r="K9805" s="128"/>
      <c r="X9805" s="234"/>
      <c r="Y9805" s="234"/>
      <c r="Z9805" s="234"/>
      <c r="AA9805" s="235"/>
      <c r="AB9805" s="234"/>
    </row>
    <row r="9806" ht="14.5" customHeight="1" spans="11:28" x14ac:dyDescent="0.25">
      <c r="K9806" s="128"/>
      <c r="X9806" s="234"/>
      <c r="Y9806" s="234"/>
      <c r="Z9806" s="234"/>
      <c r="AA9806" s="235"/>
      <c r="AB9806" s="234"/>
    </row>
    <row r="9807" ht="14.5" customHeight="1" spans="11:28" x14ac:dyDescent="0.25">
      <c r="K9807" s="128"/>
      <c r="X9807" s="234"/>
      <c r="Y9807" s="234"/>
      <c r="Z9807" s="234"/>
      <c r="AA9807" s="235"/>
      <c r="AB9807" s="234"/>
    </row>
    <row r="9808" ht="14.5" customHeight="1" spans="11:28" x14ac:dyDescent="0.25">
      <c r="K9808" s="128"/>
      <c r="X9808" s="234"/>
      <c r="Y9808" s="234"/>
      <c r="Z9808" s="234"/>
      <c r="AA9808" s="235"/>
      <c r="AB9808" s="234"/>
    </row>
    <row r="9809" ht="14.5" customHeight="1" spans="11:28" x14ac:dyDescent="0.25">
      <c r="K9809" s="128"/>
      <c r="X9809" s="234"/>
      <c r="Y9809" s="234"/>
      <c r="Z9809" s="234"/>
      <c r="AA9809" s="235"/>
      <c r="AB9809" s="234"/>
    </row>
    <row r="9810" ht="14.5" customHeight="1" spans="11:28" x14ac:dyDescent="0.25">
      <c r="K9810" s="128"/>
      <c r="X9810" s="234"/>
      <c r="Y9810" s="234"/>
      <c r="Z9810" s="234"/>
      <c r="AA9810" s="235"/>
      <c r="AB9810" s="234"/>
    </row>
    <row r="9811" ht="14.5" customHeight="1" spans="11:28" x14ac:dyDescent="0.25">
      <c r="K9811" s="128"/>
      <c r="X9811" s="234"/>
      <c r="Y9811" s="234"/>
      <c r="Z9811" s="234"/>
      <c r="AA9811" s="235"/>
      <c r="AB9811" s="234"/>
    </row>
    <row r="9812" ht="14.5" customHeight="1" spans="11:28" x14ac:dyDescent="0.25">
      <c r="K9812" s="128"/>
      <c r="X9812" s="234"/>
      <c r="Y9812" s="234"/>
      <c r="Z9812" s="234"/>
      <c r="AA9812" s="235"/>
      <c r="AB9812" s="234"/>
    </row>
    <row r="9813" ht="14.5" customHeight="1" spans="11:28" x14ac:dyDescent="0.25">
      <c r="K9813" s="128"/>
      <c r="X9813" s="234"/>
      <c r="Y9813" s="234"/>
      <c r="Z9813" s="234"/>
      <c r="AA9813" s="235"/>
      <c r="AB9813" s="234"/>
    </row>
    <row r="9814" ht="14.5" customHeight="1" spans="11:28" x14ac:dyDescent="0.25">
      <c r="K9814" s="128"/>
      <c r="X9814" s="234"/>
      <c r="Y9814" s="234"/>
      <c r="Z9814" s="234"/>
      <c r="AA9814" s="235"/>
      <c r="AB9814" s="234"/>
    </row>
    <row r="9815" ht="14.5" customHeight="1" spans="11:28" x14ac:dyDescent="0.25">
      <c r="K9815" s="128"/>
      <c r="X9815" s="234"/>
      <c r="Y9815" s="234"/>
      <c r="Z9815" s="234"/>
      <c r="AA9815" s="235"/>
      <c r="AB9815" s="234"/>
    </row>
    <row r="9816" ht="14.5" customHeight="1" spans="11:28" x14ac:dyDescent="0.25">
      <c r="K9816" s="128"/>
      <c r="X9816" s="234"/>
      <c r="Y9816" s="234"/>
      <c r="Z9816" s="234"/>
      <c r="AA9816" s="235"/>
      <c r="AB9816" s="234"/>
    </row>
    <row r="9817" ht="14.5" customHeight="1" spans="11:28" x14ac:dyDescent="0.25">
      <c r="K9817" s="128"/>
      <c r="X9817" s="234"/>
      <c r="Y9817" s="234"/>
      <c r="Z9817" s="234"/>
      <c r="AA9817" s="235"/>
      <c r="AB9817" s="234"/>
    </row>
    <row r="9818" ht="14.5" customHeight="1" spans="11:28" x14ac:dyDescent="0.25">
      <c r="K9818" s="128"/>
      <c r="X9818" s="234"/>
      <c r="Y9818" s="234"/>
      <c r="Z9818" s="234"/>
      <c r="AA9818" s="235"/>
      <c r="AB9818" s="234"/>
    </row>
    <row r="9819" ht="14.5" customHeight="1" spans="11:28" x14ac:dyDescent="0.25">
      <c r="K9819" s="128"/>
      <c r="X9819" s="234"/>
      <c r="Y9819" s="234"/>
      <c r="Z9819" s="234"/>
      <c r="AA9819" s="235"/>
      <c r="AB9819" s="234"/>
    </row>
    <row r="9820" ht="14.5" customHeight="1" spans="11:28" x14ac:dyDescent="0.25">
      <c r="K9820" s="128"/>
      <c r="X9820" s="234"/>
      <c r="Y9820" s="234"/>
      <c r="Z9820" s="234"/>
      <c r="AA9820" s="235"/>
      <c r="AB9820" s="234"/>
    </row>
    <row r="9821" ht="14.5" customHeight="1" spans="11:28" x14ac:dyDescent="0.25">
      <c r="K9821" s="128"/>
      <c r="X9821" s="234"/>
      <c r="Y9821" s="234"/>
      <c r="Z9821" s="234"/>
      <c r="AA9821" s="235"/>
      <c r="AB9821" s="234"/>
    </row>
    <row r="9822" ht="14.5" customHeight="1" spans="11:28" x14ac:dyDescent="0.25">
      <c r="K9822" s="128"/>
      <c r="X9822" s="234"/>
      <c r="Y9822" s="234"/>
      <c r="Z9822" s="234"/>
      <c r="AA9822" s="235"/>
      <c r="AB9822" s="234"/>
    </row>
    <row r="9823" ht="14.5" customHeight="1" spans="11:28" x14ac:dyDescent="0.25">
      <c r="K9823" s="128"/>
      <c r="X9823" s="234"/>
      <c r="Y9823" s="234"/>
      <c r="Z9823" s="234"/>
      <c r="AA9823" s="235"/>
      <c r="AB9823" s="234"/>
    </row>
    <row r="9824" ht="14.5" customHeight="1" spans="11:28" x14ac:dyDescent="0.25">
      <c r="K9824" s="128"/>
      <c r="X9824" s="234"/>
      <c r="Y9824" s="234"/>
      <c r="Z9824" s="234"/>
      <c r="AA9824" s="235"/>
      <c r="AB9824" s="234"/>
    </row>
    <row r="9825" ht="14.5" customHeight="1" spans="11:28" x14ac:dyDescent="0.25">
      <c r="K9825" s="128"/>
      <c r="X9825" s="234"/>
      <c r="Y9825" s="234"/>
      <c r="Z9825" s="234"/>
      <c r="AA9825" s="235"/>
      <c r="AB9825" s="234"/>
    </row>
    <row r="9826" ht="14.5" customHeight="1" spans="11:28" x14ac:dyDescent="0.25">
      <c r="K9826" s="128"/>
      <c r="X9826" s="234"/>
      <c r="Y9826" s="234"/>
      <c r="Z9826" s="234"/>
      <c r="AA9826" s="235"/>
      <c r="AB9826" s="234"/>
    </row>
    <row r="9827" ht="14.5" customHeight="1" spans="11:28" x14ac:dyDescent="0.25">
      <c r="K9827" s="128"/>
      <c r="X9827" s="234"/>
      <c r="Y9827" s="234"/>
      <c r="Z9827" s="234"/>
      <c r="AA9827" s="235"/>
      <c r="AB9827" s="234"/>
    </row>
    <row r="9828" ht="14.5" customHeight="1" spans="11:28" x14ac:dyDescent="0.25">
      <c r="K9828" s="128"/>
      <c r="X9828" s="234"/>
      <c r="Y9828" s="234"/>
      <c r="Z9828" s="234"/>
      <c r="AA9828" s="235"/>
      <c r="AB9828" s="234"/>
    </row>
    <row r="9829" ht="14.5" customHeight="1" spans="11:28" x14ac:dyDescent="0.25">
      <c r="K9829" s="128"/>
      <c r="X9829" s="234"/>
      <c r="Y9829" s="234"/>
      <c r="Z9829" s="234"/>
      <c r="AA9829" s="235"/>
      <c r="AB9829" s="234"/>
    </row>
    <row r="9830" ht="14.5" customHeight="1" spans="11:28" x14ac:dyDescent="0.25">
      <c r="K9830" s="128"/>
      <c r="X9830" s="234"/>
      <c r="Y9830" s="234"/>
      <c r="Z9830" s="234"/>
      <c r="AA9830" s="235"/>
      <c r="AB9830" s="234"/>
    </row>
    <row r="9831" ht="14.5" customHeight="1" spans="11:28" x14ac:dyDescent="0.25">
      <c r="K9831" s="128"/>
      <c r="X9831" s="234"/>
      <c r="Y9831" s="234"/>
      <c r="Z9831" s="234"/>
      <c r="AA9831" s="235"/>
      <c r="AB9831" s="234"/>
    </row>
    <row r="9832" ht="14.5" customHeight="1" spans="11:28" x14ac:dyDescent="0.25">
      <c r="K9832" s="128"/>
      <c r="X9832" s="234"/>
      <c r="Y9832" s="234"/>
      <c r="Z9832" s="234"/>
      <c r="AA9832" s="235"/>
      <c r="AB9832" s="234"/>
    </row>
    <row r="9833" ht="14.5" customHeight="1" spans="11:28" x14ac:dyDescent="0.25">
      <c r="K9833" s="128"/>
      <c r="X9833" s="234"/>
      <c r="Y9833" s="234"/>
      <c r="Z9833" s="234"/>
      <c r="AA9833" s="235"/>
      <c r="AB9833" s="234"/>
    </row>
    <row r="9834" ht="14.5" customHeight="1" spans="11:28" x14ac:dyDescent="0.25">
      <c r="K9834" s="128"/>
      <c r="X9834" s="234"/>
      <c r="Y9834" s="234"/>
      <c r="Z9834" s="234"/>
      <c r="AA9834" s="235"/>
      <c r="AB9834" s="234"/>
    </row>
    <row r="9835" ht="14.5" customHeight="1" spans="11:28" x14ac:dyDescent="0.25">
      <c r="K9835" s="128"/>
      <c r="X9835" s="234"/>
      <c r="Y9835" s="234"/>
      <c r="Z9835" s="234"/>
      <c r="AA9835" s="235"/>
      <c r="AB9835" s="234"/>
    </row>
    <row r="9836" ht="14.5" customHeight="1" spans="11:28" x14ac:dyDescent="0.25">
      <c r="K9836" s="128"/>
      <c r="X9836" s="234"/>
      <c r="Y9836" s="234"/>
      <c r="Z9836" s="234"/>
      <c r="AA9836" s="235"/>
      <c r="AB9836" s="234"/>
    </row>
    <row r="9837" ht="14.5" customHeight="1" spans="11:28" x14ac:dyDescent="0.25">
      <c r="K9837" s="128"/>
      <c r="X9837" s="234"/>
      <c r="Y9837" s="234"/>
      <c r="Z9837" s="234"/>
      <c r="AA9837" s="235"/>
      <c r="AB9837" s="234"/>
    </row>
    <row r="9838" ht="14.5" customHeight="1" spans="11:28" x14ac:dyDescent="0.25">
      <c r="K9838" s="128"/>
      <c r="X9838" s="234"/>
      <c r="Y9838" s="234"/>
      <c r="Z9838" s="234"/>
      <c r="AA9838" s="235"/>
      <c r="AB9838" s="234"/>
    </row>
    <row r="9839" ht="14.5" customHeight="1" spans="11:28" x14ac:dyDescent="0.25">
      <c r="K9839" s="128"/>
      <c r="X9839" s="234"/>
      <c r="Y9839" s="234"/>
      <c r="Z9839" s="234"/>
      <c r="AA9839" s="235"/>
      <c r="AB9839" s="234"/>
    </row>
    <row r="9840" ht="14.5" customHeight="1" spans="11:28" x14ac:dyDescent="0.25">
      <c r="K9840" s="128"/>
      <c r="X9840" s="234"/>
      <c r="Y9840" s="234"/>
      <c r="Z9840" s="234"/>
      <c r="AA9840" s="235"/>
      <c r="AB9840" s="234"/>
    </row>
    <row r="9841" ht="14.5" customHeight="1" spans="11:28" x14ac:dyDescent="0.25">
      <c r="K9841" s="128"/>
      <c r="X9841" s="234"/>
      <c r="Y9841" s="234"/>
      <c r="Z9841" s="234"/>
      <c r="AA9841" s="235"/>
      <c r="AB9841" s="234"/>
    </row>
    <row r="9842" ht="14.5" customHeight="1" spans="11:28" x14ac:dyDescent="0.25">
      <c r="K9842" s="128"/>
      <c r="X9842" s="234"/>
      <c r="Y9842" s="234"/>
      <c r="Z9842" s="234"/>
      <c r="AA9842" s="235"/>
      <c r="AB9842" s="234"/>
    </row>
    <row r="9843" ht="14.5" customHeight="1" spans="11:28" x14ac:dyDescent="0.25">
      <c r="K9843" s="128"/>
      <c r="X9843" s="234"/>
      <c r="Y9843" s="234"/>
      <c r="Z9843" s="234"/>
      <c r="AA9843" s="235"/>
      <c r="AB9843" s="234"/>
    </row>
    <row r="9844" ht="14.5" customHeight="1" spans="11:28" x14ac:dyDescent="0.25">
      <c r="K9844" s="128"/>
      <c r="X9844" s="234"/>
      <c r="Y9844" s="234"/>
      <c r="Z9844" s="234"/>
      <c r="AA9844" s="235"/>
      <c r="AB9844" s="234"/>
    </row>
    <row r="9845" ht="14.5" customHeight="1" spans="11:28" x14ac:dyDescent="0.25">
      <c r="K9845" s="128"/>
      <c r="X9845" s="234"/>
      <c r="Y9845" s="234"/>
      <c r="Z9845" s="234"/>
      <c r="AA9845" s="235"/>
      <c r="AB9845" s="234"/>
    </row>
    <row r="9846" ht="14.5" customHeight="1" spans="11:28" x14ac:dyDescent="0.25">
      <c r="K9846" s="128"/>
      <c r="X9846" s="234"/>
      <c r="Y9846" s="234"/>
      <c r="Z9846" s="234"/>
      <c r="AA9846" s="235"/>
      <c r="AB9846" s="234"/>
    </row>
    <row r="9847" ht="14.5" customHeight="1" spans="11:28" x14ac:dyDescent="0.25">
      <c r="K9847" s="128"/>
      <c r="X9847" s="234"/>
      <c r="Y9847" s="234"/>
      <c r="Z9847" s="234"/>
      <c r="AA9847" s="235"/>
      <c r="AB9847" s="234"/>
    </row>
    <row r="9848" ht="14.5" customHeight="1" spans="11:28" x14ac:dyDescent="0.25">
      <c r="K9848" s="128"/>
      <c r="X9848" s="234"/>
      <c r="Y9848" s="234"/>
      <c r="Z9848" s="234"/>
      <c r="AA9848" s="235"/>
      <c r="AB9848" s="234"/>
    </row>
    <row r="9849" ht="14.5" customHeight="1" spans="11:28" x14ac:dyDescent="0.25">
      <c r="K9849" s="128"/>
      <c r="X9849" s="234"/>
      <c r="Y9849" s="234"/>
      <c r="Z9849" s="234"/>
      <c r="AA9849" s="235"/>
      <c r="AB9849" s="234"/>
    </row>
    <row r="9850" ht="14.5" customHeight="1" spans="11:28" x14ac:dyDescent="0.25">
      <c r="K9850" s="128"/>
      <c r="X9850" s="234"/>
      <c r="Y9850" s="234"/>
      <c r="Z9850" s="234"/>
      <c r="AA9850" s="235"/>
      <c r="AB9850" s="234"/>
    </row>
    <row r="9851" ht="14.5" customHeight="1" spans="11:28" x14ac:dyDescent="0.25">
      <c r="K9851" s="128"/>
      <c r="X9851" s="234"/>
      <c r="Y9851" s="234"/>
      <c r="Z9851" s="234"/>
      <c r="AA9851" s="235"/>
      <c r="AB9851" s="234"/>
    </row>
    <row r="9852" ht="14.5" customHeight="1" spans="11:28" x14ac:dyDescent="0.25">
      <c r="K9852" s="128"/>
      <c r="X9852" s="234"/>
      <c r="Y9852" s="234"/>
      <c r="Z9852" s="234"/>
      <c r="AA9852" s="235"/>
      <c r="AB9852" s="234"/>
    </row>
    <row r="9853" ht="14.5" customHeight="1" spans="11:28" x14ac:dyDescent="0.25">
      <c r="K9853" s="128"/>
      <c r="X9853" s="234"/>
      <c r="Y9853" s="234"/>
      <c r="Z9853" s="234"/>
      <c r="AA9853" s="235"/>
      <c r="AB9853" s="234"/>
    </row>
    <row r="9854" ht="14.5" customHeight="1" spans="11:28" x14ac:dyDescent="0.25">
      <c r="K9854" s="128"/>
      <c r="X9854" s="234"/>
      <c r="Y9854" s="234"/>
      <c r="Z9854" s="234"/>
      <c r="AA9854" s="235"/>
      <c r="AB9854" s="234"/>
    </row>
    <row r="9855" ht="14.5" customHeight="1" spans="11:28" x14ac:dyDescent="0.25">
      <c r="K9855" s="128"/>
      <c r="X9855" s="234"/>
      <c r="Y9855" s="234"/>
      <c r="Z9855" s="234"/>
      <c r="AA9855" s="235"/>
      <c r="AB9855" s="234"/>
    </row>
    <row r="9856" ht="14.5" customHeight="1" spans="11:28" x14ac:dyDescent="0.25">
      <c r="K9856" s="128"/>
      <c r="X9856" s="234"/>
      <c r="Y9856" s="234"/>
      <c r="Z9856" s="234"/>
      <c r="AA9856" s="235"/>
      <c r="AB9856" s="234"/>
    </row>
    <row r="9857" ht="14.5" customHeight="1" spans="11:28" x14ac:dyDescent="0.25">
      <c r="K9857" s="128"/>
      <c r="X9857" s="234"/>
      <c r="Y9857" s="234"/>
      <c r="Z9857" s="234"/>
      <c r="AA9857" s="235"/>
      <c r="AB9857" s="234"/>
    </row>
    <row r="9858" ht="14.5" customHeight="1" spans="11:28" x14ac:dyDescent="0.25">
      <c r="K9858" s="128"/>
      <c r="X9858" s="234"/>
      <c r="Y9858" s="234"/>
      <c r="Z9858" s="234"/>
      <c r="AA9858" s="235"/>
      <c r="AB9858" s="234"/>
    </row>
    <row r="9859" ht="14.5" customHeight="1" spans="11:28" x14ac:dyDescent="0.25">
      <c r="K9859" s="128"/>
      <c r="X9859" s="234"/>
      <c r="Y9859" s="234"/>
      <c r="Z9859" s="234"/>
      <c r="AA9859" s="235"/>
      <c r="AB9859" s="234"/>
    </row>
    <row r="9860" ht="14.5" customHeight="1" spans="11:28" x14ac:dyDescent="0.25">
      <c r="K9860" s="128"/>
      <c r="X9860" s="234"/>
      <c r="Y9860" s="234"/>
      <c r="Z9860" s="234"/>
      <c r="AA9860" s="235"/>
      <c r="AB9860" s="234"/>
    </row>
    <row r="9861" ht="14.5" customHeight="1" spans="11:28" x14ac:dyDescent="0.25">
      <c r="K9861" s="128"/>
      <c r="X9861" s="234"/>
      <c r="Y9861" s="234"/>
      <c r="Z9861" s="234"/>
      <c r="AA9861" s="235"/>
      <c r="AB9861" s="234"/>
    </row>
    <row r="9862" ht="14.5" customHeight="1" spans="11:28" x14ac:dyDescent="0.25">
      <c r="K9862" s="128"/>
      <c r="X9862" s="234"/>
      <c r="Y9862" s="234"/>
      <c r="Z9862" s="234"/>
      <c r="AA9862" s="235"/>
      <c r="AB9862" s="234"/>
    </row>
    <row r="9863" ht="14.5" customHeight="1" spans="11:28" x14ac:dyDescent="0.25">
      <c r="K9863" s="128"/>
      <c r="X9863" s="234"/>
      <c r="Y9863" s="234"/>
      <c r="Z9863" s="234"/>
      <c r="AA9863" s="235"/>
      <c r="AB9863" s="234"/>
    </row>
    <row r="9864" ht="14.5" customHeight="1" spans="11:28" x14ac:dyDescent="0.25">
      <c r="K9864" s="128"/>
      <c r="X9864" s="234"/>
      <c r="Y9864" s="234"/>
      <c r="Z9864" s="234"/>
      <c r="AA9864" s="235"/>
      <c r="AB9864" s="234"/>
    </row>
    <row r="9865" ht="14.5" customHeight="1" spans="11:28" x14ac:dyDescent="0.25">
      <c r="K9865" s="128"/>
      <c r="X9865" s="234"/>
      <c r="Y9865" s="234"/>
      <c r="Z9865" s="234"/>
      <c r="AA9865" s="235"/>
      <c r="AB9865" s="234"/>
    </row>
    <row r="9866" ht="14.5" customHeight="1" spans="11:28" x14ac:dyDescent="0.25">
      <c r="K9866" s="128"/>
      <c r="X9866" s="234"/>
      <c r="Y9866" s="234"/>
      <c r="Z9866" s="234"/>
      <c r="AA9866" s="235"/>
      <c r="AB9866" s="234"/>
    </row>
    <row r="9867" ht="14.5" customHeight="1" spans="11:28" x14ac:dyDescent="0.25">
      <c r="K9867" s="128"/>
      <c r="X9867" s="234"/>
      <c r="Y9867" s="234"/>
      <c r="Z9867" s="234"/>
      <c r="AA9867" s="235"/>
      <c r="AB9867" s="234"/>
    </row>
    <row r="9868" ht="14.5" customHeight="1" spans="11:28" x14ac:dyDescent="0.25">
      <c r="K9868" s="128"/>
      <c r="X9868" s="234"/>
      <c r="Y9868" s="234"/>
      <c r="Z9868" s="234"/>
      <c r="AA9868" s="235"/>
      <c r="AB9868" s="234"/>
    </row>
    <row r="9869" ht="14.5" customHeight="1" spans="11:28" x14ac:dyDescent="0.25">
      <c r="K9869" s="128"/>
      <c r="X9869" s="234"/>
      <c r="Y9869" s="234"/>
      <c r="Z9869" s="234"/>
      <c r="AA9869" s="235"/>
      <c r="AB9869" s="234"/>
    </row>
    <row r="9870" ht="14.5" customHeight="1" spans="11:28" x14ac:dyDescent="0.25">
      <c r="K9870" s="128"/>
      <c r="X9870" s="234"/>
      <c r="Y9870" s="234"/>
      <c r="Z9870" s="234"/>
      <c r="AA9870" s="235"/>
      <c r="AB9870" s="234"/>
    </row>
    <row r="9871" ht="14.5" customHeight="1" spans="11:28" x14ac:dyDescent="0.25">
      <c r="K9871" s="128"/>
      <c r="X9871" s="234"/>
      <c r="Y9871" s="234"/>
      <c r="Z9871" s="234"/>
      <c r="AA9871" s="235"/>
      <c r="AB9871" s="234"/>
    </row>
    <row r="9872" ht="14.5" customHeight="1" spans="11:28" x14ac:dyDescent="0.25">
      <c r="K9872" s="128"/>
      <c r="X9872" s="234"/>
      <c r="Y9872" s="234"/>
      <c r="Z9872" s="234"/>
      <c r="AA9872" s="235"/>
      <c r="AB9872" s="234"/>
    </row>
    <row r="9873" ht="14.5" customHeight="1" spans="11:28" x14ac:dyDescent="0.25">
      <c r="K9873" s="128"/>
      <c r="X9873" s="234"/>
      <c r="Y9873" s="234"/>
      <c r="Z9873" s="234"/>
      <c r="AA9873" s="235"/>
      <c r="AB9873" s="234"/>
    </row>
    <row r="9874" ht="14.5" customHeight="1" spans="11:28" x14ac:dyDescent="0.25">
      <c r="K9874" s="128"/>
      <c r="X9874" s="234"/>
      <c r="Y9874" s="234"/>
      <c r="Z9874" s="234"/>
      <c r="AA9874" s="235"/>
      <c r="AB9874" s="234"/>
    </row>
    <row r="9875" ht="14.5" customHeight="1" spans="11:28" x14ac:dyDescent="0.25">
      <c r="K9875" s="128"/>
      <c r="X9875" s="234"/>
      <c r="Y9875" s="234"/>
      <c r="Z9875" s="234"/>
      <c r="AA9875" s="235"/>
      <c r="AB9875" s="234"/>
    </row>
    <row r="9876" ht="14.5" customHeight="1" spans="11:28" x14ac:dyDescent="0.25">
      <c r="K9876" s="128"/>
      <c r="X9876" s="234"/>
      <c r="Y9876" s="234"/>
      <c r="Z9876" s="234"/>
      <c r="AA9876" s="235"/>
      <c r="AB9876" s="234"/>
    </row>
    <row r="9877" ht="14.5" customHeight="1" spans="11:28" x14ac:dyDescent="0.25">
      <c r="K9877" s="128"/>
      <c r="X9877" s="234"/>
      <c r="Y9877" s="234"/>
      <c r="Z9877" s="234"/>
      <c r="AA9877" s="235"/>
      <c r="AB9877" s="234"/>
    </row>
    <row r="9878" ht="14.5" customHeight="1" spans="11:28" x14ac:dyDescent="0.25">
      <c r="K9878" s="128"/>
      <c r="X9878" s="234"/>
      <c r="Y9878" s="234"/>
      <c r="Z9878" s="234"/>
      <c r="AA9878" s="235"/>
      <c r="AB9878" s="234"/>
    </row>
    <row r="9879" ht="14.5" customHeight="1" spans="11:28" x14ac:dyDescent="0.25">
      <c r="K9879" s="128"/>
      <c r="X9879" s="234"/>
      <c r="Y9879" s="234"/>
      <c r="Z9879" s="234"/>
      <c r="AA9879" s="235"/>
      <c r="AB9879" s="234"/>
    </row>
    <row r="9880" ht="14.5" customHeight="1" spans="11:28" x14ac:dyDescent="0.25">
      <c r="K9880" s="128"/>
      <c r="X9880" s="234"/>
      <c r="Y9880" s="234"/>
      <c r="Z9880" s="234"/>
      <c r="AA9880" s="235"/>
      <c r="AB9880" s="234"/>
    </row>
    <row r="9881" ht="14.5" customHeight="1" spans="11:28" x14ac:dyDescent="0.25">
      <c r="K9881" s="128"/>
      <c r="X9881" s="234"/>
      <c r="Y9881" s="234"/>
      <c r="Z9881" s="234"/>
      <c r="AA9881" s="235"/>
      <c r="AB9881" s="234"/>
    </row>
    <row r="9882" ht="14.5" customHeight="1" spans="11:28" x14ac:dyDescent="0.25">
      <c r="K9882" s="128"/>
      <c r="X9882" s="234"/>
      <c r="Y9882" s="234"/>
      <c r="Z9882" s="234"/>
      <c r="AA9882" s="235"/>
      <c r="AB9882" s="234"/>
    </row>
    <row r="9883" ht="14.5" customHeight="1" spans="11:28" x14ac:dyDescent="0.25">
      <c r="K9883" s="128"/>
      <c r="X9883" s="234"/>
      <c r="Y9883" s="234"/>
      <c r="Z9883" s="234"/>
      <c r="AA9883" s="235"/>
      <c r="AB9883" s="234"/>
    </row>
    <row r="9884" ht="14.5" customHeight="1" spans="11:28" x14ac:dyDescent="0.25">
      <c r="K9884" s="128"/>
      <c r="X9884" s="234"/>
      <c r="Y9884" s="234"/>
      <c r="Z9884" s="234"/>
      <c r="AA9884" s="235"/>
      <c r="AB9884" s="234"/>
    </row>
    <row r="9885" ht="14.5" customHeight="1" spans="11:28" x14ac:dyDescent="0.25">
      <c r="K9885" s="128"/>
      <c r="X9885" s="234"/>
      <c r="Y9885" s="234"/>
      <c r="Z9885" s="234"/>
      <c r="AA9885" s="235"/>
      <c r="AB9885" s="234"/>
    </row>
    <row r="9886" ht="14.5" customHeight="1" spans="11:28" x14ac:dyDescent="0.25">
      <c r="K9886" s="128"/>
      <c r="X9886" s="234"/>
      <c r="Y9886" s="234"/>
      <c r="Z9886" s="234"/>
      <c r="AA9886" s="235"/>
      <c r="AB9886" s="234"/>
    </row>
    <row r="9887" ht="14.5" customHeight="1" spans="11:28" x14ac:dyDescent="0.25">
      <c r="K9887" s="128"/>
      <c r="X9887" s="234"/>
      <c r="Y9887" s="234"/>
      <c r="Z9887" s="234"/>
      <c r="AA9887" s="235"/>
      <c r="AB9887" s="234"/>
    </row>
    <row r="9888" ht="14.5" customHeight="1" spans="11:28" x14ac:dyDescent="0.25">
      <c r="K9888" s="128"/>
      <c r="X9888" s="234"/>
      <c r="Y9888" s="234"/>
      <c r="Z9888" s="234"/>
      <c r="AA9888" s="235"/>
      <c r="AB9888" s="234"/>
    </row>
    <row r="9889" ht="14.5" customHeight="1" spans="11:28" x14ac:dyDescent="0.25">
      <c r="K9889" s="128"/>
      <c r="X9889" s="234"/>
      <c r="Y9889" s="234"/>
      <c r="Z9889" s="234"/>
      <c r="AA9889" s="235"/>
      <c r="AB9889" s="234"/>
    </row>
    <row r="9890" ht="14.5" customHeight="1" spans="11:28" x14ac:dyDescent="0.25">
      <c r="K9890" s="128"/>
      <c r="X9890" s="234"/>
      <c r="Y9890" s="234"/>
      <c r="Z9890" s="234"/>
      <c r="AA9890" s="235"/>
      <c r="AB9890" s="234"/>
    </row>
    <row r="9891" ht="14.5" customHeight="1" spans="11:28" x14ac:dyDescent="0.25">
      <c r="K9891" s="128"/>
      <c r="X9891" s="234"/>
      <c r="Y9891" s="234"/>
      <c r="Z9891" s="234"/>
      <c r="AA9891" s="235"/>
      <c r="AB9891" s="234"/>
    </row>
    <row r="9892" ht="14.5" customHeight="1" spans="11:28" x14ac:dyDescent="0.25">
      <c r="K9892" s="128"/>
      <c r="X9892" s="234"/>
      <c r="Y9892" s="234"/>
      <c r="Z9892" s="234"/>
      <c r="AA9892" s="235"/>
      <c r="AB9892" s="234"/>
    </row>
    <row r="9893" ht="14.5" customHeight="1" spans="11:28" x14ac:dyDescent="0.25">
      <c r="K9893" s="128"/>
      <c r="X9893" s="234"/>
      <c r="Y9893" s="234"/>
      <c r="Z9893" s="234"/>
      <c r="AA9893" s="235"/>
      <c r="AB9893" s="234"/>
    </row>
    <row r="9894" ht="14.5" customHeight="1" spans="11:28" x14ac:dyDescent="0.25">
      <c r="K9894" s="128"/>
      <c r="X9894" s="234"/>
      <c r="Y9894" s="234"/>
      <c r="Z9894" s="234"/>
      <c r="AA9894" s="235"/>
      <c r="AB9894" s="234"/>
    </row>
    <row r="9895" ht="14.5" customHeight="1" spans="11:28" x14ac:dyDescent="0.25">
      <c r="K9895" s="128"/>
      <c r="X9895" s="234"/>
      <c r="Y9895" s="234"/>
      <c r="Z9895" s="234"/>
      <c r="AA9895" s="235"/>
      <c r="AB9895" s="234"/>
    </row>
    <row r="9896" ht="14.5" customHeight="1" spans="11:28" x14ac:dyDescent="0.25">
      <c r="K9896" s="128"/>
      <c r="X9896" s="234"/>
      <c r="Y9896" s="234"/>
      <c r="Z9896" s="234"/>
      <c r="AA9896" s="235"/>
      <c r="AB9896" s="234"/>
    </row>
    <row r="9897" ht="14.5" customHeight="1" spans="11:28" x14ac:dyDescent="0.25">
      <c r="K9897" s="128"/>
      <c r="X9897" s="234"/>
      <c r="Y9897" s="234"/>
      <c r="Z9897" s="234"/>
      <c r="AA9897" s="235"/>
      <c r="AB9897" s="234"/>
    </row>
    <row r="9898" ht="14.5" customHeight="1" spans="11:28" x14ac:dyDescent="0.25">
      <c r="K9898" s="128"/>
      <c r="X9898" s="234"/>
      <c r="Y9898" s="234"/>
      <c r="Z9898" s="234"/>
      <c r="AA9898" s="235"/>
      <c r="AB9898" s="234"/>
    </row>
    <row r="9899" ht="14.5" customHeight="1" spans="11:28" x14ac:dyDescent="0.25">
      <c r="K9899" s="128"/>
      <c r="X9899" s="234"/>
      <c r="Y9899" s="234"/>
      <c r="Z9899" s="234"/>
      <c r="AA9899" s="235"/>
      <c r="AB9899" s="234"/>
    </row>
    <row r="9900" ht="14.5" customHeight="1" spans="11:28" x14ac:dyDescent="0.25">
      <c r="K9900" s="128"/>
      <c r="X9900" s="234"/>
      <c r="Y9900" s="234"/>
      <c r="Z9900" s="234"/>
      <c r="AA9900" s="235"/>
      <c r="AB9900" s="234"/>
    </row>
    <row r="9901" ht="14.5" customHeight="1" spans="11:28" x14ac:dyDescent="0.25">
      <c r="K9901" s="128"/>
      <c r="X9901" s="234"/>
      <c r="Y9901" s="234"/>
      <c r="Z9901" s="234"/>
      <c r="AA9901" s="235"/>
      <c r="AB9901" s="234"/>
    </row>
    <row r="9902" ht="14.5" customHeight="1" spans="11:28" x14ac:dyDescent="0.25">
      <c r="K9902" s="128"/>
      <c r="X9902" s="234"/>
      <c r="Y9902" s="234"/>
      <c r="Z9902" s="234"/>
      <c r="AA9902" s="235"/>
      <c r="AB9902" s="234"/>
    </row>
    <row r="9903" ht="14.5" customHeight="1" spans="11:28" x14ac:dyDescent="0.25">
      <c r="K9903" s="128"/>
      <c r="X9903" s="234"/>
      <c r="Y9903" s="234"/>
      <c r="Z9903" s="234"/>
      <c r="AA9903" s="235"/>
      <c r="AB9903" s="234"/>
    </row>
    <row r="9904" ht="14.5" customHeight="1" spans="11:28" x14ac:dyDescent="0.25">
      <c r="K9904" s="128"/>
      <c r="X9904" s="234"/>
      <c r="Y9904" s="234"/>
      <c r="Z9904" s="234"/>
      <c r="AA9904" s="235"/>
      <c r="AB9904" s="234"/>
    </row>
    <row r="9905" ht="14.5" customHeight="1" spans="11:28" x14ac:dyDescent="0.25">
      <c r="K9905" s="128"/>
      <c r="X9905" s="234"/>
      <c r="Y9905" s="234"/>
      <c r="Z9905" s="234"/>
      <c r="AA9905" s="235"/>
      <c r="AB9905" s="234"/>
    </row>
    <row r="9906" ht="14.5" customHeight="1" spans="11:28" x14ac:dyDescent="0.25">
      <c r="K9906" s="128"/>
      <c r="X9906" s="234"/>
      <c r="Y9906" s="234"/>
      <c r="Z9906" s="234"/>
      <c r="AA9906" s="235"/>
      <c r="AB9906" s="234"/>
    </row>
    <row r="9907" ht="14.5" customHeight="1" spans="11:28" x14ac:dyDescent="0.25">
      <c r="K9907" s="128"/>
      <c r="X9907" s="234"/>
      <c r="Y9907" s="234"/>
      <c r="Z9907" s="234"/>
      <c r="AA9907" s="235"/>
      <c r="AB9907" s="234"/>
    </row>
    <row r="9908" ht="14.5" customHeight="1" spans="11:28" x14ac:dyDescent="0.25">
      <c r="K9908" s="128"/>
      <c r="X9908" s="234"/>
      <c r="Y9908" s="234"/>
      <c r="Z9908" s="234"/>
      <c r="AA9908" s="235"/>
      <c r="AB9908" s="234"/>
    </row>
    <row r="9909" ht="14.5" customHeight="1" spans="11:28" x14ac:dyDescent="0.25">
      <c r="K9909" s="128"/>
      <c r="X9909" s="234"/>
      <c r="Y9909" s="234"/>
      <c r="Z9909" s="234"/>
      <c r="AA9909" s="235"/>
      <c r="AB9909" s="234"/>
    </row>
    <row r="9910" ht="14.5" customHeight="1" spans="11:28" x14ac:dyDescent="0.25">
      <c r="K9910" s="128"/>
      <c r="X9910" s="234"/>
      <c r="Y9910" s="234"/>
      <c r="Z9910" s="234"/>
      <c r="AA9910" s="235"/>
      <c r="AB9910" s="234"/>
    </row>
    <row r="9911" ht="14.5" customHeight="1" spans="11:28" x14ac:dyDescent="0.25">
      <c r="K9911" s="128"/>
      <c r="X9911" s="234"/>
      <c r="Y9911" s="234"/>
      <c r="Z9911" s="234"/>
      <c r="AA9911" s="235"/>
      <c r="AB9911" s="234"/>
    </row>
    <row r="9912" ht="14.5" customHeight="1" spans="11:28" x14ac:dyDescent="0.25">
      <c r="K9912" s="128"/>
      <c r="X9912" s="234"/>
      <c r="Y9912" s="234"/>
      <c r="Z9912" s="234"/>
      <c r="AA9912" s="235"/>
      <c r="AB9912" s="234"/>
    </row>
    <row r="9913" ht="14.5" customHeight="1" spans="11:28" x14ac:dyDescent="0.25">
      <c r="K9913" s="128"/>
      <c r="X9913" s="234"/>
      <c r="Y9913" s="234"/>
      <c r="Z9913" s="234"/>
      <c r="AA9913" s="235"/>
      <c r="AB9913" s="234"/>
    </row>
    <row r="9914" ht="14.5" customHeight="1" spans="11:28" x14ac:dyDescent="0.25">
      <c r="K9914" s="128"/>
      <c r="X9914" s="234"/>
      <c r="Y9914" s="234"/>
      <c r="Z9914" s="234"/>
      <c r="AA9914" s="235"/>
      <c r="AB9914" s="234"/>
    </row>
    <row r="9915" ht="14.5" customHeight="1" spans="11:28" x14ac:dyDescent="0.25">
      <c r="K9915" s="128"/>
      <c r="X9915" s="234"/>
      <c r="Y9915" s="234"/>
      <c r="Z9915" s="234"/>
      <c r="AA9915" s="235"/>
      <c r="AB9915" s="234"/>
    </row>
    <row r="9916" ht="14.5" customHeight="1" spans="11:28" x14ac:dyDescent="0.25">
      <c r="K9916" s="128"/>
      <c r="X9916" s="234"/>
      <c r="Y9916" s="234"/>
      <c r="Z9916" s="234"/>
      <c r="AA9916" s="235"/>
      <c r="AB9916" s="234"/>
    </row>
    <row r="9917" ht="14.5" customHeight="1" spans="11:28" x14ac:dyDescent="0.25">
      <c r="K9917" s="128"/>
      <c r="X9917" s="234"/>
      <c r="Y9917" s="234"/>
      <c r="Z9917" s="234"/>
      <c r="AA9917" s="235"/>
      <c r="AB9917" s="234"/>
    </row>
    <row r="9918" ht="14.5" customHeight="1" spans="11:28" x14ac:dyDescent="0.25">
      <c r="K9918" s="128"/>
      <c r="X9918" s="234"/>
      <c r="Y9918" s="234"/>
      <c r="Z9918" s="234"/>
      <c r="AA9918" s="235"/>
      <c r="AB9918" s="234"/>
    </row>
    <row r="9919" ht="14.5" customHeight="1" spans="11:28" x14ac:dyDescent="0.25">
      <c r="K9919" s="128"/>
      <c r="X9919" s="234"/>
      <c r="Y9919" s="234"/>
      <c r="Z9919" s="234"/>
      <c r="AA9919" s="235"/>
      <c r="AB9919" s="234"/>
    </row>
    <row r="9920" ht="14.5" customHeight="1" spans="11:28" x14ac:dyDescent="0.25">
      <c r="K9920" s="128"/>
      <c r="X9920" s="234"/>
      <c r="Y9920" s="234"/>
      <c r="Z9920" s="234"/>
      <c r="AA9920" s="235"/>
      <c r="AB9920" s="234"/>
    </row>
    <row r="9921" ht="14.5" customHeight="1" spans="11:28" x14ac:dyDescent="0.25">
      <c r="K9921" s="128"/>
      <c r="X9921" s="234"/>
      <c r="Y9921" s="234"/>
      <c r="Z9921" s="234"/>
      <c r="AA9921" s="235"/>
      <c r="AB9921" s="234"/>
    </row>
    <row r="9922" ht="14.5" customHeight="1" spans="11:28" x14ac:dyDescent="0.25">
      <c r="K9922" s="128"/>
      <c r="X9922" s="234"/>
      <c r="Y9922" s="234"/>
      <c r="Z9922" s="234"/>
      <c r="AA9922" s="235"/>
      <c r="AB9922" s="234"/>
    </row>
    <row r="9923" ht="14.5" customHeight="1" spans="11:28" x14ac:dyDescent="0.25">
      <c r="K9923" s="128"/>
      <c r="X9923" s="234"/>
      <c r="Y9923" s="234"/>
      <c r="Z9923" s="234"/>
      <c r="AA9923" s="235"/>
      <c r="AB9923" s="234"/>
    </row>
    <row r="9924" ht="14.5" customHeight="1" spans="11:28" x14ac:dyDescent="0.25">
      <c r="K9924" s="128"/>
      <c r="X9924" s="234"/>
      <c r="Y9924" s="234"/>
      <c r="Z9924" s="234"/>
      <c r="AA9924" s="235"/>
      <c r="AB9924" s="234"/>
    </row>
    <row r="9925" ht="14.5" customHeight="1" spans="11:28" x14ac:dyDescent="0.25">
      <c r="K9925" s="128"/>
      <c r="X9925" s="234"/>
      <c r="Y9925" s="234"/>
      <c r="Z9925" s="234"/>
      <c r="AA9925" s="235"/>
      <c r="AB9925" s="234"/>
    </row>
    <row r="9926" ht="14.5" customHeight="1" spans="11:28" x14ac:dyDescent="0.25">
      <c r="K9926" s="128"/>
      <c r="X9926" s="234"/>
      <c r="Y9926" s="234"/>
      <c r="Z9926" s="234"/>
      <c r="AA9926" s="235"/>
      <c r="AB9926" s="234"/>
    </row>
    <row r="9927" ht="14.5" customHeight="1" spans="11:28" x14ac:dyDescent="0.25">
      <c r="K9927" s="128"/>
      <c r="X9927" s="234"/>
      <c r="Y9927" s="234"/>
      <c r="Z9927" s="234"/>
      <c r="AA9927" s="235"/>
      <c r="AB9927" s="234"/>
    </row>
    <row r="9928" ht="14.5" customHeight="1" spans="11:28" x14ac:dyDescent="0.25">
      <c r="K9928" s="128"/>
      <c r="X9928" s="234"/>
      <c r="Y9928" s="234"/>
      <c r="Z9928" s="234"/>
      <c r="AA9928" s="235"/>
      <c r="AB9928" s="234"/>
    </row>
    <row r="9929" ht="14.5" customHeight="1" spans="11:28" x14ac:dyDescent="0.25">
      <c r="K9929" s="128"/>
      <c r="X9929" s="234"/>
      <c r="Y9929" s="234"/>
      <c r="Z9929" s="234"/>
      <c r="AA9929" s="235"/>
      <c r="AB9929" s="234"/>
    </row>
    <row r="9930" ht="14.5" customHeight="1" spans="11:28" x14ac:dyDescent="0.25">
      <c r="K9930" s="128"/>
      <c r="X9930" s="234"/>
      <c r="Y9930" s="234"/>
      <c r="Z9930" s="234"/>
      <c r="AA9930" s="235"/>
      <c r="AB9930" s="234"/>
    </row>
    <row r="9931" ht="14.5" customHeight="1" spans="11:28" x14ac:dyDescent="0.25">
      <c r="K9931" s="128"/>
      <c r="X9931" s="234"/>
      <c r="Y9931" s="234"/>
      <c r="Z9931" s="234"/>
      <c r="AA9931" s="235"/>
      <c r="AB9931" s="234"/>
    </row>
    <row r="9932" ht="14.5" customHeight="1" spans="11:28" x14ac:dyDescent="0.25">
      <c r="K9932" s="128"/>
      <c r="X9932" s="234"/>
      <c r="Y9932" s="234"/>
      <c r="Z9932" s="234"/>
      <c r="AA9932" s="235"/>
      <c r="AB9932" s="234"/>
    </row>
    <row r="9933" ht="14.5" customHeight="1" spans="11:28" x14ac:dyDescent="0.25">
      <c r="K9933" s="128"/>
      <c r="X9933" s="234"/>
      <c r="Y9933" s="234"/>
      <c r="Z9933" s="234"/>
      <c r="AA9933" s="235"/>
      <c r="AB9933" s="234"/>
    </row>
    <row r="9934" ht="14.5" customHeight="1" spans="11:28" x14ac:dyDescent="0.25">
      <c r="K9934" s="128"/>
      <c r="X9934" s="234"/>
      <c r="Y9934" s="234"/>
      <c r="Z9934" s="234"/>
      <c r="AA9934" s="235"/>
      <c r="AB9934" s="234"/>
    </row>
    <row r="9935" ht="14.5" customHeight="1" spans="11:28" x14ac:dyDescent="0.25">
      <c r="K9935" s="128"/>
      <c r="X9935" s="234"/>
      <c r="Y9935" s="234"/>
      <c r="Z9935" s="234"/>
      <c r="AA9935" s="235"/>
      <c r="AB9935" s="234"/>
    </row>
    <row r="9936" ht="14.5" customHeight="1" spans="11:28" x14ac:dyDescent="0.25">
      <c r="K9936" s="128"/>
      <c r="X9936" s="234"/>
      <c r="Y9936" s="234"/>
      <c r="Z9936" s="234"/>
      <c r="AA9936" s="235"/>
      <c r="AB9936" s="234"/>
    </row>
    <row r="9937" ht="14.5" customHeight="1" spans="11:28" x14ac:dyDescent="0.25">
      <c r="K9937" s="128"/>
      <c r="X9937" s="234"/>
      <c r="Y9937" s="234"/>
      <c r="Z9937" s="234"/>
      <c r="AA9937" s="235"/>
      <c r="AB9937" s="234"/>
    </row>
    <row r="9938" ht="14.5" customHeight="1" spans="11:28" x14ac:dyDescent="0.25">
      <c r="K9938" s="128"/>
      <c r="X9938" s="234"/>
      <c r="Y9938" s="234"/>
      <c r="Z9938" s="234"/>
      <c r="AA9938" s="235"/>
      <c r="AB9938" s="234"/>
    </row>
    <row r="9939" ht="14.5" customHeight="1" spans="11:28" x14ac:dyDescent="0.25">
      <c r="K9939" s="128"/>
      <c r="X9939" s="234"/>
      <c r="Y9939" s="234"/>
      <c r="Z9939" s="234"/>
      <c r="AA9939" s="235"/>
      <c r="AB9939" s="234"/>
    </row>
    <row r="9940" ht="14.5" customHeight="1" spans="11:28" x14ac:dyDescent="0.25">
      <c r="K9940" s="128"/>
      <c r="X9940" s="234"/>
      <c r="Y9940" s="234"/>
      <c r="Z9940" s="234"/>
      <c r="AA9940" s="235"/>
      <c r="AB9940" s="234"/>
    </row>
    <row r="9941" ht="14.5" customHeight="1" spans="11:28" x14ac:dyDescent="0.25">
      <c r="K9941" s="128"/>
      <c r="X9941" s="234"/>
      <c r="Y9941" s="234"/>
      <c r="Z9941" s="234"/>
      <c r="AA9941" s="235"/>
      <c r="AB9941" s="234"/>
    </row>
    <row r="9942" ht="14.5" customHeight="1" spans="11:28" x14ac:dyDescent="0.25">
      <c r="K9942" s="128"/>
      <c r="X9942" s="234"/>
      <c r="Y9942" s="234"/>
      <c r="Z9942" s="234"/>
      <c r="AA9942" s="235"/>
      <c r="AB9942" s="234"/>
    </row>
    <row r="9943" ht="14.5" customHeight="1" spans="11:28" x14ac:dyDescent="0.25">
      <c r="K9943" s="128"/>
      <c r="X9943" s="234"/>
      <c r="Y9943" s="234"/>
      <c r="Z9943" s="234"/>
      <c r="AA9943" s="235"/>
      <c r="AB9943" s="234"/>
    </row>
    <row r="9944" ht="14.5" customHeight="1" spans="11:28" x14ac:dyDescent="0.25">
      <c r="K9944" s="128"/>
      <c r="X9944" s="234"/>
      <c r="Y9944" s="234"/>
      <c r="Z9944" s="234"/>
      <c r="AA9944" s="235"/>
      <c r="AB9944" s="234"/>
    </row>
    <row r="9945" ht="14.5" customHeight="1" spans="11:28" x14ac:dyDescent="0.25">
      <c r="K9945" s="128"/>
      <c r="X9945" s="234"/>
      <c r="Y9945" s="234"/>
      <c r="Z9945" s="234"/>
      <c r="AA9945" s="235"/>
      <c r="AB9945" s="234"/>
    </row>
    <row r="9946" ht="14.5" customHeight="1" spans="11:28" x14ac:dyDescent="0.25">
      <c r="K9946" s="128"/>
      <c r="X9946" s="234"/>
      <c r="Y9946" s="234"/>
      <c r="Z9946" s="234"/>
      <c r="AA9946" s="235"/>
      <c r="AB9946" s="234"/>
    </row>
    <row r="9947" ht="14.5" customHeight="1" spans="11:28" x14ac:dyDescent="0.25">
      <c r="K9947" s="128"/>
      <c r="X9947" s="234"/>
      <c r="Y9947" s="234"/>
      <c r="Z9947" s="234"/>
      <c r="AA9947" s="235"/>
      <c r="AB9947" s="234"/>
    </row>
    <row r="9948" ht="14.5" customHeight="1" spans="11:28" x14ac:dyDescent="0.25">
      <c r="K9948" s="128"/>
      <c r="X9948" s="234"/>
      <c r="Y9948" s="234"/>
      <c r="Z9948" s="234"/>
      <c r="AA9948" s="235"/>
      <c r="AB9948" s="234"/>
    </row>
    <row r="9949" ht="14.5" customHeight="1" spans="11:28" x14ac:dyDescent="0.25">
      <c r="K9949" s="128"/>
      <c r="X9949" s="234"/>
      <c r="Y9949" s="234"/>
      <c r="Z9949" s="234"/>
      <c r="AA9949" s="235"/>
      <c r="AB9949" s="234"/>
    </row>
    <row r="9950" ht="14.5" customHeight="1" spans="11:28" x14ac:dyDescent="0.25">
      <c r="K9950" s="128"/>
      <c r="X9950" s="234"/>
      <c r="Y9950" s="234"/>
      <c r="Z9950" s="234"/>
      <c r="AA9950" s="235"/>
      <c r="AB9950" s="234"/>
    </row>
    <row r="9951" ht="14.5" customHeight="1" spans="11:28" x14ac:dyDescent="0.25">
      <c r="K9951" s="128"/>
      <c r="X9951" s="234"/>
      <c r="Y9951" s="234"/>
      <c r="Z9951" s="234"/>
      <c r="AA9951" s="235"/>
      <c r="AB9951" s="234"/>
    </row>
    <row r="9952" ht="14.5" customHeight="1" spans="11:28" x14ac:dyDescent="0.25">
      <c r="K9952" s="128"/>
      <c r="X9952" s="234"/>
      <c r="Y9952" s="234"/>
      <c r="Z9952" s="234"/>
      <c r="AA9952" s="235"/>
      <c r="AB9952" s="234"/>
    </row>
    <row r="9953" ht="14.5" customHeight="1" spans="11:28" x14ac:dyDescent="0.25">
      <c r="K9953" s="128"/>
      <c r="X9953" s="234"/>
      <c r="Y9953" s="234"/>
      <c r="Z9953" s="234"/>
      <c r="AA9953" s="235"/>
      <c r="AB9953" s="234"/>
    </row>
    <row r="9954" ht="14.5" customHeight="1" spans="11:28" x14ac:dyDescent="0.25">
      <c r="K9954" s="128"/>
      <c r="X9954" s="234"/>
      <c r="Y9954" s="234"/>
      <c r="Z9954" s="234"/>
      <c r="AA9954" s="235"/>
      <c r="AB9954" s="234"/>
    </row>
    <row r="9955" ht="14.5" customHeight="1" spans="11:28" x14ac:dyDescent="0.25">
      <c r="K9955" s="128"/>
      <c r="X9955" s="234"/>
      <c r="Y9955" s="234"/>
      <c r="Z9955" s="234"/>
      <c r="AA9955" s="235"/>
      <c r="AB9955" s="234"/>
    </row>
    <row r="9956" ht="14.5" customHeight="1" spans="11:28" x14ac:dyDescent="0.25">
      <c r="K9956" s="128"/>
      <c r="X9956" s="234"/>
      <c r="Y9956" s="234"/>
      <c r="Z9956" s="234"/>
      <c r="AA9956" s="235"/>
      <c r="AB9956" s="234"/>
    </row>
    <row r="9957" ht="14.5" customHeight="1" spans="11:28" x14ac:dyDescent="0.25">
      <c r="K9957" s="128"/>
      <c r="X9957" s="234"/>
      <c r="Y9957" s="234"/>
      <c r="Z9957" s="234"/>
      <c r="AA9957" s="235"/>
      <c r="AB9957" s="234"/>
    </row>
    <row r="9958" ht="14.5" customHeight="1" spans="11:28" x14ac:dyDescent="0.25">
      <c r="K9958" s="128"/>
      <c r="X9958" s="234"/>
      <c r="Y9958" s="234"/>
      <c r="Z9958" s="234"/>
      <c r="AA9958" s="235"/>
      <c r="AB9958" s="234"/>
    </row>
    <row r="9959" ht="14.5" customHeight="1" spans="11:28" x14ac:dyDescent="0.25">
      <c r="K9959" s="128"/>
      <c r="X9959" s="234"/>
      <c r="Y9959" s="234"/>
      <c r="Z9959" s="234"/>
      <c r="AA9959" s="235"/>
      <c r="AB9959" s="234"/>
    </row>
    <row r="9960" ht="14.5" customHeight="1" spans="11:28" x14ac:dyDescent="0.25">
      <c r="K9960" s="128"/>
      <c r="X9960" s="234"/>
      <c r="Y9960" s="234"/>
      <c r="Z9960" s="234"/>
      <c r="AA9960" s="235"/>
      <c r="AB9960" s="234"/>
    </row>
    <row r="9961" ht="14.5" customHeight="1" spans="11:28" x14ac:dyDescent="0.25">
      <c r="K9961" s="128"/>
      <c r="X9961" s="234"/>
      <c r="Y9961" s="234"/>
      <c r="Z9961" s="234"/>
      <c r="AA9961" s="235"/>
      <c r="AB9961" s="234"/>
    </row>
    <row r="9962" ht="14.5" customHeight="1" spans="11:28" x14ac:dyDescent="0.25">
      <c r="K9962" s="128"/>
      <c r="X9962" s="234"/>
      <c r="Y9962" s="234"/>
      <c r="Z9962" s="234"/>
      <c r="AA9962" s="235"/>
      <c r="AB9962" s="234"/>
    </row>
    <row r="9963" ht="14.5" customHeight="1" spans="11:28" x14ac:dyDescent="0.25">
      <c r="K9963" s="128"/>
      <c r="X9963" s="234"/>
      <c r="Y9963" s="234"/>
      <c r="Z9963" s="234"/>
      <c r="AA9963" s="235"/>
      <c r="AB9963" s="234"/>
    </row>
    <row r="9964" ht="14.5" customHeight="1" spans="11:28" x14ac:dyDescent="0.25">
      <c r="K9964" s="128"/>
      <c r="X9964" s="234"/>
      <c r="Y9964" s="234"/>
      <c r="Z9964" s="234"/>
      <c r="AA9964" s="235"/>
      <c r="AB9964" s="234"/>
    </row>
    <row r="9965" ht="14.5" customHeight="1" spans="11:28" x14ac:dyDescent="0.25">
      <c r="K9965" s="128"/>
      <c r="X9965" s="234"/>
      <c r="Y9965" s="234"/>
      <c r="Z9965" s="234"/>
      <c r="AA9965" s="235"/>
      <c r="AB9965" s="234"/>
    </row>
    <row r="9966" ht="14.5" customHeight="1" spans="11:28" x14ac:dyDescent="0.25">
      <c r="K9966" s="128"/>
      <c r="X9966" s="234"/>
      <c r="Y9966" s="234"/>
      <c r="Z9966" s="234"/>
      <c r="AA9966" s="235"/>
      <c r="AB9966" s="234"/>
    </row>
    <row r="9967" ht="14.5" customHeight="1" spans="11:28" x14ac:dyDescent="0.25">
      <c r="K9967" s="128"/>
      <c r="X9967" s="234"/>
      <c r="Y9967" s="234"/>
      <c r="Z9967" s="234"/>
      <c r="AA9967" s="235"/>
      <c r="AB9967" s="234"/>
    </row>
    <row r="9968" ht="14.5" customHeight="1" spans="11:28" x14ac:dyDescent="0.25">
      <c r="K9968" s="128"/>
      <c r="X9968" s="234"/>
      <c r="Y9968" s="234"/>
      <c r="Z9968" s="234"/>
      <c r="AA9968" s="235"/>
      <c r="AB9968" s="234"/>
    </row>
    <row r="9969" ht="14.5" customHeight="1" spans="11:28" x14ac:dyDescent="0.25">
      <c r="K9969" s="128"/>
      <c r="X9969" s="234"/>
      <c r="Y9969" s="234"/>
      <c r="Z9969" s="234"/>
      <c r="AA9969" s="235"/>
      <c r="AB9969" s="234"/>
    </row>
    <row r="9970" ht="14.5" customHeight="1" spans="11:28" x14ac:dyDescent="0.25">
      <c r="K9970" s="128"/>
      <c r="X9970" s="234"/>
      <c r="Y9970" s="234"/>
      <c r="Z9970" s="234"/>
      <c r="AA9970" s="235"/>
      <c r="AB9970" s="234"/>
    </row>
    <row r="9971" ht="14.5" customHeight="1" spans="11:28" x14ac:dyDescent="0.25">
      <c r="K9971" s="128"/>
      <c r="X9971" s="234"/>
      <c r="Y9971" s="234"/>
      <c r="Z9971" s="234"/>
      <c r="AA9971" s="235"/>
      <c r="AB9971" s="234"/>
    </row>
    <row r="9972" ht="14.5" customHeight="1" spans="11:28" x14ac:dyDescent="0.25">
      <c r="K9972" s="128"/>
      <c r="X9972" s="234"/>
      <c r="Y9972" s="234"/>
      <c r="Z9972" s="234"/>
      <c r="AA9972" s="235"/>
      <c r="AB9972" s="234"/>
    </row>
    <row r="9973" ht="14.5" customHeight="1" spans="11:28" x14ac:dyDescent="0.25">
      <c r="K9973" s="128"/>
      <c r="X9973" s="234"/>
      <c r="Y9973" s="234"/>
      <c r="Z9973" s="234"/>
      <c r="AA9973" s="235"/>
      <c r="AB9973" s="234"/>
    </row>
    <row r="9974" ht="14.5" customHeight="1" spans="11:28" x14ac:dyDescent="0.25">
      <c r="K9974" s="128"/>
      <c r="X9974" s="234"/>
      <c r="Y9974" s="234"/>
      <c r="Z9974" s="234"/>
      <c r="AA9974" s="235"/>
      <c r="AB9974" s="234"/>
    </row>
    <row r="9975" ht="14.5" customHeight="1" spans="11:28" x14ac:dyDescent="0.25">
      <c r="K9975" s="128"/>
      <c r="X9975" s="234"/>
      <c r="Y9975" s="234"/>
      <c r="Z9975" s="234"/>
      <c r="AA9975" s="235"/>
      <c r="AB9975" s="234"/>
    </row>
    <row r="9976" ht="14.5" customHeight="1" spans="11:28" x14ac:dyDescent="0.25">
      <c r="K9976" s="128"/>
      <c r="X9976" s="234"/>
      <c r="Y9976" s="234"/>
      <c r="Z9976" s="234"/>
      <c r="AA9976" s="235"/>
      <c r="AB9976" s="234"/>
    </row>
    <row r="9977" ht="14.5" customHeight="1" spans="11:28" x14ac:dyDescent="0.25">
      <c r="K9977" s="128"/>
      <c r="X9977" s="234"/>
      <c r="Y9977" s="234"/>
      <c r="Z9977" s="234"/>
      <c r="AA9977" s="235"/>
      <c r="AB9977" s="234"/>
    </row>
    <row r="9978" ht="14.5" customHeight="1" spans="11:28" x14ac:dyDescent="0.25">
      <c r="K9978" s="128"/>
      <c r="X9978" s="234"/>
      <c r="Y9978" s="234"/>
      <c r="Z9978" s="234"/>
      <c r="AA9978" s="235"/>
      <c r="AB9978" s="234"/>
    </row>
    <row r="9979" ht="14.5" customHeight="1" spans="11:28" x14ac:dyDescent="0.25">
      <c r="K9979" s="128"/>
      <c r="X9979" s="234"/>
      <c r="Y9979" s="234"/>
      <c r="Z9979" s="234"/>
      <c r="AA9979" s="235"/>
      <c r="AB9979" s="234"/>
    </row>
    <row r="9980" ht="14.5" customHeight="1" spans="11:28" x14ac:dyDescent="0.25">
      <c r="K9980" s="128"/>
      <c r="X9980" s="234"/>
      <c r="Y9980" s="234"/>
      <c r="Z9980" s="234"/>
      <c r="AA9980" s="235"/>
      <c r="AB9980" s="234"/>
    </row>
    <row r="9981" ht="14.5" customHeight="1" spans="11:28" x14ac:dyDescent="0.25">
      <c r="K9981" s="128"/>
      <c r="X9981" s="234"/>
      <c r="Y9981" s="234"/>
      <c r="Z9981" s="234"/>
      <c r="AA9981" s="235"/>
      <c r="AB9981" s="234"/>
    </row>
    <row r="9982" ht="14.5" customHeight="1" spans="11:28" x14ac:dyDescent="0.25">
      <c r="K9982" s="128"/>
      <c r="X9982" s="234"/>
      <c r="Y9982" s="234"/>
      <c r="Z9982" s="234"/>
      <c r="AA9982" s="235"/>
      <c r="AB9982" s="234"/>
    </row>
    <row r="9983" ht="14.5" customHeight="1" spans="11:28" x14ac:dyDescent="0.25">
      <c r="K9983" s="128"/>
      <c r="X9983" s="234"/>
      <c r="Y9983" s="234"/>
      <c r="Z9983" s="234"/>
      <c r="AA9983" s="235"/>
      <c r="AB9983" s="234"/>
    </row>
    <row r="9984" ht="14.5" customHeight="1" spans="11:28" x14ac:dyDescent="0.25">
      <c r="K9984" s="128"/>
      <c r="X9984" s="234"/>
      <c r="Y9984" s="234"/>
      <c r="Z9984" s="234"/>
      <c r="AA9984" s="235"/>
      <c r="AB9984" s="234"/>
    </row>
    <row r="9985" ht="14.5" customHeight="1" spans="11:28" x14ac:dyDescent="0.25">
      <c r="K9985" s="128"/>
      <c r="X9985" s="234"/>
      <c r="Y9985" s="234"/>
      <c r="Z9985" s="234"/>
      <c r="AA9985" s="235"/>
      <c r="AB9985" s="234"/>
    </row>
    <row r="9986" ht="14.5" customHeight="1" spans="11:28" x14ac:dyDescent="0.25">
      <c r="K9986" s="128"/>
      <c r="X9986" s="234"/>
      <c r="Y9986" s="234"/>
      <c r="Z9986" s="234"/>
      <c r="AA9986" s="235"/>
      <c r="AB9986" s="234"/>
    </row>
    <row r="9987" ht="14.5" customHeight="1" spans="11:28" x14ac:dyDescent="0.25">
      <c r="K9987" s="128"/>
      <c r="X9987" s="234"/>
      <c r="Y9987" s="234"/>
      <c r="Z9987" s="234"/>
      <c r="AA9987" s="235"/>
      <c r="AB9987" s="234"/>
    </row>
    <row r="9988" ht="14.5" customHeight="1" spans="11:28" x14ac:dyDescent="0.25">
      <c r="K9988" s="128"/>
      <c r="X9988" s="234"/>
      <c r="Y9988" s="234"/>
      <c r="Z9988" s="234"/>
      <c r="AA9988" s="235"/>
      <c r="AB9988" s="234"/>
    </row>
    <row r="9989" ht="14.5" customHeight="1" spans="11:28" x14ac:dyDescent="0.25">
      <c r="K9989" s="128"/>
      <c r="X9989" s="234"/>
      <c r="Y9989" s="234"/>
      <c r="Z9989" s="234"/>
      <c r="AA9989" s="235"/>
      <c r="AB9989" s="234"/>
    </row>
    <row r="9990" ht="14.5" customHeight="1" spans="11:28" x14ac:dyDescent="0.25">
      <c r="K9990" s="128"/>
      <c r="X9990" s="234"/>
      <c r="Y9990" s="234"/>
      <c r="Z9990" s="234"/>
      <c r="AA9990" s="235"/>
      <c r="AB9990" s="234"/>
    </row>
    <row r="9991" ht="14.5" customHeight="1" spans="11:28" x14ac:dyDescent="0.25">
      <c r="K9991" s="128"/>
      <c r="X9991" s="234"/>
      <c r="Y9991" s="234"/>
      <c r="Z9991" s="234"/>
      <c r="AA9991" s="235"/>
      <c r="AB9991" s="234"/>
    </row>
    <row r="9992" ht="14.5" customHeight="1" spans="11:28" x14ac:dyDescent="0.25">
      <c r="K9992" s="128"/>
      <c r="X9992" s="234"/>
      <c r="Y9992" s="234"/>
      <c r="Z9992" s="234"/>
      <c r="AA9992" s="235"/>
      <c r="AB9992" s="234"/>
    </row>
    <row r="9993" ht="14.5" customHeight="1" spans="11:28" x14ac:dyDescent="0.25">
      <c r="K9993" s="128"/>
      <c r="X9993" s="234"/>
      <c r="Y9993" s="234"/>
      <c r="Z9993" s="234"/>
      <c r="AA9993" s="235"/>
      <c r="AB9993" s="234"/>
    </row>
    <row r="9994" ht="14.5" customHeight="1" spans="11:28" x14ac:dyDescent="0.25">
      <c r="K9994" s="128"/>
      <c r="X9994" s="234"/>
      <c r="Y9994" s="234"/>
      <c r="Z9994" s="234"/>
      <c r="AA9994" s="235"/>
      <c r="AB9994" s="234"/>
    </row>
    <row r="9995" ht="14.5" customHeight="1" spans="11:28" x14ac:dyDescent="0.25">
      <c r="K9995" s="128"/>
      <c r="X9995" s="234"/>
      <c r="Y9995" s="234"/>
      <c r="Z9995" s="234"/>
      <c r="AA9995" s="235"/>
      <c r="AB9995" s="234"/>
    </row>
    <row r="9996" ht="14.5" customHeight="1" spans="11:28" x14ac:dyDescent="0.25">
      <c r="K9996" s="128"/>
      <c r="X9996" s="234"/>
      <c r="Y9996" s="234"/>
      <c r="Z9996" s="234"/>
      <c r="AA9996" s="235"/>
      <c r="AB9996" s="234"/>
    </row>
    <row r="9997" ht="14.5" customHeight="1" spans="11:28" x14ac:dyDescent="0.25">
      <c r="K9997" s="128"/>
      <c r="X9997" s="234"/>
      <c r="Y9997" s="234"/>
      <c r="Z9997" s="234"/>
      <c r="AA9997" s="235"/>
      <c r="AB9997" s="234"/>
    </row>
    <row r="9998" ht="14.5" customHeight="1" spans="11:28" x14ac:dyDescent="0.25">
      <c r="K9998" s="128"/>
      <c r="X9998" s="234"/>
      <c r="Y9998" s="234"/>
      <c r="Z9998" s="234"/>
      <c r="AA9998" s="235"/>
      <c r="AB9998" s="234"/>
    </row>
    <row r="9999" ht="14.5" customHeight="1" spans="11:28" x14ac:dyDescent="0.25">
      <c r="K9999" s="128"/>
      <c r="X9999" s="234"/>
      <c r="Y9999" s="234"/>
      <c r="Z9999" s="234"/>
      <c r="AA9999" s="235"/>
      <c r="AB9999" s="234"/>
    </row>
    <row r="10000" ht="14.5" customHeight="1" spans="11:28" x14ac:dyDescent="0.25">
      <c r="K10000" s="128"/>
      <c r="X10000" s="234"/>
      <c r="Y10000" s="234"/>
      <c r="Z10000" s="234"/>
      <c r="AA10000" s="235"/>
      <c r="AB10000" s="234"/>
    </row>
    <row r="10001" ht="14.5" customHeight="1" spans="11:28" x14ac:dyDescent="0.25">
      <c r="K10001" s="128"/>
      <c r="X10001" s="234"/>
      <c r="Y10001" s="234"/>
      <c r="Z10001" s="234"/>
      <c r="AA10001" s="235"/>
      <c r="AB10001" s="234"/>
    </row>
    <row r="10002" ht="14.5" customHeight="1" spans="11:28" x14ac:dyDescent="0.25">
      <c r="K10002" s="128"/>
      <c r="X10002" s="234"/>
      <c r="Y10002" s="234"/>
      <c r="Z10002" s="234"/>
      <c r="AA10002" s="235"/>
      <c r="AB10002" s="234"/>
    </row>
    <row r="10003" ht="14.5" customHeight="1" spans="11:28" x14ac:dyDescent="0.25">
      <c r="K10003" s="128"/>
      <c r="X10003" s="234"/>
      <c r="Y10003" s="234"/>
      <c r="Z10003" s="234"/>
      <c r="AA10003" s="235"/>
      <c r="AB10003" s="234"/>
    </row>
    <row r="10004" ht="14.5" customHeight="1" spans="11:28" x14ac:dyDescent="0.25">
      <c r="K10004" s="128"/>
      <c r="X10004" s="234"/>
      <c r="Y10004" s="234"/>
      <c r="Z10004" s="234"/>
      <c r="AA10004" s="235"/>
      <c r="AB10004" s="234"/>
    </row>
    <row r="10005" ht="14.5" customHeight="1" spans="11:28" x14ac:dyDescent="0.25">
      <c r="K10005" s="128"/>
      <c r="X10005" s="234"/>
      <c r="Y10005" s="234"/>
      <c r="Z10005" s="234"/>
      <c r="AA10005" s="235"/>
      <c r="AB10005" s="234"/>
    </row>
    <row r="10006" ht="14.5" customHeight="1" spans="11:28" x14ac:dyDescent="0.25">
      <c r="K10006" s="128"/>
      <c r="X10006" s="234"/>
      <c r="Y10006" s="234"/>
      <c r="Z10006" s="234"/>
      <c r="AA10006" s="235"/>
      <c r="AB10006" s="234"/>
    </row>
    <row r="10007" ht="14.5" customHeight="1" spans="11:28" x14ac:dyDescent="0.25">
      <c r="K10007" s="128"/>
      <c r="X10007" s="234"/>
      <c r="Y10007" s="234"/>
      <c r="Z10007" s="234"/>
      <c r="AA10007" s="235"/>
      <c r="AB10007" s="234"/>
    </row>
    <row r="10008" ht="14.5" customHeight="1" spans="11:28" x14ac:dyDescent="0.25">
      <c r="K10008" s="128"/>
      <c r="X10008" s="234"/>
      <c r="Y10008" s="234"/>
      <c r="Z10008" s="234"/>
      <c r="AA10008" s="235"/>
      <c r="AB10008" s="234"/>
    </row>
    <row r="10009" ht="14.5" customHeight="1" spans="11:28" x14ac:dyDescent="0.25">
      <c r="K10009" s="128"/>
      <c r="X10009" s="234"/>
      <c r="Y10009" s="234"/>
      <c r="Z10009" s="234"/>
      <c r="AA10009" s="235"/>
      <c r="AB10009" s="234"/>
    </row>
    <row r="10010" ht="14.5" customHeight="1" spans="11:28" x14ac:dyDescent="0.25">
      <c r="K10010" s="128"/>
      <c r="X10010" s="234"/>
      <c r="Y10010" s="234"/>
      <c r="Z10010" s="234"/>
      <c r="AA10010" s="235"/>
      <c r="AB10010" s="234"/>
    </row>
    <row r="10011" ht="14.5" customHeight="1" spans="11:28" x14ac:dyDescent="0.25">
      <c r="K10011" s="128"/>
      <c r="X10011" s="234"/>
      <c r="Y10011" s="234"/>
      <c r="Z10011" s="234"/>
      <c r="AA10011" s="235"/>
      <c r="AB10011" s="234"/>
    </row>
    <row r="10012" ht="14.5" customHeight="1" spans="11:28" x14ac:dyDescent="0.25">
      <c r="K10012" s="128"/>
      <c r="X10012" s="234"/>
      <c r="Y10012" s="234"/>
      <c r="Z10012" s="234"/>
      <c r="AA10012" s="235"/>
      <c r="AB10012" s="234"/>
    </row>
    <row r="10013" ht="14.5" customHeight="1" spans="11:28" x14ac:dyDescent="0.25">
      <c r="K10013" s="128"/>
      <c r="X10013" s="234"/>
      <c r="Y10013" s="234"/>
      <c r="Z10013" s="234"/>
      <c r="AA10013" s="235"/>
      <c r="AB10013" s="234"/>
    </row>
    <row r="10014" ht="14.5" customHeight="1" spans="11:28" x14ac:dyDescent="0.25">
      <c r="K10014" s="128"/>
      <c r="X10014" s="234"/>
      <c r="Y10014" s="234"/>
      <c r="Z10014" s="234"/>
      <c r="AA10014" s="235"/>
      <c r="AB10014" s="234"/>
    </row>
    <row r="10015" ht="14.5" customHeight="1" spans="11:28" x14ac:dyDescent="0.25">
      <c r="K10015" s="128"/>
      <c r="X10015" s="234"/>
      <c r="Y10015" s="234"/>
      <c r="Z10015" s="234"/>
      <c r="AA10015" s="235"/>
      <c r="AB10015" s="234"/>
    </row>
    <row r="10016" ht="14.5" customHeight="1" spans="11:28" x14ac:dyDescent="0.25">
      <c r="K10016" s="128"/>
      <c r="X10016" s="234"/>
      <c r="Y10016" s="234"/>
      <c r="Z10016" s="234"/>
      <c r="AA10016" s="235"/>
      <c r="AB10016" s="234"/>
    </row>
    <row r="10017" ht="14.5" customHeight="1" spans="11:28" x14ac:dyDescent="0.25">
      <c r="K10017" s="128"/>
      <c r="X10017" s="234"/>
      <c r="Y10017" s="234"/>
      <c r="Z10017" s="234"/>
      <c r="AA10017" s="235"/>
      <c r="AB10017" s="234"/>
    </row>
    <row r="10018" ht="14.5" customHeight="1" spans="11:28" x14ac:dyDescent="0.25">
      <c r="K10018" s="128"/>
      <c r="X10018" s="234"/>
      <c r="Y10018" s="234"/>
      <c r="Z10018" s="234"/>
      <c r="AA10018" s="235"/>
      <c r="AB10018" s="234"/>
    </row>
    <row r="10019" ht="14.5" customHeight="1" spans="11:28" x14ac:dyDescent="0.25">
      <c r="K10019" s="128"/>
      <c r="X10019" s="234"/>
      <c r="Y10019" s="234"/>
      <c r="Z10019" s="234"/>
      <c r="AA10019" s="235"/>
      <c r="AB10019" s="234"/>
    </row>
    <row r="10020" ht="14.5" customHeight="1" spans="11:28" x14ac:dyDescent="0.25">
      <c r="K10020" s="128"/>
      <c r="X10020" s="234"/>
      <c r="Y10020" s="234"/>
      <c r="Z10020" s="234"/>
      <c r="AA10020" s="235"/>
      <c r="AB10020" s="234"/>
    </row>
    <row r="10021" ht="14.5" customHeight="1" spans="11:28" x14ac:dyDescent="0.25">
      <c r="K10021" s="128"/>
      <c r="X10021" s="234"/>
      <c r="Y10021" s="234"/>
      <c r="Z10021" s="234"/>
      <c r="AA10021" s="235"/>
      <c r="AB10021" s="234"/>
    </row>
    <row r="10022" ht="14.5" customHeight="1" spans="11:28" x14ac:dyDescent="0.25">
      <c r="K10022" s="128"/>
      <c r="X10022" s="234"/>
      <c r="Y10022" s="234"/>
      <c r="Z10022" s="234"/>
      <c r="AA10022" s="235"/>
      <c r="AB10022" s="234"/>
    </row>
    <row r="10023" ht="14.5" customHeight="1" spans="11:28" x14ac:dyDescent="0.25">
      <c r="K10023" s="128"/>
      <c r="X10023" s="234"/>
      <c r="Y10023" s="234"/>
      <c r="Z10023" s="234"/>
      <c r="AA10023" s="235"/>
      <c r="AB10023" s="234"/>
    </row>
    <row r="10024" ht="14.5" customHeight="1" spans="11:28" x14ac:dyDescent="0.25">
      <c r="K10024" s="128"/>
      <c r="X10024" s="234"/>
      <c r="Y10024" s="234"/>
      <c r="Z10024" s="234"/>
      <c r="AA10024" s="235"/>
      <c r="AB10024" s="234"/>
    </row>
    <row r="10025" ht="14.5" customHeight="1" spans="11:28" x14ac:dyDescent="0.25">
      <c r="K10025" s="128"/>
      <c r="X10025" s="234"/>
      <c r="Y10025" s="234"/>
      <c r="Z10025" s="234"/>
      <c r="AA10025" s="235"/>
      <c r="AB10025" s="234"/>
    </row>
    <row r="10026" ht="14.5" customHeight="1" spans="11:28" x14ac:dyDescent="0.25">
      <c r="K10026" s="128"/>
      <c r="X10026" s="234"/>
      <c r="Y10026" s="234"/>
      <c r="Z10026" s="234"/>
      <c r="AA10026" s="235"/>
      <c r="AB10026" s="234"/>
    </row>
    <row r="10027" ht="14.5" customHeight="1" spans="11:28" x14ac:dyDescent="0.25">
      <c r="K10027" s="128"/>
      <c r="X10027" s="234"/>
      <c r="Y10027" s="234"/>
      <c r="Z10027" s="234"/>
      <c r="AA10027" s="235"/>
      <c r="AB10027" s="234"/>
    </row>
    <row r="10028" ht="14.5" customHeight="1" spans="11:28" x14ac:dyDescent="0.25">
      <c r="K10028" s="128"/>
      <c r="X10028" s="234"/>
      <c r="Y10028" s="234"/>
      <c r="Z10028" s="234"/>
      <c r="AA10028" s="235"/>
      <c r="AB10028" s="234"/>
    </row>
    <row r="10029" ht="14.5" customHeight="1" spans="11:28" x14ac:dyDescent="0.25">
      <c r="K10029" s="128"/>
      <c r="X10029" s="234"/>
      <c r="Y10029" s="234"/>
      <c r="Z10029" s="234"/>
      <c r="AA10029" s="235"/>
      <c r="AB10029" s="234"/>
    </row>
    <row r="10030" ht="14.5" customHeight="1" spans="11:28" x14ac:dyDescent="0.25">
      <c r="K10030" s="128"/>
      <c r="X10030" s="234"/>
      <c r="Y10030" s="234"/>
      <c r="Z10030" s="234"/>
      <c r="AA10030" s="235"/>
      <c r="AB10030" s="234"/>
    </row>
    <row r="10031" ht="14.5" customHeight="1" spans="11:28" x14ac:dyDescent="0.25">
      <c r="K10031" s="128"/>
      <c r="X10031" s="234"/>
      <c r="Y10031" s="234"/>
      <c r="Z10031" s="234"/>
      <c r="AA10031" s="235"/>
      <c r="AB10031" s="234"/>
    </row>
    <row r="10032" ht="14.5" customHeight="1" spans="11:28" x14ac:dyDescent="0.25">
      <c r="K10032" s="128"/>
      <c r="X10032" s="234"/>
      <c r="Y10032" s="234"/>
      <c r="Z10032" s="234"/>
      <c r="AA10032" s="235"/>
      <c r="AB10032" s="234"/>
    </row>
    <row r="10033" ht="14.5" customHeight="1" spans="11:28" x14ac:dyDescent="0.25">
      <c r="K10033" s="128"/>
      <c r="X10033" s="234"/>
      <c r="Y10033" s="234"/>
      <c r="Z10033" s="234"/>
      <c r="AA10033" s="235"/>
      <c r="AB10033" s="234"/>
    </row>
    <row r="10034" ht="14.5" customHeight="1" spans="11:28" x14ac:dyDescent="0.25">
      <c r="K10034" s="128"/>
      <c r="X10034" s="234"/>
      <c r="Y10034" s="234"/>
      <c r="Z10034" s="234"/>
      <c r="AA10034" s="235"/>
      <c r="AB10034" s="234"/>
    </row>
    <row r="10035" ht="14.5" customHeight="1" spans="11:28" x14ac:dyDescent="0.25">
      <c r="K10035" s="128"/>
      <c r="X10035" s="234"/>
      <c r="Y10035" s="234"/>
      <c r="Z10035" s="234"/>
      <c r="AA10035" s="235"/>
      <c r="AB10035" s="234"/>
    </row>
    <row r="10036" ht="14.5" customHeight="1" spans="11:28" x14ac:dyDescent="0.25">
      <c r="K10036" s="128"/>
      <c r="X10036" s="234"/>
      <c r="Y10036" s="234"/>
      <c r="Z10036" s="234"/>
      <c r="AA10036" s="235"/>
      <c r="AB10036" s="234"/>
    </row>
    <row r="10037" ht="14.5" customHeight="1" spans="11:28" x14ac:dyDescent="0.25">
      <c r="K10037" s="128"/>
      <c r="X10037" s="234"/>
      <c r="Y10037" s="234"/>
      <c r="Z10037" s="234"/>
      <c r="AA10037" s="235"/>
      <c r="AB10037" s="234"/>
    </row>
    <row r="10038" ht="14.5" customHeight="1" spans="11:28" x14ac:dyDescent="0.25">
      <c r="K10038" s="128"/>
      <c r="X10038" s="234"/>
      <c r="Y10038" s="234"/>
      <c r="Z10038" s="234"/>
      <c r="AA10038" s="235"/>
      <c r="AB10038" s="234"/>
    </row>
    <row r="10039" ht="14.5" customHeight="1" spans="11:28" x14ac:dyDescent="0.25">
      <c r="K10039" s="128"/>
      <c r="X10039" s="234"/>
      <c r="Y10039" s="234"/>
      <c r="Z10039" s="234"/>
      <c r="AA10039" s="235"/>
      <c r="AB10039" s="234"/>
    </row>
    <row r="10040" ht="14.5" customHeight="1" spans="11:28" x14ac:dyDescent="0.25">
      <c r="K10040" s="128"/>
      <c r="X10040" s="234"/>
      <c r="Y10040" s="234"/>
      <c r="Z10040" s="234"/>
      <c r="AA10040" s="235"/>
      <c r="AB10040" s="234"/>
    </row>
    <row r="10041" ht="14.5" customHeight="1" spans="11:28" x14ac:dyDescent="0.25">
      <c r="K10041" s="128"/>
      <c r="X10041" s="234"/>
      <c r="Y10041" s="234"/>
      <c r="Z10041" s="234"/>
      <c r="AA10041" s="235"/>
      <c r="AB10041" s="234"/>
    </row>
    <row r="10042" ht="14.5" customHeight="1" spans="11:28" x14ac:dyDescent="0.25">
      <c r="K10042" s="128"/>
      <c r="X10042" s="234"/>
      <c r="Y10042" s="234"/>
      <c r="Z10042" s="234"/>
      <c r="AA10042" s="235"/>
      <c r="AB10042" s="234"/>
    </row>
    <row r="10043" ht="14.5" customHeight="1" spans="11:28" x14ac:dyDescent="0.25">
      <c r="K10043" s="128"/>
      <c r="X10043" s="234"/>
      <c r="Y10043" s="234"/>
      <c r="Z10043" s="234"/>
      <c r="AA10043" s="235"/>
      <c r="AB10043" s="234"/>
    </row>
    <row r="10044" ht="14.5" customHeight="1" spans="11:28" x14ac:dyDescent="0.25">
      <c r="K10044" s="128"/>
      <c r="X10044" s="234"/>
      <c r="Y10044" s="234"/>
      <c r="Z10044" s="234"/>
      <c r="AA10044" s="235"/>
      <c r="AB10044" s="234"/>
    </row>
    <row r="10045" ht="14.5" customHeight="1" spans="11:28" x14ac:dyDescent="0.25">
      <c r="K10045" s="128"/>
      <c r="X10045" s="234"/>
      <c r="Y10045" s="234"/>
      <c r="Z10045" s="234"/>
      <c r="AA10045" s="235"/>
      <c r="AB10045" s="234"/>
    </row>
    <row r="10046" ht="14.5" customHeight="1" spans="11:28" x14ac:dyDescent="0.25">
      <c r="K10046" s="128"/>
      <c r="X10046" s="234"/>
      <c r="Y10046" s="234"/>
      <c r="Z10046" s="234"/>
      <c r="AA10046" s="235"/>
      <c r="AB10046" s="234"/>
    </row>
    <row r="10047" ht="14.5" customHeight="1" spans="11:28" x14ac:dyDescent="0.25">
      <c r="K10047" s="128"/>
      <c r="X10047" s="234"/>
      <c r="Y10047" s="234"/>
      <c r="Z10047" s="234"/>
      <c r="AA10047" s="235"/>
      <c r="AB10047" s="234"/>
    </row>
    <row r="10048" ht="14.5" customHeight="1" spans="11:28" x14ac:dyDescent="0.25">
      <c r="K10048" s="128"/>
      <c r="X10048" s="234"/>
      <c r="Y10048" s="234"/>
      <c r="Z10048" s="234"/>
      <c r="AA10048" s="235"/>
      <c r="AB10048" s="234"/>
    </row>
    <row r="10049" ht="14.5" customHeight="1" spans="11:28" x14ac:dyDescent="0.25">
      <c r="K10049" s="128"/>
      <c r="X10049" s="234"/>
      <c r="Y10049" s="234"/>
      <c r="Z10049" s="234"/>
      <c r="AA10049" s="235"/>
      <c r="AB10049" s="234"/>
    </row>
    <row r="10050" ht="14.5" customHeight="1" spans="11:28" x14ac:dyDescent="0.25">
      <c r="K10050" s="128"/>
      <c r="X10050" s="234"/>
      <c r="Y10050" s="234"/>
      <c r="Z10050" s="234"/>
      <c r="AA10050" s="235"/>
      <c r="AB10050" s="234"/>
    </row>
    <row r="10051" ht="14.5" customHeight="1" spans="11:28" x14ac:dyDescent="0.25">
      <c r="K10051" s="128"/>
      <c r="X10051" s="234"/>
      <c r="Y10051" s="234"/>
      <c r="Z10051" s="234"/>
      <c r="AA10051" s="235"/>
      <c r="AB10051" s="234"/>
    </row>
    <row r="10052" ht="14.5" customHeight="1" spans="11:28" x14ac:dyDescent="0.25">
      <c r="K10052" s="128"/>
      <c r="X10052" s="234"/>
      <c r="Y10052" s="234"/>
      <c r="Z10052" s="234"/>
      <c r="AA10052" s="235"/>
      <c r="AB10052" s="234"/>
    </row>
    <row r="10053" ht="14.5" customHeight="1" spans="11:28" x14ac:dyDescent="0.25">
      <c r="K10053" s="128"/>
      <c r="X10053" s="234"/>
      <c r="Y10053" s="234"/>
      <c r="Z10053" s="234"/>
      <c r="AA10053" s="235"/>
      <c r="AB10053" s="234"/>
    </row>
    <row r="10054" ht="14.5" customHeight="1" spans="11:28" x14ac:dyDescent="0.25">
      <c r="K10054" s="128"/>
      <c r="X10054" s="234"/>
      <c r="Y10054" s="234"/>
      <c r="Z10054" s="234"/>
      <c r="AA10054" s="235"/>
      <c r="AB10054" s="234"/>
    </row>
    <row r="10055" ht="14.5" customHeight="1" spans="11:28" x14ac:dyDescent="0.25">
      <c r="K10055" s="128"/>
      <c r="X10055" s="234"/>
      <c r="Y10055" s="234"/>
      <c r="Z10055" s="234"/>
      <c r="AA10055" s="235"/>
      <c r="AB10055" s="234"/>
    </row>
    <row r="10056" ht="14.5" customHeight="1" spans="11:28" x14ac:dyDescent="0.25">
      <c r="K10056" s="128"/>
      <c r="X10056" s="234"/>
      <c r="Y10056" s="234"/>
      <c r="Z10056" s="234"/>
      <c r="AA10056" s="235"/>
      <c r="AB10056" s="234"/>
    </row>
    <row r="10057" ht="14.5" customHeight="1" spans="11:28" x14ac:dyDescent="0.25">
      <c r="K10057" s="128"/>
      <c r="X10057" s="234"/>
      <c r="Y10057" s="234"/>
      <c r="Z10057" s="234"/>
      <c r="AA10057" s="235"/>
      <c r="AB10057" s="234"/>
    </row>
    <row r="10058" ht="14.5" customHeight="1" spans="11:28" x14ac:dyDescent="0.25">
      <c r="K10058" s="128"/>
      <c r="X10058" s="234"/>
      <c r="Y10058" s="234"/>
      <c r="Z10058" s="234"/>
      <c r="AA10058" s="235"/>
      <c r="AB10058" s="234"/>
    </row>
    <row r="10059" ht="14.5" customHeight="1" spans="11:28" x14ac:dyDescent="0.25">
      <c r="K10059" s="128"/>
      <c r="X10059" s="234"/>
      <c r="Y10059" s="234"/>
      <c r="Z10059" s="234"/>
      <c r="AA10059" s="235"/>
      <c r="AB10059" s="234"/>
    </row>
    <row r="10060" ht="14.5" customHeight="1" spans="11:28" x14ac:dyDescent="0.25">
      <c r="K10060" s="128"/>
      <c r="X10060" s="234"/>
      <c r="Y10060" s="234"/>
      <c r="Z10060" s="234"/>
      <c r="AA10060" s="235"/>
      <c r="AB10060" s="234"/>
    </row>
    <row r="10061" ht="14.5" customHeight="1" spans="11:28" x14ac:dyDescent="0.25">
      <c r="K10061" s="128"/>
      <c r="X10061" s="234"/>
      <c r="Y10061" s="234"/>
      <c r="Z10061" s="234"/>
      <c r="AA10061" s="235"/>
      <c r="AB10061" s="234"/>
    </row>
    <row r="10062" ht="14.5" customHeight="1" spans="11:28" x14ac:dyDescent="0.25">
      <c r="K10062" s="128"/>
      <c r="X10062" s="234"/>
      <c r="Y10062" s="234"/>
      <c r="Z10062" s="234"/>
      <c r="AA10062" s="235"/>
      <c r="AB10062" s="234"/>
    </row>
    <row r="10063" ht="14.5" customHeight="1" spans="11:28" x14ac:dyDescent="0.25">
      <c r="K10063" s="128"/>
      <c r="X10063" s="234"/>
      <c r="Y10063" s="234"/>
      <c r="Z10063" s="234"/>
      <c r="AA10063" s="235"/>
      <c r="AB10063" s="234"/>
    </row>
    <row r="10064" ht="14.5" customHeight="1" spans="11:28" x14ac:dyDescent="0.25">
      <c r="K10064" s="128"/>
      <c r="X10064" s="234"/>
      <c r="Y10064" s="234"/>
      <c r="Z10064" s="234"/>
      <c r="AA10064" s="235"/>
      <c r="AB10064" s="234"/>
    </row>
    <row r="10065" ht="14.5" customHeight="1" spans="11:28" x14ac:dyDescent="0.25">
      <c r="K10065" s="128"/>
      <c r="X10065" s="234"/>
      <c r="Y10065" s="234"/>
      <c r="Z10065" s="234"/>
      <c r="AA10065" s="235"/>
      <c r="AB10065" s="234"/>
    </row>
    <row r="10066" ht="14.5" customHeight="1" spans="11:28" x14ac:dyDescent="0.25">
      <c r="K10066" s="128"/>
      <c r="X10066" s="234"/>
      <c r="Y10066" s="234"/>
      <c r="Z10066" s="234"/>
      <c r="AA10066" s="235"/>
      <c r="AB10066" s="234"/>
    </row>
    <row r="10067" ht="14.5" customHeight="1" spans="11:28" x14ac:dyDescent="0.25">
      <c r="K10067" s="128"/>
      <c r="X10067" s="234"/>
      <c r="Y10067" s="234"/>
      <c r="Z10067" s="234"/>
      <c r="AA10067" s="235"/>
      <c r="AB10067" s="234"/>
    </row>
    <row r="10068" ht="14.5" customHeight="1" spans="11:28" x14ac:dyDescent="0.25">
      <c r="K10068" s="128"/>
      <c r="X10068" s="234"/>
      <c r="Y10068" s="234"/>
      <c r="Z10068" s="234"/>
      <c r="AA10068" s="235"/>
      <c r="AB10068" s="234"/>
    </row>
    <row r="10069" ht="14.5" customHeight="1" spans="11:28" x14ac:dyDescent="0.25">
      <c r="K10069" s="128"/>
      <c r="X10069" s="234"/>
      <c r="Y10069" s="234"/>
      <c r="Z10069" s="234"/>
      <c r="AA10069" s="235"/>
      <c r="AB10069" s="234"/>
    </row>
    <row r="10070" ht="14.5" customHeight="1" spans="11:28" x14ac:dyDescent="0.25">
      <c r="K10070" s="128"/>
      <c r="X10070" s="234"/>
      <c r="Y10070" s="234"/>
      <c r="Z10070" s="234"/>
      <c r="AA10070" s="235"/>
      <c r="AB10070" s="234"/>
    </row>
    <row r="10071" ht="14.5" customHeight="1" spans="11:28" x14ac:dyDescent="0.25">
      <c r="K10071" s="128"/>
      <c r="X10071" s="234"/>
      <c r="Y10071" s="234"/>
      <c r="Z10071" s="234"/>
      <c r="AA10071" s="235"/>
      <c r="AB10071" s="234"/>
    </row>
    <row r="10072" ht="14.5" customHeight="1" spans="11:28" x14ac:dyDescent="0.25">
      <c r="K10072" s="128"/>
      <c r="X10072" s="234"/>
      <c r="Y10072" s="234"/>
      <c r="Z10072" s="234"/>
      <c r="AA10072" s="235"/>
      <c r="AB10072" s="234"/>
    </row>
    <row r="10073" ht="14.5" customHeight="1" spans="11:28" x14ac:dyDescent="0.25">
      <c r="K10073" s="128"/>
      <c r="X10073" s="234"/>
      <c r="Y10073" s="234"/>
      <c r="Z10073" s="234"/>
      <c r="AA10073" s="235"/>
      <c r="AB10073" s="234"/>
    </row>
    <row r="10074" ht="14.5" customHeight="1" spans="11:28" x14ac:dyDescent="0.25">
      <c r="K10074" s="128"/>
      <c r="X10074" s="234"/>
      <c r="Y10074" s="234"/>
      <c r="Z10074" s="234"/>
      <c r="AA10074" s="235"/>
      <c r="AB10074" s="234"/>
    </row>
    <row r="10075" ht="14.5" customHeight="1" spans="11:28" x14ac:dyDescent="0.25">
      <c r="K10075" s="128"/>
      <c r="X10075" s="234"/>
      <c r="Y10075" s="234"/>
      <c r="Z10075" s="234"/>
      <c r="AA10075" s="235"/>
      <c r="AB10075" s="234"/>
    </row>
    <row r="10076" ht="14.5" customHeight="1" spans="11:28" x14ac:dyDescent="0.25">
      <c r="K10076" s="128"/>
      <c r="X10076" s="234"/>
      <c r="Y10076" s="234"/>
      <c r="Z10076" s="234"/>
      <c r="AA10076" s="235"/>
      <c r="AB10076" s="234"/>
    </row>
    <row r="10077" ht="14.5" customHeight="1" spans="11:28" x14ac:dyDescent="0.25">
      <c r="K10077" s="128"/>
      <c r="X10077" s="234"/>
      <c r="Y10077" s="234"/>
      <c r="Z10077" s="234"/>
      <c r="AA10077" s="235"/>
      <c r="AB10077" s="234"/>
    </row>
    <row r="10078" ht="14.5" customHeight="1" spans="11:28" x14ac:dyDescent="0.25">
      <c r="K10078" s="128"/>
      <c r="X10078" s="234"/>
      <c r="Y10078" s="234"/>
      <c r="Z10078" s="234"/>
      <c r="AA10078" s="235"/>
      <c r="AB10078" s="234"/>
    </row>
    <row r="10079" ht="14.5" customHeight="1" spans="11:28" x14ac:dyDescent="0.25">
      <c r="K10079" s="128"/>
      <c r="X10079" s="234"/>
      <c r="Y10079" s="234"/>
      <c r="Z10079" s="234"/>
      <c r="AA10079" s="235"/>
      <c r="AB10079" s="234"/>
    </row>
    <row r="10080" ht="14.5" customHeight="1" spans="11:28" x14ac:dyDescent="0.25">
      <c r="K10080" s="128"/>
      <c r="X10080" s="234"/>
      <c r="Y10080" s="234"/>
      <c r="Z10080" s="234"/>
      <c r="AA10080" s="235"/>
      <c r="AB10080" s="234"/>
    </row>
    <row r="10081" ht="14.5" customHeight="1" spans="11:28" x14ac:dyDescent="0.25">
      <c r="K10081" s="128"/>
      <c r="X10081" s="234"/>
      <c r="Y10081" s="234"/>
      <c r="Z10081" s="234"/>
      <c r="AA10081" s="235"/>
      <c r="AB10081" s="234"/>
    </row>
    <row r="10082" ht="14.5" customHeight="1" spans="11:28" x14ac:dyDescent="0.25">
      <c r="K10082" s="128"/>
      <c r="X10082" s="234"/>
      <c r="Y10082" s="234"/>
      <c r="Z10082" s="234"/>
      <c r="AA10082" s="235"/>
      <c r="AB10082" s="234"/>
    </row>
    <row r="10083" ht="14.5" customHeight="1" spans="11:28" x14ac:dyDescent="0.25">
      <c r="K10083" s="128"/>
      <c r="X10083" s="234"/>
      <c r="Y10083" s="234"/>
      <c r="Z10083" s="234"/>
      <c r="AA10083" s="235"/>
      <c r="AB10083" s="234"/>
    </row>
    <row r="10084" ht="14.5" customHeight="1" spans="11:28" x14ac:dyDescent="0.25">
      <c r="K10084" s="128"/>
      <c r="X10084" s="234"/>
      <c r="Y10084" s="234"/>
      <c r="Z10084" s="234"/>
      <c r="AA10084" s="235"/>
      <c r="AB10084" s="234"/>
    </row>
    <row r="10085" ht="14.5" customHeight="1" spans="11:28" x14ac:dyDescent="0.25">
      <c r="K10085" s="128"/>
      <c r="X10085" s="234"/>
      <c r="Y10085" s="234"/>
      <c r="Z10085" s="234"/>
      <c r="AA10085" s="235"/>
      <c r="AB10085" s="234"/>
    </row>
    <row r="10086" ht="14.5" customHeight="1" spans="11:28" x14ac:dyDescent="0.25">
      <c r="K10086" s="128"/>
      <c r="X10086" s="234"/>
      <c r="Y10086" s="234"/>
      <c r="Z10086" s="234"/>
      <c r="AA10086" s="235"/>
      <c r="AB10086" s="234"/>
    </row>
    <row r="10087" ht="14.5" customHeight="1" spans="11:28" x14ac:dyDescent="0.25">
      <c r="K10087" s="128"/>
      <c r="X10087" s="234"/>
      <c r="Y10087" s="234"/>
      <c r="Z10087" s="234"/>
      <c r="AA10087" s="235"/>
      <c r="AB10087" s="234"/>
    </row>
    <row r="10088" ht="14.5" customHeight="1" spans="11:28" x14ac:dyDescent="0.25">
      <c r="K10088" s="128"/>
      <c r="X10088" s="234"/>
      <c r="Y10088" s="234"/>
      <c r="Z10088" s="234"/>
      <c r="AA10088" s="235"/>
      <c r="AB10088" s="234"/>
    </row>
    <row r="10089" ht="14.5" customHeight="1" spans="11:28" x14ac:dyDescent="0.25">
      <c r="K10089" s="128"/>
      <c r="X10089" s="234"/>
      <c r="Y10089" s="234"/>
      <c r="Z10089" s="234"/>
      <c r="AA10089" s="235"/>
      <c r="AB10089" s="234"/>
    </row>
    <row r="10090" ht="14.5" customHeight="1" spans="11:28" x14ac:dyDescent="0.25">
      <c r="K10090" s="128"/>
      <c r="X10090" s="234"/>
      <c r="Y10090" s="234"/>
      <c r="Z10090" s="234"/>
      <c r="AA10090" s="235"/>
      <c r="AB10090" s="234"/>
    </row>
    <row r="10091" ht="14.5" customHeight="1" spans="11:28" x14ac:dyDescent="0.25">
      <c r="K10091" s="128"/>
      <c r="X10091" s="234"/>
      <c r="Y10091" s="234"/>
      <c r="Z10091" s="234"/>
      <c r="AA10091" s="235"/>
      <c r="AB10091" s="234"/>
    </row>
    <row r="10092" ht="14.5" customHeight="1" spans="11:28" x14ac:dyDescent="0.25">
      <c r="K10092" s="128"/>
      <c r="X10092" s="234"/>
      <c r="Y10092" s="234"/>
      <c r="Z10092" s="234"/>
      <c r="AA10092" s="235"/>
      <c r="AB10092" s="234"/>
    </row>
    <row r="10093" ht="14.5" customHeight="1" spans="11:28" x14ac:dyDescent="0.25">
      <c r="K10093" s="128"/>
      <c r="X10093" s="234"/>
      <c r="Y10093" s="234"/>
      <c r="Z10093" s="234"/>
      <c r="AA10093" s="235"/>
      <c r="AB10093" s="234"/>
    </row>
    <row r="10094" ht="14.5" customHeight="1" spans="11:28" x14ac:dyDescent="0.25">
      <c r="K10094" s="128"/>
      <c r="X10094" s="234"/>
      <c r="Y10094" s="234"/>
      <c r="Z10094" s="234"/>
      <c r="AA10094" s="235"/>
      <c r="AB10094" s="234"/>
    </row>
    <row r="10095" ht="14.5" customHeight="1" spans="11:28" x14ac:dyDescent="0.25">
      <c r="K10095" s="128"/>
      <c r="X10095" s="234"/>
      <c r="Y10095" s="234"/>
      <c r="Z10095" s="234"/>
      <c r="AA10095" s="235"/>
      <c r="AB10095" s="234"/>
    </row>
    <row r="10096" ht="14.5" customHeight="1" spans="11:28" x14ac:dyDescent="0.25">
      <c r="K10096" s="128"/>
      <c r="X10096" s="234"/>
      <c r="Y10096" s="234"/>
      <c r="Z10096" s="234"/>
      <c r="AA10096" s="235"/>
      <c r="AB10096" s="234"/>
    </row>
    <row r="10097" ht="14.5" customHeight="1" spans="11:28" x14ac:dyDescent="0.25">
      <c r="K10097" s="128"/>
      <c r="X10097" s="234"/>
      <c r="Y10097" s="234"/>
      <c r="Z10097" s="234"/>
      <c r="AA10097" s="235"/>
      <c r="AB10097" s="234"/>
    </row>
    <row r="10098" ht="14.5" customHeight="1" spans="11:28" x14ac:dyDescent="0.25">
      <c r="K10098" s="128"/>
      <c r="X10098" s="234"/>
      <c r="Y10098" s="234"/>
      <c r="Z10098" s="234"/>
      <c r="AA10098" s="235"/>
      <c r="AB10098" s="234"/>
    </row>
    <row r="10099" ht="14.5" customHeight="1" spans="11:28" x14ac:dyDescent="0.25">
      <c r="K10099" s="128"/>
      <c r="X10099" s="234"/>
      <c r="Y10099" s="234"/>
      <c r="Z10099" s="234"/>
      <c r="AA10099" s="235"/>
      <c r="AB10099" s="234"/>
    </row>
    <row r="10100" ht="14.5" customHeight="1" spans="11:28" x14ac:dyDescent="0.25">
      <c r="K10100" s="128"/>
      <c r="X10100" s="234"/>
      <c r="Y10100" s="234"/>
      <c r="Z10100" s="234"/>
      <c r="AA10100" s="235"/>
      <c r="AB10100" s="234"/>
    </row>
    <row r="10101" ht="14.5" customHeight="1" spans="11:28" x14ac:dyDescent="0.25">
      <c r="K10101" s="128"/>
      <c r="X10101" s="234"/>
      <c r="Y10101" s="234"/>
      <c r="Z10101" s="234"/>
      <c r="AA10101" s="235"/>
      <c r="AB10101" s="234"/>
    </row>
    <row r="10102" ht="14.5" customHeight="1" spans="11:28" x14ac:dyDescent="0.25">
      <c r="K10102" s="128"/>
      <c r="X10102" s="234"/>
      <c r="Y10102" s="234"/>
      <c r="Z10102" s="234"/>
      <c r="AA10102" s="235"/>
      <c r="AB10102" s="234"/>
    </row>
    <row r="10103" ht="14.5" customHeight="1" spans="11:28" x14ac:dyDescent="0.25">
      <c r="K10103" s="128"/>
      <c r="X10103" s="234"/>
      <c r="Y10103" s="234"/>
      <c r="Z10103" s="234"/>
      <c r="AA10103" s="235"/>
      <c r="AB10103" s="234"/>
    </row>
    <row r="10104" ht="14.5" customHeight="1" spans="11:28" x14ac:dyDescent="0.25">
      <c r="K10104" s="128"/>
      <c r="X10104" s="234"/>
      <c r="Y10104" s="234"/>
      <c r="Z10104" s="234"/>
      <c r="AA10104" s="235"/>
      <c r="AB10104" s="234"/>
    </row>
    <row r="10105" ht="14.5" customHeight="1" spans="11:28" x14ac:dyDescent="0.25">
      <c r="K10105" s="128"/>
      <c r="X10105" s="234"/>
      <c r="Y10105" s="234"/>
      <c r="Z10105" s="234"/>
      <c r="AA10105" s="235"/>
      <c r="AB10105" s="234"/>
    </row>
    <row r="10106" ht="14.5" customHeight="1" spans="11:28" x14ac:dyDescent="0.25">
      <c r="K10106" s="128"/>
      <c r="X10106" s="234"/>
      <c r="Y10106" s="234"/>
      <c r="Z10106" s="234"/>
      <c r="AA10106" s="235"/>
      <c r="AB10106" s="234"/>
    </row>
    <row r="10107" ht="14.5" customHeight="1" spans="11:28" x14ac:dyDescent="0.25">
      <c r="K10107" s="128"/>
      <c r="X10107" s="234"/>
      <c r="Y10107" s="234"/>
      <c r="Z10107" s="234"/>
      <c r="AA10107" s="235"/>
      <c r="AB10107" s="234"/>
    </row>
    <row r="10108" ht="14.5" customHeight="1" spans="11:28" x14ac:dyDescent="0.25">
      <c r="K10108" s="128"/>
      <c r="X10108" s="234"/>
      <c r="Y10108" s="234"/>
      <c r="Z10108" s="234"/>
      <c r="AA10108" s="235"/>
      <c r="AB10108" s="234"/>
    </row>
    <row r="10109" ht="14.5" customHeight="1" spans="11:28" x14ac:dyDescent="0.25">
      <c r="K10109" s="128"/>
      <c r="X10109" s="234"/>
      <c r="Y10109" s="234"/>
      <c r="Z10109" s="234"/>
      <c r="AA10109" s="235"/>
      <c r="AB10109" s="234"/>
    </row>
    <row r="10110" ht="14.5" customHeight="1" spans="11:28" x14ac:dyDescent="0.25">
      <c r="K10110" s="128"/>
      <c r="X10110" s="234"/>
      <c r="Y10110" s="234"/>
      <c r="Z10110" s="234"/>
      <c r="AA10110" s="235"/>
      <c r="AB10110" s="234"/>
    </row>
    <row r="10111" ht="14.5" customHeight="1" spans="11:28" x14ac:dyDescent="0.25">
      <c r="K10111" s="128"/>
      <c r="X10111" s="234"/>
      <c r="Y10111" s="234"/>
      <c r="Z10111" s="234"/>
      <c r="AA10111" s="235"/>
      <c r="AB10111" s="234"/>
    </row>
    <row r="10112" ht="14.5" customHeight="1" spans="11:28" x14ac:dyDescent="0.25">
      <c r="K10112" s="128"/>
      <c r="X10112" s="234"/>
      <c r="Y10112" s="234"/>
      <c r="Z10112" s="234"/>
      <c r="AA10112" s="235"/>
      <c r="AB10112" s="234"/>
    </row>
    <row r="10113" ht="14.5" customHeight="1" spans="11:28" x14ac:dyDescent="0.25">
      <c r="K10113" s="128"/>
      <c r="X10113" s="234"/>
      <c r="Y10113" s="234"/>
      <c r="Z10113" s="234"/>
      <c r="AA10113" s="235"/>
      <c r="AB10113" s="234"/>
    </row>
    <row r="10114" ht="14.5" customHeight="1" spans="11:28" x14ac:dyDescent="0.25">
      <c r="K10114" s="128"/>
      <c r="X10114" s="234"/>
      <c r="Y10114" s="234"/>
      <c r="Z10114" s="234"/>
      <c r="AA10114" s="235"/>
      <c r="AB10114" s="234"/>
    </row>
    <row r="10115" ht="14.5" customHeight="1" spans="11:28" x14ac:dyDescent="0.25">
      <c r="K10115" s="128"/>
      <c r="X10115" s="234"/>
      <c r="Y10115" s="234"/>
      <c r="Z10115" s="234"/>
      <c r="AA10115" s="235"/>
      <c r="AB10115" s="234"/>
    </row>
    <row r="10116" ht="14.5" customHeight="1" spans="11:28" x14ac:dyDescent="0.25">
      <c r="K10116" s="128"/>
      <c r="X10116" s="234"/>
      <c r="Y10116" s="234"/>
      <c r="Z10116" s="234"/>
      <c r="AA10116" s="235"/>
      <c r="AB10116" s="234"/>
    </row>
    <row r="10117" ht="14.5" customHeight="1" spans="11:28" x14ac:dyDescent="0.25">
      <c r="K10117" s="128"/>
      <c r="X10117" s="234"/>
      <c r="Y10117" s="234"/>
      <c r="Z10117" s="234"/>
      <c r="AA10117" s="235"/>
      <c r="AB10117" s="234"/>
    </row>
    <row r="10118" ht="14.5" customHeight="1" spans="11:28" x14ac:dyDescent="0.25">
      <c r="K10118" s="128"/>
      <c r="X10118" s="234"/>
      <c r="Y10118" s="234"/>
      <c r="Z10118" s="234"/>
      <c r="AA10118" s="235"/>
      <c r="AB10118" s="234"/>
    </row>
    <row r="10119" ht="14.5" customHeight="1" spans="11:28" x14ac:dyDescent="0.25">
      <c r="K10119" s="128"/>
      <c r="X10119" s="234"/>
      <c r="Y10119" s="234"/>
      <c r="Z10119" s="234"/>
      <c r="AA10119" s="235"/>
      <c r="AB10119" s="234"/>
    </row>
    <row r="10120" ht="14.5" customHeight="1" spans="11:28" x14ac:dyDescent="0.25">
      <c r="K10120" s="128"/>
      <c r="X10120" s="234"/>
      <c r="Y10120" s="234"/>
      <c r="Z10120" s="234"/>
      <c r="AA10120" s="235"/>
      <c r="AB10120" s="234"/>
    </row>
    <row r="10121" ht="14.5" customHeight="1" spans="11:28" x14ac:dyDescent="0.25">
      <c r="K10121" s="128"/>
      <c r="X10121" s="234"/>
      <c r="Y10121" s="234"/>
      <c r="Z10121" s="234"/>
      <c r="AA10121" s="235"/>
      <c r="AB10121" s="234"/>
    </row>
    <row r="10122" ht="14.5" customHeight="1" spans="11:28" x14ac:dyDescent="0.25">
      <c r="K10122" s="128"/>
      <c r="X10122" s="234"/>
      <c r="Y10122" s="234"/>
      <c r="Z10122" s="234"/>
      <c r="AA10122" s="235"/>
      <c r="AB10122" s="234"/>
    </row>
    <row r="10123" ht="14.5" customHeight="1" spans="11:28" x14ac:dyDescent="0.25">
      <c r="K10123" s="128"/>
      <c r="X10123" s="234"/>
      <c r="Y10123" s="234"/>
      <c r="Z10123" s="234"/>
      <c r="AA10123" s="235"/>
      <c r="AB10123" s="234"/>
    </row>
    <row r="10124" ht="14.5" customHeight="1" spans="11:28" x14ac:dyDescent="0.25">
      <c r="K10124" s="128"/>
      <c r="X10124" s="234"/>
      <c r="Y10124" s="234"/>
      <c r="Z10124" s="234"/>
      <c r="AA10124" s="235"/>
      <c r="AB10124" s="234"/>
    </row>
    <row r="10125" ht="14.5" customHeight="1" spans="11:28" x14ac:dyDescent="0.25">
      <c r="K10125" s="128"/>
      <c r="X10125" s="234"/>
      <c r="Y10125" s="234"/>
      <c r="Z10125" s="234"/>
      <c r="AA10125" s="235"/>
      <c r="AB10125" s="234"/>
    </row>
    <row r="10126" ht="14.5" customHeight="1" spans="11:28" x14ac:dyDescent="0.25">
      <c r="K10126" s="128"/>
      <c r="X10126" s="234"/>
      <c r="Y10126" s="234"/>
      <c r="Z10126" s="234"/>
      <c r="AA10126" s="235"/>
      <c r="AB10126" s="234"/>
    </row>
    <row r="10127" ht="14.5" customHeight="1" spans="11:28" x14ac:dyDescent="0.25">
      <c r="K10127" s="128"/>
      <c r="X10127" s="234"/>
      <c r="Y10127" s="234"/>
      <c r="Z10127" s="234"/>
      <c r="AA10127" s="235"/>
      <c r="AB10127" s="234"/>
    </row>
    <row r="10128" ht="14.5" customHeight="1" spans="11:28" x14ac:dyDescent="0.25">
      <c r="K10128" s="128"/>
      <c r="X10128" s="234"/>
      <c r="Y10128" s="234"/>
      <c r="Z10128" s="234"/>
      <c r="AA10128" s="235"/>
      <c r="AB10128" s="234"/>
    </row>
    <row r="10129" ht="14.5" customHeight="1" spans="11:28" x14ac:dyDescent="0.25">
      <c r="K10129" s="128"/>
      <c r="X10129" s="234"/>
      <c r="Y10129" s="234"/>
      <c r="Z10129" s="234"/>
      <c r="AA10129" s="235"/>
      <c r="AB10129" s="234"/>
    </row>
    <row r="10130" ht="14.5" customHeight="1" spans="11:28" x14ac:dyDescent="0.25">
      <c r="K10130" s="128"/>
      <c r="X10130" s="234"/>
      <c r="Y10130" s="234"/>
      <c r="Z10130" s="234"/>
      <c r="AA10130" s="235"/>
      <c r="AB10130" s="234"/>
    </row>
    <row r="10131" ht="14.5" customHeight="1" spans="11:28" x14ac:dyDescent="0.25">
      <c r="K10131" s="128"/>
      <c r="X10131" s="234"/>
      <c r="Y10131" s="234"/>
      <c r="Z10131" s="234"/>
      <c r="AA10131" s="235"/>
      <c r="AB10131" s="234"/>
    </row>
    <row r="10132" ht="14.5" customHeight="1" spans="11:28" x14ac:dyDescent="0.25">
      <c r="K10132" s="128"/>
      <c r="X10132" s="234"/>
      <c r="Y10132" s="234"/>
      <c r="Z10132" s="234"/>
      <c r="AA10132" s="235"/>
      <c r="AB10132" s="234"/>
    </row>
    <row r="10133" ht="14.5" customHeight="1" spans="11:28" x14ac:dyDescent="0.25">
      <c r="K10133" s="128"/>
      <c r="X10133" s="234"/>
      <c r="Y10133" s="234"/>
      <c r="Z10133" s="234"/>
      <c r="AA10133" s="235"/>
      <c r="AB10133" s="234"/>
    </row>
    <row r="10134" ht="14.5" customHeight="1" spans="11:28" x14ac:dyDescent="0.25">
      <c r="K10134" s="128"/>
      <c r="X10134" s="234"/>
      <c r="Y10134" s="234"/>
      <c r="Z10134" s="234"/>
      <c r="AA10134" s="235"/>
      <c r="AB10134" s="234"/>
    </row>
    <row r="10135" ht="14.5" customHeight="1" spans="11:28" x14ac:dyDescent="0.25">
      <c r="K10135" s="128"/>
      <c r="X10135" s="234"/>
      <c r="Y10135" s="234"/>
      <c r="Z10135" s="234"/>
      <c r="AA10135" s="235"/>
      <c r="AB10135" s="234"/>
    </row>
    <row r="10136" ht="14.5" customHeight="1" spans="11:28" x14ac:dyDescent="0.25">
      <c r="K10136" s="128"/>
      <c r="X10136" s="234"/>
      <c r="Y10136" s="234"/>
      <c r="Z10136" s="234"/>
      <c r="AA10136" s="235"/>
      <c r="AB10136" s="234"/>
    </row>
    <row r="10137" ht="14.5" customHeight="1" spans="11:28" x14ac:dyDescent="0.25">
      <c r="K10137" s="128"/>
      <c r="X10137" s="234"/>
      <c r="Y10137" s="234"/>
      <c r="Z10137" s="234"/>
      <c r="AA10137" s="235"/>
      <c r="AB10137" s="234"/>
    </row>
    <row r="10138" ht="14.5" customHeight="1" spans="11:28" x14ac:dyDescent="0.25">
      <c r="K10138" s="128"/>
      <c r="X10138" s="234"/>
      <c r="Y10138" s="234"/>
      <c r="Z10138" s="234"/>
      <c r="AA10138" s="235"/>
      <c r="AB10138" s="234"/>
    </row>
    <row r="10139" ht="14.5" customHeight="1" spans="11:28" x14ac:dyDescent="0.25">
      <c r="K10139" s="128"/>
      <c r="X10139" s="234"/>
      <c r="Y10139" s="234"/>
      <c r="Z10139" s="234"/>
      <c r="AA10139" s="235"/>
      <c r="AB10139" s="234"/>
    </row>
    <row r="10140" ht="14.5" customHeight="1" spans="11:28" x14ac:dyDescent="0.25">
      <c r="K10140" s="128"/>
      <c r="X10140" s="234"/>
      <c r="Y10140" s="234"/>
      <c r="Z10140" s="234"/>
      <c r="AA10140" s="235"/>
      <c r="AB10140" s="234"/>
    </row>
    <row r="10141" ht="14.5" customHeight="1" spans="11:28" x14ac:dyDescent="0.25">
      <c r="K10141" s="128"/>
      <c r="X10141" s="234"/>
      <c r="Y10141" s="234"/>
      <c r="Z10141" s="234"/>
      <c r="AA10141" s="235"/>
      <c r="AB10141" s="234"/>
    </row>
    <row r="10142" ht="14.5" customHeight="1" spans="11:28" x14ac:dyDescent="0.25">
      <c r="K10142" s="128"/>
      <c r="X10142" s="234"/>
      <c r="Y10142" s="234"/>
      <c r="Z10142" s="234"/>
      <c r="AA10142" s="235"/>
      <c r="AB10142" s="234"/>
    </row>
    <row r="10143" ht="14.5" customHeight="1" spans="11:28" x14ac:dyDescent="0.25">
      <c r="K10143" s="128"/>
      <c r="X10143" s="234"/>
      <c r="Y10143" s="234"/>
      <c r="Z10143" s="234"/>
      <c r="AA10143" s="235"/>
      <c r="AB10143" s="234"/>
    </row>
    <row r="10144" ht="14.5" customHeight="1" spans="11:28" x14ac:dyDescent="0.25">
      <c r="K10144" s="128"/>
      <c r="X10144" s="234"/>
      <c r="Y10144" s="234"/>
      <c r="Z10144" s="234"/>
      <c r="AA10144" s="235"/>
      <c r="AB10144" s="234"/>
    </row>
    <row r="10145" ht="14.5" customHeight="1" spans="11:28" x14ac:dyDescent="0.25">
      <c r="K10145" s="128"/>
      <c r="X10145" s="234"/>
      <c r="Y10145" s="234"/>
      <c r="Z10145" s="234"/>
      <c r="AA10145" s="235"/>
      <c r="AB10145" s="234"/>
    </row>
    <row r="10146" ht="14.5" customHeight="1" spans="11:28" x14ac:dyDescent="0.25">
      <c r="K10146" s="128"/>
      <c r="X10146" s="234"/>
      <c r="Y10146" s="234"/>
      <c r="Z10146" s="234"/>
      <c r="AA10146" s="235"/>
      <c r="AB10146" s="234"/>
    </row>
    <row r="10147" ht="14.5" customHeight="1" spans="11:28" x14ac:dyDescent="0.25">
      <c r="K10147" s="128"/>
      <c r="X10147" s="234"/>
      <c r="Y10147" s="234"/>
      <c r="Z10147" s="234"/>
      <c r="AA10147" s="235"/>
      <c r="AB10147" s="234"/>
    </row>
    <row r="10148" ht="14.5" customHeight="1" spans="11:28" x14ac:dyDescent="0.25">
      <c r="K10148" s="128"/>
      <c r="X10148" s="234"/>
      <c r="Y10148" s="234"/>
      <c r="Z10148" s="234"/>
      <c r="AA10148" s="235"/>
      <c r="AB10148" s="234"/>
    </row>
    <row r="10149" ht="14.5" customHeight="1" spans="11:28" x14ac:dyDescent="0.25">
      <c r="K10149" s="128"/>
      <c r="X10149" s="234"/>
      <c r="Y10149" s="234"/>
      <c r="Z10149" s="234"/>
      <c r="AA10149" s="235"/>
      <c r="AB10149" s="234"/>
    </row>
    <row r="10150" ht="14.5" customHeight="1" spans="11:28" x14ac:dyDescent="0.25">
      <c r="K10150" s="128"/>
      <c r="X10150" s="234"/>
      <c r="Y10150" s="234"/>
      <c r="Z10150" s="234"/>
      <c r="AA10150" s="235"/>
      <c r="AB10150" s="234"/>
    </row>
    <row r="10151" ht="14.5" customHeight="1" spans="11:28" x14ac:dyDescent="0.25">
      <c r="K10151" s="128"/>
      <c r="X10151" s="234"/>
      <c r="Y10151" s="234"/>
      <c r="Z10151" s="234"/>
      <c r="AA10151" s="235"/>
      <c r="AB10151" s="234"/>
    </row>
    <row r="10152" ht="14.5" customHeight="1" spans="11:28" x14ac:dyDescent="0.25">
      <c r="K10152" s="128"/>
      <c r="X10152" s="234"/>
      <c r="Y10152" s="234"/>
      <c r="Z10152" s="234"/>
      <c r="AA10152" s="235"/>
      <c r="AB10152" s="234"/>
    </row>
    <row r="10153" ht="14.5" customHeight="1" spans="11:28" x14ac:dyDescent="0.25">
      <c r="K10153" s="128"/>
      <c r="X10153" s="234"/>
      <c r="Y10153" s="234"/>
      <c r="Z10153" s="234"/>
      <c r="AA10153" s="235"/>
      <c r="AB10153" s="234"/>
    </row>
    <row r="10154" ht="14.5" customHeight="1" spans="11:28" x14ac:dyDescent="0.25">
      <c r="K10154" s="128"/>
      <c r="X10154" s="234"/>
      <c r="Y10154" s="234"/>
      <c r="Z10154" s="234"/>
      <c r="AA10154" s="235"/>
      <c r="AB10154" s="234"/>
    </row>
    <row r="10155" ht="14.5" customHeight="1" spans="11:28" x14ac:dyDescent="0.25">
      <c r="K10155" s="128"/>
      <c r="X10155" s="234"/>
      <c r="Y10155" s="234"/>
      <c r="Z10155" s="234"/>
      <c r="AA10155" s="235"/>
      <c r="AB10155" s="234"/>
    </row>
    <row r="10156" ht="14.5" customHeight="1" spans="11:28" x14ac:dyDescent="0.25">
      <c r="K10156" s="128"/>
      <c r="X10156" s="234"/>
      <c r="Y10156" s="234"/>
      <c r="Z10156" s="234"/>
      <c r="AA10156" s="235"/>
      <c r="AB10156" s="234"/>
    </row>
    <row r="10157" ht="14.5" customHeight="1" spans="11:28" x14ac:dyDescent="0.25">
      <c r="K10157" s="128"/>
      <c r="X10157" s="234"/>
      <c r="Y10157" s="234"/>
      <c r="Z10157" s="234"/>
      <c r="AA10157" s="235"/>
      <c r="AB10157" s="234"/>
    </row>
    <row r="10158" ht="14.5" customHeight="1" spans="11:28" x14ac:dyDescent="0.25">
      <c r="K10158" s="128"/>
      <c r="X10158" s="234"/>
      <c r="Y10158" s="234"/>
      <c r="Z10158" s="234"/>
      <c r="AA10158" s="235"/>
      <c r="AB10158" s="234"/>
    </row>
    <row r="10159" ht="14.5" customHeight="1" spans="11:28" x14ac:dyDescent="0.25">
      <c r="K10159" s="128"/>
      <c r="X10159" s="234"/>
      <c r="Y10159" s="234"/>
      <c r="Z10159" s="234"/>
      <c r="AA10159" s="235"/>
      <c r="AB10159" s="234"/>
    </row>
    <row r="10160" ht="14.5" customHeight="1" spans="11:28" x14ac:dyDescent="0.25">
      <c r="K10160" s="128"/>
      <c r="X10160" s="234"/>
      <c r="Y10160" s="234"/>
      <c r="Z10160" s="234"/>
      <c r="AA10160" s="235"/>
      <c r="AB10160" s="234"/>
    </row>
    <row r="10161" ht="14.5" customHeight="1" spans="11:28" x14ac:dyDescent="0.25">
      <c r="K10161" s="128"/>
      <c r="X10161" s="234"/>
      <c r="Y10161" s="234"/>
      <c r="Z10161" s="234"/>
      <c r="AA10161" s="235"/>
      <c r="AB10161" s="234"/>
    </row>
    <row r="10162" ht="14.5" customHeight="1" spans="11:28" x14ac:dyDescent="0.25">
      <c r="K10162" s="128"/>
      <c r="X10162" s="234"/>
      <c r="Y10162" s="234"/>
      <c r="Z10162" s="234"/>
      <c r="AA10162" s="235"/>
      <c r="AB10162" s="234"/>
    </row>
    <row r="10163" ht="14.5" customHeight="1" spans="11:28" x14ac:dyDescent="0.25">
      <c r="K10163" s="128"/>
      <c r="X10163" s="234"/>
      <c r="Y10163" s="234"/>
      <c r="Z10163" s="234"/>
      <c r="AA10163" s="235"/>
      <c r="AB10163" s="234"/>
    </row>
    <row r="10164" ht="14.5" customHeight="1" spans="11:28" x14ac:dyDescent="0.25">
      <c r="K10164" s="128"/>
      <c r="X10164" s="234"/>
      <c r="Y10164" s="234"/>
      <c r="Z10164" s="234"/>
      <c r="AA10164" s="235"/>
      <c r="AB10164" s="234"/>
    </row>
    <row r="10165" ht="14.5" customHeight="1" spans="11:28" x14ac:dyDescent="0.25">
      <c r="K10165" s="128"/>
      <c r="X10165" s="234"/>
      <c r="Y10165" s="234"/>
      <c r="Z10165" s="234"/>
      <c r="AA10165" s="235"/>
      <c r="AB10165" s="234"/>
    </row>
    <row r="10166" ht="14.5" customHeight="1" spans="11:28" x14ac:dyDescent="0.25">
      <c r="K10166" s="128"/>
      <c r="X10166" s="234"/>
      <c r="Y10166" s="234"/>
      <c r="Z10166" s="234"/>
      <c r="AA10166" s="235"/>
      <c r="AB10166" s="234"/>
    </row>
    <row r="10167" ht="14.5" customHeight="1" spans="11:28" x14ac:dyDescent="0.25">
      <c r="K10167" s="128"/>
      <c r="X10167" s="234"/>
      <c r="Y10167" s="234"/>
      <c r="Z10167" s="234"/>
      <c r="AA10167" s="235"/>
      <c r="AB10167" s="234"/>
    </row>
    <row r="10168" ht="14.5" customHeight="1" spans="11:28" x14ac:dyDescent="0.25">
      <c r="K10168" s="128"/>
      <c r="X10168" s="234"/>
      <c r="Y10168" s="234"/>
      <c r="Z10168" s="234"/>
      <c r="AA10168" s="235"/>
      <c r="AB10168" s="234"/>
    </row>
    <row r="10169" ht="14.5" customHeight="1" spans="11:28" x14ac:dyDescent="0.25">
      <c r="K10169" s="128"/>
      <c r="X10169" s="234"/>
      <c r="Y10169" s="234"/>
      <c r="Z10169" s="234"/>
      <c r="AA10169" s="235"/>
      <c r="AB10169" s="234"/>
    </row>
    <row r="10170" ht="14.5" customHeight="1" spans="11:28" x14ac:dyDescent="0.25">
      <c r="K10170" s="128"/>
      <c r="X10170" s="234"/>
      <c r="Y10170" s="234"/>
      <c r="Z10170" s="234"/>
      <c r="AA10170" s="235"/>
      <c r="AB10170" s="234"/>
    </row>
    <row r="10171" ht="14.5" customHeight="1" spans="11:28" x14ac:dyDescent="0.25">
      <c r="K10171" s="128"/>
      <c r="X10171" s="234"/>
      <c r="Y10171" s="234"/>
      <c r="Z10171" s="234"/>
      <c r="AA10171" s="235"/>
      <c r="AB10171" s="234"/>
    </row>
    <row r="10172" ht="14.5" customHeight="1" spans="11:28" x14ac:dyDescent="0.25">
      <c r="K10172" s="128"/>
      <c r="X10172" s="234"/>
      <c r="Y10172" s="234"/>
      <c r="Z10172" s="234"/>
      <c r="AA10172" s="235"/>
      <c r="AB10172" s="234"/>
    </row>
    <row r="10173" ht="14.5" customHeight="1" spans="11:28" x14ac:dyDescent="0.25">
      <c r="K10173" s="128"/>
      <c r="X10173" s="234"/>
      <c r="Y10173" s="234"/>
      <c r="Z10173" s="234"/>
      <c r="AA10173" s="235"/>
      <c r="AB10173" s="234"/>
    </row>
    <row r="10174" ht="14.5" customHeight="1" spans="11:28" x14ac:dyDescent="0.25">
      <c r="K10174" s="128"/>
      <c r="X10174" s="234"/>
      <c r="Y10174" s="234"/>
      <c r="Z10174" s="234"/>
      <c r="AA10174" s="235"/>
      <c r="AB10174" s="234"/>
    </row>
    <row r="10175" ht="14.5" customHeight="1" spans="11:28" x14ac:dyDescent="0.25">
      <c r="K10175" s="128"/>
      <c r="X10175" s="234"/>
      <c r="Y10175" s="234"/>
      <c r="Z10175" s="234"/>
      <c r="AA10175" s="235"/>
      <c r="AB10175" s="234"/>
    </row>
    <row r="10176" ht="14.5" customHeight="1" spans="11:28" x14ac:dyDescent="0.25">
      <c r="K10176" s="128"/>
      <c r="X10176" s="234"/>
      <c r="Y10176" s="234"/>
      <c r="Z10176" s="234"/>
      <c r="AA10176" s="235"/>
      <c r="AB10176" s="234"/>
    </row>
    <row r="10177" ht="14.5" customHeight="1" spans="11:28" x14ac:dyDescent="0.25">
      <c r="K10177" s="128"/>
      <c r="X10177" s="234"/>
      <c r="Y10177" s="234"/>
      <c r="Z10177" s="234"/>
      <c r="AA10177" s="235"/>
      <c r="AB10177" s="234"/>
    </row>
    <row r="10178" ht="14.5" customHeight="1" spans="11:28" x14ac:dyDescent="0.25">
      <c r="K10178" s="128"/>
      <c r="X10178" s="234"/>
      <c r="Y10178" s="234"/>
      <c r="Z10178" s="234"/>
      <c r="AA10178" s="235"/>
      <c r="AB10178" s="234"/>
    </row>
    <row r="10179" ht="14.5" customHeight="1" spans="11:28" x14ac:dyDescent="0.25">
      <c r="K10179" s="128"/>
      <c r="X10179" s="234"/>
      <c r="Y10179" s="234"/>
      <c r="Z10179" s="234"/>
      <c r="AA10179" s="235"/>
      <c r="AB10179" s="234"/>
    </row>
    <row r="10180" ht="14.5" customHeight="1" spans="11:28" x14ac:dyDescent="0.25">
      <c r="K10180" s="128"/>
      <c r="X10180" s="234"/>
      <c r="Y10180" s="234"/>
      <c r="Z10180" s="234"/>
      <c r="AA10180" s="235"/>
      <c r="AB10180" s="234"/>
    </row>
    <row r="10181" ht="14.5" customHeight="1" spans="11:28" x14ac:dyDescent="0.25">
      <c r="K10181" s="128"/>
      <c r="X10181" s="234"/>
      <c r="Y10181" s="234"/>
      <c r="Z10181" s="234"/>
      <c r="AA10181" s="235"/>
      <c r="AB10181" s="234"/>
    </row>
    <row r="10182" ht="14.5" customHeight="1" spans="11:28" x14ac:dyDescent="0.25">
      <c r="K10182" s="128"/>
      <c r="X10182" s="234"/>
      <c r="Y10182" s="234"/>
      <c r="Z10182" s="234"/>
      <c r="AA10182" s="235"/>
      <c r="AB10182" s="234"/>
    </row>
    <row r="10183" ht="14.5" customHeight="1" spans="11:28" x14ac:dyDescent="0.25">
      <c r="K10183" s="128"/>
      <c r="X10183" s="234"/>
      <c r="Y10183" s="234"/>
      <c r="Z10183" s="234"/>
      <c r="AA10183" s="235"/>
      <c r="AB10183" s="234"/>
    </row>
    <row r="10184" ht="14.5" customHeight="1" spans="11:28" x14ac:dyDescent="0.25">
      <c r="K10184" s="128"/>
      <c r="X10184" s="234"/>
      <c r="Y10184" s="234"/>
      <c r="Z10184" s="234"/>
      <c r="AA10184" s="235"/>
      <c r="AB10184" s="234"/>
    </row>
    <row r="10185" ht="14.5" customHeight="1" spans="11:28" x14ac:dyDescent="0.25">
      <c r="K10185" s="128"/>
      <c r="X10185" s="234"/>
      <c r="Y10185" s="234"/>
      <c r="Z10185" s="234"/>
      <c r="AA10185" s="235"/>
      <c r="AB10185" s="234"/>
    </row>
    <row r="10186" ht="14.5" customHeight="1" spans="11:28" x14ac:dyDescent="0.25">
      <c r="K10186" s="128"/>
      <c r="X10186" s="234"/>
      <c r="Y10186" s="234"/>
      <c r="Z10186" s="234"/>
      <c r="AA10186" s="235"/>
      <c r="AB10186" s="234"/>
    </row>
    <row r="10187" ht="14.5" customHeight="1" spans="11:28" x14ac:dyDescent="0.25">
      <c r="K10187" s="128"/>
      <c r="X10187" s="234"/>
      <c r="Y10187" s="234"/>
      <c r="Z10187" s="234"/>
      <c r="AA10187" s="235"/>
      <c r="AB10187" s="234"/>
    </row>
    <row r="10188" ht="14.5" customHeight="1" spans="11:28" x14ac:dyDescent="0.25">
      <c r="K10188" s="128"/>
      <c r="X10188" s="234"/>
      <c r="Y10188" s="234"/>
      <c r="Z10188" s="234"/>
      <c r="AA10188" s="235"/>
      <c r="AB10188" s="234"/>
    </row>
    <row r="10189" ht="14.5" customHeight="1" spans="11:28" x14ac:dyDescent="0.25">
      <c r="K10189" s="128"/>
      <c r="X10189" s="234"/>
      <c r="Y10189" s="234"/>
      <c r="Z10189" s="234"/>
      <c r="AA10189" s="235"/>
      <c r="AB10189" s="234"/>
    </row>
    <row r="10190" ht="14.5" customHeight="1" spans="11:28" x14ac:dyDescent="0.25">
      <c r="K10190" s="128"/>
      <c r="X10190" s="234"/>
      <c r="Y10190" s="234"/>
      <c r="Z10190" s="234"/>
      <c r="AA10190" s="235"/>
      <c r="AB10190" s="234"/>
    </row>
    <row r="10191" ht="14.5" customHeight="1" spans="11:28" x14ac:dyDescent="0.25">
      <c r="K10191" s="128"/>
      <c r="X10191" s="234"/>
      <c r="Y10191" s="234"/>
      <c r="Z10191" s="234"/>
      <c r="AA10191" s="235"/>
      <c r="AB10191" s="234"/>
    </row>
    <row r="10192" ht="14.5" customHeight="1" spans="11:28" x14ac:dyDescent="0.25">
      <c r="K10192" s="128"/>
      <c r="X10192" s="234"/>
      <c r="Y10192" s="234"/>
      <c r="Z10192" s="234"/>
      <c r="AA10192" s="235"/>
      <c r="AB10192" s="234"/>
    </row>
    <row r="10193" ht="14.5" customHeight="1" spans="11:28" x14ac:dyDescent="0.25">
      <c r="K10193" s="128"/>
      <c r="X10193" s="234"/>
      <c r="Y10193" s="234"/>
      <c r="Z10193" s="234"/>
      <c r="AA10193" s="235"/>
      <c r="AB10193" s="234"/>
    </row>
    <row r="10194" ht="14.5" customHeight="1" spans="11:28" x14ac:dyDescent="0.25">
      <c r="K10194" s="128"/>
      <c r="X10194" s="234"/>
      <c r="Y10194" s="234"/>
      <c r="Z10194" s="234"/>
      <c r="AA10194" s="235"/>
      <c r="AB10194" s="234"/>
    </row>
    <row r="10195" ht="14.5" customHeight="1" spans="11:28" x14ac:dyDescent="0.25">
      <c r="K10195" s="128"/>
      <c r="X10195" s="234"/>
      <c r="Y10195" s="234"/>
      <c r="Z10195" s="234"/>
      <c r="AA10195" s="235"/>
      <c r="AB10195" s="234"/>
    </row>
    <row r="10196" ht="14.5" customHeight="1" spans="11:28" x14ac:dyDescent="0.25">
      <c r="K10196" s="128"/>
      <c r="X10196" s="234"/>
      <c r="Y10196" s="234"/>
      <c r="Z10196" s="234"/>
      <c r="AA10196" s="235"/>
      <c r="AB10196" s="234"/>
    </row>
    <row r="10197" ht="14.5" customHeight="1" spans="11:28" x14ac:dyDescent="0.25">
      <c r="K10197" s="128"/>
      <c r="X10197" s="234"/>
      <c r="Y10197" s="234"/>
      <c r="Z10197" s="234"/>
      <c r="AA10197" s="235"/>
      <c r="AB10197" s="234"/>
    </row>
    <row r="10198" ht="14.5" customHeight="1" spans="11:28" x14ac:dyDescent="0.25">
      <c r="K10198" s="128"/>
      <c r="X10198" s="234"/>
      <c r="Y10198" s="234"/>
      <c r="Z10198" s="234"/>
      <c r="AA10198" s="235"/>
      <c r="AB10198" s="234"/>
    </row>
    <row r="10199" ht="14.5" customHeight="1" spans="11:28" x14ac:dyDescent="0.25">
      <c r="K10199" s="128"/>
      <c r="X10199" s="234"/>
      <c r="Y10199" s="234"/>
      <c r="Z10199" s="234"/>
      <c r="AA10199" s="235"/>
      <c r="AB10199" s="234"/>
    </row>
    <row r="10200" ht="14.5" customHeight="1" spans="11:28" x14ac:dyDescent="0.25">
      <c r="K10200" s="128"/>
      <c r="X10200" s="234"/>
      <c r="Y10200" s="234"/>
      <c r="Z10200" s="234"/>
      <c r="AA10200" s="235"/>
      <c r="AB10200" s="234"/>
    </row>
    <row r="10201" ht="14.5" customHeight="1" spans="11:28" x14ac:dyDescent="0.25">
      <c r="K10201" s="128"/>
      <c r="X10201" s="234"/>
      <c r="Y10201" s="234"/>
      <c r="Z10201" s="234"/>
      <c r="AA10201" s="235"/>
      <c r="AB10201" s="234"/>
    </row>
    <row r="10202" ht="14.5" customHeight="1" spans="11:28" x14ac:dyDescent="0.25">
      <c r="K10202" s="128"/>
      <c r="X10202" s="234"/>
      <c r="Y10202" s="234"/>
      <c r="Z10202" s="234"/>
      <c r="AA10202" s="235"/>
      <c r="AB10202" s="234"/>
    </row>
    <row r="10203" ht="14.5" customHeight="1" spans="11:28" x14ac:dyDescent="0.25">
      <c r="K10203" s="128"/>
      <c r="X10203" s="234"/>
      <c r="Y10203" s="234"/>
      <c r="Z10203" s="234"/>
      <c r="AA10203" s="235"/>
      <c r="AB10203" s="234"/>
    </row>
    <row r="10204" ht="14.5" customHeight="1" spans="11:28" x14ac:dyDescent="0.25">
      <c r="K10204" s="128"/>
      <c r="X10204" s="234"/>
      <c r="Y10204" s="234"/>
      <c r="Z10204" s="234"/>
      <c r="AA10204" s="235"/>
      <c r="AB10204" s="234"/>
    </row>
    <row r="10205" ht="14.5" customHeight="1" spans="11:28" x14ac:dyDescent="0.25">
      <c r="K10205" s="128"/>
      <c r="X10205" s="234"/>
      <c r="Y10205" s="234"/>
      <c r="Z10205" s="234"/>
      <c r="AA10205" s="235"/>
      <c r="AB10205" s="234"/>
    </row>
    <row r="10206" ht="14.5" customHeight="1" spans="11:28" x14ac:dyDescent="0.25">
      <c r="K10206" s="128"/>
      <c r="X10206" s="234"/>
      <c r="Y10206" s="234"/>
      <c r="Z10206" s="234"/>
      <c r="AA10206" s="235"/>
      <c r="AB10206" s="234"/>
    </row>
    <row r="10207" ht="14.5" customHeight="1" spans="11:28" x14ac:dyDescent="0.25">
      <c r="K10207" s="128"/>
      <c r="X10207" s="234"/>
      <c r="Y10207" s="234"/>
      <c r="Z10207" s="234"/>
      <c r="AA10207" s="235"/>
      <c r="AB10207" s="234"/>
    </row>
    <row r="10208" ht="14.5" customHeight="1" spans="11:28" x14ac:dyDescent="0.25">
      <c r="K10208" s="128"/>
      <c r="X10208" s="234"/>
      <c r="Y10208" s="234"/>
      <c r="Z10208" s="234"/>
      <c r="AA10208" s="235"/>
      <c r="AB10208" s="234"/>
    </row>
    <row r="10209" ht="14.5" customHeight="1" spans="11:28" x14ac:dyDescent="0.25">
      <c r="K10209" s="128"/>
      <c r="X10209" s="234"/>
      <c r="Y10209" s="234"/>
      <c r="Z10209" s="234"/>
      <c r="AA10209" s="235"/>
      <c r="AB10209" s="234"/>
    </row>
    <row r="10210" ht="14.5" customHeight="1" spans="11:28" x14ac:dyDescent="0.25">
      <c r="K10210" s="128"/>
      <c r="X10210" s="234"/>
      <c r="Y10210" s="234"/>
      <c r="Z10210" s="234"/>
      <c r="AA10210" s="235"/>
      <c r="AB10210" s="234"/>
    </row>
    <row r="10211" ht="14.5" customHeight="1" spans="11:28" x14ac:dyDescent="0.25">
      <c r="K10211" s="128"/>
      <c r="X10211" s="234"/>
      <c r="Y10211" s="234"/>
      <c r="Z10211" s="234"/>
      <c r="AA10211" s="235"/>
      <c r="AB10211" s="234"/>
    </row>
    <row r="10212" ht="14.5" customHeight="1" spans="11:28" x14ac:dyDescent="0.25">
      <c r="K10212" s="128"/>
      <c r="X10212" s="234"/>
      <c r="Y10212" s="234"/>
      <c r="Z10212" s="234"/>
      <c r="AA10212" s="235"/>
      <c r="AB10212" s="234"/>
    </row>
    <row r="10213" ht="14.5" customHeight="1" spans="11:28" x14ac:dyDescent="0.25">
      <c r="K10213" s="128"/>
      <c r="X10213" s="234"/>
      <c r="Y10213" s="234"/>
      <c r="Z10213" s="234"/>
      <c r="AA10213" s="235"/>
      <c r="AB10213" s="234"/>
    </row>
    <row r="10214" ht="14.5" customHeight="1" spans="11:28" x14ac:dyDescent="0.25">
      <c r="K10214" s="128"/>
      <c r="X10214" s="234"/>
      <c r="Y10214" s="234"/>
      <c r="Z10214" s="234"/>
      <c r="AA10214" s="235"/>
      <c r="AB10214" s="234"/>
    </row>
    <row r="10215" ht="14.5" customHeight="1" spans="11:28" x14ac:dyDescent="0.25">
      <c r="K10215" s="128"/>
      <c r="X10215" s="234"/>
      <c r="Y10215" s="234"/>
      <c r="Z10215" s="234"/>
      <c r="AA10215" s="235"/>
      <c r="AB10215" s="234"/>
    </row>
    <row r="10216" ht="14.5" customHeight="1" spans="11:28" x14ac:dyDescent="0.25">
      <c r="K10216" s="128"/>
      <c r="X10216" s="234"/>
      <c r="Y10216" s="234"/>
      <c r="Z10216" s="234"/>
      <c r="AA10216" s="235"/>
      <c r="AB10216" s="234"/>
    </row>
    <row r="10217" ht="14.5" customHeight="1" spans="11:28" x14ac:dyDescent="0.25">
      <c r="K10217" s="128"/>
      <c r="X10217" s="234"/>
      <c r="Y10217" s="234"/>
      <c r="Z10217" s="234"/>
      <c r="AA10217" s="235"/>
      <c r="AB10217" s="234"/>
    </row>
    <row r="10218" ht="14.5" customHeight="1" spans="11:28" x14ac:dyDescent="0.25">
      <c r="K10218" s="128"/>
      <c r="X10218" s="234"/>
      <c r="Y10218" s="234"/>
      <c r="Z10218" s="234"/>
      <c r="AA10218" s="235"/>
      <c r="AB10218" s="234"/>
    </row>
    <row r="10219" ht="14.5" customHeight="1" spans="11:28" x14ac:dyDescent="0.25">
      <c r="K10219" s="128"/>
      <c r="X10219" s="234"/>
      <c r="Y10219" s="234"/>
      <c r="Z10219" s="234"/>
      <c r="AA10219" s="235"/>
      <c r="AB10219" s="234"/>
    </row>
    <row r="10220" ht="14.5" customHeight="1" spans="11:28" x14ac:dyDescent="0.25">
      <c r="K10220" s="128"/>
      <c r="X10220" s="234"/>
      <c r="Y10220" s="234"/>
      <c r="Z10220" s="234"/>
      <c r="AA10220" s="235"/>
      <c r="AB10220" s="234"/>
    </row>
    <row r="10221" ht="14.5" customHeight="1" spans="11:28" x14ac:dyDescent="0.25">
      <c r="K10221" s="128"/>
      <c r="X10221" s="234"/>
      <c r="Y10221" s="234"/>
      <c r="Z10221" s="234"/>
      <c r="AA10221" s="235"/>
      <c r="AB10221" s="234"/>
    </row>
    <row r="10222" ht="14.5" customHeight="1" spans="11:28" x14ac:dyDescent="0.25">
      <c r="K10222" s="128"/>
      <c r="X10222" s="234"/>
      <c r="Y10222" s="234"/>
      <c r="Z10222" s="234"/>
      <c r="AA10222" s="235"/>
      <c r="AB10222" s="234"/>
    </row>
    <row r="10223" ht="14.5" customHeight="1" spans="11:28" x14ac:dyDescent="0.25">
      <c r="K10223" s="128"/>
      <c r="X10223" s="234"/>
      <c r="Y10223" s="234"/>
      <c r="Z10223" s="234"/>
      <c r="AA10223" s="235"/>
      <c r="AB10223" s="234"/>
    </row>
    <row r="10224" ht="14.5" customHeight="1" spans="11:28" x14ac:dyDescent="0.25">
      <c r="K10224" s="128"/>
      <c r="X10224" s="234"/>
      <c r="Y10224" s="234"/>
      <c r="Z10224" s="234"/>
      <c r="AA10224" s="235"/>
      <c r="AB10224" s="234"/>
    </row>
    <row r="10225" ht="14.5" customHeight="1" spans="11:28" x14ac:dyDescent="0.25">
      <c r="K10225" s="128"/>
      <c r="X10225" s="234"/>
      <c r="Y10225" s="234"/>
      <c r="Z10225" s="234"/>
      <c r="AA10225" s="235"/>
      <c r="AB10225" s="234"/>
    </row>
    <row r="10226" ht="14.5" customHeight="1" spans="11:28" x14ac:dyDescent="0.25">
      <c r="K10226" s="128"/>
      <c r="X10226" s="234"/>
      <c r="Y10226" s="234"/>
      <c r="Z10226" s="234"/>
      <c r="AA10226" s="235"/>
      <c r="AB10226" s="234"/>
    </row>
    <row r="10227" ht="14.5" customHeight="1" spans="11:28" x14ac:dyDescent="0.25">
      <c r="K10227" s="128"/>
      <c r="X10227" s="234"/>
      <c r="Y10227" s="234"/>
      <c r="Z10227" s="234"/>
      <c r="AA10227" s="235"/>
      <c r="AB10227" s="234"/>
    </row>
    <row r="10228" ht="14.5" customHeight="1" spans="11:28" x14ac:dyDescent="0.25">
      <c r="K10228" s="128"/>
      <c r="X10228" s="234"/>
      <c r="Y10228" s="234"/>
      <c r="Z10228" s="234"/>
      <c r="AA10228" s="235"/>
      <c r="AB10228" s="234"/>
    </row>
    <row r="10229" ht="14.5" customHeight="1" spans="11:28" x14ac:dyDescent="0.25">
      <c r="K10229" s="128"/>
      <c r="X10229" s="234"/>
      <c r="Y10229" s="234"/>
      <c r="Z10229" s="234"/>
      <c r="AA10229" s="235"/>
      <c r="AB10229" s="234"/>
    </row>
    <row r="10230" ht="14.5" customHeight="1" spans="11:28" x14ac:dyDescent="0.25">
      <c r="K10230" s="128"/>
      <c r="X10230" s="234"/>
      <c r="Y10230" s="234"/>
      <c r="Z10230" s="234"/>
      <c r="AA10230" s="235"/>
      <c r="AB10230" s="234"/>
    </row>
    <row r="10231" ht="14.5" customHeight="1" spans="11:28" x14ac:dyDescent="0.25">
      <c r="K10231" s="128"/>
      <c r="X10231" s="234"/>
      <c r="Y10231" s="234"/>
      <c r="Z10231" s="234"/>
      <c r="AA10231" s="235"/>
      <c r="AB10231" s="234"/>
    </row>
    <row r="10232" ht="14.5" customHeight="1" spans="11:28" x14ac:dyDescent="0.25">
      <c r="K10232" s="128"/>
      <c r="X10232" s="234"/>
      <c r="Y10232" s="234"/>
      <c r="Z10232" s="234"/>
      <c r="AA10232" s="235"/>
      <c r="AB10232" s="234"/>
    </row>
    <row r="10233" ht="14.5" customHeight="1" spans="11:28" x14ac:dyDescent="0.25">
      <c r="K10233" s="128"/>
      <c r="X10233" s="234"/>
      <c r="Y10233" s="234"/>
      <c r="Z10233" s="234"/>
      <c r="AA10233" s="235"/>
      <c r="AB10233" s="234"/>
    </row>
    <row r="10234" ht="14.5" customHeight="1" spans="11:28" x14ac:dyDescent="0.25">
      <c r="K10234" s="128"/>
      <c r="X10234" s="234"/>
      <c r="Y10234" s="234"/>
      <c r="Z10234" s="234"/>
      <c r="AA10234" s="235"/>
      <c r="AB10234" s="234"/>
    </row>
    <row r="10235" ht="14.5" customHeight="1" spans="11:28" x14ac:dyDescent="0.25">
      <c r="K10235" s="128"/>
      <c r="X10235" s="234"/>
      <c r="Y10235" s="234"/>
      <c r="Z10235" s="234"/>
      <c r="AA10235" s="235"/>
      <c r="AB10235" s="234"/>
    </row>
    <row r="10236" ht="14.5" customHeight="1" spans="11:28" x14ac:dyDescent="0.25">
      <c r="K10236" s="128"/>
      <c r="X10236" s="234"/>
      <c r="Y10236" s="234"/>
      <c r="Z10236" s="234"/>
      <c r="AA10236" s="235"/>
      <c r="AB10236" s="234"/>
    </row>
    <row r="10237" ht="14.5" customHeight="1" spans="11:28" x14ac:dyDescent="0.25">
      <c r="K10237" s="128"/>
      <c r="X10237" s="234"/>
      <c r="Y10237" s="234"/>
      <c r="Z10237" s="234"/>
      <c r="AA10237" s="235"/>
      <c r="AB10237" s="234"/>
    </row>
    <row r="10238" ht="14.5" customHeight="1" spans="11:28" x14ac:dyDescent="0.25">
      <c r="K10238" s="128"/>
      <c r="X10238" s="234"/>
      <c r="Y10238" s="234"/>
      <c r="Z10238" s="234"/>
      <c r="AA10238" s="235"/>
      <c r="AB10238" s="234"/>
    </row>
    <row r="10239" ht="14.5" customHeight="1" spans="11:28" x14ac:dyDescent="0.25">
      <c r="K10239" s="128"/>
      <c r="X10239" s="234"/>
      <c r="Y10239" s="234"/>
      <c r="Z10239" s="234"/>
      <c r="AA10239" s="235"/>
      <c r="AB10239" s="234"/>
    </row>
    <row r="10240" ht="14.5" customHeight="1" spans="11:28" x14ac:dyDescent="0.25">
      <c r="K10240" s="128"/>
      <c r="X10240" s="234"/>
      <c r="Y10240" s="234"/>
      <c r="Z10240" s="234"/>
      <c r="AA10240" s="235"/>
      <c r="AB10240" s="234"/>
    </row>
    <row r="10241" ht="14.5" customHeight="1" spans="11:28" x14ac:dyDescent="0.25">
      <c r="K10241" s="128"/>
      <c r="X10241" s="234"/>
      <c r="Y10241" s="234"/>
      <c r="Z10241" s="234"/>
      <c r="AA10241" s="235"/>
      <c r="AB10241" s="234"/>
    </row>
    <row r="10242" ht="14.5" customHeight="1" spans="11:28" x14ac:dyDescent="0.25">
      <c r="K10242" s="128"/>
      <c r="X10242" s="234"/>
      <c r="Y10242" s="234"/>
      <c r="Z10242" s="234"/>
      <c r="AA10242" s="235"/>
      <c r="AB10242" s="234"/>
    </row>
    <row r="10243" ht="14.5" customHeight="1" spans="11:28" x14ac:dyDescent="0.25">
      <c r="K10243" s="128"/>
      <c r="X10243" s="234"/>
      <c r="Y10243" s="234"/>
      <c r="Z10243" s="234"/>
      <c r="AA10243" s="235"/>
      <c r="AB10243" s="234"/>
    </row>
    <row r="10244" ht="14.5" customHeight="1" spans="11:28" x14ac:dyDescent="0.25">
      <c r="K10244" s="128"/>
      <c r="X10244" s="234"/>
      <c r="Y10244" s="234"/>
      <c r="Z10244" s="234"/>
      <c r="AA10244" s="235"/>
      <c r="AB10244" s="234"/>
    </row>
    <row r="10245" ht="14.5" customHeight="1" spans="11:28" x14ac:dyDescent="0.25">
      <c r="K10245" s="128"/>
      <c r="X10245" s="234"/>
      <c r="Y10245" s="234"/>
      <c r="Z10245" s="234"/>
      <c r="AA10245" s="235"/>
      <c r="AB10245" s="234"/>
    </row>
    <row r="10246" ht="14.5" customHeight="1" spans="11:28" x14ac:dyDescent="0.25">
      <c r="K10246" s="128"/>
      <c r="X10246" s="234"/>
      <c r="Y10246" s="234"/>
      <c r="Z10246" s="234"/>
      <c r="AA10246" s="235"/>
      <c r="AB10246" s="234"/>
    </row>
    <row r="10247" ht="14.5" customHeight="1" spans="11:28" x14ac:dyDescent="0.25">
      <c r="K10247" s="128"/>
      <c r="X10247" s="234"/>
      <c r="Y10247" s="234"/>
      <c r="Z10247" s="234"/>
      <c r="AA10247" s="235"/>
      <c r="AB10247" s="234"/>
    </row>
    <row r="10248" ht="14.5" customHeight="1" spans="11:28" x14ac:dyDescent="0.25">
      <c r="K10248" s="128"/>
      <c r="X10248" s="234"/>
      <c r="Y10248" s="234"/>
      <c r="Z10248" s="234"/>
      <c r="AA10248" s="235"/>
      <c r="AB10248" s="234"/>
    </row>
    <row r="10249" ht="14.5" customHeight="1" spans="11:28" x14ac:dyDescent="0.25">
      <c r="K10249" s="128"/>
      <c r="X10249" s="234"/>
      <c r="Y10249" s="234"/>
      <c r="Z10249" s="234"/>
      <c r="AA10249" s="235"/>
      <c r="AB10249" s="234"/>
    </row>
    <row r="10250" ht="14.5" customHeight="1" spans="11:28" x14ac:dyDescent="0.25">
      <c r="K10250" s="128"/>
      <c r="X10250" s="234"/>
      <c r="Y10250" s="234"/>
      <c r="Z10250" s="234"/>
      <c r="AA10250" s="235"/>
      <c r="AB10250" s="234"/>
    </row>
    <row r="10251" ht="14.5" customHeight="1" spans="11:28" x14ac:dyDescent="0.25">
      <c r="K10251" s="128"/>
      <c r="X10251" s="234"/>
      <c r="Y10251" s="234"/>
      <c r="Z10251" s="234"/>
      <c r="AA10251" s="235"/>
      <c r="AB10251" s="234"/>
    </row>
    <row r="10252" ht="14.5" customHeight="1" spans="11:28" x14ac:dyDescent="0.25">
      <c r="K10252" s="128"/>
      <c r="X10252" s="234"/>
      <c r="Y10252" s="234"/>
      <c r="Z10252" s="234"/>
      <c r="AA10252" s="235"/>
      <c r="AB10252" s="234"/>
    </row>
    <row r="10253" ht="14.5" customHeight="1" spans="11:28" x14ac:dyDescent="0.25">
      <c r="K10253" s="128"/>
      <c r="X10253" s="234"/>
      <c r="Y10253" s="234"/>
      <c r="Z10253" s="234"/>
      <c r="AA10253" s="235"/>
      <c r="AB10253" s="234"/>
    </row>
    <row r="10254" ht="14.5" customHeight="1" spans="11:28" x14ac:dyDescent="0.25">
      <c r="K10254" s="128"/>
      <c r="X10254" s="234"/>
      <c r="Y10254" s="234"/>
      <c r="Z10254" s="234"/>
      <c r="AA10254" s="235"/>
      <c r="AB10254" s="234"/>
    </row>
    <row r="10255" ht="14.5" customHeight="1" spans="11:28" x14ac:dyDescent="0.25">
      <c r="K10255" s="128"/>
      <c r="X10255" s="234"/>
      <c r="Y10255" s="234"/>
      <c r="Z10255" s="234"/>
      <c r="AA10255" s="235"/>
      <c r="AB10255" s="234"/>
    </row>
    <row r="10256" ht="14.5" customHeight="1" spans="11:28" x14ac:dyDescent="0.25">
      <c r="K10256" s="128"/>
      <c r="X10256" s="234"/>
      <c r="Y10256" s="234"/>
      <c r="Z10256" s="234"/>
      <c r="AA10256" s="235"/>
      <c r="AB10256" s="234"/>
    </row>
    <row r="10257" ht="14.5" customHeight="1" spans="11:28" x14ac:dyDescent="0.25">
      <c r="K10257" s="128"/>
      <c r="X10257" s="234"/>
      <c r="Y10257" s="234"/>
      <c r="Z10257" s="234"/>
      <c r="AA10257" s="235"/>
      <c r="AB10257" s="234"/>
    </row>
    <row r="10258" ht="14.5" customHeight="1" spans="11:28" x14ac:dyDescent="0.25">
      <c r="K10258" s="128"/>
      <c r="X10258" s="234"/>
      <c r="Y10258" s="234"/>
      <c r="Z10258" s="234"/>
      <c r="AA10258" s="235"/>
      <c r="AB10258" s="234"/>
    </row>
    <row r="10259" ht="14.5" customHeight="1" spans="11:28" x14ac:dyDescent="0.25">
      <c r="K10259" s="128"/>
      <c r="X10259" s="234"/>
      <c r="Y10259" s="234"/>
      <c r="Z10259" s="234"/>
      <c r="AA10259" s="235"/>
      <c r="AB10259" s="234"/>
    </row>
    <row r="10260" ht="14.5" customHeight="1" spans="11:28" x14ac:dyDescent="0.25">
      <c r="K10260" s="128"/>
      <c r="X10260" s="234"/>
      <c r="Y10260" s="234"/>
      <c r="Z10260" s="234"/>
      <c r="AA10260" s="235"/>
      <c r="AB10260" s="234"/>
    </row>
    <row r="10261" ht="14.5" customHeight="1" spans="11:28" x14ac:dyDescent="0.25">
      <c r="K10261" s="128"/>
      <c r="X10261" s="234"/>
      <c r="Y10261" s="234"/>
      <c r="Z10261" s="234"/>
      <c r="AA10261" s="235"/>
      <c r="AB10261" s="234"/>
    </row>
    <row r="10262" ht="14.5" customHeight="1" spans="11:28" x14ac:dyDescent="0.25">
      <c r="K10262" s="128"/>
      <c r="X10262" s="234"/>
      <c r="Y10262" s="234"/>
      <c r="Z10262" s="234"/>
      <c r="AA10262" s="235"/>
      <c r="AB10262" s="234"/>
    </row>
    <row r="10263" ht="14.5" customHeight="1" spans="11:28" x14ac:dyDescent="0.25">
      <c r="K10263" s="128"/>
      <c r="X10263" s="234"/>
      <c r="Y10263" s="234"/>
      <c r="Z10263" s="234"/>
      <c r="AA10263" s="235"/>
      <c r="AB10263" s="234"/>
    </row>
    <row r="10264" ht="14.5" customHeight="1" spans="11:28" x14ac:dyDescent="0.25">
      <c r="K10264" s="128"/>
      <c r="X10264" s="234"/>
      <c r="Y10264" s="234"/>
      <c r="Z10264" s="234"/>
      <c r="AA10264" s="235"/>
      <c r="AB10264" s="234"/>
    </row>
    <row r="10265" ht="14.5" customHeight="1" spans="11:28" x14ac:dyDescent="0.25">
      <c r="K10265" s="128"/>
      <c r="X10265" s="234"/>
      <c r="Y10265" s="234"/>
      <c r="Z10265" s="234"/>
      <c r="AA10265" s="235"/>
      <c r="AB10265" s="234"/>
    </row>
    <row r="10266" ht="14.5" customHeight="1" spans="11:28" x14ac:dyDescent="0.25">
      <c r="K10266" s="128"/>
      <c r="X10266" s="234"/>
      <c r="Y10266" s="234"/>
      <c r="Z10266" s="234"/>
      <c r="AA10266" s="235"/>
      <c r="AB10266" s="234"/>
    </row>
    <row r="10267" ht="14.5" customHeight="1" spans="11:28" x14ac:dyDescent="0.25">
      <c r="K10267" s="128"/>
      <c r="X10267" s="234"/>
      <c r="Y10267" s="234"/>
      <c r="Z10267" s="234"/>
      <c r="AA10267" s="235"/>
      <c r="AB10267" s="234"/>
    </row>
    <row r="10268" ht="14.5" customHeight="1" spans="11:28" x14ac:dyDescent="0.25">
      <c r="K10268" s="128"/>
      <c r="X10268" s="234"/>
      <c r="Y10268" s="234"/>
      <c r="Z10268" s="234"/>
      <c r="AA10268" s="235"/>
      <c r="AB10268" s="234"/>
    </row>
    <row r="10269" ht="14.5" customHeight="1" spans="11:28" x14ac:dyDescent="0.25">
      <c r="K10269" s="128"/>
      <c r="X10269" s="234"/>
      <c r="Y10269" s="234"/>
      <c r="Z10269" s="234"/>
      <c r="AA10269" s="235"/>
      <c r="AB10269" s="234"/>
    </row>
    <row r="10270" ht="14.5" customHeight="1" spans="11:28" x14ac:dyDescent="0.25">
      <c r="K10270" s="128"/>
      <c r="X10270" s="234"/>
      <c r="Y10270" s="234"/>
      <c r="Z10270" s="234"/>
      <c r="AA10270" s="235"/>
      <c r="AB10270" s="234"/>
    </row>
    <row r="10271" ht="14.5" customHeight="1" spans="11:28" x14ac:dyDescent="0.25">
      <c r="K10271" s="128"/>
      <c r="X10271" s="234"/>
      <c r="Y10271" s="234"/>
      <c r="Z10271" s="234"/>
      <c r="AA10271" s="235"/>
      <c r="AB10271" s="234"/>
    </row>
    <row r="10272" ht="14.5" customHeight="1" spans="11:28" x14ac:dyDescent="0.25">
      <c r="K10272" s="128"/>
      <c r="X10272" s="234"/>
      <c r="Y10272" s="234"/>
      <c r="Z10272" s="234"/>
      <c r="AA10272" s="235"/>
      <c r="AB10272" s="234"/>
    </row>
    <row r="10273" ht="14.5" customHeight="1" spans="11:28" x14ac:dyDescent="0.25">
      <c r="K10273" s="128"/>
      <c r="X10273" s="234"/>
      <c r="Y10273" s="234"/>
      <c r="Z10273" s="234"/>
      <c r="AA10273" s="235"/>
      <c r="AB10273" s="234"/>
    </row>
    <row r="10274" ht="14.5" customHeight="1" spans="11:28" x14ac:dyDescent="0.25">
      <c r="K10274" s="128"/>
      <c r="X10274" s="234"/>
      <c r="Y10274" s="234"/>
      <c r="Z10274" s="234"/>
      <c r="AA10274" s="235"/>
      <c r="AB10274" s="234"/>
    </row>
    <row r="10275" ht="14.5" customHeight="1" spans="11:28" x14ac:dyDescent="0.25">
      <c r="K10275" s="128"/>
      <c r="X10275" s="234"/>
      <c r="Y10275" s="234"/>
      <c r="Z10275" s="234"/>
      <c r="AA10275" s="235"/>
      <c r="AB10275" s="234"/>
    </row>
    <row r="10276" ht="14.5" customHeight="1" spans="11:28" x14ac:dyDescent="0.25">
      <c r="K10276" s="128"/>
      <c r="X10276" s="234"/>
      <c r="Y10276" s="234"/>
      <c r="Z10276" s="234"/>
      <c r="AA10276" s="235"/>
      <c r="AB10276" s="234"/>
    </row>
    <row r="10277" ht="14.5" customHeight="1" spans="11:28" x14ac:dyDescent="0.25">
      <c r="K10277" s="128"/>
      <c r="X10277" s="234"/>
      <c r="Y10277" s="234"/>
      <c r="Z10277" s="234"/>
      <c r="AA10277" s="235"/>
      <c r="AB10277" s="234"/>
    </row>
    <row r="10278" ht="14.5" customHeight="1" spans="11:28" x14ac:dyDescent="0.25">
      <c r="K10278" s="128"/>
      <c r="X10278" s="234"/>
      <c r="Y10278" s="234"/>
      <c r="Z10278" s="234"/>
      <c r="AA10278" s="235"/>
      <c r="AB10278" s="234"/>
    </row>
    <row r="10279" ht="14.5" customHeight="1" spans="11:28" x14ac:dyDescent="0.25">
      <c r="K10279" s="128"/>
      <c r="X10279" s="234"/>
      <c r="Y10279" s="234"/>
      <c r="Z10279" s="234"/>
      <c r="AA10279" s="235"/>
      <c r="AB10279" s="234"/>
    </row>
    <row r="10280" ht="14.5" customHeight="1" spans="11:28" x14ac:dyDescent="0.25">
      <c r="K10280" s="128"/>
      <c r="X10280" s="234"/>
      <c r="Y10280" s="234"/>
      <c r="Z10280" s="234"/>
      <c r="AA10280" s="235"/>
      <c r="AB10280" s="234"/>
    </row>
    <row r="10281" ht="14.5" customHeight="1" spans="11:28" x14ac:dyDescent="0.25">
      <c r="K10281" s="128"/>
      <c r="X10281" s="234"/>
      <c r="Y10281" s="234"/>
      <c r="Z10281" s="234"/>
      <c r="AA10281" s="235"/>
      <c r="AB10281" s="234"/>
    </row>
    <row r="10282" ht="14.5" customHeight="1" spans="11:28" x14ac:dyDescent="0.25">
      <c r="K10282" s="128"/>
      <c r="X10282" s="234"/>
      <c r="Y10282" s="234"/>
      <c r="Z10282" s="234"/>
      <c r="AA10282" s="235"/>
      <c r="AB10282" s="234"/>
    </row>
    <row r="10283" ht="14.5" customHeight="1" spans="11:28" x14ac:dyDescent="0.25">
      <c r="K10283" s="128"/>
      <c r="X10283" s="234"/>
      <c r="Y10283" s="234"/>
      <c r="Z10283" s="234"/>
      <c r="AA10283" s="235"/>
      <c r="AB10283" s="234"/>
    </row>
    <row r="10284" ht="14.5" customHeight="1" spans="11:28" x14ac:dyDescent="0.25">
      <c r="K10284" s="128"/>
      <c r="X10284" s="234"/>
      <c r="Y10284" s="234"/>
      <c r="Z10284" s="234"/>
      <c r="AA10284" s="235"/>
      <c r="AB10284" s="234"/>
    </row>
    <row r="10285" ht="14.5" customHeight="1" spans="11:28" x14ac:dyDescent="0.25">
      <c r="K10285" s="128"/>
      <c r="X10285" s="234"/>
      <c r="Y10285" s="234"/>
      <c r="Z10285" s="234"/>
      <c r="AA10285" s="235"/>
      <c r="AB10285" s="234"/>
    </row>
    <row r="10286" ht="14.5" customHeight="1" spans="11:28" x14ac:dyDescent="0.25">
      <c r="K10286" s="128"/>
      <c r="X10286" s="234"/>
      <c r="Y10286" s="234"/>
      <c r="Z10286" s="234"/>
      <c r="AA10286" s="235"/>
      <c r="AB10286" s="234"/>
    </row>
    <row r="10287" ht="14.5" customHeight="1" spans="11:28" x14ac:dyDescent="0.25">
      <c r="K10287" s="128"/>
      <c r="X10287" s="234"/>
      <c r="Y10287" s="234"/>
      <c r="Z10287" s="234"/>
      <c r="AA10287" s="235"/>
      <c r="AB10287" s="234"/>
    </row>
    <row r="10288" ht="14.5" customHeight="1" spans="11:28" x14ac:dyDescent="0.25">
      <c r="K10288" s="128"/>
      <c r="X10288" s="234"/>
      <c r="Y10288" s="234"/>
      <c r="Z10288" s="234"/>
      <c r="AA10288" s="235"/>
      <c r="AB10288" s="234"/>
    </row>
    <row r="10289" ht="14.5" customHeight="1" spans="11:28" x14ac:dyDescent="0.25">
      <c r="K10289" s="128"/>
      <c r="X10289" s="234"/>
      <c r="Y10289" s="234"/>
      <c r="Z10289" s="234"/>
      <c r="AA10289" s="235"/>
      <c r="AB10289" s="234"/>
    </row>
    <row r="10290" ht="14.5" customHeight="1" spans="11:28" x14ac:dyDescent="0.25">
      <c r="K10290" s="128"/>
      <c r="X10290" s="234"/>
      <c r="Y10290" s="234"/>
      <c r="Z10290" s="234"/>
      <c r="AA10290" s="235"/>
      <c r="AB10290" s="234"/>
    </row>
    <row r="10291" ht="14.5" customHeight="1" spans="11:28" x14ac:dyDescent="0.25">
      <c r="K10291" s="128"/>
      <c r="X10291" s="234"/>
      <c r="Y10291" s="234"/>
      <c r="Z10291" s="234"/>
      <c r="AA10291" s="235"/>
      <c r="AB10291" s="234"/>
    </row>
    <row r="10292" ht="14.5" customHeight="1" spans="11:28" x14ac:dyDescent="0.25">
      <c r="K10292" s="128"/>
      <c r="X10292" s="234"/>
      <c r="Y10292" s="234"/>
      <c r="Z10292" s="234"/>
      <c r="AA10292" s="235"/>
      <c r="AB10292" s="234"/>
    </row>
    <row r="10293" ht="14.5" customHeight="1" spans="11:28" x14ac:dyDescent="0.25">
      <c r="K10293" s="128"/>
      <c r="X10293" s="234"/>
      <c r="Y10293" s="234"/>
      <c r="Z10293" s="234"/>
      <c r="AA10293" s="235"/>
      <c r="AB10293" s="234"/>
    </row>
    <row r="10294" ht="14.5" customHeight="1" spans="11:28" x14ac:dyDescent="0.25">
      <c r="K10294" s="128"/>
      <c r="X10294" s="234"/>
      <c r="Y10294" s="234"/>
      <c r="Z10294" s="234"/>
      <c r="AA10294" s="235"/>
      <c r="AB10294" s="234"/>
    </row>
    <row r="10295" ht="14.5" customHeight="1" spans="11:28" x14ac:dyDescent="0.25">
      <c r="K10295" s="128"/>
      <c r="X10295" s="234"/>
      <c r="Y10295" s="234"/>
      <c r="Z10295" s="234"/>
      <c r="AA10295" s="235"/>
      <c r="AB10295" s="234"/>
    </row>
    <row r="10296" ht="14.5" customHeight="1" spans="11:28" x14ac:dyDescent="0.25">
      <c r="K10296" s="128"/>
      <c r="X10296" s="234"/>
      <c r="Y10296" s="234"/>
      <c r="Z10296" s="234"/>
      <c r="AA10296" s="235"/>
      <c r="AB10296" s="234"/>
    </row>
    <row r="10297" ht="14.5" customHeight="1" spans="11:28" x14ac:dyDescent="0.25">
      <c r="K10297" s="128"/>
      <c r="X10297" s="234"/>
      <c r="Y10297" s="234"/>
      <c r="Z10297" s="234"/>
      <c r="AA10297" s="235"/>
      <c r="AB10297" s="234"/>
    </row>
    <row r="10298" ht="14.5" customHeight="1" spans="11:28" x14ac:dyDescent="0.25">
      <c r="K10298" s="128"/>
      <c r="X10298" s="234"/>
      <c r="Y10298" s="234"/>
      <c r="Z10298" s="234"/>
      <c r="AA10298" s="235"/>
      <c r="AB10298" s="234"/>
    </row>
    <row r="10299" ht="14.5" customHeight="1" spans="11:28" x14ac:dyDescent="0.25">
      <c r="K10299" s="128"/>
      <c r="X10299" s="234"/>
      <c r="Y10299" s="234"/>
      <c r="Z10299" s="234"/>
      <c r="AA10299" s="235"/>
      <c r="AB10299" s="234"/>
    </row>
    <row r="10300" ht="14.5" customHeight="1" spans="11:28" x14ac:dyDescent="0.25">
      <c r="K10300" s="128"/>
      <c r="X10300" s="234"/>
      <c r="Y10300" s="234"/>
      <c r="Z10300" s="234"/>
      <c r="AA10300" s="235"/>
      <c r="AB10300" s="234"/>
    </row>
    <row r="10301" ht="14.5" customHeight="1" spans="11:28" x14ac:dyDescent="0.25">
      <c r="K10301" s="128"/>
      <c r="X10301" s="234"/>
      <c r="Y10301" s="234"/>
      <c r="Z10301" s="234"/>
      <c r="AA10301" s="235"/>
      <c r="AB10301" s="234"/>
    </row>
    <row r="10302" ht="14.5" customHeight="1" spans="11:28" x14ac:dyDescent="0.25">
      <c r="K10302" s="128"/>
      <c r="X10302" s="234"/>
      <c r="Y10302" s="234"/>
      <c r="Z10302" s="234"/>
      <c r="AA10302" s="235"/>
      <c r="AB10302" s="234"/>
    </row>
    <row r="10303" ht="14.5" customHeight="1" spans="11:28" x14ac:dyDescent="0.25">
      <c r="K10303" s="128"/>
      <c r="X10303" s="234"/>
      <c r="Y10303" s="234"/>
      <c r="Z10303" s="234"/>
      <c r="AA10303" s="235"/>
      <c r="AB10303" s="234"/>
    </row>
    <row r="10304" ht="14.5" customHeight="1" spans="11:28" x14ac:dyDescent="0.25">
      <c r="K10304" s="128"/>
      <c r="X10304" s="234"/>
      <c r="Y10304" s="234"/>
      <c r="Z10304" s="234"/>
      <c r="AA10304" s="235"/>
      <c r="AB10304" s="234"/>
    </row>
    <row r="10305" ht="14.5" customHeight="1" spans="11:28" x14ac:dyDescent="0.25">
      <c r="K10305" s="128"/>
      <c r="X10305" s="234"/>
      <c r="Y10305" s="234"/>
      <c r="Z10305" s="234"/>
      <c r="AA10305" s="235"/>
      <c r="AB10305" s="234"/>
    </row>
    <row r="10306" ht="14.5" customHeight="1" spans="11:28" x14ac:dyDescent="0.25">
      <c r="K10306" s="128"/>
      <c r="X10306" s="234"/>
      <c r="Y10306" s="234"/>
      <c r="Z10306" s="234"/>
      <c r="AA10306" s="235"/>
      <c r="AB10306" s="234"/>
    </row>
    <row r="10307" ht="14.5" customHeight="1" spans="11:28" x14ac:dyDescent="0.25">
      <c r="K10307" s="128"/>
      <c r="X10307" s="234"/>
      <c r="Y10307" s="234"/>
      <c r="Z10307" s="234"/>
      <c r="AA10307" s="235"/>
      <c r="AB10307" s="234"/>
    </row>
    <row r="10308" ht="14.5" customHeight="1" spans="11:28" x14ac:dyDescent="0.25">
      <c r="K10308" s="128"/>
      <c r="X10308" s="234"/>
      <c r="Y10308" s="234"/>
      <c r="Z10308" s="234"/>
      <c r="AA10308" s="235"/>
      <c r="AB10308" s="234"/>
    </row>
    <row r="10309" ht="14.5" customHeight="1" spans="11:28" x14ac:dyDescent="0.25">
      <c r="K10309" s="128"/>
      <c r="X10309" s="234"/>
      <c r="Y10309" s="234"/>
      <c r="Z10309" s="234"/>
      <c r="AA10309" s="235"/>
      <c r="AB10309" s="234"/>
    </row>
    <row r="10310" ht="14.5" customHeight="1" spans="11:28" x14ac:dyDescent="0.25">
      <c r="K10310" s="128"/>
      <c r="X10310" s="234"/>
      <c r="Y10310" s="234"/>
      <c r="Z10310" s="234"/>
      <c r="AA10310" s="235"/>
      <c r="AB10310" s="234"/>
    </row>
    <row r="10311" ht="14.5" customHeight="1" spans="11:28" x14ac:dyDescent="0.25">
      <c r="K10311" s="128"/>
      <c r="X10311" s="234"/>
      <c r="Y10311" s="234"/>
      <c r="Z10311" s="234"/>
      <c r="AA10311" s="235"/>
      <c r="AB10311" s="234"/>
    </row>
    <row r="10312" ht="14.5" customHeight="1" spans="11:28" x14ac:dyDescent="0.25">
      <c r="K10312" s="128"/>
      <c r="X10312" s="234"/>
      <c r="Y10312" s="234"/>
      <c r="Z10312" s="234"/>
      <c r="AA10312" s="235"/>
      <c r="AB10312" s="234"/>
    </row>
    <row r="10313" ht="14.5" customHeight="1" spans="11:28" x14ac:dyDescent="0.25">
      <c r="K10313" s="128"/>
      <c r="X10313" s="234"/>
      <c r="Y10313" s="234"/>
      <c r="Z10313" s="234"/>
      <c r="AA10313" s="235"/>
      <c r="AB10313" s="234"/>
    </row>
    <row r="10314" ht="14.5" customHeight="1" spans="11:28" x14ac:dyDescent="0.25">
      <c r="K10314" s="128"/>
      <c r="X10314" s="234"/>
      <c r="Y10314" s="234"/>
      <c r="Z10314" s="234"/>
      <c r="AA10314" s="235"/>
      <c r="AB10314" s="234"/>
    </row>
    <row r="10315" ht="14.5" customHeight="1" spans="11:28" x14ac:dyDescent="0.25">
      <c r="K10315" s="128"/>
      <c r="X10315" s="234"/>
      <c r="Y10315" s="234"/>
      <c r="Z10315" s="234"/>
      <c r="AA10315" s="235"/>
      <c r="AB10315" s="234"/>
    </row>
    <row r="10316" ht="14.5" customHeight="1" spans="11:28" x14ac:dyDescent="0.25">
      <c r="K10316" s="128"/>
      <c r="X10316" s="234"/>
      <c r="Y10316" s="234"/>
      <c r="Z10316" s="234"/>
      <c r="AA10316" s="235"/>
      <c r="AB10316" s="234"/>
    </row>
    <row r="10317" ht="14.5" customHeight="1" spans="11:28" x14ac:dyDescent="0.25">
      <c r="K10317" s="128"/>
      <c r="X10317" s="234"/>
      <c r="Y10317" s="234"/>
      <c r="Z10317" s="234"/>
      <c r="AA10317" s="235"/>
      <c r="AB10317" s="234"/>
    </row>
    <row r="10318" ht="14.5" customHeight="1" spans="11:28" x14ac:dyDescent="0.25">
      <c r="K10318" s="128"/>
      <c r="X10318" s="234"/>
      <c r="Y10318" s="234"/>
      <c r="Z10318" s="234"/>
      <c r="AA10318" s="235"/>
      <c r="AB10318" s="234"/>
    </row>
    <row r="10319" ht="14.5" customHeight="1" spans="11:28" x14ac:dyDescent="0.25">
      <c r="K10319" s="128"/>
      <c r="X10319" s="234"/>
      <c r="Y10319" s="234"/>
      <c r="Z10319" s="234"/>
      <c r="AA10319" s="235"/>
      <c r="AB10319" s="234"/>
    </row>
    <row r="10320" ht="14.5" customHeight="1" spans="11:28" x14ac:dyDescent="0.25">
      <c r="K10320" s="128"/>
      <c r="X10320" s="234"/>
      <c r="Y10320" s="234"/>
      <c r="Z10320" s="234"/>
      <c r="AA10320" s="235"/>
      <c r="AB10320" s="234"/>
    </row>
    <row r="10321" ht="14.5" customHeight="1" spans="11:28" x14ac:dyDescent="0.25">
      <c r="K10321" s="128"/>
      <c r="X10321" s="234"/>
      <c r="Y10321" s="234"/>
      <c r="Z10321" s="234"/>
      <c r="AA10321" s="235"/>
      <c r="AB10321" s="234"/>
    </row>
    <row r="10322" ht="14.5" customHeight="1" spans="11:28" x14ac:dyDescent="0.25">
      <c r="K10322" s="128"/>
      <c r="X10322" s="234"/>
      <c r="Y10322" s="234"/>
      <c r="Z10322" s="234"/>
      <c r="AA10322" s="235"/>
      <c r="AB10322" s="234"/>
    </row>
    <row r="10323" ht="14.5" customHeight="1" spans="11:28" x14ac:dyDescent="0.25">
      <c r="K10323" s="128"/>
      <c r="X10323" s="234"/>
      <c r="Y10323" s="234"/>
      <c r="Z10323" s="234"/>
      <c r="AA10323" s="235"/>
      <c r="AB10323" s="234"/>
    </row>
    <row r="10324" ht="14.5" customHeight="1" spans="11:28" x14ac:dyDescent="0.25">
      <c r="K10324" s="128"/>
      <c r="X10324" s="234"/>
      <c r="Y10324" s="234"/>
      <c r="Z10324" s="234"/>
      <c r="AA10324" s="235"/>
      <c r="AB10324" s="234"/>
    </row>
    <row r="10325" ht="14.5" customHeight="1" spans="11:28" x14ac:dyDescent="0.25">
      <c r="K10325" s="128"/>
      <c r="X10325" s="234"/>
      <c r="Y10325" s="234"/>
      <c r="Z10325" s="234"/>
      <c r="AA10325" s="235"/>
      <c r="AB10325" s="234"/>
    </row>
    <row r="10326" ht="14.5" customHeight="1" spans="11:28" x14ac:dyDescent="0.25">
      <c r="K10326" s="128"/>
      <c r="X10326" s="234"/>
      <c r="Y10326" s="234"/>
      <c r="Z10326" s="234"/>
      <c r="AA10326" s="235"/>
      <c r="AB10326" s="234"/>
    </row>
    <row r="10327" ht="14.5" customHeight="1" spans="11:28" x14ac:dyDescent="0.25">
      <c r="K10327" s="128"/>
      <c r="X10327" s="234"/>
      <c r="Y10327" s="234"/>
      <c r="Z10327" s="234"/>
      <c r="AA10327" s="235"/>
      <c r="AB10327" s="234"/>
    </row>
    <row r="10328" ht="14.5" customHeight="1" spans="11:28" x14ac:dyDescent="0.25">
      <c r="K10328" s="128"/>
      <c r="X10328" s="234"/>
      <c r="Y10328" s="234"/>
      <c r="Z10328" s="234"/>
      <c r="AA10328" s="235"/>
      <c r="AB10328" s="234"/>
    </row>
    <row r="10329" ht="14.5" customHeight="1" spans="11:28" x14ac:dyDescent="0.25">
      <c r="K10329" s="128"/>
      <c r="X10329" s="234"/>
      <c r="Y10329" s="234"/>
      <c r="Z10329" s="234"/>
      <c r="AA10329" s="235"/>
      <c r="AB10329" s="234"/>
    </row>
    <row r="10330" ht="14.5" customHeight="1" spans="11:28" x14ac:dyDescent="0.25">
      <c r="K10330" s="128"/>
      <c r="X10330" s="234"/>
      <c r="Y10330" s="234"/>
      <c r="Z10330" s="234"/>
      <c r="AA10330" s="235"/>
      <c r="AB10330" s="234"/>
    </row>
    <row r="10331" ht="14.5" customHeight="1" spans="11:28" x14ac:dyDescent="0.25">
      <c r="K10331" s="128"/>
      <c r="X10331" s="234"/>
      <c r="Y10331" s="234"/>
      <c r="Z10331" s="234"/>
      <c r="AA10331" s="235"/>
      <c r="AB10331" s="234"/>
    </row>
    <row r="10332" ht="14.5" customHeight="1" spans="11:28" x14ac:dyDescent="0.25">
      <c r="K10332" s="128"/>
      <c r="X10332" s="234"/>
      <c r="Y10332" s="234"/>
      <c r="Z10332" s="234"/>
      <c r="AA10332" s="235"/>
      <c r="AB10332" s="234"/>
    </row>
    <row r="10333" ht="14.5" customHeight="1" spans="11:28" x14ac:dyDescent="0.25">
      <c r="K10333" s="128"/>
      <c r="X10333" s="234"/>
      <c r="Y10333" s="234"/>
      <c r="Z10333" s="234"/>
      <c r="AA10333" s="235"/>
      <c r="AB10333" s="234"/>
    </row>
    <row r="10334" ht="14.5" customHeight="1" spans="11:28" x14ac:dyDescent="0.25">
      <c r="K10334" s="128"/>
      <c r="X10334" s="234"/>
      <c r="Y10334" s="234"/>
      <c r="Z10334" s="234"/>
      <c r="AA10334" s="235"/>
      <c r="AB10334" s="234"/>
    </row>
    <row r="10335" ht="14.5" customHeight="1" spans="11:28" x14ac:dyDescent="0.25">
      <c r="K10335" s="128"/>
      <c r="X10335" s="234"/>
      <c r="Y10335" s="234"/>
      <c r="Z10335" s="234"/>
      <c r="AA10335" s="235"/>
      <c r="AB10335" s="234"/>
    </row>
    <row r="10336" ht="14.5" customHeight="1" spans="11:28" x14ac:dyDescent="0.25">
      <c r="K10336" s="128"/>
      <c r="X10336" s="234"/>
      <c r="Y10336" s="234"/>
      <c r="Z10336" s="234"/>
      <c r="AA10336" s="235"/>
      <c r="AB10336" s="234"/>
    </row>
    <row r="10337" ht="14.5" customHeight="1" spans="11:28" x14ac:dyDescent="0.25">
      <c r="K10337" s="128"/>
      <c r="X10337" s="234"/>
      <c r="Y10337" s="234"/>
      <c r="Z10337" s="234"/>
      <c r="AA10337" s="235"/>
      <c r="AB10337" s="234"/>
    </row>
    <row r="10338" ht="14.5" customHeight="1" spans="11:28" x14ac:dyDescent="0.25">
      <c r="K10338" s="128"/>
      <c r="X10338" s="234"/>
      <c r="Y10338" s="234"/>
      <c r="Z10338" s="234"/>
      <c r="AA10338" s="235"/>
      <c r="AB10338" s="234"/>
    </row>
    <row r="10339" ht="14.5" customHeight="1" spans="11:28" x14ac:dyDescent="0.25">
      <c r="K10339" s="128"/>
      <c r="X10339" s="234"/>
      <c r="Y10339" s="234"/>
      <c r="Z10339" s="234"/>
      <c r="AA10339" s="235"/>
      <c r="AB10339" s="234"/>
    </row>
    <row r="10340" ht="14.5" customHeight="1" spans="11:28" x14ac:dyDescent="0.25">
      <c r="K10340" s="128"/>
      <c r="X10340" s="234"/>
      <c r="Y10340" s="234"/>
      <c r="Z10340" s="234"/>
      <c r="AA10340" s="235"/>
      <c r="AB10340" s="234"/>
    </row>
    <row r="10341" ht="14.5" customHeight="1" spans="11:28" x14ac:dyDescent="0.25">
      <c r="K10341" s="128"/>
      <c r="X10341" s="234"/>
      <c r="Y10341" s="234"/>
      <c r="Z10341" s="234"/>
      <c r="AA10341" s="235"/>
      <c r="AB10341" s="234"/>
    </row>
    <row r="10342" ht="14.5" customHeight="1" spans="11:28" x14ac:dyDescent="0.25">
      <c r="K10342" s="128"/>
      <c r="X10342" s="234"/>
      <c r="Y10342" s="234"/>
      <c r="Z10342" s="234"/>
      <c r="AA10342" s="235"/>
      <c r="AB10342" s="234"/>
    </row>
    <row r="10343" ht="14.5" customHeight="1" spans="11:28" x14ac:dyDescent="0.25">
      <c r="K10343" s="128"/>
      <c r="X10343" s="234"/>
      <c r="Y10343" s="234"/>
      <c r="Z10343" s="234"/>
      <c r="AA10343" s="235"/>
      <c r="AB10343" s="234"/>
    </row>
    <row r="10344" ht="14.5" customHeight="1" spans="11:28" x14ac:dyDescent="0.25">
      <c r="K10344" s="128"/>
      <c r="X10344" s="234"/>
      <c r="Y10344" s="234"/>
      <c r="Z10344" s="234"/>
      <c r="AA10344" s="235"/>
      <c r="AB10344" s="234"/>
    </row>
    <row r="10345" ht="14.5" customHeight="1" spans="11:28" x14ac:dyDescent="0.25">
      <c r="K10345" s="128"/>
      <c r="X10345" s="234"/>
      <c r="Y10345" s="234"/>
      <c r="Z10345" s="234"/>
      <c r="AA10345" s="235"/>
      <c r="AB10345" s="234"/>
    </row>
    <row r="10346" ht="14.5" customHeight="1" spans="11:28" x14ac:dyDescent="0.25">
      <c r="K10346" s="128"/>
      <c r="X10346" s="234"/>
      <c r="Y10346" s="234"/>
      <c r="Z10346" s="234"/>
      <c r="AA10346" s="235"/>
      <c r="AB10346" s="234"/>
    </row>
    <row r="10347" ht="14.5" customHeight="1" spans="11:28" x14ac:dyDescent="0.25">
      <c r="K10347" s="128"/>
      <c r="X10347" s="234"/>
      <c r="Y10347" s="234"/>
      <c r="Z10347" s="234"/>
      <c r="AA10347" s="235"/>
      <c r="AB10347" s="234"/>
    </row>
    <row r="10348" ht="14.5" customHeight="1" spans="11:28" x14ac:dyDescent="0.25">
      <c r="K10348" s="128"/>
      <c r="X10348" s="234"/>
      <c r="Y10348" s="234"/>
      <c r="Z10348" s="234"/>
      <c r="AA10348" s="235"/>
      <c r="AB10348" s="234"/>
    </row>
    <row r="10349" ht="14.5" customHeight="1" spans="11:28" x14ac:dyDescent="0.25">
      <c r="K10349" s="128"/>
      <c r="X10349" s="234"/>
      <c r="Y10349" s="234"/>
      <c r="Z10349" s="234"/>
      <c r="AA10349" s="235"/>
      <c r="AB10349" s="234"/>
    </row>
    <row r="10350" ht="14.5" customHeight="1" spans="11:28" x14ac:dyDescent="0.25">
      <c r="K10350" s="128"/>
      <c r="X10350" s="234"/>
      <c r="Y10350" s="234"/>
      <c r="Z10350" s="234"/>
      <c r="AA10350" s="235"/>
      <c r="AB10350" s="234"/>
    </row>
    <row r="10351" ht="14.5" customHeight="1" spans="11:28" x14ac:dyDescent="0.25">
      <c r="K10351" s="128"/>
      <c r="X10351" s="234"/>
      <c r="Y10351" s="234"/>
      <c r="Z10351" s="234"/>
      <c r="AA10351" s="235"/>
      <c r="AB10351" s="234"/>
    </row>
    <row r="10352" ht="14.5" customHeight="1" spans="11:28" x14ac:dyDescent="0.25">
      <c r="K10352" s="128"/>
      <c r="X10352" s="234"/>
      <c r="Y10352" s="234"/>
      <c r="Z10352" s="234"/>
      <c r="AA10352" s="235"/>
      <c r="AB10352" s="234"/>
    </row>
    <row r="10353" ht="14.5" customHeight="1" spans="11:28" x14ac:dyDescent="0.25">
      <c r="K10353" s="128"/>
      <c r="X10353" s="234"/>
      <c r="Y10353" s="234"/>
      <c r="Z10353" s="234"/>
      <c r="AA10353" s="235"/>
      <c r="AB10353" s="234"/>
    </row>
    <row r="10354" ht="14.5" customHeight="1" spans="11:28" x14ac:dyDescent="0.25">
      <c r="K10354" s="128"/>
      <c r="X10354" s="234"/>
      <c r="Y10354" s="234"/>
      <c r="Z10354" s="234"/>
      <c r="AA10354" s="235"/>
      <c r="AB10354" s="234"/>
    </row>
    <row r="10355" ht="14.5" customHeight="1" spans="11:28" x14ac:dyDescent="0.25">
      <c r="K10355" s="128"/>
      <c r="X10355" s="234"/>
      <c r="Y10355" s="234"/>
      <c r="Z10355" s="234"/>
      <c r="AA10355" s="235"/>
      <c r="AB10355" s="234"/>
    </row>
    <row r="10356" ht="14.5" customHeight="1" spans="11:28" x14ac:dyDescent="0.25">
      <c r="K10356" s="128"/>
      <c r="X10356" s="234"/>
      <c r="Y10356" s="234"/>
      <c r="Z10356" s="234"/>
      <c r="AA10356" s="235"/>
      <c r="AB10356" s="234"/>
    </row>
    <row r="10357" ht="14.5" customHeight="1" spans="11:28" x14ac:dyDescent="0.25">
      <c r="K10357" s="128"/>
      <c r="X10357" s="234"/>
      <c r="Y10357" s="234"/>
      <c r="Z10357" s="234"/>
      <c r="AA10357" s="235"/>
      <c r="AB10357" s="234"/>
    </row>
    <row r="10358" ht="14.5" customHeight="1" spans="11:28" x14ac:dyDescent="0.25">
      <c r="K10358" s="128"/>
      <c r="X10358" s="234"/>
      <c r="Y10358" s="234"/>
      <c r="Z10358" s="234"/>
      <c r="AA10358" s="235"/>
      <c r="AB10358" s="234"/>
    </row>
    <row r="10359" ht="14.5" customHeight="1" spans="11:28" x14ac:dyDescent="0.25">
      <c r="K10359" s="128"/>
      <c r="X10359" s="234"/>
      <c r="Y10359" s="234"/>
      <c r="Z10359" s="234"/>
      <c r="AA10359" s="235"/>
      <c r="AB10359" s="234"/>
    </row>
    <row r="10360" ht="14.5" customHeight="1" spans="11:28" x14ac:dyDescent="0.25">
      <c r="K10360" s="128"/>
      <c r="X10360" s="234"/>
      <c r="Y10360" s="234"/>
      <c r="Z10360" s="234"/>
      <c r="AA10360" s="235"/>
      <c r="AB10360" s="234"/>
    </row>
    <row r="10361" ht="14.5" customHeight="1" spans="11:28" x14ac:dyDescent="0.25">
      <c r="K10361" s="128"/>
      <c r="X10361" s="234"/>
      <c r="Y10361" s="234"/>
      <c r="Z10361" s="234"/>
      <c r="AA10361" s="235"/>
      <c r="AB10361" s="234"/>
    </row>
    <row r="10362" ht="14.5" customHeight="1" spans="11:28" x14ac:dyDescent="0.25">
      <c r="K10362" s="128"/>
      <c r="X10362" s="234"/>
      <c r="Y10362" s="234"/>
      <c r="Z10362" s="234"/>
      <c r="AA10362" s="235"/>
      <c r="AB10362" s="234"/>
    </row>
    <row r="10363" ht="14.5" customHeight="1" spans="11:28" x14ac:dyDescent="0.25">
      <c r="K10363" s="128"/>
      <c r="X10363" s="234"/>
      <c r="Y10363" s="234"/>
      <c r="Z10363" s="234"/>
      <c r="AA10363" s="235"/>
      <c r="AB10363" s="234"/>
    </row>
    <row r="10364" ht="14.5" customHeight="1" spans="11:28" x14ac:dyDescent="0.25">
      <c r="K10364" s="128"/>
      <c r="X10364" s="234"/>
      <c r="Y10364" s="234"/>
      <c r="Z10364" s="234"/>
      <c r="AA10364" s="235"/>
      <c r="AB10364" s="234"/>
    </row>
    <row r="10365" ht="14.5" customHeight="1" spans="11:28" x14ac:dyDescent="0.25">
      <c r="K10365" s="128"/>
      <c r="X10365" s="234"/>
      <c r="Y10365" s="234"/>
      <c r="Z10365" s="234"/>
      <c r="AA10365" s="235"/>
      <c r="AB10365" s="234"/>
    </row>
    <row r="10366" ht="14.5" customHeight="1" spans="11:28" x14ac:dyDescent="0.25">
      <c r="K10366" s="128"/>
      <c r="X10366" s="234"/>
      <c r="Y10366" s="234"/>
      <c r="Z10366" s="234"/>
      <c r="AA10366" s="235"/>
      <c r="AB10366" s="234"/>
    </row>
    <row r="10367" ht="14.5" customHeight="1" spans="11:28" x14ac:dyDescent="0.25">
      <c r="K10367" s="128"/>
      <c r="X10367" s="234"/>
      <c r="Y10367" s="234"/>
      <c r="Z10367" s="234"/>
      <c r="AA10367" s="235"/>
      <c r="AB10367" s="234"/>
    </row>
    <row r="10368" ht="14.5" customHeight="1" spans="11:28" x14ac:dyDescent="0.25">
      <c r="K10368" s="128"/>
      <c r="X10368" s="234"/>
      <c r="Y10368" s="234"/>
      <c r="Z10368" s="234"/>
      <c r="AA10368" s="235"/>
      <c r="AB10368" s="234"/>
    </row>
    <row r="10369" ht="14.5" customHeight="1" spans="11:28" x14ac:dyDescent="0.25">
      <c r="K10369" s="128"/>
      <c r="X10369" s="234"/>
      <c r="Y10369" s="234"/>
      <c r="Z10369" s="234"/>
      <c r="AA10369" s="235"/>
      <c r="AB10369" s="234"/>
    </row>
    <row r="10370" ht="14.5" customHeight="1" spans="11:28" x14ac:dyDescent="0.25">
      <c r="K10370" s="128"/>
      <c r="X10370" s="234"/>
      <c r="Y10370" s="234"/>
      <c r="Z10370" s="234"/>
      <c r="AA10370" s="235"/>
      <c r="AB10370" s="234"/>
    </row>
    <row r="10371" ht="14.5" customHeight="1" spans="11:28" x14ac:dyDescent="0.25">
      <c r="K10371" s="128"/>
      <c r="X10371" s="234"/>
      <c r="Y10371" s="234"/>
      <c r="Z10371" s="234"/>
      <c r="AA10371" s="235"/>
      <c r="AB10371" s="234"/>
    </row>
    <row r="10372" ht="14.5" customHeight="1" spans="11:28" x14ac:dyDescent="0.25">
      <c r="K10372" s="128"/>
      <c r="X10372" s="234"/>
      <c r="Y10372" s="234"/>
      <c r="Z10372" s="234"/>
      <c r="AA10372" s="235"/>
      <c r="AB10372" s="234"/>
    </row>
    <row r="10373" ht="14.5" customHeight="1" spans="11:28" x14ac:dyDescent="0.25">
      <c r="K10373" s="128"/>
      <c r="X10373" s="234"/>
      <c r="Y10373" s="234"/>
      <c r="Z10373" s="234"/>
      <c r="AA10373" s="235"/>
      <c r="AB10373" s="234"/>
    </row>
    <row r="10374" ht="14.5" customHeight="1" spans="11:28" x14ac:dyDescent="0.25">
      <c r="K10374" s="128"/>
      <c r="X10374" s="234"/>
      <c r="Y10374" s="234"/>
      <c r="Z10374" s="234"/>
      <c r="AA10374" s="235"/>
      <c r="AB10374" s="234"/>
    </row>
    <row r="10375" ht="14.5" customHeight="1" spans="11:28" x14ac:dyDescent="0.25">
      <c r="K10375" s="128"/>
      <c r="X10375" s="234"/>
      <c r="Y10375" s="234"/>
      <c r="Z10375" s="234"/>
      <c r="AA10375" s="235"/>
      <c r="AB10375" s="234"/>
    </row>
    <row r="10376" ht="14.5" customHeight="1" spans="11:28" x14ac:dyDescent="0.25">
      <c r="K10376" s="128"/>
      <c r="X10376" s="234"/>
      <c r="Y10376" s="234"/>
      <c r="Z10376" s="234"/>
      <c r="AA10376" s="235"/>
      <c r="AB10376" s="234"/>
    </row>
    <row r="10377" ht="14.5" customHeight="1" spans="11:28" x14ac:dyDescent="0.25">
      <c r="K10377" s="128"/>
      <c r="X10377" s="234"/>
      <c r="Y10377" s="234"/>
      <c r="Z10377" s="234"/>
      <c r="AA10377" s="235"/>
      <c r="AB10377" s="234"/>
    </row>
    <row r="10378" ht="14.5" customHeight="1" spans="11:28" x14ac:dyDescent="0.25">
      <c r="K10378" s="128"/>
      <c r="X10378" s="234"/>
      <c r="Y10378" s="234"/>
      <c r="Z10378" s="234"/>
      <c r="AA10378" s="235"/>
      <c r="AB10378" s="234"/>
    </row>
    <row r="10379" ht="14.5" customHeight="1" spans="11:28" x14ac:dyDescent="0.25">
      <c r="K10379" s="128"/>
      <c r="X10379" s="234"/>
      <c r="Y10379" s="234"/>
      <c r="Z10379" s="234"/>
      <c r="AA10379" s="235"/>
      <c r="AB10379" s="234"/>
    </row>
    <row r="10380" ht="14.5" customHeight="1" spans="11:28" x14ac:dyDescent="0.25">
      <c r="K10380" s="128"/>
      <c r="X10380" s="234"/>
      <c r="Y10380" s="234"/>
      <c r="Z10380" s="234"/>
      <c r="AA10380" s="235"/>
      <c r="AB10380" s="234"/>
    </row>
    <row r="10381" ht="14.5" customHeight="1" spans="11:28" x14ac:dyDescent="0.25">
      <c r="K10381" s="128"/>
      <c r="X10381" s="234"/>
      <c r="Y10381" s="234"/>
      <c r="Z10381" s="234"/>
      <c r="AA10381" s="235"/>
      <c r="AB10381" s="234"/>
    </row>
    <row r="10382" ht="14.5" customHeight="1" spans="11:28" x14ac:dyDescent="0.25">
      <c r="K10382" s="128"/>
      <c r="X10382" s="234"/>
      <c r="Y10382" s="234"/>
      <c r="Z10382" s="234"/>
      <c r="AA10382" s="235"/>
      <c r="AB10382" s="234"/>
    </row>
    <row r="10383" ht="14.5" customHeight="1" spans="11:28" x14ac:dyDescent="0.25">
      <c r="K10383" s="128"/>
      <c r="X10383" s="234"/>
      <c r="Y10383" s="234"/>
      <c r="Z10383" s="234"/>
      <c r="AA10383" s="235"/>
      <c r="AB10383" s="234"/>
    </row>
    <row r="10384" ht="14.5" customHeight="1" spans="11:28" x14ac:dyDescent="0.25">
      <c r="K10384" s="128"/>
      <c r="X10384" s="234"/>
      <c r="Y10384" s="234"/>
      <c r="Z10384" s="234"/>
      <c r="AA10384" s="235"/>
      <c r="AB10384" s="234"/>
    </row>
    <row r="10385" ht="14.5" customHeight="1" spans="11:28" x14ac:dyDescent="0.25">
      <c r="K10385" s="128"/>
      <c r="X10385" s="234"/>
      <c r="Y10385" s="234"/>
      <c r="Z10385" s="234"/>
      <c r="AA10385" s="235"/>
      <c r="AB10385" s="234"/>
    </row>
    <row r="10386" ht="14.5" customHeight="1" spans="11:28" x14ac:dyDescent="0.25">
      <c r="K10386" s="128"/>
      <c r="X10386" s="234"/>
      <c r="Y10386" s="234"/>
      <c r="Z10386" s="234"/>
      <c r="AA10386" s="235"/>
      <c r="AB10386" s="234"/>
    </row>
    <row r="10387" ht="14.5" customHeight="1" spans="11:28" x14ac:dyDescent="0.25">
      <c r="K10387" s="128"/>
      <c r="X10387" s="234"/>
      <c r="Y10387" s="234"/>
      <c r="Z10387" s="234"/>
      <c r="AA10387" s="235"/>
      <c r="AB10387" s="234"/>
    </row>
    <row r="10388" ht="14.5" customHeight="1" spans="11:28" x14ac:dyDescent="0.25">
      <c r="K10388" s="128"/>
      <c r="X10388" s="234"/>
      <c r="Y10388" s="234"/>
      <c r="Z10388" s="234"/>
      <c r="AA10388" s="235"/>
      <c r="AB10388" s="234"/>
    </row>
    <row r="10389" ht="14.5" customHeight="1" spans="11:28" x14ac:dyDescent="0.25">
      <c r="K10389" s="128"/>
      <c r="X10389" s="234"/>
      <c r="Y10389" s="234"/>
      <c r="Z10389" s="234"/>
      <c r="AA10389" s="235"/>
      <c r="AB10389" s="234"/>
    </row>
    <row r="10390" ht="14.5" customHeight="1" spans="11:28" x14ac:dyDescent="0.25">
      <c r="K10390" s="128"/>
      <c r="X10390" s="234"/>
      <c r="Y10390" s="234"/>
      <c r="Z10390" s="234"/>
      <c r="AA10390" s="235"/>
      <c r="AB10390" s="234"/>
    </row>
    <row r="10391" ht="14.5" customHeight="1" spans="11:28" x14ac:dyDescent="0.25">
      <c r="K10391" s="128"/>
      <c r="X10391" s="234"/>
      <c r="Y10391" s="234"/>
      <c r="Z10391" s="234"/>
      <c r="AA10391" s="235"/>
      <c r="AB10391" s="234"/>
    </row>
    <row r="10392" ht="14.5" customHeight="1" spans="11:28" x14ac:dyDescent="0.25">
      <c r="K10392" s="128"/>
      <c r="X10392" s="234"/>
      <c r="Y10392" s="234"/>
      <c r="Z10392" s="234"/>
      <c r="AA10392" s="235"/>
      <c r="AB10392" s="234"/>
    </row>
    <row r="10393" ht="14.5" customHeight="1" spans="11:28" x14ac:dyDescent="0.25">
      <c r="K10393" s="128"/>
      <c r="X10393" s="234"/>
      <c r="Y10393" s="234"/>
      <c r="Z10393" s="234"/>
      <c r="AA10393" s="235"/>
      <c r="AB10393" s="234"/>
    </row>
    <row r="10394" ht="14.5" customHeight="1" spans="11:28" x14ac:dyDescent="0.25">
      <c r="K10394" s="128"/>
      <c r="X10394" s="234"/>
      <c r="Y10394" s="234"/>
      <c r="Z10394" s="234"/>
      <c r="AA10394" s="235"/>
      <c r="AB10394" s="234"/>
    </row>
    <row r="10395" ht="14.5" customHeight="1" spans="11:28" x14ac:dyDescent="0.25">
      <c r="K10395" s="128"/>
      <c r="X10395" s="234"/>
      <c r="Y10395" s="234"/>
      <c r="Z10395" s="234"/>
      <c r="AA10395" s="235"/>
      <c r="AB10395" s="234"/>
    </row>
    <row r="10396" ht="14.5" customHeight="1" spans="11:28" x14ac:dyDescent="0.25">
      <c r="K10396" s="128"/>
      <c r="X10396" s="234"/>
      <c r="Y10396" s="234"/>
      <c r="Z10396" s="234"/>
      <c r="AA10396" s="235"/>
      <c r="AB10396" s="234"/>
    </row>
    <row r="10397" ht="14.5" customHeight="1" spans="11:28" x14ac:dyDescent="0.25">
      <c r="K10397" s="128"/>
      <c r="X10397" s="234"/>
      <c r="Y10397" s="234"/>
      <c r="Z10397" s="234"/>
      <c r="AA10397" s="235"/>
      <c r="AB10397" s="234"/>
    </row>
    <row r="10398" ht="14.5" customHeight="1" spans="11:28" x14ac:dyDescent="0.25">
      <c r="K10398" s="128"/>
      <c r="X10398" s="234"/>
      <c r="Y10398" s="234"/>
      <c r="Z10398" s="234"/>
      <c r="AA10398" s="235"/>
      <c r="AB10398" s="234"/>
    </row>
    <row r="10399" ht="14.5" customHeight="1" spans="11:28" x14ac:dyDescent="0.25">
      <c r="K10399" s="128"/>
      <c r="X10399" s="234"/>
      <c r="Y10399" s="234"/>
      <c r="Z10399" s="234"/>
      <c r="AA10399" s="235"/>
      <c r="AB10399" s="234"/>
    </row>
    <row r="10400" ht="14.5" customHeight="1" spans="11:28" x14ac:dyDescent="0.25">
      <c r="K10400" s="128"/>
      <c r="X10400" s="234"/>
      <c r="Y10400" s="234"/>
      <c r="Z10400" s="234"/>
      <c r="AA10400" s="235"/>
      <c r="AB10400" s="234"/>
    </row>
    <row r="10401" ht="14.5" customHeight="1" spans="11:28" x14ac:dyDescent="0.25">
      <c r="K10401" s="128"/>
      <c r="X10401" s="234"/>
      <c r="Y10401" s="234"/>
      <c r="Z10401" s="234"/>
      <c r="AA10401" s="235"/>
      <c r="AB10401" s="234"/>
    </row>
    <row r="10402" ht="14.5" customHeight="1" spans="11:28" x14ac:dyDescent="0.25">
      <c r="K10402" s="128"/>
      <c r="X10402" s="234"/>
      <c r="Y10402" s="234"/>
      <c r="Z10402" s="234"/>
      <c r="AA10402" s="235"/>
      <c r="AB10402" s="234"/>
    </row>
    <row r="10403" ht="14.5" customHeight="1" spans="11:28" x14ac:dyDescent="0.25">
      <c r="K10403" s="128"/>
      <c r="X10403" s="234"/>
      <c r="Y10403" s="234"/>
      <c r="Z10403" s="234"/>
      <c r="AA10403" s="235"/>
      <c r="AB10403" s="234"/>
    </row>
    <row r="10404" ht="14.5" customHeight="1" spans="11:28" x14ac:dyDescent="0.25">
      <c r="K10404" s="128"/>
      <c r="X10404" s="234"/>
      <c r="Y10404" s="234"/>
      <c r="Z10404" s="234"/>
      <c r="AA10404" s="235"/>
      <c r="AB10404" s="234"/>
    </row>
    <row r="10405" ht="14.5" customHeight="1" spans="11:28" x14ac:dyDescent="0.25">
      <c r="K10405" s="128"/>
      <c r="X10405" s="234"/>
      <c r="Y10405" s="234"/>
      <c r="Z10405" s="234"/>
      <c r="AA10405" s="235"/>
      <c r="AB10405" s="234"/>
    </row>
    <row r="10406" ht="14.5" customHeight="1" spans="11:28" x14ac:dyDescent="0.25">
      <c r="K10406" s="128"/>
      <c r="X10406" s="234"/>
      <c r="Y10406" s="234"/>
      <c r="Z10406" s="234"/>
      <c r="AA10406" s="235"/>
      <c r="AB10406" s="234"/>
    </row>
    <row r="10407" ht="14.5" customHeight="1" spans="11:28" x14ac:dyDescent="0.25">
      <c r="K10407" s="128"/>
      <c r="X10407" s="234"/>
      <c r="Y10407" s="234"/>
      <c r="Z10407" s="234"/>
      <c r="AA10407" s="235"/>
      <c r="AB10407" s="234"/>
    </row>
    <row r="10408" ht="14.5" customHeight="1" spans="11:28" x14ac:dyDescent="0.25">
      <c r="K10408" s="128"/>
      <c r="X10408" s="234"/>
      <c r="Y10408" s="234"/>
      <c r="Z10408" s="234"/>
      <c r="AA10408" s="235"/>
      <c r="AB10408" s="234"/>
    </row>
    <row r="10409" ht="14.5" customHeight="1" spans="11:28" x14ac:dyDescent="0.25">
      <c r="K10409" s="128"/>
      <c r="X10409" s="234"/>
      <c r="Y10409" s="234"/>
      <c r="Z10409" s="234"/>
      <c r="AA10409" s="235"/>
      <c r="AB10409" s="234"/>
    </row>
    <row r="10410" ht="14.5" customHeight="1" spans="11:28" x14ac:dyDescent="0.25">
      <c r="K10410" s="128"/>
      <c r="X10410" s="234"/>
      <c r="Y10410" s="234"/>
      <c r="Z10410" s="234"/>
      <c r="AA10410" s="235"/>
      <c r="AB10410" s="234"/>
    </row>
    <row r="10411" ht="14.5" customHeight="1" spans="11:28" x14ac:dyDescent="0.25">
      <c r="K10411" s="128"/>
      <c r="X10411" s="234"/>
      <c r="Y10411" s="234"/>
      <c r="Z10411" s="234"/>
      <c r="AA10411" s="235"/>
      <c r="AB10411" s="234"/>
    </row>
    <row r="10412" ht="14.5" customHeight="1" spans="11:28" x14ac:dyDescent="0.25">
      <c r="K10412" s="128"/>
      <c r="X10412" s="234"/>
      <c r="Y10412" s="234"/>
      <c r="Z10412" s="234"/>
      <c r="AA10412" s="235"/>
      <c r="AB10412" s="234"/>
    </row>
    <row r="10413" ht="14.5" customHeight="1" spans="11:28" x14ac:dyDescent="0.25">
      <c r="K10413" s="128"/>
      <c r="X10413" s="234"/>
      <c r="Y10413" s="234"/>
      <c r="Z10413" s="234"/>
      <c r="AA10413" s="235"/>
      <c r="AB10413" s="234"/>
    </row>
    <row r="10414" ht="14.5" customHeight="1" spans="11:28" x14ac:dyDescent="0.25">
      <c r="K10414" s="128"/>
      <c r="X10414" s="234"/>
      <c r="Y10414" s="234"/>
      <c r="Z10414" s="234"/>
      <c r="AA10414" s="235"/>
      <c r="AB10414" s="234"/>
    </row>
    <row r="10415" ht="14.5" customHeight="1" spans="11:28" x14ac:dyDescent="0.25">
      <c r="K10415" s="128"/>
      <c r="X10415" s="234"/>
      <c r="Y10415" s="234"/>
      <c r="Z10415" s="234"/>
      <c r="AA10415" s="235"/>
      <c r="AB10415" s="234"/>
    </row>
    <row r="10416" ht="14.5" customHeight="1" spans="11:28" x14ac:dyDescent="0.25">
      <c r="K10416" s="128"/>
      <c r="X10416" s="234"/>
      <c r="Y10416" s="234"/>
      <c r="Z10416" s="234"/>
      <c r="AA10416" s="235"/>
      <c r="AB10416" s="234"/>
    </row>
    <row r="10417" ht="14.5" customHeight="1" spans="11:28" x14ac:dyDescent="0.25">
      <c r="K10417" s="128"/>
      <c r="X10417" s="234"/>
      <c r="Y10417" s="234"/>
      <c r="Z10417" s="234"/>
      <c r="AA10417" s="235"/>
      <c r="AB10417" s="234"/>
    </row>
    <row r="10418" ht="14.5" customHeight="1" spans="11:28" x14ac:dyDescent="0.25">
      <c r="K10418" s="128"/>
      <c r="X10418" s="234"/>
      <c r="Y10418" s="234"/>
      <c r="Z10418" s="234"/>
      <c r="AA10418" s="235"/>
      <c r="AB10418" s="234"/>
    </row>
    <row r="10419" ht="14.5" customHeight="1" spans="11:28" x14ac:dyDescent="0.25">
      <c r="K10419" s="128"/>
      <c r="X10419" s="234"/>
      <c r="Y10419" s="234"/>
      <c r="Z10419" s="234"/>
      <c r="AA10419" s="235"/>
      <c r="AB10419" s="234"/>
    </row>
    <row r="10420" ht="14.5" customHeight="1" spans="11:28" x14ac:dyDescent="0.25">
      <c r="K10420" s="128"/>
      <c r="X10420" s="234"/>
      <c r="Y10420" s="234"/>
      <c r="Z10420" s="234"/>
      <c r="AA10420" s="235"/>
      <c r="AB10420" s="234"/>
    </row>
    <row r="10421" ht="14.5" customHeight="1" spans="11:28" x14ac:dyDescent="0.25">
      <c r="K10421" s="128"/>
      <c r="X10421" s="234"/>
      <c r="Y10421" s="234"/>
      <c r="Z10421" s="234"/>
      <c r="AA10421" s="235"/>
      <c r="AB10421" s="234"/>
    </row>
    <row r="10422" ht="14.5" customHeight="1" spans="11:28" x14ac:dyDescent="0.25">
      <c r="K10422" s="128"/>
      <c r="X10422" s="234"/>
      <c r="Y10422" s="234"/>
      <c r="Z10422" s="234"/>
      <c r="AA10422" s="235"/>
      <c r="AB10422" s="234"/>
    </row>
    <row r="10423" ht="14.5" customHeight="1" spans="11:28" x14ac:dyDescent="0.25">
      <c r="K10423" s="128"/>
      <c r="X10423" s="234"/>
      <c r="Y10423" s="234"/>
      <c r="Z10423" s="234"/>
      <c r="AA10423" s="235"/>
      <c r="AB10423" s="234"/>
    </row>
    <row r="10424" ht="14.5" customHeight="1" spans="11:28" x14ac:dyDescent="0.25">
      <c r="K10424" s="128"/>
      <c r="X10424" s="234"/>
      <c r="Y10424" s="234"/>
      <c r="Z10424" s="234"/>
      <c r="AA10424" s="235"/>
      <c r="AB10424" s="234"/>
    </row>
    <row r="10425" ht="14.5" customHeight="1" spans="11:28" x14ac:dyDescent="0.25">
      <c r="K10425" s="128"/>
      <c r="X10425" s="234"/>
      <c r="Y10425" s="234"/>
      <c r="Z10425" s="234"/>
      <c r="AA10425" s="235"/>
      <c r="AB10425" s="234"/>
    </row>
    <row r="10426" ht="14.5" customHeight="1" spans="11:28" x14ac:dyDescent="0.25">
      <c r="K10426" s="128"/>
      <c r="X10426" s="234"/>
      <c r="Y10426" s="234"/>
      <c r="Z10426" s="234"/>
      <c r="AA10426" s="235"/>
      <c r="AB10426" s="234"/>
    </row>
    <row r="10427" ht="14.5" customHeight="1" spans="11:28" x14ac:dyDescent="0.25">
      <c r="K10427" s="128"/>
      <c r="X10427" s="234"/>
      <c r="Y10427" s="234"/>
      <c r="Z10427" s="234"/>
      <c r="AA10427" s="235"/>
      <c r="AB10427" s="234"/>
    </row>
    <row r="10428" ht="14.5" customHeight="1" spans="11:28" x14ac:dyDescent="0.25">
      <c r="K10428" s="128"/>
      <c r="X10428" s="234"/>
      <c r="Y10428" s="234"/>
      <c r="Z10428" s="234"/>
      <c r="AA10428" s="235"/>
      <c r="AB10428" s="234"/>
    </row>
    <row r="10429" ht="14.5" customHeight="1" spans="11:28" x14ac:dyDescent="0.25">
      <c r="K10429" s="128"/>
      <c r="X10429" s="234"/>
      <c r="Y10429" s="234"/>
      <c r="Z10429" s="234"/>
      <c r="AA10429" s="235"/>
      <c r="AB10429" s="234"/>
    </row>
    <row r="10430" ht="14.5" customHeight="1" spans="11:28" x14ac:dyDescent="0.25">
      <c r="K10430" s="128"/>
      <c r="X10430" s="234"/>
      <c r="Y10430" s="234"/>
      <c r="Z10430" s="234"/>
      <c r="AA10430" s="235"/>
      <c r="AB10430" s="234"/>
    </row>
    <row r="10431" ht="14.5" customHeight="1" spans="11:28" x14ac:dyDescent="0.25">
      <c r="K10431" s="128"/>
      <c r="X10431" s="234"/>
      <c r="Y10431" s="234"/>
      <c r="Z10431" s="234"/>
      <c r="AA10431" s="235"/>
      <c r="AB10431" s="234"/>
    </row>
    <row r="10432" ht="14.5" customHeight="1" spans="11:28" x14ac:dyDescent="0.25">
      <c r="K10432" s="128"/>
      <c r="X10432" s="234"/>
      <c r="Y10432" s="234"/>
      <c r="Z10432" s="234"/>
      <c r="AA10432" s="235"/>
      <c r="AB10432" s="234"/>
    </row>
    <row r="10433" ht="14.5" customHeight="1" spans="11:28" x14ac:dyDescent="0.25">
      <c r="K10433" s="128"/>
      <c r="X10433" s="234"/>
      <c r="Y10433" s="234"/>
      <c r="Z10433" s="234"/>
      <c r="AA10433" s="235"/>
      <c r="AB10433" s="234"/>
    </row>
    <row r="10434" ht="14.5" customHeight="1" spans="11:28" x14ac:dyDescent="0.25">
      <c r="K10434" s="128"/>
      <c r="X10434" s="234"/>
      <c r="Y10434" s="234"/>
      <c r="Z10434" s="234"/>
      <c r="AA10434" s="235"/>
      <c r="AB10434" s="234"/>
    </row>
    <row r="10435" ht="14.5" customHeight="1" spans="11:28" x14ac:dyDescent="0.25">
      <c r="K10435" s="128"/>
      <c r="X10435" s="234"/>
      <c r="Y10435" s="234"/>
      <c r="Z10435" s="234"/>
      <c r="AA10435" s="235"/>
      <c r="AB10435" s="234"/>
    </row>
    <row r="10436" ht="14.5" customHeight="1" spans="11:28" x14ac:dyDescent="0.25">
      <c r="K10436" s="128"/>
      <c r="X10436" s="234"/>
      <c r="Y10436" s="234"/>
      <c r="Z10436" s="234"/>
      <c r="AA10436" s="235"/>
      <c r="AB10436" s="234"/>
    </row>
    <row r="10437" ht="14.5" customHeight="1" spans="11:28" x14ac:dyDescent="0.25">
      <c r="K10437" s="128"/>
      <c r="X10437" s="234"/>
      <c r="Y10437" s="234"/>
      <c r="Z10437" s="234"/>
      <c r="AA10437" s="235"/>
      <c r="AB10437" s="234"/>
    </row>
    <row r="10438" ht="14.5" customHeight="1" spans="11:28" x14ac:dyDescent="0.25">
      <c r="K10438" s="128"/>
      <c r="X10438" s="234"/>
      <c r="Y10438" s="234"/>
      <c r="Z10438" s="234"/>
      <c r="AA10438" s="235"/>
      <c r="AB10438" s="234"/>
    </row>
    <row r="10439" ht="14.5" customHeight="1" spans="11:28" x14ac:dyDescent="0.25">
      <c r="K10439" s="128"/>
      <c r="X10439" s="234"/>
      <c r="Y10439" s="234"/>
      <c r="Z10439" s="234"/>
      <c r="AA10439" s="235"/>
      <c r="AB10439" s="234"/>
    </row>
    <row r="10440" ht="14.5" customHeight="1" spans="11:28" x14ac:dyDescent="0.25">
      <c r="K10440" s="128"/>
      <c r="X10440" s="234"/>
      <c r="Y10440" s="234"/>
      <c r="Z10440" s="234"/>
      <c r="AA10440" s="235"/>
      <c r="AB10440" s="234"/>
    </row>
    <row r="10441" ht="14.5" customHeight="1" spans="11:28" x14ac:dyDescent="0.25">
      <c r="K10441" s="128"/>
      <c r="X10441" s="234"/>
      <c r="Y10441" s="234"/>
      <c r="Z10441" s="234"/>
      <c r="AA10441" s="235"/>
      <c r="AB10441" s="234"/>
    </row>
    <row r="10442" ht="14.5" customHeight="1" spans="11:28" x14ac:dyDescent="0.25">
      <c r="K10442" s="128"/>
      <c r="X10442" s="234"/>
      <c r="Y10442" s="234"/>
      <c r="Z10442" s="234"/>
      <c r="AA10442" s="235"/>
      <c r="AB10442" s="234"/>
    </row>
    <row r="10443" ht="14.5" customHeight="1" spans="11:28" x14ac:dyDescent="0.25">
      <c r="K10443" s="128"/>
      <c r="X10443" s="234"/>
      <c r="Y10443" s="234"/>
      <c r="Z10443" s="234"/>
      <c r="AA10443" s="235"/>
      <c r="AB10443" s="234"/>
    </row>
    <row r="10444" ht="14.5" customHeight="1" spans="11:28" x14ac:dyDescent="0.25">
      <c r="K10444" s="128"/>
      <c r="X10444" s="234"/>
      <c r="Y10444" s="234"/>
      <c r="Z10444" s="234"/>
      <c r="AA10444" s="235"/>
      <c r="AB10444" s="234"/>
    </row>
    <row r="10445" ht="14.5" customHeight="1" spans="11:28" x14ac:dyDescent="0.25">
      <c r="K10445" s="128"/>
      <c r="X10445" s="234"/>
      <c r="Y10445" s="234"/>
      <c r="Z10445" s="234"/>
      <c r="AA10445" s="235"/>
      <c r="AB10445" s="234"/>
    </row>
    <row r="10446" ht="14.5" customHeight="1" spans="11:28" x14ac:dyDescent="0.25">
      <c r="K10446" s="128"/>
      <c r="X10446" s="234"/>
      <c r="Y10446" s="234"/>
      <c r="Z10446" s="234"/>
      <c r="AA10446" s="235"/>
      <c r="AB10446" s="234"/>
    </row>
    <row r="10447" ht="14.5" customHeight="1" spans="11:28" x14ac:dyDescent="0.25">
      <c r="K10447" s="128"/>
      <c r="X10447" s="234"/>
      <c r="Y10447" s="234"/>
      <c r="Z10447" s="234"/>
      <c r="AA10447" s="235"/>
      <c r="AB10447" s="234"/>
    </row>
    <row r="10448" ht="14.5" customHeight="1" spans="11:28" x14ac:dyDescent="0.25">
      <c r="K10448" s="128"/>
      <c r="X10448" s="234"/>
      <c r="Y10448" s="234"/>
      <c r="Z10448" s="234"/>
      <c r="AA10448" s="235"/>
      <c r="AB10448" s="234"/>
    </row>
    <row r="10449" ht="14.5" customHeight="1" spans="11:28" x14ac:dyDescent="0.25">
      <c r="K10449" s="128"/>
      <c r="X10449" s="234"/>
      <c r="Y10449" s="234"/>
      <c r="Z10449" s="234"/>
      <c r="AA10449" s="235"/>
      <c r="AB10449" s="234"/>
    </row>
    <row r="10450" ht="14.5" customHeight="1" spans="11:28" x14ac:dyDescent="0.25">
      <c r="K10450" s="128"/>
      <c r="X10450" s="234"/>
      <c r="Y10450" s="234"/>
      <c r="Z10450" s="234"/>
      <c r="AA10450" s="235"/>
      <c r="AB10450" s="234"/>
    </row>
    <row r="10451" ht="14.5" customHeight="1" spans="11:28" x14ac:dyDescent="0.25">
      <c r="K10451" s="128"/>
      <c r="X10451" s="234"/>
      <c r="Y10451" s="234"/>
      <c r="Z10451" s="234"/>
      <c r="AA10451" s="235"/>
      <c r="AB10451" s="234"/>
    </row>
    <row r="10452" ht="14.5" customHeight="1" spans="11:28" x14ac:dyDescent="0.25">
      <c r="K10452" s="128"/>
      <c r="X10452" s="234"/>
      <c r="Y10452" s="234"/>
      <c r="Z10452" s="234"/>
      <c r="AA10452" s="235"/>
      <c r="AB10452" s="234"/>
    </row>
    <row r="10453" ht="14.5" customHeight="1" spans="11:28" x14ac:dyDescent="0.25">
      <c r="K10453" s="128"/>
      <c r="X10453" s="234"/>
      <c r="Y10453" s="234"/>
      <c r="Z10453" s="234"/>
      <c r="AA10453" s="235"/>
      <c r="AB10453" s="234"/>
    </row>
    <row r="10454" ht="14.5" customHeight="1" spans="11:28" x14ac:dyDescent="0.25">
      <c r="K10454" s="128"/>
      <c r="X10454" s="234"/>
      <c r="Y10454" s="234"/>
      <c r="Z10454" s="234"/>
      <c r="AA10454" s="235"/>
      <c r="AB10454" s="234"/>
    </row>
    <row r="10455" ht="14.5" customHeight="1" spans="11:28" x14ac:dyDescent="0.25">
      <c r="K10455" s="128"/>
      <c r="X10455" s="234"/>
      <c r="Y10455" s="234"/>
      <c r="Z10455" s="234"/>
      <c r="AA10455" s="235"/>
      <c r="AB10455" s="234"/>
    </row>
    <row r="10456" ht="14.5" customHeight="1" spans="11:28" x14ac:dyDescent="0.25">
      <c r="K10456" s="128"/>
      <c r="X10456" s="234"/>
      <c r="Y10456" s="234"/>
      <c r="Z10456" s="234"/>
      <c r="AA10456" s="235"/>
      <c r="AB10456" s="234"/>
    </row>
    <row r="10457" ht="14.5" customHeight="1" spans="11:28" x14ac:dyDescent="0.25">
      <c r="K10457" s="128"/>
      <c r="X10457" s="234"/>
      <c r="Y10457" s="234"/>
      <c r="Z10457" s="234"/>
      <c r="AA10457" s="235"/>
      <c r="AB10457" s="234"/>
    </row>
    <row r="10458" ht="14.5" customHeight="1" spans="11:28" x14ac:dyDescent="0.25">
      <c r="K10458" s="128"/>
      <c r="X10458" s="234"/>
      <c r="Y10458" s="234"/>
      <c r="Z10458" s="234"/>
      <c r="AA10458" s="235"/>
      <c r="AB10458" s="234"/>
    </row>
    <row r="10459" ht="14.5" customHeight="1" spans="11:28" x14ac:dyDescent="0.25">
      <c r="K10459" s="128"/>
      <c r="X10459" s="234"/>
      <c r="Y10459" s="234"/>
      <c r="Z10459" s="234"/>
      <c r="AA10459" s="235"/>
      <c r="AB10459" s="234"/>
    </row>
    <row r="10460" ht="14.5" customHeight="1" spans="11:28" x14ac:dyDescent="0.25">
      <c r="K10460" s="128"/>
      <c r="X10460" s="234"/>
      <c r="Y10460" s="234"/>
      <c r="Z10460" s="234"/>
      <c r="AA10460" s="235"/>
      <c r="AB10460" s="234"/>
    </row>
    <row r="10461" ht="14.5" customHeight="1" spans="11:28" x14ac:dyDescent="0.25">
      <c r="K10461" s="128"/>
      <c r="X10461" s="234"/>
      <c r="Y10461" s="234"/>
      <c r="Z10461" s="234"/>
      <c r="AA10461" s="235"/>
      <c r="AB10461" s="234"/>
    </row>
    <row r="10462" ht="14.5" customHeight="1" spans="11:28" x14ac:dyDescent="0.25">
      <c r="K10462" s="128"/>
      <c r="X10462" s="234"/>
      <c r="Y10462" s="234"/>
      <c r="Z10462" s="234"/>
      <c r="AA10462" s="235"/>
      <c r="AB10462" s="234"/>
    </row>
    <row r="10463" ht="14.5" customHeight="1" spans="11:28" x14ac:dyDescent="0.25">
      <c r="K10463" s="128"/>
      <c r="X10463" s="234"/>
      <c r="Y10463" s="234"/>
      <c r="Z10463" s="234"/>
      <c r="AA10463" s="235"/>
      <c r="AB10463" s="234"/>
    </row>
    <row r="10464" ht="14.5" customHeight="1" spans="11:28" x14ac:dyDescent="0.25">
      <c r="K10464" s="128"/>
      <c r="X10464" s="234"/>
      <c r="Y10464" s="234"/>
      <c r="Z10464" s="234"/>
      <c r="AA10464" s="235"/>
      <c r="AB10464" s="234"/>
    </row>
    <row r="10465" ht="14.5" customHeight="1" spans="11:28" x14ac:dyDescent="0.25">
      <c r="K10465" s="128"/>
      <c r="X10465" s="234"/>
      <c r="Y10465" s="234"/>
      <c r="Z10465" s="234"/>
      <c r="AA10465" s="235"/>
      <c r="AB10465" s="234"/>
    </row>
    <row r="10466" ht="14.5" customHeight="1" spans="11:28" x14ac:dyDescent="0.25">
      <c r="K10466" s="128"/>
      <c r="X10466" s="234"/>
      <c r="Y10466" s="234"/>
      <c r="Z10466" s="234"/>
      <c r="AA10466" s="235"/>
      <c r="AB10466" s="234"/>
    </row>
    <row r="10467" ht="14.5" customHeight="1" spans="11:28" x14ac:dyDescent="0.25">
      <c r="K10467" s="128"/>
      <c r="X10467" s="234"/>
      <c r="Y10467" s="234"/>
      <c r="Z10467" s="234"/>
      <c r="AA10467" s="235"/>
      <c r="AB10467" s="234"/>
    </row>
    <row r="10468" ht="14.5" customHeight="1" spans="11:28" x14ac:dyDescent="0.25">
      <c r="K10468" s="128"/>
      <c r="X10468" s="234"/>
      <c r="Y10468" s="234"/>
      <c r="Z10468" s="234"/>
      <c r="AA10468" s="235"/>
      <c r="AB10468" s="234"/>
    </row>
    <row r="10469" ht="14.5" customHeight="1" spans="11:28" x14ac:dyDescent="0.25">
      <c r="K10469" s="128"/>
      <c r="X10469" s="234"/>
      <c r="Y10469" s="234"/>
      <c r="Z10469" s="234"/>
      <c r="AA10469" s="235"/>
      <c r="AB10469" s="234"/>
    </row>
    <row r="10470" ht="14.5" customHeight="1" spans="11:28" x14ac:dyDescent="0.25">
      <c r="K10470" s="128"/>
      <c r="X10470" s="234"/>
      <c r="Y10470" s="234"/>
      <c r="Z10470" s="234"/>
      <c r="AA10470" s="235"/>
      <c r="AB10470" s="234"/>
    </row>
    <row r="10471" ht="14.5" customHeight="1" spans="11:28" x14ac:dyDescent="0.25">
      <c r="K10471" s="128"/>
      <c r="X10471" s="234"/>
      <c r="Y10471" s="234"/>
      <c r="Z10471" s="234"/>
      <c r="AA10471" s="235"/>
      <c r="AB10471" s="234"/>
    </row>
    <row r="10472" ht="14.5" customHeight="1" spans="11:28" x14ac:dyDescent="0.25">
      <c r="K10472" s="128"/>
      <c r="X10472" s="234"/>
      <c r="Y10472" s="234"/>
      <c r="Z10472" s="234"/>
      <c r="AA10472" s="235"/>
      <c r="AB10472" s="234"/>
    </row>
    <row r="10473" ht="14.5" customHeight="1" spans="11:28" x14ac:dyDescent="0.25">
      <c r="K10473" s="128"/>
      <c r="X10473" s="234"/>
      <c r="Y10473" s="234"/>
      <c r="Z10473" s="234"/>
      <c r="AA10473" s="235"/>
      <c r="AB10473" s="234"/>
    </row>
    <row r="10474" ht="14.5" customHeight="1" spans="11:28" x14ac:dyDescent="0.25">
      <c r="K10474" s="128"/>
      <c r="X10474" s="234"/>
      <c r="Y10474" s="234"/>
      <c r="Z10474" s="234"/>
      <c r="AA10474" s="235"/>
      <c r="AB10474" s="234"/>
    </row>
    <row r="10475" ht="14.5" customHeight="1" spans="11:28" x14ac:dyDescent="0.25">
      <c r="K10475" s="128"/>
      <c r="X10475" s="234"/>
      <c r="Y10475" s="234"/>
      <c r="Z10475" s="234"/>
      <c r="AA10475" s="235"/>
      <c r="AB10475" s="234"/>
    </row>
    <row r="10476" ht="14.5" customHeight="1" spans="11:28" x14ac:dyDescent="0.25">
      <c r="K10476" s="128"/>
      <c r="X10476" s="234"/>
      <c r="Y10476" s="234"/>
      <c r="Z10476" s="234"/>
      <c r="AA10476" s="235"/>
      <c r="AB10476" s="234"/>
    </row>
    <row r="10477" ht="14.5" customHeight="1" spans="11:28" x14ac:dyDescent="0.25">
      <c r="K10477" s="128"/>
      <c r="X10477" s="234"/>
      <c r="Y10477" s="234"/>
      <c r="Z10477" s="234"/>
      <c r="AA10477" s="235"/>
      <c r="AB10477" s="234"/>
    </row>
    <row r="10478" ht="14.5" customHeight="1" spans="11:28" x14ac:dyDescent="0.25">
      <c r="K10478" s="128"/>
      <c r="X10478" s="234"/>
      <c r="Y10478" s="234"/>
      <c r="Z10478" s="234"/>
      <c r="AA10478" s="235"/>
      <c r="AB10478" s="234"/>
    </row>
    <row r="10479" ht="14.5" customHeight="1" spans="11:28" x14ac:dyDescent="0.25">
      <c r="K10479" s="128"/>
      <c r="X10479" s="234"/>
      <c r="Y10479" s="234"/>
      <c r="Z10479" s="234"/>
      <c r="AA10479" s="235"/>
      <c r="AB10479" s="234"/>
    </row>
    <row r="10480" ht="14.5" customHeight="1" spans="11:28" x14ac:dyDescent="0.25">
      <c r="K10480" s="128"/>
      <c r="X10480" s="234"/>
      <c r="Y10480" s="234"/>
      <c r="Z10480" s="234"/>
      <c r="AA10480" s="235"/>
      <c r="AB10480" s="234"/>
    </row>
    <row r="10481" ht="14.5" customHeight="1" spans="11:28" x14ac:dyDescent="0.25">
      <c r="K10481" s="128"/>
      <c r="X10481" s="234"/>
      <c r="Y10481" s="234"/>
      <c r="Z10481" s="234"/>
      <c r="AA10481" s="235"/>
      <c r="AB10481" s="234"/>
    </row>
    <row r="10482" ht="14.5" customHeight="1" spans="11:28" x14ac:dyDescent="0.25">
      <c r="K10482" s="128"/>
      <c r="X10482" s="234"/>
      <c r="Y10482" s="234"/>
      <c r="Z10482" s="234"/>
      <c r="AA10482" s="235"/>
      <c r="AB10482" s="234"/>
    </row>
    <row r="10483" ht="14.5" customHeight="1" spans="11:28" x14ac:dyDescent="0.25">
      <c r="K10483" s="128"/>
      <c r="X10483" s="234"/>
      <c r="Y10483" s="234"/>
      <c r="Z10483" s="234"/>
      <c r="AA10483" s="235"/>
      <c r="AB10483" s="234"/>
    </row>
    <row r="10484" ht="14.5" customHeight="1" spans="11:28" x14ac:dyDescent="0.25">
      <c r="K10484" s="128"/>
      <c r="X10484" s="234"/>
      <c r="Y10484" s="234"/>
      <c r="Z10484" s="234"/>
      <c r="AA10484" s="235"/>
      <c r="AB10484" s="234"/>
    </row>
    <row r="10485" ht="14.5" customHeight="1" spans="11:28" x14ac:dyDescent="0.25">
      <c r="K10485" s="128"/>
      <c r="X10485" s="234"/>
      <c r="Y10485" s="234"/>
      <c r="Z10485" s="234"/>
      <c r="AA10485" s="235"/>
      <c r="AB10485" s="234"/>
    </row>
    <row r="10486" ht="14.5" customHeight="1" spans="11:28" x14ac:dyDescent="0.25">
      <c r="K10486" s="128"/>
      <c r="X10486" s="234"/>
      <c r="Y10486" s="234"/>
      <c r="Z10486" s="234"/>
      <c r="AA10486" s="235"/>
      <c r="AB10486" s="234"/>
    </row>
    <row r="10487" ht="14.5" customHeight="1" spans="11:28" x14ac:dyDescent="0.25">
      <c r="K10487" s="128"/>
      <c r="X10487" s="234"/>
      <c r="Y10487" s="234"/>
      <c r="Z10487" s="234"/>
      <c r="AA10487" s="235"/>
      <c r="AB10487" s="234"/>
    </row>
    <row r="10488" ht="14.5" customHeight="1" spans="11:28" x14ac:dyDescent="0.25">
      <c r="K10488" s="128"/>
      <c r="X10488" s="234"/>
      <c r="Y10488" s="234"/>
      <c r="Z10488" s="234"/>
      <c r="AA10488" s="235"/>
      <c r="AB10488" s="234"/>
    </row>
    <row r="10489" ht="14.5" customHeight="1" spans="11:28" x14ac:dyDescent="0.25">
      <c r="K10489" s="128"/>
      <c r="X10489" s="234"/>
      <c r="Y10489" s="234"/>
      <c r="Z10489" s="234"/>
      <c r="AA10489" s="235"/>
      <c r="AB10489" s="234"/>
    </row>
    <row r="10490" ht="14.5" customHeight="1" spans="11:28" x14ac:dyDescent="0.25">
      <c r="K10490" s="128"/>
      <c r="X10490" s="234"/>
      <c r="Y10490" s="234"/>
      <c r="Z10490" s="234"/>
      <c r="AA10490" s="235"/>
      <c r="AB10490" s="234"/>
    </row>
    <row r="10491" ht="14.5" customHeight="1" spans="11:28" x14ac:dyDescent="0.25">
      <c r="K10491" s="128"/>
      <c r="X10491" s="234"/>
      <c r="Y10491" s="234"/>
      <c r="Z10491" s="234"/>
      <c r="AA10491" s="235"/>
      <c r="AB10491" s="234"/>
    </row>
    <row r="10492" ht="14.5" customHeight="1" spans="11:28" x14ac:dyDescent="0.25">
      <c r="K10492" s="128"/>
      <c r="X10492" s="234"/>
      <c r="Y10492" s="234"/>
      <c r="Z10492" s="234"/>
      <c r="AA10492" s="235"/>
      <c r="AB10492" s="234"/>
    </row>
    <row r="10493" ht="14.5" customHeight="1" spans="11:28" x14ac:dyDescent="0.25">
      <c r="K10493" s="128"/>
      <c r="X10493" s="234"/>
      <c r="Y10493" s="234"/>
      <c r="Z10493" s="234"/>
      <c r="AA10493" s="235"/>
      <c r="AB10493" s="234"/>
    </row>
    <row r="10494" ht="14.5" customHeight="1" spans="11:28" x14ac:dyDescent="0.25">
      <c r="K10494" s="128"/>
      <c r="X10494" s="234"/>
      <c r="Y10494" s="234"/>
      <c r="Z10494" s="234"/>
      <c r="AA10494" s="235"/>
      <c r="AB10494" s="234"/>
    </row>
    <row r="10495" ht="14.5" customHeight="1" spans="11:28" x14ac:dyDescent="0.25">
      <c r="K10495" s="128"/>
      <c r="X10495" s="234"/>
      <c r="Y10495" s="234"/>
      <c r="Z10495" s="234"/>
      <c r="AA10495" s="235"/>
      <c r="AB10495" s="234"/>
    </row>
    <row r="10496" ht="14.5" customHeight="1" spans="11:28" x14ac:dyDescent="0.25">
      <c r="K10496" s="128"/>
      <c r="X10496" s="234"/>
      <c r="Y10496" s="234"/>
      <c r="Z10496" s="234"/>
      <c r="AA10496" s="235"/>
      <c r="AB10496" s="234"/>
    </row>
    <row r="10497" ht="14.5" customHeight="1" spans="11:28" x14ac:dyDescent="0.25">
      <c r="K10497" s="128"/>
      <c r="X10497" s="234"/>
      <c r="Y10497" s="234"/>
      <c r="Z10497" s="234"/>
      <c r="AA10497" s="235"/>
      <c r="AB10497" s="234"/>
    </row>
    <row r="10498" ht="14.5" customHeight="1" spans="11:28" x14ac:dyDescent="0.25">
      <c r="K10498" s="128"/>
      <c r="X10498" s="234"/>
      <c r="Y10498" s="234"/>
      <c r="Z10498" s="234"/>
      <c r="AA10498" s="235"/>
      <c r="AB10498" s="234"/>
    </row>
    <row r="10499" ht="14.5" customHeight="1" spans="11:28" x14ac:dyDescent="0.25">
      <c r="K10499" s="128"/>
      <c r="X10499" s="234"/>
      <c r="Y10499" s="234"/>
      <c r="Z10499" s="234"/>
      <c r="AA10499" s="235"/>
      <c r="AB10499" s="234"/>
    </row>
    <row r="10500" ht="14.5" customHeight="1" spans="11:28" x14ac:dyDescent="0.25">
      <c r="K10500" s="128"/>
      <c r="X10500" s="234"/>
      <c r="Y10500" s="234"/>
      <c r="Z10500" s="234"/>
      <c r="AA10500" s="235"/>
      <c r="AB10500" s="234"/>
    </row>
    <row r="10501" ht="14.5" customHeight="1" spans="11:28" x14ac:dyDescent="0.25">
      <c r="K10501" s="128"/>
      <c r="X10501" s="234"/>
      <c r="Y10501" s="234"/>
      <c r="Z10501" s="234"/>
      <c r="AA10501" s="235"/>
      <c r="AB10501" s="234"/>
    </row>
    <row r="10502" ht="14.5" customHeight="1" spans="11:28" x14ac:dyDescent="0.25">
      <c r="K10502" s="128"/>
      <c r="X10502" s="234"/>
      <c r="Y10502" s="234"/>
      <c r="Z10502" s="234"/>
      <c r="AA10502" s="235"/>
      <c r="AB10502" s="234"/>
    </row>
    <row r="10503" ht="14.5" customHeight="1" spans="11:28" x14ac:dyDescent="0.25">
      <c r="K10503" s="128"/>
      <c r="X10503" s="234"/>
      <c r="Y10503" s="234"/>
      <c r="Z10503" s="234"/>
      <c r="AA10503" s="235"/>
      <c r="AB10503" s="234"/>
    </row>
    <row r="10504" ht="14.5" customHeight="1" spans="11:28" x14ac:dyDescent="0.25">
      <c r="K10504" s="128"/>
      <c r="X10504" s="234"/>
      <c r="Y10504" s="234"/>
      <c r="Z10504" s="234"/>
      <c r="AA10504" s="235"/>
      <c r="AB10504" s="234"/>
    </row>
    <row r="10505" ht="14.5" customHeight="1" spans="11:28" x14ac:dyDescent="0.25">
      <c r="K10505" s="128"/>
      <c r="X10505" s="234"/>
      <c r="Y10505" s="234"/>
      <c r="Z10505" s="234"/>
      <c r="AA10505" s="235"/>
      <c r="AB10505" s="234"/>
    </row>
    <row r="10506" ht="14.5" customHeight="1" spans="11:28" x14ac:dyDescent="0.25">
      <c r="K10506" s="128"/>
      <c r="X10506" s="234"/>
      <c r="Y10506" s="234"/>
      <c r="Z10506" s="234"/>
      <c r="AA10506" s="235"/>
      <c r="AB10506" s="234"/>
    </row>
    <row r="10507" ht="14.5" customHeight="1" spans="11:28" x14ac:dyDescent="0.25">
      <c r="K10507" s="128"/>
      <c r="X10507" s="234"/>
      <c r="Y10507" s="234"/>
      <c r="Z10507" s="234"/>
      <c r="AA10507" s="235"/>
      <c r="AB10507" s="234"/>
    </row>
    <row r="10508" ht="14.5" customHeight="1" spans="11:28" x14ac:dyDescent="0.25">
      <c r="K10508" s="128"/>
      <c r="X10508" s="234"/>
      <c r="Y10508" s="234"/>
      <c r="Z10508" s="234"/>
      <c r="AA10508" s="235"/>
      <c r="AB10508" s="234"/>
    </row>
    <row r="10509" ht="14.5" customHeight="1" spans="11:28" x14ac:dyDescent="0.25">
      <c r="K10509" s="128"/>
      <c r="X10509" s="234"/>
      <c r="Y10509" s="234"/>
      <c r="Z10509" s="234"/>
      <c r="AA10509" s="235"/>
      <c r="AB10509" s="234"/>
    </row>
    <row r="10510" ht="14.5" customHeight="1" spans="11:28" x14ac:dyDescent="0.25">
      <c r="K10510" s="128"/>
      <c r="X10510" s="234"/>
      <c r="Y10510" s="234"/>
      <c r="Z10510" s="234"/>
      <c r="AA10510" s="235"/>
      <c r="AB10510" s="234"/>
    </row>
    <row r="10511" ht="14.5" customHeight="1" spans="11:28" x14ac:dyDescent="0.25">
      <c r="K10511" s="128"/>
      <c r="X10511" s="234"/>
      <c r="Y10511" s="234"/>
      <c r="Z10511" s="234"/>
      <c r="AA10511" s="235"/>
      <c r="AB10511" s="234"/>
    </row>
    <row r="10512" ht="14.5" customHeight="1" spans="11:28" x14ac:dyDescent="0.25">
      <c r="K10512" s="128"/>
      <c r="X10512" s="234"/>
      <c r="Y10512" s="234"/>
      <c r="Z10512" s="234"/>
      <c r="AA10512" s="235"/>
      <c r="AB10512" s="234"/>
    </row>
    <row r="10513" ht="14.5" customHeight="1" spans="11:28" x14ac:dyDescent="0.25">
      <c r="K10513" s="128"/>
      <c r="X10513" s="234"/>
      <c r="Y10513" s="234"/>
      <c r="Z10513" s="234"/>
      <c r="AA10513" s="235"/>
      <c r="AB10513" s="234"/>
    </row>
    <row r="10514" ht="14.5" customHeight="1" spans="11:28" x14ac:dyDescent="0.25">
      <c r="K10514" s="128"/>
      <c r="X10514" s="234"/>
      <c r="Y10514" s="234"/>
      <c r="Z10514" s="234"/>
      <c r="AA10514" s="235"/>
      <c r="AB10514" s="234"/>
    </row>
    <row r="10515" ht="14.5" customHeight="1" spans="11:28" x14ac:dyDescent="0.25">
      <c r="K10515" s="128"/>
      <c r="X10515" s="234"/>
      <c r="Y10515" s="234"/>
      <c r="Z10515" s="234"/>
      <c r="AA10515" s="235"/>
      <c r="AB10515" s="234"/>
    </row>
    <row r="10516" ht="14.5" customHeight="1" spans="11:28" x14ac:dyDescent="0.25">
      <c r="K10516" s="128"/>
      <c r="X10516" s="234"/>
      <c r="Y10516" s="234"/>
      <c r="Z10516" s="234"/>
      <c r="AA10516" s="235"/>
      <c r="AB10516" s="234"/>
    </row>
    <row r="10517" ht="14.5" customHeight="1" spans="11:28" x14ac:dyDescent="0.25">
      <c r="K10517" s="128"/>
      <c r="X10517" s="234"/>
      <c r="Y10517" s="234"/>
      <c r="Z10517" s="234"/>
      <c r="AA10517" s="235"/>
      <c r="AB10517" s="234"/>
    </row>
    <row r="10518" ht="14.5" customHeight="1" spans="11:28" x14ac:dyDescent="0.25">
      <c r="K10518" s="128"/>
      <c r="X10518" s="234"/>
      <c r="Y10518" s="234"/>
      <c r="Z10518" s="234"/>
      <c r="AA10518" s="235"/>
      <c r="AB10518" s="234"/>
    </row>
    <row r="10519" ht="14.5" customHeight="1" spans="11:28" x14ac:dyDescent="0.25">
      <c r="K10519" s="128"/>
      <c r="X10519" s="234"/>
      <c r="Y10519" s="234"/>
      <c r="Z10519" s="234"/>
      <c r="AA10519" s="235"/>
      <c r="AB10519" s="234"/>
    </row>
    <row r="10520" ht="14.5" customHeight="1" spans="11:28" x14ac:dyDescent="0.25">
      <c r="K10520" s="128"/>
      <c r="X10520" s="234"/>
      <c r="Y10520" s="234"/>
      <c r="Z10520" s="234"/>
      <c r="AA10520" s="235"/>
      <c r="AB10520" s="234"/>
    </row>
    <row r="10521" ht="14.5" customHeight="1" spans="11:28" x14ac:dyDescent="0.25">
      <c r="K10521" s="128"/>
      <c r="X10521" s="234"/>
      <c r="Y10521" s="234"/>
      <c r="Z10521" s="234"/>
      <c r="AA10521" s="235"/>
      <c r="AB10521" s="234"/>
    </row>
    <row r="10522" ht="14.5" customHeight="1" spans="11:28" x14ac:dyDescent="0.25">
      <c r="K10522" s="128"/>
      <c r="X10522" s="234"/>
      <c r="Y10522" s="234"/>
      <c r="Z10522" s="234"/>
      <c r="AA10522" s="235"/>
      <c r="AB10522" s="234"/>
    </row>
    <row r="10523" ht="14.5" customHeight="1" spans="11:28" x14ac:dyDescent="0.25">
      <c r="K10523" s="128"/>
      <c r="X10523" s="234"/>
      <c r="Y10523" s="234"/>
      <c r="Z10523" s="234"/>
      <c r="AA10523" s="235"/>
      <c r="AB10523" s="234"/>
    </row>
    <row r="10524" ht="14.5" customHeight="1" spans="11:28" x14ac:dyDescent="0.25">
      <c r="K10524" s="128"/>
      <c r="X10524" s="234"/>
      <c r="Y10524" s="234"/>
      <c r="Z10524" s="234"/>
      <c r="AA10524" s="235"/>
      <c r="AB10524" s="234"/>
    </row>
    <row r="10525" ht="14.5" customHeight="1" spans="11:28" x14ac:dyDescent="0.25">
      <c r="K10525" s="128"/>
      <c r="X10525" s="234"/>
      <c r="Y10525" s="234"/>
      <c r="Z10525" s="234"/>
      <c r="AA10525" s="235"/>
      <c r="AB10525" s="234"/>
    </row>
    <row r="10526" ht="14.5" customHeight="1" spans="11:28" x14ac:dyDescent="0.25">
      <c r="K10526" s="128"/>
      <c r="X10526" s="234"/>
      <c r="Y10526" s="234"/>
      <c r="Z10526" s="234"/>
      <c r="AA10526" s="235"/>
      <c r="AB10526" s="234"/>
    </row>
    <row r="10527" ht="14.5" customHeight="1" spans="11:28" x14ac:dyDescent="0.25">
      <c r="K10527" s="128"/>
      <c r="X10527" s="234"/>
      <c r="Y10527" s="234"/>
      <c r="Z10527" s="234"/>
      <c r="AA10527" s="235"/>
      <c r="AB10527" s="234"/>
    </row>
    <row r="10528" ht="14.5" customHeight="1" spans="11:28" x14ac:dyDescent="0.25">
      <c r="K10528" s="128"/>
      <c r="X10528" s="234"/>
      <c r="Y10528" s="234"/>
      <c r="Z10528" s="234"/>
      <c r="AA10528" s="235"/>
      <c r="AB10528" s="234"/>
    </row>
    <row r="10529" ht="14.5" customHeight="1" spans="11:28" x14ac:dyDescent="0.25">
      <c r="K10529" s="128"/>
      <c r="X10529" s="234"/>
      <c r="Y10529" s="234"/>
      <c r="Z10529" s="234"/>
      <c r="AA10529" s="235"/>
      <c r="AB10529" s="234"/>
    </row>
    <row r="10530" ht="14.5" customHeight="1" spans="11:28" x14ac:dyDescent="0.25">
      <c r="K10530" s="128"/>
      <c r="X10530" s="234"/>
      <c r="Y10530" s="234"/>
      <c r="Z10530" s="234"/>
      <c r="AA10530" s="235"/>
      <c r="AB10530" s="234"/>
    </row>
    <row r="10531" ht="14.5" customHeight="1" spans="11:28" x14ac:dyDescent="0.25">
      <c r="K10531" s="128"/>
      <c r="X10531" s="234"/>
      <c r="Y10531" s="234"/>
      <c r="Z10531" s="234"/>
      <c r="AA10531" s="235"/>
      <c r="AB10531" s="234"/>
    </row>
    <row r="10532" ht="14.5" customHeight="1" spans="11:28" x14ac:dyDescent="0.25">
      <c r="K10532" s="128"/>
      <c r="X10532" s="234"/>
      <c r="Y10532" s="234"/>
      <c r="Z10532" s="234"/>
      <c r="AA10532" s="235"/>
      <c r="AB10532" s="234"/>
    </row>
    <row r="10533" ht="14.5" customHeight="1" spans="11:28" x14ac:dyDescent="0.25">
      <c r="K10533" s="128"/>
      <c r="X10533" s="234"/>
      <c r="Y10533" s="234"/>
      <c r="Z10533" s="234"/>
      <c r="AA10533" s="235"/>
      <c r="AB10533" s="234"/>
    </row>
    <row r="10534" ht="14.5" customHeight="1" spans="11:28" x14ac:dyDescent="0.25">
      <c r="K10534" s="128"/>
      <c r="X10534" s="234"/>
      <c r="Y10534" s="234"/>
      <c r="Z10534" s="234"/>
      <c r="AA10534" s="235"/>
      <c r="AB10534" s="234"/>
    </row>
    <row r="10535" ht="14.5" customHeight="1" spans="11:28" x14ac:dyDescent="0.25">
      <c r="K10535" s="128"/>
      <c r="X10535" s="234"/>
      <c r="Y10535" s="234"/>
      <c r="Z10535" s="234"/>
      <c r="AA10535" s="235"/>
      <c r="AB10535" s="234"/>
    </row>
    <row r="10536" ht="14.5" customHeight="1" spans="11:28" x14ac:dyDescent="0.25">
      <c r="K10536" s="128"/>
      <c r="X10536" s="234"/>
      <c r="Y10536" s="234"/>
      <c r="Z10536" s="234"/>
      <c r="AA10536" s="235"/>
      <c r="AB10536" s="234"/>
    </row>
    <row r="10537" ht="14.5" customHeight="1" spans="11:28" x14ac:dyDescent="0.25">
      <c r="K10537" s="128"/>
      <c r="X10537" s="234"/>
      <c r="Y10537" s="234"/>
      <c r="Z10537" s="234"/>
      <c r="AA10537" s="235"/>
      <c r="AB10537" s="234"/>
    </row>
    <row r="10538" ht="14.5" customHeight="1" spans="11:28" x14ac:dyDescent="0.25">
      <c r="K10538" s="128"/>
      <c r="X10538" s="234"/>
      <c r="Y10538" s="234"/>
      <c r="Z10538" s="234"/>
      <c r="AA10538" s="235"/>
      <c r="AB10538" s="234"/>
    </row>
    <row r="10539" ht="14.5" customHeight="1" spans="11:28" x14ac:dyDescent="0.25">
      <c r="K10539" s="128"/>
      <c r="X10539" s="234"/>
      <c r="Y10539" s="234"/>
      <c r="Z10539" s="234"/>
      <c r="AA10539" s="235"/>
      <c r="AB10539" s="234"/>
    </row>
    <row r="10540" ht="14.5" customHeight="1" spans="11:28" x14ac:dyDescent="0.25">
      <c r="K10540" s="128"/>
      <c r="X10540" s="234"/>
      <c r="Y10540" s="234"/>
      <c r="Z10540" s="234"/>
      <c r="AA10540" s="235"/>
      <c r="AB10540" s="234"/>
    </row>
    <row r="10541" ht="14.5" customHeight="1" spans="11:28" x14ac:dyDescent="0.25">
      <c r="K10541" s="128"/>
      <c r="X10541" s="234"/>
      <c r="Y10541" s="234"/>
      <c r="Z10541" s="234"/>
      <c r="AA10541" s="235"/>
      <c r="AB10541" s="234"/>
    </row>
    <row r="10542" ht="14.5" customHeight="1" spans="11:28" x14ac:dyDescent="0.25">
      <c r="K10542" s="128"/>
      <c r="X10542" s="234"/>
      <c r="Y10542" s="234"/>
      <c r="Z10542" s="234"/>
      <c r="AA10542" s="235"/>
      <c r="AB10542" s="234"/>
    </row>
    <row r="10543" ht="14.5" customHeight="1" spans="11:28" x14ac:dyDescent="0.25">
      <c r="K10543" s="128"/>
      <c r="X10543" s="234"/>
      <c r="Y10543" s="234"/>
      <c r="Z10543" s="234"/>
      <c r="AA10543" s="235"/>
      <c r="AB10543" s="234"/>
    </row>
    <row r="10544" ht="14.5" customHeight="1" spans="11:28" x14ac:dyDescent="0.25">
      <c r="K10544" s="128"/>
      <c r="X10544" s="234"/>
      <c r="Y10544" s="234"/>
      <c r="Z10544" s="234"/>
      <c r="AA10544" s="235"/>
      <c r="AB10544" s="234"/>
    </row>
    <row r="10545" ht="14.5" customHeight="1" spans="11:28" x14ac:dyDescent="0.25">
      <c r="K10545" s="128"/>
      <c r="X10545" s="234"/>
      <c r="Y10545" s="234"/>
      <c r="Z10545" s="234"/>
      <c r="AA10545" s="235"/>
      <c r="AB10545" s="234"/>
    </row>
    <row r="10546" ht="14.5" customHeight="1" spans="11:28" x14ac:dyDescent="0.25">
      <c r="K10546" s="128"/>
      <c r="X10546" s="234"/>
      <c r="Y10546" s="234"/>
      <c r="Z10546" s="234"/>
      <c r="AA10546" s="235"/>
      <c r="AB10546" s="234"/>
    </row>
    <row r="10547" ht="14.5" customHeight="1" spans="11:28" x14ac:dyDescent="0.25">
      <c r="K10547" s="128"/>
      <c r="X10547" s="234"/>
      <c r="Y10547" s="234"/>
      <c r="Z10547" s="234"/>
      <c r="AA10547" s="235"/>
      <c r="AB10547" s="234"/>
    </row>
    <row r="10548" ht="14.5" customHeight="1" spans="11:28" x14ac:dyDescent="0.25">
      <c r="K10548" s="128"/>
      <c r="X10548" s="234"/>
      <c r="Y10548" s="234"/>
      <c r="Z10548" s="234"/>
      <c r="AA10548" s="235"/>
      <c r="AB10548" s="234"/>
    </row>
    <row r="10549" ht="14.5" customHeight="1" spans="11:28" x14ac:dyDescent="0.25">
      <c r="K10549" s="128"/>
      <c r="X10549" s="234"/>
      <c r="Y10549" s="234"/>
      <c r="Z10549" s="234"/>
      <c r="AA10549" s="235"/>
      <c r="AB10549" s="234"/>
    </row>
    <row r="10550" ht="14.5" customHeight="1" spans="11:28" x14ac:dyDescent="0.25">
      <c r="K10550" s="128"/>
      <c r="X10550" s="234"/>
      <c r="Y10550" s="234"/>
      <c r="Z10550" s="234"/>
      <c r="AA10550" s="235"/>
      <c r="AB10550" s="234"/>
    </row>
    <row r="10551" ht="14.5" customHeight="1" spans="11:28" x14ac:dyDescent="0.25">
      <c r="K10551" s="128"/>
      <c r="X10551" s="234"/>
      <c r="Y10551" s="234"/>
      <c r="Z10551" s="234"/>
      <c r="AA10551" s="235"/>
      <c r="AB10551" s="234"/>
    </row>
    <row r="10552" ht="14.5" customHeight="1" spans="11:28" x14ac:dyDescent="0.25">
      <c r="K10552" s="128"/>
      <c r="X10552" s="234"/>
      <c r="Y10552" s="234"/>
      <c r="Z10552" s="234"/>
      <c r="AA10552" s="235"/>
      <c r="AB10552" s="234"/>
    </row>
    <row r="10553" ht="14.5" customHeight="1" spans="11:28" x14ac:dyDescent="0.25">
      <c r="K10553" s="128"/>
      <c r="X10553" s="234"/>
      <c r="Y10553" s="234"/>
      <c r="Z10553" s="234"/>
      <c r="AA10553" s="235"/>
      <c r="AB10553" s="234"/>
    </row>
    <row r="10554" ht="14.5" customHeight="1" spans="11:28" x14ac:dyDescent="0.25">
      <c r="K10554" s="128"/>
      <c r="X10554" s="234"/>
      <c r="Y10554" s="234"/>
      <c r="Z10554" s="234"/>
      <c r="AA10554" s="235"/>
      <c r="AB10554" s="234"/>
    </row>
    <row r="10555" ht="14.5" customHeight="1" spans="11:28" x14ac:dyDescent="0.25">
      <c r="K10555" s="128"/>
      <c r="X10555" s="234"/>
      <c r="Y10555" s="234"/>
      <c r="Z10555" s="234"/>
      <c r="AA10555" s="235"/>
      <c r="AB10555" s="234"/>
    </row>
    <row r="10556" ht="14.5" customHeight="1" spans="11:28" x14ac:dyDescent="0.25">
      <c r="K10556" s="128"/>
      <c r="X10556" s="234"/>
      <c r="Y10556" s="234"/>
      <c r="Z10556" s="234"/>
      <c r="AA10556" s="235"/>
      <c r="AB10556" s="234"/>
    </row>
    <row r="10557" ht="14.5" customHeight="1" spans="11:28" x14ac:dyDescent="0.25">
      <c r="K10557" s="128"/>
      <c r="X10557" s="234"/>
      <c r="Y10557" s="234"/>
      <c r="Z10557" s="234"/>
      <c r="AA10557" s="235"/>
      <c r="AB10557" s="234"/>
    </row>
    <row r="10558" ht="14.5" customHeight="1" spans="11:28" x14ac:dyDescent="0.25">
      <c r="K10558" s="128"/>
      <c r="X10558" s="234"/>
      <c r="Y10558" s="234"/>
      <c r="Z10558" s="234"/>
      <c r="AA10558" s="235"/>
      <c r="AB10558" s="234"/>
    </row>
    <row r="10559" ht="14.5" customHeight="1" spans="11:28" x14ac:dyDescent="0.25">
      <c r="K10559" s="128"/>
      <c r="X10559" s="234"/>
      <c r="Y10559" s="234"/>
      <c r="Z10559" s="234"/>
      <c r="AA10559" s="235"/>
      <c r="AB10559" s="234"/>
    </row>
    <row r="10560" ht="14.5" customHeight="1" spans="11:28" x14ac:dyDescent="0.25">
      <c r="K10560" s="128"/>
      <c r="X10560" s="234"/>
      <c r="Y10560" s="234"/>
      <c r="Z10560" s="234"/>
      <c r="AA10560" s="235"/>
      <c r="AB10560" s="234"/>
    </row>
    <row r="10561" ht="14.5" customHeight="1" spans="11:28" x14ac:dyDescent="0.25">
      <c r="K10561" s="128"/>
      <c r="X10561" s="234"/>
      <c r="Y10561" s="234"/>
      <c r="Z10561" s="234"/>
      <c r="AA10561" s="235"/>
      <c r="AB10561" s="234"/>
    </row>
    <row r="10562" ht="14.5" customHeight="1" spans="11:28" x14ac:dyDescent="0.25">
      <c r="K10562" s="128"/>
      <c r="X10562" s="234"/>
      <c r="Y10562" s="234"/>
      <c r="Z10562" s="234"/>
      <c r="AA10562" s="235"/>
      <c r="AB10562" s="234"/>
    </row>
    <row r="10563" ht="14.5" customHeight="1" spans="11:28" x14ac:dyDescent="0.25">
      <c r="K10563" s="128"/>
      <c r="X10563" s="234"/>
      <c r="Y10563" s="234"/>
      <c r="Z10563" s="234"/>
      <c r="AA10563" s="235"/>
      <c r="AB10563" s="234"/>
    </row>
    <row r="10564" ht="14.5" customHeight="1" spans="11:28" x14ac:dyDescent="0.25">
      <c r="K10564" s="128"/>
      <c r="X10564" s="234"/>
      <c r="Y10564" s="234"/>
      <c r="Z10564" s="234"/>
      <c r="AA10564" s="235"/>
      <c r="AB10564" s="234"/>
    </row>
    <row r="10565" ht="14.5" customHeight="1" spans="11:28" x14ac:dyDescent="0.25">
      <c r="K10565" s="128"/>
      <c r="X10565" s="234"/>
      <c r="Y10565" s="234"/>
      <c r="Z10565" s="234"/>
      <c r="AA10565" s="235"/>
      <c r="AB10565" s="234"/>
    </row>
    <row r="10566" ht="14.5" customHeight="1" spans="11:28" x14ac:dyDescent="0.25">
      <c r="K10566" s="128"/>
      <c r="X10566" s="234"/>
      <c r="Y10566" s="234"/>
      <c r="Z10566" s="234"/>
      <c r="AA10566" s="235"/>
      <c r="AB10566" s="234"/>
    </row>
    <row r="10567" ht="14.5" customHeight="1" spans="11:28" x14ac:dyDescent="0.25">
      <c r="K10567" s="128"/>
      <c r="X10567" s="234"/>
      <c r="Y10567" s="234"/>
      <c r="Z10567" s="234"/>
      <c r="AA10567" s="235"/>
      <c r="AB10567" s="234"/>
    </row>
    <row r="10568" ht="14.5" customHeight="1" spans="11:28" x14ac:dyDescent="0.25">
      <c r="K10568" s="128"/>
      <c r="X10568" s="234"/>
      <c r="Y10568" s="234"/>
      <c r="Z10568" s="234"/>
      <c r="AA10568" s="235"/>
      <c r="AB10568" s="234"/>
    </row>
    <row r="10569" ht="14.5" customHeight="1" spans="11:28" x14ac:dyDescent="0.25">
      <c r="K10569" s="128"/>
      <c r="X10569" s="234"/>
      <c r="Y10569" s="234"/>
      <c r="Z10569" s="234"/>
      <c r="AA10569" s="235"/>
      <c r="AB10569" s="234"/>
    </row>
    <row r="10570" ht="14.5" customHeight="1" spans="11:28" x14ac:dyDescent="0.25">
      <c r="K10570" s="128"/>
      <c r="X10570" s="234"/>
      <c r="Y10570" s="234"/>
      <c r="Z10570" s="234"/>
      <c r="AA10570" s="235"/>
      <c r="AB10570" s="234"/>
    </row>
    <row r="10571" ht="14.5" customHeight="1" spans="11:28" x14ac:dyDescent="0.25">
      <c r="K10571" s="128"/>
      <c r="X10571" s="234"/>
      <c r="Y10571" s="234"/>
      <c r="Z10571" s="234"/>
      <c r="AA10571" s="235"/>
      <c r="AB10571" s="234"/>
    </row>
    <row r="10572" ht="14.5" customHeight="1" spans="11:28" x14ac:dyDescent="0.25">
      <c r="K10572" s="128"/>
      <c r="X10572" s="234"/>
      <c r="Y10572" s="234"/>
      <c r="Z10572" s="234"/>
      <c r="AA10572" s="235"/>
      <c r="AB10572" s="234"/>
    </row>
    <row r="10573" ht="14.5" customHeight="1" spans="11:28" x14ac:dyDescent="0.25">
      <c r="K10573" s="128"/>
      <c r="X10573" s="234"/>
      <c r="Y10573" s="234"/>
      <c r="Z10573" s="234"/>
      <c r="AA10573" s="235"/>
      <c r="AB10573" s="234"/>
    </row>
    <row r="10574" ht="14.5" customHeight="1" spans="11:28" x14ac:dyDescent="0.25">
      <c r="K10574" s="128"/>
      <c r="X10574" s="234"/>
      <c r="Y10574" s="234"/>
      <c r="Z10574" s="234"/>
      <c r="AA10574" s="235"/>
      <c r="AB10574" s="234"/>
    </row>
    <row r="10575" ht="14.5" customHeight="1" spans="11:28" x14ac:dyDescent="0.25">
      <c r="K10575" s="128"/>
      <c r="X10575" s="234"/>
      <c r="Y10575" s="234"/>
      <c r="Z10575" s="234"/>
      <c r="AA10575" s="235"/>
      <c r="AB10575" s="234"/>
    </row>
    <row r="10576" ht="14.5" customHeight="1" spans="11:28" x14ac:dyDescent="0.25">
      <c r="K10576" s="128"/>
      <c r="X10576" s="234"/>
      <c r="Y10576" s="234"/>
      <c r="Z10576" s="234"/>
      <c r="AA10576" s="235"/>
      <c r="AB10576" s="234"/>
    </row>
    <row r="10577" ht="14.5" customHeight="1" spans="11:28" x14ac:dyDescent="0.25">
      <c r="K10577" s="128"/>
      <c r="X10577" s="234"/>
      <c r="Y10577" s="234"/>
      <c r="Z10577" s="234"/>
      <c r="AA10577" s="235"/>
      <c r="AB10577" s="234"/>
    </row>
    <row r="10578" ht="14.5" customHeight="1" spans="11:28" x14ac:dyDescent="0.25">
      <c r="K10578" s="128"/>
      <c r="X10578" s="234"/>
      <c r="Y10578" s="234"/>
      <c r="Z10578" s="234"/>
      <c r="AA10578" s="235"/>
      <c r="AB10578" s="234"/>
    </row>
    <row r="10579" ht="14.5" customHeight="1" spans="11:28" x14ac:dyDescent="0.25">
      <c r="K10579" s="128"/>
      <c r="X10579" s="234"/>
      <c r="Y10579" s="234"/>
      <c r="Z10579" s="234"/>
      <c r="AA10579" s="235"/>
      <c r="AB10579" s="234"/>
    </row>
    <row r="10580" ht="14.5" customHeight="1" spans="11:28" x14ac:dyDescent="0.25">
      <c r="K10580" s="128"/>
      <c r="X10580" s="234"/>
      <c r="Y10580" s="234"/>
      <c r="Z10580" s="234"/>
      <c r="AA10580" s="235"/>
      <c r="AB10580" s="234"/>
    </row>
    <row r="10581" ht="14.5" customHeight="1" spans="11:28" x14ac:dyDescent="0.25">
      <c r="K10581" s="128"/>
      <c r="X10581" s="234"/>
      <c r="Y10581" s="234"/>
      <c r="Z10581" s="234"/>
      <c r="AA10581" s="235"/>
      <c r="AB10581" s="234"/>
    </row>
    <row r="10582" ht="14.5" customHeight="1" spans="11:28" x14ac:dyDescent="0.25">
      <c r="K10582" s="128"/>
      <c r="X10582" s="234"/>
      <c r="Y10582" s="234"/>
      <c r="Z10582" s="234"/>
      <c r="AA10582" s="235"/>
      <c r="AB10582" s="234"/>
    </row>
    <row r="10583" ht="14.5" customHeight="1" spans="11:28" x14ac:dyDescent="0.25">
      <c r="K10583" s="128"/>
      <c r="X10583" s="234"/>
      <c r="Y10583" s="234"/>
      <c r="Z10583" s="234"/>
      <c r="AA10583" s="235"/>
      <c r="AB10583" s="234"/>
    </row>
    <row r="10584" ht="14.5" customHeight="1" spans="11:28" x14ac:dyDescent="0.25">
      <c r="K10584" s="128"/>
      <c r="X10584" s="234"/>
      <c r="Y10584" s="234"/>
      <c r="Z10584" s="234"/>
      <c r="AA10584" s="235"/>
      <c r="AB10584" s="234"/>
    </row>
    <row r="10585" ht="14.5" customHeight="1" spans="11:28" x14ac:dyDescent="0.25">
      <c r="K10585" s="128"/>
      <c r="X10585" s="234"/>
      <c r="Y10585" s="234"/>
      <c r="Z10585" s="234"/>
      <c r="AA10585" s="235"/>
      <c r="AB10585" s="234"/>
    </row>
    <row r="10586" ht="14.5" customHeight="1" spans="11:28" x14ac:dyDescent="0.25">
      <c r="K10586" s="128"/>
      <c r="X10586" s="234"/>
      <c r="Y10586" s="234"/>
      <c r="Z10586" s="234"/>
      <c r="AA10586" s="235"/>
      <c r="AB10586" s="234"/>
    </row>
    <row r="10587" ht="14.5" customHeight="1" spans="11:28" x14ac:dyDescent="0.25">
      <c r="K10587" s="128"/>
      <c r="X10587" s="234"/>
      <c r="Y10587" s="234"/>
      <c r="Z10587" s="234"/>
      <c r="AA10587" s="235"/>
      <c r="AB10587" s="234"/>
    </row>
    <row r="10588" ht="14.5" customHeight="1" spans="11:28" x14ac:dyDescent="0.25">
      <c r="K10588" s="128"/>
      <c r="X10588" s="234"/>
      <c r="Y10588" s="234"/>
      <c r="Z10588" s="234"/>
      <c r="AA10588" s="235"/>
      <c r="AB10588" s="234"/>
    </row>
    <row r="10589" ht="14.5" customHeight="1" spans="11:28" x14ac:dyDescent="0.25">
      <c r="K10589" s="128"/>
      <c r="X10589" s="234"/>
      <c r="Y10589" s="234"/>
      <c r="Z10589" s="234"/>
      <c r="AA10589" s="235"/>
      <c r="AB10589" s="234"/>
    </row>
    <row r="10590" ht="14.5" customHeight="1" spans="11:28" x14ac:dyDescent="0.25">
      <c r="K10590" s="128"/>
      <c r="X10590" s="234"/>
      <c r="Y10590" s="234"/>
      <c r="Z10590" s="234"/>
      <c r="AA10590" s="235"/>
      <c r="AB10590" s="234"/>
    </row>
    <row r="10591" ht="14.5" customHeight="1" spans="11:28" x14ac:dyDescent="0.25">
      <c r="K10591" s="128"/>
      <c r="X10591" s="234"/>
      <c r="Y10591" s="234"/>
      <c r="Z10591" s="234"/>
      <c r="AA10591" s="235"/>
      <c r="AB10591" s="234"/>
    </row>
    <row r="10592" ht="14.5" customHeight="1" spans="11:28" x14ac:dyDescent="0.25">
      <c r="K10592" s="128"/>
      <c r="X10592" s="234"/>
      <c r="Y10592" s="234"/>
      <c r="Z10592" s="234"/>
      <c r="AA10592" s="235"/>
      <c r="AB10592" s="234"/>
    </row>
    <row r="10593" ht="14.5" customHeight="1" spans="11:28" x14ac:dyDescent="0.25">
      <c r="K10593" s="128"/>
      <c r="X10593" s="234"/>
      <c r="Y10593" s="234"/>
      <c r="Z10593" s="234"/>
      <c r="AA10593" s="235"/>
      <c r="AB10593" s="234"/>
    </row>
    <row r="10594" ht="14.5" customHeight="1" spans="11:28" x14ac:dyDescent="0.25">
      <c r="K10594" s="128"/>
      <c r="X10594" s="234"/>
      <c r="Y10594" s="234"/>
      <c r="Z10594" s="234"/>
      <c r="AA10594" s="235"/>
      <c r="AB10594" s="234"/>
    </row>
    <row r="10595" ht="14.5" customHeight="1" spans="11:28" x14ac:dyDescent="0.25">
      <c r="K10595" s="128"/>
      <c r="X10595" s="234"/>
      <c r="Y10595" s="234"/>
      <c r="Z10595" s="234"/>
      <c r="AA10595" s="235"/>
      <c r="AB10595" s="234"/>
    </row>
    <row r="10596" ht="14.5" customHeight="1" spans="11:28" x14ac:dyDescent="0.25">
      <c r="K10596" s="128"/>
      <c r="X10596" s="234"/>
      <c r="Y10596" s="234"/>
      <c r="Z10596" s="234"/>
      <c r="AA10596" s="235"/>
      <c r="AB10596" s="234"/>
    </row>
    <row r="10597" ht="14.5" customHeight="1" spans="11:28" x14ac:dyDescent="0.25">
      <c r="K10597" s="128"/>
      <c r="X10597" s="234"/>
      <c r="Y10597" s="234"/>
      <c r="Z10597" s="234"/>
      <c r="AA10597" s="235"/>
      <c r="AB10597" s="234"/>
    </row>
    <row r="10598" ht="14.5" customHeight="1" spans="11:28" x14ac:dyDescent="0.25">
      <c r="K10598" s="128"/>
      <c r="X10598" s="234"/>
      <c r="Y10598" s="234"/>
      <c r="Z10598" s="234"/>
      <c r="AA10598" s="235"/>
      <c r="AB10598" s="234"/>
    </row>
    <row r="10599" ht="14.5" customHeight="1" spans="11:28" x14ac:dyDescent="0.25">
      <c r="K10599" s="128"/>
      <c r="X10599" s="234"/>
      <c r="Y10599" s="234"/>
      <c r="Z10599" s="234"/>
      <c r="AA10599" s="235"/>
      <c r="AB10599" s="234"/>
    </row>
    <row r="10600" ht="14.5" customHeight="1" spans="11:28" x14ac:dyDescent="0.25">
      <c r="K10600" s="128"/>
      <c r="X10600" s="234"/>
      <c r="Y10600" s="234"/>
      <c r="Z10600" s="234"/>
      <c r="AA10600" s="235"/>
      <c r="AB10600" s="234"/>
    </row>
    <row r="10601" ht="14.5" customHeight="1" spans="11:28" x14ac:dyDescent="0.25">
      <c r="K10601" s="128"/>
      <c r="X10601" s="234"/>
      <c r="Y10601" s="234"/>
      <c r="Z10601" s="234"/>
      <c r="AA10601" s="235"/>
      <c r="AB10601" s="234"/>
    </row>
    <row r="10602" ht="14.5" customHeight="1" spans="11:28" x14ac:dyDescent="0.25">
      <c r="K10602" s="128"/>
      <c r="X10602" s="234"/>
      <c r="Y10602" s="234"/>
      <c r="Z10602" s="234"/>
      <c r="AA10602" s="235"/>
      <c r="AB10602" s="234"/>
    </row>
    <row r="10603" ht="14.5" customHeight="1" spans="11:28" x14ac:dyDescent="0.25">
      <c r="K10603" s="128"/>
      <c r="X10603" s="234"/>
      <c r="Y10603" s="234"/>
      <c r="Z10603" s="234"/>
      <c r="AA10603" s="235"/>
      <c r="AB10603" s="234"/>
    </row>
    <row r="10604" ht="14.5" customHeight="1" spans="11:28" x14ac:dyDescent="0.25">
      <c r="K10604" s="128"/>
      <c r="X10604" s="234"/>
      <c r="Y10604" s="234"/>
      <c r="Z10604" s="234"/>
      <c r="AA10604" s="235"/>
      <c r="AB10604" s="234"/>
    </row>
    <row r="10605" ht="14.5" customHeight="1" spans="11:28" x14ac:dyDescent="0.25">
      <c r="K10605" s="128"/>
      <c r="X10605" s="234"/>
      <c r="Y10605" s="234"/>
      <c r="Z10605" s="234"/>
      <c r="AA10605" s="235"/>
      <c r="AB10605" s="234"/>
    </row>
    <row r="10606" ht="14.5" customHeight="1" spans="11:28" x14ac:dyDescent="0.25">
      <c r="K10606" s="128"/>
      <c r="X10606" s="234"/>
      <c r="Y10606" s="234"/>
      <c r="Z10606" s="234"/>
      <c r="AA10606" s="235"/>
      <c r="AB10606" s="234"/>
    </row>
    <row r="10607" ht="14.5" customHeight="1" spans="11:28" x14ac:dyDescent="0.25">
      <c r="K10607" s="128"/>
      <c r="X10607" s="234"/>
      <c r="Y10607" s="234"/>
      <c r="Z10607" s="234"/>
      <c r="AA10607" s="235"/>
      <c r="AB10607" s="234"/>
    </row>
    <row r="10608" ht="14.5" customHeight="1" spans="11:28" x14ac:dyDescent="0.25">
      <c r="K10608" s="128"/>
      <c r="X10608" s="234"/>
      <c r="Y10608" s="234"/>
      <c r="Z10608" s="234"/>
      <c r="AA10608" s="235"/>
      <c r="AB10608" s="234"/>
    </row>
    <row r="10609" ht="14.5" customHeight="1" spans="11:28" x14ac:dyDescent="0.25">
      <c r="K10609" s="128"/>
      <c r="X10609" s="234"/>
      <c r="Y10609" s="234"/>
      <c r="Z10609" s="234"/>
      <c r="AA10609" s="235"/>
      <c r="AB10609" s="234"/>
    </row>
    <row r="10610" ht="14.5" customHeight="1" spans="11:28" x14ac:dyDescent="0.25">
      <c r="K10610" s="128"/>
      <c r="X10610" s="234"/>
      <c r="Y10610" s="234"/>
      <c r="Z10610" s="234"/>
      <c r="AA10610" s="235"/>
      <c r="AB10610" s="234"/>
    </row>
    <row r="10611" ht="14.5" customHeight="1" spans="11:28" x14ac:dyDescent="0.25">
      <c r="K10611" s="128"/>
      <c r="X10611" s="234"/>
      <c r="Y10611" s="234"/>
      <c r="Z10611" s="234"/>
      <c r="AA10611" s="235"/>
      <c r="AB10611" s="234"/>
    </row>
    <row r="10612" ht="14.5" customHeight="1" spans="11:28" x14ac:dyDescent="0.25">
      <c r="K10612" s="128"/>
      <c r="X10612" s="234"/>
      <c r="Y10612" s="234"/>
      <c r="Z10612" s="234"/>
      <c r="AA10612" s="235"/>
      <c r="AB10612" s="234"/>
    </row>
    <row r="10613" ht="14.5" customHeight="1" spans="11:28" x14ac:dyDescent="0.25">
      <c r="K10613" s="128"/>
      <c r="X10613" s="234"/>
      <c r="Y10613" s="234"/>
      <c r="Z10613" s="234"/>
      <c r="AA10613" s="235"/>
      <c r="AB10613" s="234"/>
    </row>
    <row r="10614" ht="14.5" customHeight="1" spans="11:28" x14ac:dyDescent="0.25">
      <c r="K10614" s="128"/>
      <c r="X10614" s="234"/>
      <c r="Y10614" s="234"/>
      <c r="Z10614" s="234"/>
      <c r="AA10614" s="235"/>
      <c r="AB10614" s="234"/>
    </row>
    <row r="10615" ht="14.5" customHeight="1" spans="11:28" x14ac:dyDescent="0.25">
      <c r="K10615" s="128"/>
      <c r="X10615" s="234"/>
      <c r="Y10615" s="234"/>
      <c r="Z10615" s="234"/>
      <c r="AA10615" s="235"/>
      <c r="AB10615" s="234"/>
    </row>
    <row r="10616" ht="14.5" customHeight="1" spans="11:28" x14ac:dyDescent="0.25">
      <c r="K10616" s="128"/>
      <c r="X10616" s="234"/>
      <c r="Y10616" s="234"/>
      <c r="Z10616" s="234"/>
      <c r="AA10616" s="235"/>
      <c r="AB10616" s="234"/>
    </row>
    <row r="10617" ht="14.5" customHeight="1" spans="11:28" x14ac:dyDescent="0.25">
      <c r="K10617" s="128"/>
      <c r="X10617" s="234"/>
      <c r="Y10617" s="234"/>
      <c r="Z10617" s="234"/>
      <c r="AA10617" s="235"/>
      <c r="AB10617" s="234"/>
    </row>
    <row r="10618" ht="14.5" customHeight="1" spans="11:28" x14ac:dyDescent="0.25">
      <c r="K10618" s="128"/>
      <c r="X10618" s="234"/>
      <c r="Y10618" s="234"/>
      <c r="Z10618" s="234"/>
      <c r="AA10618" s="235"/>
      <c r="AB10618" s="234"/>
    </row>
    <row r="10619" ht="14.5" customHeight="1" spans="11:28" x14ac:dyDescent="0.25">
      <c r="K10619" s="128"/>
      <c r="X10619" s="234"/>
      <c r="Y10619" s="234"/>
      <c r="Z10619" s="234"/>
      <c r="AA10619" s="235"/>
      <c r="AB10619" s="234"/>
    </row>
    <row r="10620" ht="14.5" customHeight="1" spans="11:28" x14ac:dyDescent="0.25">
      <c r="K10620" s="128"/>
      <c r="X10620" s="234"/>
      <c r="Y10620" s="234"/>
      <c r="Z10620" s="234"/>
      <c r="AA10620" s="235"/>
      <c r="AB10620" s="234"/>
    </row>
    <row r="10621" ht="14.5" customHeight="1" spans="11:28" x14ac:dyDescent="0.25">
      <c r="K10621" s="128"/>
      <c r="X10621" s="234"/>
      <c r="Y10621" s="234"/>
      <c r="Z10621" s="234"/>
      <c r="AA10621" s="235"/>
      <c r="AB10621" s="234"/>
    </row>
    <row r="10622" ht="14.5" customHeight="1" spans="11:28" x14ac:dyDescent="0.25">
      <c r="K10622" s="128"/>
      <c r="X10622" s="234"/>
      <c r="Y10622" s="234"/>
      <c r="Z10622" s="234"/>
      <c r="AA10622" s="235"/>
      <c r="AB10622" s="234"/>
    </row>
    <row r="10623" ht="14.5" customHeight="1" spans="11:28" x14ac:dyDescent="0.25">
      <c r="K10623" s="128"/>
      <c r="X10623" s="234"/>
      <c r="Y10623" s="234"/>
      <c r="Z10623" s="234"/>
      <c r="AA10623" s="235"/>
      <c r="AB10623" s="234"/>
    </row>
    <row r="10624" ht="14.5" customHeight="1" spans="11:28" x14ac:dyDescent="0.25">
      <c r="K10624" s="128"/>
      <c r="X10624" s="234"/>
      <c r="Y10624" s="234"/>
      <c r="Z10624" s="234"/>
      <c r="AA10624" s="235"/>
      <c r="AB10624" s="234"/>
    </row>
    <row r="10625" ht="14.5" customHeight="1" spans="11:28" x14ac:dyDescent="0.25">
      <c r="K10625" s="128"/>
      <c r="X10625" s="234"/>
      <c r="Y10625" s="234"/>
      <c r="Z10625" s="234"/>
      <c r="AA10625" s="235"/>
      <c r="AB10625" s="234"/>
    </row>
    <row r="10626" ht="14.5" customHeight="1" spans="11:28" x14ac:dyDescent="0.25">
      <c r="K10626" s="128"/>
      <c r="X10626" s="234"/>
      <c r="Y10626" s="234"/>
      <c r="Z10626" s="234"/>
      <c r="AA10626" s="235"/>
      <c r="AB10626" s="234"/>
    </row>
    <row r="10627" ht="14.5" customHeight="1" spans="11:28" x14ac:dyDescent="0.25">
      <c r="K10627" s="128"/>
      <c r="X10627" s="234"/>
      <c r="Y10627" s="234"/>
      <c r="Z10627" s="234"/>
      <c r="AA10627" s="235"/>
      <c r="AB10627" s="234"/>
    </row>
    <row r="10628" ht="14.5" customHeight="1" spans="11:28" x14ac:dyDescent="0.25">
      <c r="K10628" s="128"/>
      <c r="X10628" s="234"/>
      <c r="Y10628" s="234"/>
      <c r="Z10628" s="234"/>
      <c r="AA10628" s="235"/>
      <c r="AB10628" s="234"/>
    </row>
    <row r="10629" ht="14.5" customHeight="1" spans="11:28" x14ac:dyDescent="0.25">
      <c r="K10629" s="128"/>
      <c r="X10629" s="234"/>
      <c r="Y10629" s="234"/>
      <c r="Z10629" s="234"/>
      <c r="AA10629" s="235"/>
      <c r="AB10629" s="234"/>
    </row>
    <row r="10630" ht="14.5" customHeight="1" spans="11:28" x14ac:dyDescent="0.25">
      <c r="K10630" s="128"/>
      <c r="X10630" s="234"/>
      <c r="Y10630" s="234"/>
      <c r="Z10630" s="234"/>
      <c r="AA10630" s="235"/>
      <c r="AB10630" s="234"/>
    </row>
    <row r="10631" ht="14.5" customHeight="1" spans="11:28" x14ac:dyDescent="0.25">
      <c r="K10631" s="128"/>
      <c r="X10631" s="234"/>
      <c r="Y10631" s="234"/>
      <c r="Z10631" s="234"/>
      <c r="AA10631" s="235"/>
      <c r="AB10631" s="234"/>
    </row>
    <row r="10632" ht="14.5" customHeight="1" spans="11:28" x14ac:dyDescent="0.25">
      <c r="K10632" s="128"/>
      <c r="X10632" s="234"/>
      <c r="Y10632" s="234"/>
      <c r="Z10632" s="234"/>
      <c r="AA10632" s="235"/>
      <c r="AB10632" s="234"/>
    </row>
    <row r="10633" ht="14.5" customHeight="1" spans="11:28" x14ac:dyDescent="0.25">
      <c r="K10633" s="128"/>
      <c r="X10633" s="234"/>
      <c r="Y10633" s="234"/>
      <c r="Z10633" s="234"/>
      <c r="AA10633" s="235"/>
      <c r="AB10633" s="234"/>
    </row>
    <row r="10634" ht="14.5" customHeight="1" spans="11:28" x14ac:dyDescent="0.25">
      <c r="K10634" s="128"/>
      <c r="X10634" s="234"/>
      <c r="Y10634" s="234"/>
      <c r="Z10634" s="234"/>
      <c r="AA10634" s="235"/>
      <c r="AB10634" s="234"/>
    </row>
    <row r="10635" ht="14.5" customHeight="1" spans="11:28" x14ac:dyDescent="0.25">
      <c r="K10635" s="128"/>
      <c r="X10635" s="234"/>
      <c r="Y10635" s="234"/>
      <c r="Z10635" s="234"/>
      <c r="AA10635" s="235"/>
      <c r="AB10635" s="234"/>
    </row>
    <row r="10636" ht="14.5" customHeight="1" spans="11:28" x14ac:dyDescent="0.25">
      <c r="K10636" s="128"/>
      <c r="X10636" s="234"/>
      <c r="Y10636" s="234"/>
      <c r="Z10636" s="234"/>
      <c r="AA10636" s="235"/>
      <c r="AB10636" s="234"/>
    </row>
    <row r="10637" ht="14.5" customHeight="1" spans="11:28" x14ac:dyDescent="0.25">
      <c r="K10637" s="128"/>
      <c r="X10637" s="234"/>
      <c r="Y10637" s="234"/>
      <c r="Z10637" s="234"/>
      <c r="AA10637" s="235"/>
      <c r="AB10637" s="234"/>
    </row>
    <row r="10638" ht="14.5" customHeight="1" spans="11:28" x14ac:dyDescent="0.25">
      <c r="K10638" s="128"/>
      <c r="X10638" s="234"/>
      <c r="Y10638" s="234"/>
      <c r="Z10638" s="234"/>
      <c r="AA10638" s="235"/>
      <c r="AB10638" s="234"/>
    </row>
    <row r="10639" ht="14.5" customHeight="1" spans="11:28" x14ac:dyDescent="0.25">
      <c r="K10639" s="128"/>
      <c r="X10639" s="234"/>
      <c r="Y10639" s="234"/>
      <c r="Z10639" s="234"/>
      <c r="AA10639" s="235"/>
      <c r="AB10639" s="234"/>
    </row>
    <row r="10640" ht="14.5" customHeight="1" spans="11:28" x14ac:dyDescent="0.25">
      <c r="K10640" s="128"/>
      <c r="X10640" s="234"/>
      <c r="Y10640" s="234"/>
      <c r="Z10640" s="234"/>
      <c r="AA10640" s="235"/>
      <c r="AB10640" s="234"/>
    </row>
    <row r="10641" ht="14.5" customHeight="1" spans="11:28" x14ac:dyDescent="0.25">
      <c r="K10641" s="128"/>
      <c r="X10641" s="234"/>
      <c r="Y10641" s="234"/>
      <c r="Z10641" s="234"/>
      <c r="AA10641" s="235"/>
      <c r="AB10641" s="234"/>
    </row>
    <row r="10642" ht="14.5" customHeight="1" spans="11:28" x14ac:dyDescent="0.25">
      <c r="K10642" s="128"/>
      <c r="X10642" s="234"/>
      <c r="Y10642" s="234"/>
      <c r="Z10642" s="234"/>
      <c r="AA10642" s="235"/>
      <c r="AB10642" s="234"/>
    </row>
    <row r="10643" ht="14.5" customHeight="1" spans="11:28" x14ac:dyDescent="0.25">
      <c r="K10643" s="128"/>
      <c r="X10643" s="234"/>
      <c r="Y10643" s="234"/>
      <c r="Z10643" s="234"/>
      <c r="AA10643" s="235"/>
      <c r="AB10643" s="234"/>
    </row>
    <row r="10644" ht="14.5" customHeight="1" spans="11:28" x14ac:dyDescent="0.25">
      <c r="K10644" s="128"/>
      <c r="X10644" s="234"/>
      <c r="Y10644" s="234"/>
      <c r="Z10644" s="234"/>
      <c r="AA10644" s="235"/>
      <c r="AB10644" s="234"/>
    </row>
    <row r="10645" ht="14.5" customHeight="1" spans="11:28" x14ac:dyDescent="0.25">
      <c r="K10645" s="128"/>
      <c r="X10645" s="234"/>
      <c r="Y10645" s="234"/>
      <c r="Z10645" s="234"/>
      <c r="AA10645" s="235"/>
      <c r="AB10645" s="234"/>
    </row>
    <row r="10646" ht="14.5" customHeight="1" spans="11:28" x14ac:dyDescent="0.25">
      <c r="K10646" s="128"/>
      <c r="X10646" s="234"/>
      <c r="Y10646" s="234"/>
      <c r="Z10646" s="234"/>
      <c r="AA10646" s="235"/>
      <c r="AB10646" s="234"/>
    </row>
    <row r="10647" ht="14.5" customHeight="1" spans="11:28" x14ac:dyDescent="0.25">
      <c r="K10647" s="128"/>
      <c r="X10647" s="234"/>
      <c r="Y10647" s="234"/>
      <c r="Z10647" s="234"/>
      <c r="AA10647" s="235"/>
      <c r="AB10647" s="234"/>
    </row>
    <row r="10648" ht="14.5" customHeight="1" spans="11:28" x14ac:dyDescent="0.25">
      <c r="K10648" s="128"/>
      <c r="X10648" s="234"/>
      <c r="Y10648" s="234"/>
      <c r="Z10648" s="234"/>
      <c r="AA10648" s="235"/>
      <c r="AB10648" s="234"/>
    </row>
    <row r="10649" ht="14.5" customHeight="1" spans="11:28" x14ac:dyDescent="0.25">
      <c r="K10649" s="128"/>
      <c r="X10649" s="234"/>
      <c r="Y10649" s="234"/>
      <c r="Z10649" s="234"/>
      <c r="AA10649" s="235"/>
      <c r="AB10649" s="234"/>
    </row>
    <row r="10650" ht="14.5" customHeight="1" spans="11:28" x14ac:dyDescent="0.25">
      <c r="K10650" s="128"/>
      <c r="X10650" s="234"/>
      <c r="Y10650" s="234"/>
      <c r="Z10650" s="234"/>
      <c r="AA10650" s="235"/>
      <c r="AB10650" s="234"/>
    </row>
    <row r="10651" ht="14.5" customHeight="1" spans="11:28" x14ac:dyDescent="0.25">
      <c r="K10651" s="128"/>
      <c r="X10651" s="234"/>
      <c r="Y10651" s="234"/>
      <c r="Z10651" s="234"/>
      <c r="AA10651" s="235"/>
      <c r="AB10651" s="234"/>
    </row>
    <row r="10652" ht="14.5" customHeight="1" spans="11:28" x14ac:dyDescent="0.25">
      <c r="K10652" s="128"/>
      <c r="X10652" s="234"/>
      <c r="Y10652" s="234"/>
      <c r="Z10652" s="234"/>
      <c r="AA10652" s="235"/>
      <c r="AB10652" s="234"/>
    </row>
    <row r="10653" ht="14.5" customHeight="1" spans="11:28" x14ac:dyDescent="0.25">
      <c r="K10653" s="128"/>
      <c r="X10653" s="234"/>
      <c r="Y10653" s="234"/>
      <c r="Z10653" s="234"/>
      <c r="AA10653" s="235"/>
      <c r="AB10653" s="234"/>
    </row>
    <row r="10654" ht="14.5" customHeight="1" spans="11:28" x14ac:dyDescent="0.25">
      <c r="K10654" s="128"/>
      <c r="X10654" s="234"/>
      <c r="Y10654" s="234"/>
      <c r="Z10654" s="234"/>
      <c r="AA10654" s="235"/>
      <c r="AB10654" s="234"/>
    </row>
    <row r="10655" ht="14.5" customHeight="1" spans="11:28" x14ac:dyDescent="0.25">
      <c r="K10655" s="128"/>
      <c r="X10655" s="234"/>
      <c r="Y10655" s="234"/>
      <c r="Z10655" s="234"/>
      <c r="AA10655" s="235"/>
      <c r="AB10655" s="234"/>
    </row>
    <row r="10656" ht="14.5" customHeight="1" spans="11:28" x14ac:dyDescent="0.25">
      <c r="K10656" s="128"/>
      <c r="X10656" s="234"/>
      <c r="Y10656" s="234"/>
      <c r="Z10656" s="234"/>
      <c r="AA10656" s="235"/>
      <c r="AB10656" s="234"/>
    </row>
    <row r="10657" ht="14.5" customHeight="1" spans="11:28" x14ac:dyDescent="0.25">
      <c r="K10657" s="128"/>
      <c r="X10657" s="234"/>
      <c r="Y10657" s="234"/>
      <c r="Z10657" s="234"/>
      <c r="AA10657" s="235"/>
      <c r="AB10657" s="234"/>
    </row>
    <row r="10658" ht="14.5" customHeight="1" spans="11:28" x14ac:dyDescent="0.25">
      <c r="K10658" s="128"/>
      <c r="X10658" s="234"/>
      <c r="Y10658" s="234"/>
      <c r="Z10658" s="234"/>
      <c r="AA10658" s="235"/>
      <c r="AB10658" s="234"/>
    </row>
    <row r="10659" ht="14.5" customHeight="1" spans="11:28" x14ac:dyDescent="0.25">
      <c r="K10659" s="128"/>
      <c r="X10659" s="234"/>
      <c r="Y10659" s="234"/>
      <c r="Z10659" s="234"/>
      <c r="AA10659" s="235"/>
      <c r="AB10659" s="234"/>
    </row>
    <row r="10660" ht="14.5" customHeight="1" spans="11:28" x14ac:dyDescent="0.25">
      <c r="K10660" s="128"/>
      <c r="X10660" s="234"/>
      <c r="Y10660" s="234"/>
      <c r="Z10660" s="234"/>
      <c r="AA10660" s="235"/>
      <c r="AB10660" s="234"/>
    </row>
    <row r="10661" ht="14.5" customHeight="1" spans="11:28" x14ac:dyDescent="0.25">
      <c r="K10661" s="128"/>
      <c r="X10661" s="234"/>
      <c r="Y10661" s="234"/>
      <c r="Z10661" s="234"/>
      <c r="AA10661" s="235"/>
      <c r="AB10661" s="234"/>
    </row>
    <row r="10662" ht="14.5" customHeight="1" spans="11:28" x14ac:dyDescent="0.25">
      <c r="K10662" s="128"/>
      <c r="X10662" s="234"/>
      <c r="Y10662" s="234"/>
      <c r="Z10662" s="234"/>
      <c r="AA10662" s="235"/>
      <c r="AB10662" s="234"/>
    </row>
    <row r="10663" ht="14.5" customHeight="1" spans="11:28" x14ac:dyDescent="0.25">
      <c r="K10663" s="128"/>
      <c r="X10663" s="234"/>
      <c r="Y10663" s="234"/>
      <c r="Z10663" s="234"/>
      <c r="AA10663" s="235"/>
      <c r="AB10663" s="234"/>
    </row>
    <row r="10664" ht="14.5" customHeight="1" spans="11:28" x14ac:dyDescent="0.25">
      <c r="K10664" s="128"/>
      <c r="X10664" s="234"/>
      <c r="Y10664" s="234"/>
      <c r="Z10664" s="234"/>
      <c r="AA10664" s="235"/>
      <c r="AB10664" s="234"/>
    </row>
    <row r="10665" ht="14.5" customHeight="1" spans="11:28" x14ac:dyDescent="0.25">
      <c r="K10665" s="128"/>
      <c r="X10665" s="234"/>
      <c r="Y10665" s="234"/>
      <c r="Z10665" s="234"/>
      <c r="AA10665" s="235"/>
      <c r="AB10665" s="234"/>
    </row>
    <row r="10666" ht="14.5" customHeight="1" spans="11:28" x14ac:dyDescent="0.25">
      <c r="K10666" s="128"/>
      <c r="X10666" s="234"/>
      <c r="Y10666" s="234"/>
      <c r="Z10666" s="234"/>
      <c r="AA10666" s="235"/>
      <c r="AB10666" s="234"/>
    </row>
    <row r="10667" ht="14.5" customHeight="1" spans="11:28" x14ac:dyDescent="0.25">
      <c r="K10667" s="128"/>
      <c r="X10667" s="234"/>
      <c r="Y10667" s="234"/>
      <c r="Z10667" s="234"/>
      <c r="AA10667" s="235"/>
      <c r="AB10667" s="234"/>
    </row>
    <row r="10668" ht="14.5" customHeight="1" spans="11:28" x14ac:dyDescent="0.25">
      <c r="K10668" s="128"/>
      <c r="X10668" s="234"/>
      <c r="Y10668" s="234"/>
      <c r="Z10668" s="234"/>
      <c r="AA10668" s="235"/>
      <c r="AB10668" s="234"/>
    </row>
    <row r="10669" ht="14.5" customHeight="1" spans="11:28" x14ac:dyDescent="0.25">
      <c r="K10669" s="128"/>
      <c r="X10669" s="234"/>
      <c r="Y10669" s="234"/>
      <c r="Z10669" s="234"/>
      <c r="AA10669" s="235"/>
      <c r="AB10669" s="234"/>
    </row>
    <row r="10670" ht="14.5" customHeight="1" spans="11:28" x14ac:dyDescent="0.25">
      <c r="K10670" s="128"/>
      <c r="X10670" s="234"/>
      <c r="Y10670" s="234"/>
      <c r="Z10670" s="234"/>
      <c r="AA10670" s="235"/>
      <c r="AB10670" s="234"/>
    </row>
    <row r="10671" ht="14.5" customHeight="1" spans="11:28" x14ac:dyDescent="0.25">
      <c r="K10671" s="128"/>
      <c r="X10671" s="234"/>
      <c r="Y10671" s="234"/>
      <c r="Z10671" s="234"/>
      <c r="AA10671" s="235"/>
      <c r="AB10671" s="234"/>
    </row>
    <row r="10672" ht="14.5" customHeight="1" spans="11:28" x14ac:dyDescent="0.25">
      <c r="K10672" s="128"/>
      <c r="X10672" s="234"/>
      <c r="Y10672" s="234"/>
      <c r="Z10672" s="234"/>
      <c r="AA10672" s="235"/>
      <c r="AB10672" s="234"/>
    </row>
    <row r="10673" ht="14.5" customHeight="1" spans="11:28" x14ac:dyDescent="0.25">
      <c r="K10673" s="128"/>
      <c r="X10673" s="234"/>
      <c r="Y10673" s="234"/>
      <c r="Z10673" s="234"/>
      <c r="AA10673" s="235"/>
      <c r="AB10673" s="234"/>
    </row>
    <row r="10674" ht="14.5" customHeight="1" spans="11:28" x14ac:dyDescent="0.25">
      <c r="K10674" s="128"/>
      <c r="X10674" s="234"/>
      <c r="Y10674" s="234"/>
      <c r="Z10674" s="234"/>
      <c r="AA10674" s="235"/>
      <c r="AB10674" s="234"/>
    </row>
    <row r="10675" ht="14.5" customHeight="1" spans="11:28" x14ac:dyDescent="0.25">
      <c r="K10675" s="128"/>
      <c r="X10675" s="234"/>
      <c r="Y10675" s="234"/>
      <c r="Z10675" s="234"/>
      <c r="AA10675" s="235"/>
      <c r="AB10675" s="234"/>
    </row>
    <row r="10676" ht="14.5" customHeight="1" spans="11:28" x14ac:dyDescent="0.25">
      <c r="K10676" s="128"/>
      <c r="X10676" s="234"/>
      <c r="Y10676" s="234"/>
      <c r="Z10676" s="234"/>
      <c r="AA10676" s="235"/>
      <c r="AB10676" s="234"/>
    </row>
    <row r="10677" ht="14.5" customHeight="1" spans="11:28" x14ac:dyDescent="0.25">
      <c r="K10677" s="128"/>
      <c r="X10677" s="234"/>
      <c r="Y10677" s="234"/>
      <c r="Z10677" s="234"/>
      <c r="AA10677" s="235"/>
      <c r="AB10677" s="234"/>
    </row>
    <row r="10678" ht="14.5" customHeight="1" spans="11:28" x14ac:dyDescent="0.25">
      <c r="K10678" s="128"/>
      <c r="X10678" s="234"/>
      <c r="Y10678" s="234"/>
      <c r="Z10678" s="234"/>
      <c r="AA10678" s="235"/>
      <c r="AB10678" s="234"/>
    </row>
    <row r="10679" ht="14.5" customHeight="1" spans="11:28" x14ac:dyDescent="0.25">
      <c r="K10679" s="128"/>
      <c r="X10679" s="234"/>
      <c r="Y10679" s="234"/>
      <c r="Z10679" s="234"/>
      <c r="AA10679" s="235"/>
      <c r="AB10679" s="234"/>
    </row>
    <row r="10680" ht="14.5" customHeight="1" spans="11:28" x14ac:dyDescent="0.25">
      <c r="K10680" s="128"/>
      <c r="X10680" s="234"/>
      <c r="Y10680" s="234"/>
      <c r="Z10680" s="234"/>
      <c r="AA10680" s="235"/>
      <c r="AB10680" s="234"/>
    </row>
    <row r="10681" ht="14.5" customHeight="1" spans="11:28" x14ac:dyDescent="0.25">
      <c r="K10681" s="128"/>
      <c r="X10681" s="234"/>
      <c r="Y10681" s="234"/>
      <c r="Z10681" s="234"/>
      <c r="AA10681" s="235"/>
      <c r="AB10681" s="234"/>
    </row>
    <row r="10682" ht="14.5" customHeight="1" spans="11:28" x14ac:dyDescent="0.25">
      <c r="K10682" s="128"/>
      <c r="X10682" s="234"/>
      <c r="Y10682" s="234"/>
      <c r="Z10682" s="234"/>
      <c r="AA10682" s="235"/>
      <c r="AB10682" s="234"/>
    </row>
    <row r="10683" ht="14.5" customHeight="1" spans="11:28" x14ac:dyDescent="0.25">
      <c r="K10683" s="128"/>
      <c r="X10683" s="234"/>
      <c r="Y10683" s="234"/>
      <c r="Z10683" s="234"/>
      <c r="AA10683" s="235"/>
      <c r="AB10683" s="234"/>
    </row>
    <row r="10684" ht="14.5" customHeight="1" spans="11:28" x14ac:dyDescent="0.25">
      <c r="K10684" s="128"/>
      <c r="X10684" s="234"/>
      <c r="Y10684" s="234"/>
      <c r="Z10684" s="234"/>
      <c r="AA10684" s="235"/>
      <c r="AB10684" s="234"/>
    </row>
    <row r="10685" ht="14.5" customHeight="1" spans="11:28" x14ac:dyDescent="0.25">
      <c r="K10685" s="128"/>
      <c r="X10685" s="234"/>
      <c r="Y10685" s="234"/>
      <c r="Z10685" s="234"/>
      <c r="AA10685" s="235"/>
      <c r="AB10685" s="234"/>
    </row>
    <row r="10686" ht="14.5" customHeight="1" spans="11:28" x14ac:dyDescent="0.25">
      <c r="K10686" s="128"/>
      <c r="X10686" s="234"/>
      <c r="Y10686" s="234"/>
      <c r="Z10686" s="234"/>
      <c r="AA10686" s="235"/>
      <c r="AB10686" s="234"/>
    </row>
    <row r="10687" ht="14.5" customHeight="1" spans="11:28" x14ac:dyDescent="0.25">
      <c r="K10687" s="128"/>
      <c r="X10687" s="234"/>
      <c r="Y10687" s="234"/>
      <c r="Z10687" s="234"/>
      <c r="AA10687" s="235"/>
      <c r="AB10687" s="234"/>
    </row>
    <row r="10688" ht="14.5" customHeight="1" spans="11:28" x14ac:dyDescent="0.25">
      <c r="K10688" s="128"/>
      <c r="X10688" s="234"/>
      <c r="Y10688" s="234"/>
      <c r="Z10688" s="234"/>
      <c r="AA10688" s="235"/>
      <c r="AB10688" s="234"/>
    </row>
    <row r="10689" ht="14.5" customHeight="1" spans="11:28" x14ac:dyDescent="0.25">
      <c r="K10689" s="128"/>
      <c r="X10689" s="234"/>
      <c r="Y10689" s="234"/>
      <c r="Z10689" s="234"/>
      <c r="AA10689" s="235"/>
      <c r="AB10689" s="234"/>
    </row>
    <row r="10690" ht="14.5" customHeight="1" spans="11:28" x14ac:dyDescent="0.25">
      <c r="K10690" s="128"/>
      <c r="X10690" s="234"/>
      <c r="Y10690" s="234"/>
      <c r="Z10690" s="234"/>
      <c r="AA10690" s="235"/>
      <c r="AB10690" s="234"/>
    </row>
    <row r="10691" ht="14.5" customHeight="1" spans="11:28" x14ac:dyDescent="0.25">
      <c r="K10691" s="128"/>
      <c r="X10691" s="234"/>
      <c r="Y10691" s="234"/>
      <c r="Z10691" s="234"/>
      <c r="AA10691" s="235"/>
      <c r="AB10691" s="234"/>
    </row>
    <row r="10692" ht="14.5" customHeight="1" spans="11:28" x14ac:dyDescent="0.25">
      <c r="K10692" s="128"/>
      <c r="X10692" s="234"/>
      <c r="Y10692" s="234"/>
      <c r="Z10692" s="234"/>
      <c r="AA10692" s="235"/>
      <c r="AB10692" s="234"/>
    </row>
    <row r="10693" ht="14.5" customHeight="1" spans="11:28" x14ac:dyDescent="0.25">
      <c r="K10693" s="128"/>
      <c r="X10693" s="234"/>
      <c r="Y10693" s="234"/>
      <c r="Z10693" s="234"/>
      <c r="AA10693" s="235"/>
      <c r="AB10693" s="234"/>
    </row>
    <row r="10694" ht="14.5" customHeight="1" spans="11:28" x14ac:dyDescent="0.25">
      <c r="K10694" s="128"/>
      <c r="X10694" s="234"/>
      <c r="Y10694" s="234"/>
      <c r="Z10694" s="234"/>
      <c r="AA10694" s="235"/>
      <c r="AB10694" s="234"/>
    </row>
    <row r="10695" ht="14.5" customHeight="1" spans="11:28" x14ac:dyDescent="0.25">
      <c r="K10695" s="128"/>
      <c r="X10695" s="234"/>
      <c r="Y10695" s="234"/>
      <c r="Z10695" s="234"/>
      <c r="AA10695" s="235"/>
      <c r="AB10695" s="234"/>
    </row>
    <row r="10696" ht="14.5" customHeight="1" spans="11:28" x14ac:dyDescent="0.25">
      <c r="K10696" s="128"/>
      <c r="X10696" s="234"/>
      <c r="Y10696" s="234"/>
      <c r="Z10696" s="234"/>
      <c r="AA10696" s="235"/>
      <c r="AB10696" s="234"/>
    </row>
    <row r="10697" ht="14.5" customHeight="1" spans="11:28" x14ac:dyDescent="0.25">
      <c r="K10697" s="128"/>
      <c r="X10697" s="234"/>
      <c r="Y10697" s="234"/>
      <c r="Z10697" s="234"/>
      <c r="AA10697" s="235"/>
      <c r="AB10697" s="234"/>
    </row>
    <row r="10698" ht="14.5" customHeight="1" spans="11:28" x14ac:dyDescent="0.25">
      <c r="K10698" s="128"/>
      <c r="X10698" s="234"/>
      <c r="Y10698" s="234"/>
      <c r="Z10698" s="234"/>
      <c r="AA10698" s="235"/>
      <c r="AB10698" s="234"/>
    </row>
    <row r="10699" ht="14.5" customHeight="1" spans="11:28" x14ac:dyDescent="0.25">
      <c r="K10699" s="128"/>
      <c r="X10699" s="234"/>
      <c r="Y10699" s="234"/>
      <c r="Z10699" s="234"/>
      <c r="AA10699" s="235"/>
      <c r="AB10699" s="234"/>
    </row>
    <row r="10700" ht="14.5" customHeight="1" spans="11:28" x14ac:dyDescent="0.25">
      <c r="K10700" s="128"/>
      <c r="X10700" s="234"/>
      <c r="Y10700" s="234"/>
      <c r="Z10700" s="234"/>
      <c r="AA10700" s="235"/>
      <c r="AB10700" s="234"/>
    </row>
    <row r="10701" ht="14.5" customHeight="1" spans="11:28" x14ac:dyDescent="0.25">
      <c r="K10701" s="128"/>
      <c r="X10701" s="234"/>
      <c r="Y10701" s="234"/>
      <c r="Z10701" s="234"/>
      <c r="AA10701" s="235"/>
      <c r="AB10701" s="234"/>
    </row>
    <row r="10702" ht="14.5" customHeight="1" spans="11:28" x14ac:dyDescent="0.25">
      <c r="K10702" s="128"/>
      <c r="X10702" s="234"/>
      <c r="Y10702" s="234"/>
      <c r="Z10702" s="234"/>
      <c r="AA10702" s="235"/>
      <c r="AB10702" s="234"/>
    </row>
    <row r="10703" ht="14.5" customHeight="1" spans="11:28" x14ac:dyDescent="0.25">
      <c r="K10703" s="128"/>
      <c r="X10703" s="234"/>
      <c r="Y10703" s="234"/>
      <c r="Z10703" s="234"/>
      <c r="AA10703" s="235"/>
      <c r="AB10703" s="234"/>
    </row>
    <row r="10704" ht="14.5" customHeight="1" spans="11:28" x14ac:dyDescent="0.25">
      <c r="K10704" s="128"/>
      <c r="X10704" s="234"/>
      <c r="Y10704" s="234"/>
      <c r="Z10704" s="234"/>
      <c r="AA10704" s="235"/>
      <c r="AB10704" s="234"/>
    </row>
    <row r="10705" ht="14.5" customHeight="1" spans="11:28" x14ac:dyDescent="0.25">
      <c r="K10705" s="128"/>
      <c r="X10705" s="234"/>
      <c r="Y10705" s="234"/>
      <c r="Z10705" s="234"/>
      <c r="AA10705" s="235"/>
      <c r="AB10705" s="234"/>
    </row>
    <row r="10706" ht="14.5" customHeight="1" spans="11:28" x14ac:dyDescent="0.25">
      <c r="K10706" s="128"/>
      <c r="X10706" s="234"/>
      <c r="Y10706" s="234"/>
      <c r="Z10706" s="234"/>
      <c r="AA10706" s="235"/>
      <c r="AB10706" s="234"/>
    </row>
    <row r="10707" ht="14.5" customHeight="1" spans="11:28" x14ac:dyDescent="0.25">
      <c r="K10707" s="128"/>
      <c r="X10707" s="234"/>
      <c r="Y10707" s="234"/>
      <c r="Z10707" s="234"/>
      <c r="AA10707" s="235"/>
      <c r="AB10707" s="234"/>
    </row>
    <row r="10708" ht="14.5" customHeight="1" spans="11:28" x14ac:dyDescent="0.25">
      <c r="K10708" s="128"/>
      <c r="X10708" s="234"/>
      <c r="Y10708" s="234"/>
      <c r="Z10708" s="234"/>
      <c r="AA10708" s="235"/>
      <c r="AB10708" s="234"/>
    </row>
    <row r="10709" ht="14.5" customHeight="1" spans="11:28" x14ac:dyDescent="0.25">
      <c r="K10709" s="128"/>
      <c r="X10709" s="234"/>
      <c r="Y10709" s="234"/>
      <c r="Z10709" s="234"/>
      <c r="AA10709" s="235"/>
      <c r="AB10709" s="234"/>
    </row>
    <row r="10710" ht="14.5" customHeight="1" spans="11:28" x14ac:dyDescent="0.25">
      <c r="K10710" s="128"/>
      <c r="X10710" s="234"/>
      <c r="Y10710" s="234"/>
      <c r="Z10710" s="234"/>
      <c r="AA10710" s="235"/>
      <c r="AB10710" s="234"/>
    </row>
    <row r="10711" ht="14.5" customHeight="1" spans="11:28" x14ac:dyDescent="0.25">
      <c r="K10711" s="128"/>
      <c r="X10711" s="234"/>
      <c r="Y10711" s="234"/>
      <c r="Z10711" s="234"/>
      <c r="AA10711" s="235"/>
      <c r="AB10711" s="234"/>
    </row>
    <row r="10712" ht="14.5" customHeight="1" spans="11:28" x14ac:dyDescent="0.25">
      <c r="K10712" s="128"/>
      <c r="X10712" s="234"/>
      <c r="Y10712" s="234"/>
      <c r="Z10712" s="234"/>
      <c r="AA10712" s="235"/>
      <c r="AB10712" s="234"/>
    </row>
    <row r="10713" ht="14.5" customHeight="1" spans="11:28" x14ac:dyDescent="0.25">
      <c r="K10713" s="128"/>
      <c r="X10713" s="234"/>
      <c r="Y10713" s="234"/>
      <c r="Z10713" s="234"/>
      <c r="AA10713" s="235"/>
      <c r="AB10713" s="234"/>
    </row>
    <row r="10714" ht="14.5" customHeight="1" spans="11:28" x14ac:dyDescent="0.25">
      <c r="K10714" s="128"/>
      <c r="X10714" s="234"/>
      <c r="Y10714" s="234"/>
      <c r="Z10714" s="234"/>
      <c r="AA10714" s="235"/>
      <c r="AB10714" s="234"/>
    </row>
    <row r="10715" ht="14.5" customHeight="1" spans="11:28" x14ac:dyDescent="0.25">
      <c r="K10715" s="128"/>
      <c r="X10715" s="234"/>
      <c r="Y10715" s="234"/>
      <c r="Z10715" s="234"/>
      <c r="AA10715" s="235"/>
      <c r="AB10715" s="234"/>
    </row>
    <row r="10716" ht="14.5" customHeight="1" spans="11:28" x14ac:dyDescent="0.25">
      <c r="K10716" s="128"/>
      <c r="X10716" s="234"/>
      <c r="Y10716" s="234"/>
      <c r="Z10716" s="234"/>
      <c r="AA10716" s="235"/>
      <c r="AB10716" s="234"/>
    </row>
    <row r="10717" ht="14.5" customHeight="1" spans="11:28" x14ac:dyDescent="0.25">
      <c r="K10717" s="128"/>
      <c r="X10717" s="234"/>
      <c r="Y10717" s="234"/>
      <c r="Z10717" s="234"/>
      <c r="AA10717" s="235"/>
      <c r="AB10717" s="234"/>
    </row>
    <row r="10718" ht="14.5" customHeight="1" spans="11:28" x14ac:dyDescent="0.25">
      <c r="K10718" s="128"/>
      <c r="X10718" s="234"/>
      <c r="Y10718" s="234"/>
      <c r="Z10718" s="234"/>
      <c r="AA10718" s="235"/>
      <c r="AB10718" s="234"/>
    </row>
    <row r="10719" ht="14.5" customHeight="1" spans="11:28" x14ac:dyDescent="0.25">
      <c r="K10719" s="128"/>
      <c r="X10719" s="234"/>
      <c r="Y10719" s="234"/>
      <c r="Z10719" s="234"/>
      <c r="AA10719" s="235"/>
      <c r="AB10719" s="234"/>
    </row>
    <row r="10720" ht="14.5" customHeight="1" spans="11:28" x14ac:dyDescent="0.25">
      <c r="K10720" s="128"/>
      <c r="X10720" s="234"/>
      <c r="Y10720" s="234"/>
      <c r="Z10720" s="234"/>
      <c r="AA10720" s="235"/>
      <c r="AB10720" s="234"/>
    </row>
    <row r="10721" ht="14.5" customHeight="1" spans="11:28" x14ac:dyDescent="0.25">
      <c r="K10721" s="128"/>
      <c r="X10721" s="234"/>
      <c r="Y10721" s="234"/>
      <c r="Z10721" s="234"/>
      <c r="AA10721" s="235"/>
      <c r="AB10721" s="234"/>
    </row>
    <row r="10722" ht="14.5" customHeight="1" spans="11:28" x14ac:dyDescent="0.25">
      <c r="K10722" s="128"/>
      <c r="X10722" s="234"/>
      <c r="Y10722" s="234"/>
      <c r="Z10722" s="234"/>
      <c r="AA10722" s="235"/>
      <c r="AB10722" s="234"/>
    </row>
    <row r="10723" ht="14.5" customHeight="1" spans="11:28" x14ac:dyDescent="0.25">
      <c r="K10723" s="128"/>
      <c r="X10723" s="234"/>
      <c r="Y10723" s="234"/>
      <c r="Z10723" s="234"/>
      <c r="AA10723" s="235"/>
      <c r="AB10723" s="234"/>
    </row>
    <row r="10724" ht="14.5" customHeight="1" spans="11:28" x14ac:dyDescent="0.25">
      <c r="K10724" s="128"/>
      <c r="X10724" s="234"/>
      <c r="Y10724" s="234"/>
      <c r="Z10724" s="234"/>
      <c r="AA10724" s="235"/>
      <c r="AB10724" s="234"/>
    </row>
    <row r="10725" ht="14.5" customHeight="1" spans="11:28" x14ac:dyDescent="0.25">
      <c r="K10725" s="128"/>
      <c r="X10725" s="234"/>
      <c r="Y10725" s="234"/>
      <c r="Z10725" s="234"/>
      <c r="AA10725" s="235"/>
      <c r="AB10725" s="234"/>
    </row>
    <row r="10726" ht="14.5" customHeight="1" spans="11:28" x14ac:dyDescent="0.25">
      <c r="K10726" s="128"/>
      <c r="X10726" s="234"/>
      <c r="Y10726" s="234"/>
      <c r="Z10726" s="234"/>
      <c r="AA10726" s="235"/>
      <c r="AB10726" s="234"/>
    </row>
    <row r="10727" ht="14.5" customHeight="1" spans="11:28" x14ac:dyDescent="0.25">
      <c r="K10727" s="128"/>
      <c r="X10727" s="234"/>
      <c r="Y10727" s="234"/>
      <c r="Z10727" s="234"/>
      <c r="AA10727" s="235"/>
      <c r="AB10727" s="234"/>
    </row>
    <row r="10728" ht="14.5" customHeight="1" spans="11:28" x14ac:dyDescent="0.25">
      <c r="K10728" s="128"/>
      <c r="X10728" s="234"/>
      <c r="Y10728" s="234"/>
      <c r="Z10728" s="234"/>
      <c r="AA10728" s="235"/>
      <c r="AB10728" s="234"/>
    </row>
    <row r="10729" ht="14.5" customHeight="1" spans="11:28" x14ac:dyDescent="0.25">
      <c r="K10729" s="128"/>
      <c r="X10729" s="234"/>
      <c r="Y10729" s="234"/>
      <c r="Z10729" s="234"/>
      <c r="AA10729" s="235"/>
      <c r="AB10729" s="234"/>
    </row>
    <row r="10730" ht="14.5" customHeight="1" spans="11:28" x14ac:dyDescent="0.25">
      <c r="K10730" s="128"/>
      <c r="X10730" s="234"/>
      <c r="Y10730" s="234"/>
      <c r="Z10730" s="234"/>
      <c r="AA10730" s="235"/>
      <c r="AB10730" s="234"/>
    </row>
    <row r="10731" ht="14.5" customHeight="1" spans="11:28" x14ac:dyDescent="0.25">
      <c r="K10731" s="128"/>
      <c r="X10731" s="234"/>
      <c r="Y10731" s="234"/>
      <c r="Z10731" s="234"/>
      <c r="AA10731" s="235"/>
      <c r="AB10731" s="234"/>
    </row>
    <row r="10732" ht="14.5" customHeight="1" spans="11:28" x14ac:dyDescent="0.25">
      <c r="K10732" s="128"/>
      <c r="X10732" s="234"/>
      <c r="Y10732" s="234"/>
      <c r="Z10732" s="234"/>
      <c r="AA10732" s="235"/>
      <c r="AB10732" s="234"/>
    </row>
    <row r="10733" ht="14.5" customHeight="1" spans="11:28" x14ac:dyDescent="0.25">
      <c r="K10733" s="128"/>
      <c r="X10733" s="234"/>
      <c r="Y10733" s="234"/>
      <c r="Z10733" s="234"/>
      <c r="AA10733" s="235"/>
      <c r="AB10733" s="234"/>
    </row>
    <row r="10734" ht="14.5" customHeight="1" spans="11:28" x14ac:dyDescent="0.25">
      <c r="K10734" s="128"/>
      <c r="X10734" s="234"/>
      <c r="Y10734" s="234"/>
      <c r="Z10734" s="234"/>
      <c r="AA10734" s="235"/>
      <c r="AB10734" s="234"/>
    </row>
    <row r="10735" ht="14.5" customHeight="1" spans="11:28" x14ac:dyDescent="0.25">
      <c r="K10735" s="128"/>
      <c r="X10735" s="234"/>
      <c r="Y10735" s="234"/>
      <c r="Z10735" s="234"/>
      <c r="AA10735" s="235"/>
      <c r="AB10735" s="234"/>
    </row>
    <row r="10736" ht="14.5" customHeight="1" spans="11:28" x14ac:dyDescent="0.25">
      <c r="K10736" s="128"/>
      <c r="X10736" s="234"/>
      <c r="Y10736" s="234"/>
      <c r="Z10736" s="234"/>
      <c r="AA10736" s="235"/>
      <c r="AB10736" s="234"/>
    </row>
    <row r="10737" ht="14.5" customHeight="1" spans="11:28" x14ac:dyDescent="0.25">
      <c r="K10737" s="128"/>
      <c r="X10737" s="234"/>
      <c r="Y10737" s="234"/>
      <c r="Z10737" s="234"/>
      <c r="AA10737" s="235"/>
      <c r="AB10737" s="234"/>
    </row>
    <row r="10738" ht="14.5" customHeight="1" spans="11:28" x14ac:dyDescent="0.25">
      <c r="K10738" s="128"/>
      <c r="X10738" s="234"/>
      <c r="Y10738" s="234"/>
      <c r="Z10738" s="234"/>
      <c r="AA10738" s="235"/>
      <c r="AB10738" s="234"/>
    </row>
    <row r="10739" ht="14.5" customHeight="1" spans="11:28" x14ac:dyDescent="0.25">
      <c r="K10739" s="128"/>
      <c r="X10739" s="234"/>
      <c r="Y10739" s="234"/>
      <c r="Z10739" s="234"/>
      <c r="AA10739" s="235"/>
      <c r="AB10739" s="234"/>
    </row>
    <row r="10740" ht="14.5" customHeight="1" spans="11:28" x14ac:dyDescent="0.25">
      <c r="K10740" s="128"/>
      <c r="X10740" s="234"/>
      <c r="Y10740" s="234"/>
      <c r="Z10740" s="234"/>
      <c r="AA10740" s="235"/>
      <c r="AB10740" s="234"/>
    </row>
    <row r="10741" ht="14.5" customHeight="1" spans="11:28" x14ac:dyDescent="0.25">
      <c r="K10741" s="128"/>
      <c r="X10741" s="234"/>
      <c r="Y10741" s="234"/>
      <c r="Z10741" s="234"/>
      <c r="AA10741" s="235"/>
      <c r="AB10741" s="234"/>
    </row>
    <row r="10742" ht="14.5" customHeight="1" spans="11:28" x14ac:dyDescent="0.25">
      <c r="K10742" s="128"/>
      <c r="X10742" s="234"/>
      <c r="Y10742" s="234"/>
      <c r="Z10742" s="234"/>
      <c r="AA10742" s="235"/>
      <c r="AB10742" s="234"/>
    </row>
    <row r="10743" ht="14.5" customHeight="1" spans="11:28" x14ac:dyDescent="0.25">
      <c r="K10743" s="128"/>
      <c r="X10743" s="234"/>
      <c r="Y10743" s="234"/>
      <c r="Z10743" s="234"/>
      <c r="AA10743" s="235"/>
      <c r="AB10743" s="234"/>
    </row>
    <row r="10744" ht="14.5" customHeight="1" spans="11:28" x14ac:dyDescent="0.25">
      <c r="K10744" s="128"/>
      <c r="X10744" s="234"/>
      <c r="Y10744" s="234"/>
      <c r="Z10744" s="234"/>
      <c r="AA10744" s="235"/>
      <c r="AB10744" s="234"/>
    </row>
    <row r="10745" ht="14.5" customHeight="1" spans="11:28" x14ac:dyDescent="0.25">
      <c r="K10745" s="128"/>
      <c r="X10745" s="234"/>
      <c r="Y10745" s="234"/>
      <c r="Z10745" s="234"/>
      <c r="AA10745" s="235"/>
      <c r="AB10745" s="234"/>
    </row>
    <row r="10746" ht="14.5" customHeight="1" spans="11:28" x14ac:dyDescent="0.25">
      <c r="K10746" s="128"/>
      <c r="X10746" s="234"/>
      <c r="Y10746" s="234"/>
      <c r="Z10746" s="234"/>
      <c r="AA10746" s="235"/>
      <c r="AB10746" s="234"/>
    </row>
    <row r="10747" ht="14.5" customHeight="1" spans="11:28" x14ac:dyDescent="0.25">
      <c r="K10747" s="128"/>
      <c r="X10747" s="234"/>
      <c r="Y10747" s="234"/>
      <c r="Z10747" s="234"/>
      <c r="AA10747" s="235"/>
      <c r="AB10747" s="234"/>
    </row>
    <row r="10748" ht="14.5" customHeight="1" spans="11:28" x14ac:dyDescent="0.25">
      <c r="K10748" s="128"/>
      <c r="X10748" s="234"/>
      <c r="Y10748" s="234"/>
      <c r="Z10748" s="234"/>
      <c r="AA10748" s="235"/>
      <c r="AB10748" s="234"/>
    </row>
    <row r="10749" ht="14.5" customHeight="1" spans="11:28" x14ac:dyDescent="0.25">
      <c r="K10749" s="128"/>
      <c r="X10749" s="234"/>
      <c r="Y10749" s="234"/>
      <c r="Z10749" s="234"/>
      <c r="AA10749" s="235"/>
      <c r="AB10749" s="234"/>
    </row>
    <row r="10750" ht="14.5" customHeight="1" spans="11:28" x14ac:dyDescent="0.25">
      <c r="K10750" s="128"/>
      <c r="X10750" s="234"/>
      <c r="Y10750" s="234"/>
      <c r="Z10750" s="234"/>
      <c r="AA10750" s="235"/>
      <c r="AB10750" s="234"/>
    </row>
    <row r="10751" ht="14.5" customHeight="1" spans="11:28" x14ac:dyDescent="0.25">
      <c r="K10751" s="128"/>
      <c r="X10751" s="234"/>
      <c r="Y10751" s="234"/>
      <c r="Z10751" s="234"/>
      <c r="AA10751" s="235"/>
      <c r="AB10751" s="234"/>
    </row>
    <row r="10752" ht="14.5" customHeight="1" spans="11:28" x14ac:dyDescent="0.25">
      <c r="K10752" s="128"/>
      <c r="X10752" s="234"/>
      <c r="Y10752" s="234"/>
      <c r="Z10752" s="234"/>
      <c r="AA10752" s="235"/>
      <c r="AB10752" s="234"/>
    </row>
    <row r="10753" ht="14.5" customHeight="1" spans="11:28" x14ac:dyDescent="0.25">
      <c r="K10753" s="128"/>
      <c r="X10753" s="234"/>
      <c r="Y10753" s="234"/>
      <c r="Z10753" s="234"/>
      <c r="AA10753" s="235"/>
      <c r="AB10753" s="234"/>
    </row>
    <row r="10754" ht="14.5" customHeight="1" spans="11:28" x14ac:dyDescent="0.25">
      <c r="K10754" s="128"/>
      <c r="X10754" s="234"/>
      <c r="Y10754" s="234"/>
      <c r="Z10754" s="234"/>
      <c r="AA10754" s="235"/>
      <c r="AB10754" s="234"/>
    </row>
    <row r="10755" ht="14.5" customHeight="1" spans="11:28" x14ac:dyDescent="0.25">
      <c r="K10755" s="128"/>
      <c r="X10755" s="234"/>
      <c r="Y10755" s="234"/>
      <c r="Z10755" s="234"/>
      <c r="AA10755" s="235"/>
      <c r="AB10755" s="234"/>
    </row>
    <row r="10756" ht="14.5" customHeight="1" spans="11:28" x14ac:dyDescent="0.25">
      <c r="K10756" s="128"/>
      <c r="X10756" s="234"/>
      <c r="Y10756" s="234"/>
      <c r="Z10756" s="234"/>
      <c r="AA10756" s="235"/>
      <c r="AB10756" s="234"/>
    </row>
    <row r="10757" ht="14.5" customHeight="1" spans="11:28" x14ac:dyDescent="0.25">
      <c r="K10757" s="128"/>
      <c r="X10757" s="234"/>
      <c r="Y10757" s="234"/>
      <c r="Z10757" s="234"/>
      <c r="AA10757" s="235"/>
      <c r="AB10757" s="234"/>
    </row>
    <row r="10758" ht="14.5" customHeight="1" spans="11:28" x14ac:dyDescent="0.25">
      <c r="K10758" s="128"/>
      <c r="X10758" s="234"/>
      <c r="Y10758" s="234"/>
      <c r="Z10758" s="234"/>
      <c r="AA10758" s="235"/>
      <c r="AB10758" s="234"/>
    </row>
    <row r="10759" ht="14.5" customHeight="1" spans="11:28" x14ac:dyDescent="0.25">
      <c r="K10759" s="128"/>
      <c r="X10759" s="234"/>
      <c r="Y10759" s="234"/>
      <c r="Z10759" s="234"/>
      <c r="AA10759" s="235"/>
      <c r="AB10759" s="234"/>
    </row>
    <row r="10760" ht="14.5" customHeight="1" spans="11:28" x14ac:dyDescent="0.25">
      <c r="K10760" s="128"/>
      <c r="X10760" s="234"/>
      <c r="Y10760" s="234"/>
      <c r="Z10760" s="234"/>
      <c r="AA10760" s="235"/>
      <c r="AB10760" s="234"/>
    </row>
    <row r="10761" ht="14.5" customHeight="1" spans="11:28" x14ac:dyDescent="0.25">
      <c r="K10761" s="128"/>
      <c r="X10761" s="234"/>
      <c r="Y10761" s="234"/>
      <c r="Z10761" s="234"/>
      <c r="AA10761" s="235"/>
      <c r="AB10761" s="234"/>
    </row>
    <row r="10762" ht="14.5" customHeight="1" spans="11:28" x14ac:dyDescent="0.25">
      <c r="K10762" s="128"/>
      <c r="X10762" s="234"/>
      <c r="Y10762" s="234"/>
      <c r="Z10762" s="234"/>
      <c r="AA10762" s="235"/>
      <c r="AB10762" s="234"/>
    </row>
    <row r="10763" ht="14.5" customHeight="1" spans="11:28" x14ac:dyDescent="0.25">
      <c r="K10763" s="128"/>
      <c r="X10763" s="234"/>
      <c r="Y10763" s="234"/>
      <c r="Z10763" s="234"/>
      <c r="AA10763" s="235"/>
      <c r="AB10763" s="234"/>
    </row>
    <row r="10764" ht="14.5" customHeight="1" spans="11:28" x14ac:dyDescent="0.25">
      <c r="K10764" s="128"/>
      <c r="X10764" s="234"/>
      <c r="Y10764" s="234"/>
      <c r="Z10764" s="234"/>
      <c r="AA10764" s="235"/>
      <c r="AB10764" s="234"/>
    </row>
    <row r="10765" ht="14.5" customHeight="1" spans="11:28" x14ac:dyDescent="0.25">
      <c r="K10765" s="128"/>
      <c r="X10765" s="234"/>
      <c r="Y10765" s="234"/>
      <c r="Z10765" s="234"/>
      <c r="AA10765" s="235"/>
      <c r="AB10765" s="234"/>
    </row>
    <row r="10766" ht="14.5" customHeight="1" spans="11:28" x14ac:dyDescent="0.25">
      <c r="K10766" s="128"/>
      <c r="X10766" s="234"/>
      <c r="Y10766" s="234"/>
      <c r="Z10766" s="234"/>
      <c r="AA10766" s="235"/>
      <c r="AB10766" s="234"/>
    </row>
    <row r="10767" ht="14.5" customHeight="1" spans="11:28" x14ac:dyDescent="0.25">
      <c r="K10767" s="128"/>
      <c r="X10767" s="234"/>
      <c r="Y10767" s="234"/>
      <c r="Z10767" s="234"/>
      <c r="AA10767" s="235"/>
      <c r="AB10767" s="234"/>
    </row>
    <row r="10768" ht="14.5" customHeight="1" spans="11:28" x14ac:dyDescent="0.25">
      <c r="K10768" s="128"/>
      <c r="X10768" s="234"/>
      <c r="Y10768" s="234"/>
      <c r="Z10768" s="234"/>
      <c r="AA10768" s="235"/>
      <c r="AB10768" s="234"/>
    </row>
    <row r="10769" ht="14.5" customHeight="1" spans="11:28" x14ac:dyDescent="0.25">
      <c r="K10769" s="128"/>
      <c r="X10769" s="234"/>
      <c r="Y10769" s="234"/>
      <c r="Z10769" s="234"/>
      <c r="AA10769" s="235"/>
      <c r="AB10769" s="234"/>
    </row>
    <row r="10770" ht="14.5" customHeight="1" spans="11:28" x14ac:dyDescent="0.25">
      <c r="K10770" s="128"/>
      <c r="X10770" s="234"/>
      <c r="Y10770" s="234"/>
      <c r="Z10770" s="234"/>
      <c r="AA10770" s="235"/>
      <c r="AB10770" s="234"/>
    </row>
    <row r="10771" ht="14.5" customHeight="1" spans="11:28" x14ac:dyDescent="0.25">
      <c r="K10771" s="128"/>
      <c r="X10771" s="234"/>
      <c r="Y10771" s="234"/>
      <c r="Z10771" s="234"/>
      <c r="AA10771" s="235"/>
      <c r="AB10771" s="234"/>
    </row>
    <row r="10772" ht="14.5" customHeight="1" spans="11:28" x14ac:dyDescent="0.25">
      <c r="K10772" s="128"/>
      <c r="X10772" s="234"/>
      <c r="Y10772" s="234"/>
      <c r="Z10772" s="234"/>
      <c r="AA10772" s="235"/>
      <c r="AB10772" s="234"/>
    </row>
    <row r="10773" ht="14.5" customHeight="1" spans="11:28" x14ac:dyDescent="0.25">
      <c r="K10773" s="128"/>
      <c r="X10773" s="234"/>
      <c r="Y10773" s="234"/>
      <c r="Z10773" s="234"/>
      <c r="AA10773" s="235"/>
      <c r="AB10773" s="234"/>
    </row>
    <row r="10774" ht="14.5" customHeight="1" spans="11:28" x14ac:dyDescent="0.25">
      <c r="K10774" s="128"/>
      <c r="X10774" s="234"/>
      <c r="Y10774" s="234"/>
      <c r="Z10774" s="234"/>
      <c r="AA10774" s="235"/>
      <c r="AB10774" s="234"/>
    </row>
    <row r="10775" ht="14.5" customHeight="1" spans="11:28" x14ac:dyDescent="0.25">
      <c r="K10775" s="128"/>
      <c r="X10775" s="234"/>
      <c r="Y10775" s="234"/>
      <c r="Z10775" s="234"/>
      <c r="AA10775" s="235"/>
      <c r="AB10775" s="234"/>
    </row>
    <row r="10776" ht="14.5" customHeight="1" spans="11:28" x14ac:dyDescent="0.25">
      <c r="K10776" s="128"/>
      <c r="X10776" s="234"/>
      <c r="Y10776" s="234"/>
      <c r="Z10776" s="234"/>
      <c r="AA10776" s="235"/>
      <c r="AB10776" s="234"/>
    </row>
    <row r="10777" ht="14.5" customHeight="1" spans="11:28" x14ac:dyDescent="0.25">
      <c r="K10777" s="128"/>
      <c r="X10777" s="234"/>
      <c r="Y10777" s="234"/>
      <c r="Z10777" s="234"/>
      <c r="AA10777" s="235"/>
      <c r="AB10777" s="234"/>
    </row>
    <row r="10778" ht="14.5" customHeight="1" spans="11:28" x14ac:dyDescent="0.25">
      <c r="K10778" s="128"/>
      <c r="X10778" s="234"/>
      <c r="Y10778" s="234"/>
      <c r="Z10778" s="234"/>
      <c r="AA10778" s="235"/>
      <c r="AB10778" s="234"/>
    </row>
    <row r="10779" ht="14.5" customHeight="1" spans="11:28" x14ac:dyDescent="0.25">
      <c r="K10779" s="128"/>
      <c r="X10779" s="234"/>
      <c r="Y10779" s="234"/>
      <c r="Z10779" s="234"/>
      <c r="AA10779" s="235"/>
      <c r="AB10779" s="234"/>
    </row>
    <row r="10780" ht="14.5" customHeight="1" spans="11:28" x14ac:dyDescent="0.25">
      <c r="K10780" s="128"/>
      <c r="X10780" s="234"/>
      <c r="Y10780" s="234"/>
      <c r="Z10780" s="234"/>
      <c r="AA10780" s="235"/>
      <c r="AB10780" s="234"/>
    </row>
    <row r="10781" ht="14.5" customHeight="1" spans="11:28" x14ac:dyDescent="0.25">
      <c r="K10781" s="128"/>
      <c r="X10781" s="234"/>
      <c r="Y10781" s="234"/>
      <c r="Z10781" s="234"/>
      <c r="AA10781" s="235"/>
      <c r="AB10781" s="234"/>
    </row>
    <row r="10782" ht="14.5" customHeight="1" spans="11:28" x14ac:dyDescent="0.25">
      <c r="K10782" s="128"/>
      <c r="X10782" s="234"/>
      <c r="Y10782" s="234"/>
      <c r="Z10782" s="234"/>
      <c r="AA10782" s="235"/>
      <c r="AB10782" s="234"/>
    </row>
    <row r="10783" ht="14.5" customHeight="1" spans="11:28" x14ac:dyDescent="0.25">
      <c r="K10783" s="128"/>
      <c r="X10783" s="234"/>
      <c r="Y10783" s="234"/>
      <c r="Z10783" s="234"/>
      <c r="AA10783" s="235"/>
      <c r="AB10783" s="234"/>
    </row>
    <row r="10784" ht="14.5" customHeight="1" spans="11:28" x14ac:dyDescent="0.25">
      <c r="K10784" s="128"/>
      <c r="X10784" s="234"/>
      <c r="Y10784" s="234"/>
      <c r="Z10784" s="234"/>
      <c r="AA10784" s="235"/>
      <c r="AB10784" s="234"/>
    </row>
    <row r="10785" ht="14.5" customHeight="1" spans="11:28" x14ac:dyDescent="0.25">
      <c r="K10785" s="128"/>
      <c r="X10785" s="234"/>
      <c r="Y10785" s="234"/>
      <c r="Z10785" s="234"/>
      <c r="AA10785" s="235"/>
      <c r="AB10785" s="234"/>
    </row>
    <row r="10786" ht="14.5" customHeight="1" spans="11:28" x14ac:dyDescent="0.25">
      <c r="K10786" s="128"/>
      <c r="X10786" s="234"/>
      <c r="Y10786" s="234"/>
      <c r="Z10786" s="234"/>
      <c r="AA10786" s="235"/>
      <c r="AB10786" s="234"/>
    </row>
    <row r="10787" ht="14.5" customHeight="1" spans="11:28" x14ac:dyDescent="0.25">
      <c r="K10787" s="128"/>
      <c r="X10787" s="234"/>
      <c r="Y10787" s="234"/>
      <c r="Z10787" s="234"/>
      <c r="AA10787" s="235"/>
      <c r="AB10787" s="234"/>
    </row>
    <row r="10788" ht="14.5" customHeight="1" spans="11:28" x14ac:dyDescent="0.25">
      <c r="K10788" s="128"/>
      <c r="X10788" s="234"/>
      <c r="Y10788" s="234"/>
      <c r="Z10788" s="234"/>
      <c r="AA10788" s="235"/>
      <c r="AB10788" s="234"/>
    </row>
    <row r="10789" ht="14.5" customHeight="1" spans="11:28" x14ac:dyDescent="0.25">
      <c r="K10789" s="128"/>
      <c r="X10789" s="234"/>
      <c r="Y10789" s="234"/>
      <c r="Z10789" s="234"/>
      <c r="AA10789" s="235"/>
      <c r="AB10789" s="234"/>
    </row>
    <row r="10790" ht="14.5" customHeight="1" spans="11:28" x14ac:dyDescent="0.25">
      <c r="K10790" s="128"/>
      <c r="X10790" s="234"/>
      <c r="Y10790" s="234"/>
      <c r="Z10790" s="234"/>
      <c r="AA10790" s="235"/>
      <c r="AB10790" s="234"/>
    </row>
    <row r="10791" ht="14.5" customHeight="1" spans="11:28" x14ac:dyDescent="0.25">
      <c r="K10791" s="128"/>
      <c r="X10791" s="234"/>
      <c r="Y10791" s="234"/>
      <c r="Z10791" s="234"/>
      <c r="AA10791" s="235"/>
      <c r="AB10791" s="234"/>
    </row>
    <row r="10792" ht="14.5" customHeight="1" spans="11:28" x14ac:dyDescent="0.25">
      <c r="K10792" s="128"/>
      <c r="X10792" s="234"/>
      <c r="Y10792" s="234"/>
      <c r="Z10792" s="234"/>
      <c r="AA10792" s="235"/>
      <c r="AB10792" s="234"/>
    </row>
    <row r="10793" ht="14.5" customHeight="1" spans="11:28" x14ac:dyDescent="0.25">
      <c r="K10793" s="128"/>
      <c r="X10793" s="234"/>
      <c r="Y10793" s="234"/>
      <c r="Z10793" s="234"/>
      <c r="AA10793" s="235"/>
      <c r="AB10793" s="234"/>
    </row>
    <row r="10794" ht="14.5" customHeight="1" spans="11:28" x14ac:dyDescent="0.25">
      <c r="K10794" s="128"/>
      <c r="X10794" s="234"/>
      <c r="Y10794" s="234"/>
      <c r="Z10794" s="234"/>
      <c r="AA10794" s="235"/>
      <c r="AB10794" s="234"/>
    </row>
    <row r="10795" ht="14.5" customHeight="1" spans="11:28" x14ac:dyDescent="0.25">
      <c r="K10795" s="128"/>
      <c r="X10795" s="234"/>
      <c r="Y10795" s="234"/>
      <c r="Z10795" s="234"/>
      <c r="AA10795" s="235"/>
      <c r="AB10795" s="234"/>
    </row>
    <row r="10796" ht="14.5" customHeight="1" spans="11:28" x14ac:dyDescent="0.25">
      <c r="K10796" s="128"/>
      <c r="X10796" s="234"/>
      <c r="Y10796" s="234"/>
      <c r="Z10796" s="234"/>
      <c r="AA10796" s="235"/>
      <c r="AB10796" s="234"/>
    </row>
    <row r="10797" ht="14.5" customHeight="1" spans="11:28" x14ac:dyDescent="0.25">
      <c r="K10797" s="128"/>
      <c r="X10797" s="234"/>
      <c r="Y10797" s="234"/>
      <c r="Z10797" s="234"/>
      <c r="AA10797" s="235"/>
      <c r="AB10797" s="234"/>
    </row>
    <row r="10798" ht="14.5" customHeight="1" spans="11:28" x14ac:dyDescent="0.25">
      <c r="K10798" s="128"/>
      <c r="X10798" s="234"/>
      <c r="Y10798" s="234"/>
      <c r="Z10798" s="234"/>
      <c r="AA10798" s="235"/>
      <c r="AB10798" s="234"/>
    </row>
    <row r="10799" ht="14.5" customHeight="1" spans="11:28" x14ac:dyDescent="0.25">
      <c r="K10799" s="128"/>
      <c r="X10799" s="234"/>
      <c r="Y10799" s="234"/>
      <c r="Z10799" s="234"/>
      <c r="AA10799" s="235"/>
      <c r="AB10799" s="234"/>
    </row>
    <row r="10800" ht="14.5" customHeight="1" spans="11:28" x14ac:dyDescent="0.25">
      <c r="K10800" s="128"/>
      <c r="X10800" s="234"/>
      <c r="Y10800" s="234"/>
      <c r="Z10800" s="234"/>
      <c r="AA10800" s="235"/>
      <c r="AB10800" s="234"/>
    </row>
    <row r="10801" ht="14.5" customHeight="1" spans="11:28" x14ac:dyDescent="0.25">
      <c r="K10801" s="128"/>
      <c r="X10801" s="234"/>
      <c r="Y10801" s="234"/>
      <c r="Z10801" s="234"/>
      <c r="AA10801" s="235"/>
      <c r="AB10801" s="234"/>
    </row>
    <row r="10802" ht="14.5" customHeight="1" spans="11:28" x14ac:dyDescent="0.25">
      <c r="K10802" s="128"/>
      <c r="X10802" s="234"/>
      <c r="Y10802" s="234"/>
      <c r="Z10802" s="234"/>
      <c r="AA10802" s="235"/>
      <c r="AB10802" s="234"/>
    </row>
    <row r="10803" ht="14.5" customHeight="1" spans="11:28" x14ac:dyDescent="0.25">
      <c r="K10803" s="128"/>
      <c r="X10803" s="234"/>
      <c r="Y10803" s="234"/>
      <c r="Z10803" s="234"/>
      <c r="AA10803" s="235"/>
      <c r="AB10803" s="234"/>
    </row>
    <row r="10804" ht="14.5" customHeight="1" spans="11:28" x14ac:dyDescent="0.25">
      <c r="K10804" s="128"/>
      <c r="X10804" s="234"/>
      <c r="Y10804" s="234"/>
      <c r="Z10804" s="234"/>
      <c r="AA10804" s="235"/>
      <c r="AB10804" s="234"/>
    </row>
    <row r="10805" ht="14.5" customHeight="1" spans="11:28" x14ac:dyDescent="0.25">
      <c r="K10805" s="128"/>
      <c r="X10805" s="234"/>
      <c r="Y10805" s="234"/>
      <c r="Z10805" s="234"/>
      <c r="AA10805" s="235"/>
      <c r="AB10805" s="234"/>
    </row>
    <row r="10806" ht="14.5" customHeight="1" spans="11:28" x14ac:dyDescent="0.25">
      <c r="K10806" s="128"/>
      <c r="X10806" s="234"/>
      <c r="Y10806" s="234"/>
      <c r="Z10806" s="234"/>
      <c r="AA10806" s="235"/>
      <c r="AB10806" s="234"/>
    </row>
    <row r="10807" ht="14.5" customHeight="1" spans="11:28" x14ac:dyDescent="0.25">
      <c r="K10807" s="128"/>
      <c r="X10807" s="234"/>
      <c r="Y10807" s="234"/>
      <c r="Z10807" s="234"/>
      <c r="AA10807" s="235"/>
      <c r="AB10807" s="234"/>
    </row>
    <row r="10808" ht="14.5" customHeight="1" spans="11:28" x14ac:dyDescent="0.25">
      <c r="K10808" s="128"/>
      <c r="X10808" s="234"/>
      <c r="Y10808" s="234"/>
      <c r="Z10808" s="234"/>
      <c r="AA10808" s="235"/>
      <c r="AB10808" s="234"/>
    </row>
    <row r="10809" ht="14.5" customHeight="1" spans="11:28" x14ac:dyDescent="0.25">
      <c r="K10809" s="128"/>
      <c r="X10809" s="234"/>
      <c r="Y10809" s="234"/>
      <c r="Z10809" s="234"/>
      <c r="AA10809" s="235"/>
      <c r="AB10809" s="234"/>
    </row>
    <row r="10810" ht="14.5" customHeight="1" spans="11:28" x14ac:dyDescent="0.25">
      <c r="K10810" s="128"/>
      <c r="X10810" s="234"/>
      <c r="Y10810" s="234"/>
      <c r="Z10810" s="234"/>
      <c r="AA10810" s="235"/>
      <c r="AB10810" s="234"/>
    </row>
    <row r="10811" ht="14.5" customHeight="1" spans="11:28" x14ac:dyDescent="0.25">
      <c r="K10811" s="128"/>
      <c r="X10811" s="234"/>
      <c r="Y10811" s="234"/>
      <c r="Z10811" s="234"/>
      <c r="AA10811" s="235"/>
      <c r="AB10811" s="234"/>
    </row>
    <row r="10812" ht="14.5" customHeight="1" spans="11:28" x14ac:dyDescent="0.25">
      <c r="K10812" s="128"/>
      <c r="X10812" s="234"/>
      <c r="Y10812" s="234"/>
      <c r="Z10812" s="234"/>
      <c r="AA10812" s="235"/>
      <c r="AB10812" s="234"/>
    </row>
    <row r="10813" ht="14.5" customHeight="1" spans="11:28" x14ac:dyDescent="0.25">
      <c r="K10813" s="128"/>
      <c r="X10813" s="234"/>
      <c r="Y10813" s="234"/>
      <c r="Z10813" s="234"/>
      <c r="AA10813" s="235"/>
      <c r="AB10813" s="234"/>
    </row>
    <row r="10814" ht="14.5" customHeight="1" spans="11:28" x14ac:dyDescent="0.25">
      <c r="K10814" s="128"/>
      <c r="X10814" s="234"/>
      <c r="Y10814" s="234"/>
      <c r="Z10814" s="234"/>
      <c r="AA10814" s="235"/>
      <c r="AB10814" s="234"/>
    </row>
    <row r="10815" ht="14.5" customHeight="1" spans="11:28" x14ac:dyDescent="0.25">
      <c r="K10815" s="128"/>
      <c r="X10815" s="234"/>
      <c r="Y10815" s="234"/>
      <c r="Z10815" s="234"/>
      <c r="AA10815" s="235"/>
      <c r="AB10815" s="234"/>
    </row>
    <row r="10816" ht="14.5" customHeight="1" spans="11:28" x14ac:dyDescent="0.25">
      <c r="K10816" s="128"/>
      <c r="X10816" s="234"/>
      <c r="Y10816" s="234"/>
      <c r="Z10816" s="234"/>
      <c r="AA10816" s="235"/>
      <c r="AB10816" s="234"/>
    </row>
    <row r="10817" ht="14.5" customHeight="1" spans="11:28" x14ac:dyDescent="0.25">
      <c r="K10817" s="128"/>
      <c r="X10817" s="234"/>
      <c r="Y10817" s="234"/>
      <c r="Z10817" s="234"/>
      <c r="AA10817" s="235"/>
      <c r="AB10817" s="234"/>
    </row>
    <row r="10818" ht="14.5" customHeight="1" spans="11:28" x14ac:dyDescent="0.25">
      <c r="K10818" s="128"/>
      <c r="X10818" s="234"/>
      <c r="Y10818" s="234"/>
      <c r="Z10818" s="234"/>
      <c r="AA10818" s="235"/>
      <c r="AB10818" s="234"/>
    </row>
    <row r="10819" ht="14.5" customHeight="1" spans="11:28" x14ac:dyDescent="0.25">
      <c r="K10819" s="128"/>
      <c r="X10819" s="234"/>
      <c r="Y10819" s="234"/>
      <c r="Z10819" s="234"/>
      <c r="AA10819" s="235"/>
      <c r="AB10819" s="234"/>
    </row>
    <row r="10820" ht="14.5" customHeight="1" spans="11:28" x14ac:dyDescent="0.25">
      <c r="K10820" s="128"/>
      <c r="X10820" s="234"/>
      <c r="Y10820" s="234"/>
      <c r="Z10820" s="234"/>
      <c r="AA10820" s="235"/>
      <c r="AB10820" s="234"/>
    </row>
    <row r="10821" ht="14.5" customHeight="1" spans="11:28" x14ac:dyDescent="0.25">
      <c r="K10821" s="128"/>
      <c r="X10821" s="234"/>
      <c r="Y10821" s="234"/>
      <c r="Z10821" s="234"/>
      <c r="AA10821" s="235"/>
      <c r="AB10821" s="234"/>
    </row>
    <row r="10822" ht="14.5" customHeight="1" spans="11:28" x14ac:dyDescent="0.25">
      <c r="K10822" s="128"/>
      <c r="X10822" s="234"/>
      <c r="Y10822" s="234"/>
      <c r="Z10822" s="234"/>
      <c r="AA10822" s="235"/>
      <c r="AB10822" s="234"/>
    </row>
    <row r="10823" ht="14.5" customHeight="1" spans="11:28" x14ac:dyDescent="0.25">
      <c r="K10823" s="128"/>
      <c r="X10823" s="234"/>
      <c r="Y10823" s="234"/>
      <c r="Z10823" s="234"/>
      <c r="AA10823" s="235"/>
      <c r="AB10823" s="234"/>
    </row>
    <row r="10824" ht="14.5" customHeight="1" spans="11:28" x14ac:dyDescent="0.25">
      <c r="K10824" s="128"/>
      <c r="X10824" s="234"/>
      <c r="Y10824" s="234"/>
      <c r="Z10824" s="234"/>
      <c r="AA10824" s="235"/>
      <c r="AB10824" s="234"/>
    </row>
    <row r="10825" ht="14.5" customHeight="1" spans="11:28" x14ac:dyDescent="0.25">
      <c r="K10825" s="128"/>
      <c r="X10825" s="234"/>
      <c r="Y10825" s="234"/>
      <c r="Z10825" s="234"/>
      <c r="AA10825" s="235"/>
      <c r="AB10825" s="234"/>
    </row>
    <row r="10826" ht="14.5" customHeight="1" spans="11:28" x14ac:dyDescent="0.25">
      <c r="K10826" s="128"/>
      <c r="X10826" s="234"/>
      <c r="Y10826" s="234"/>
      <c r="Z10826" s="234"/>
      <c r="AA10826" s="235"/>
      <c r="AB10826" s="234"/>
    </row>
    <row r="10827" ht="14.5" customHeight="1" spans="11:28" x14ac:dyDescent="0.25">
      <c r="K10827" s="128"/>
      <c r="X10827" s="234"/>
      <c r="Y10827" s="234"/>
      <c r="Z10827" s="234"/>
      <c r="AA10827" s="235"/>
      <c r="AB10827" s="234"/>
    </row>
    <row r="10828" ht="14.5" customHeight="1" spans="11:28" x14ac:dyDescent="0.25">
      <c r="K10828" s="128"/>
      <c r="X10828" s="234"/>
      <c r="Y10828" s="234"/>
      <c r="Z10828" s="234"/>
      <c r="AA10828" s="235"/>
      <c r="AB10828" s="234"/>
    </row>
    <row r="10829" ht="14.5" customHeight="1" spans="11:28" x14ac:dyDescent="0.25">
      <c r="K10829" s="128"/>
      <c r="X10829" s="234"/>
      <c r="Y10829" s="234"/>
      <c r="Z10829" s="234"/>
      <c r="AA10829" s="235"/>
      <c r="AB10829" s="234"/>
    </row>
    <row r="10830" ht="14.5" customHeight="1" spans="11:28" x14ac:dyDescent="0.25">
      <c r="K10830" s="128"/>
      <c r="X10830" s="234"/>
      <c r="Y10830" s="234"/>
      <c r="Z10830" s="234"/>
      <c r="AA10830" s="235"/>
      <c r="AB10830" s="234"/>
    </row>
    <row r="10831" ht="14.5" customHeight="1" spans="11:28" x14ac:dyDescent="0.25">
      <c r="K10831" s="128"/>
      <c r="X10831" s="234"/>
      <c r="Y10831" s="234"/>
      <c r="Z10831" s="234"/>
      <c r="AA10831" s="235"/>
      <c r="AB10831" s="234"/>
    </row>
    <row r="10832" ht="14.5" customHeight="1" spans="11:28" x14ac:dyDescent="0.25">
      <c r="K10832" s="128"/>
      <c r="X10832" s="234"/>
      <c r="Y10832" s="234"/>
      <c r="Z10832" s="234"/>
      <c r="AA10832" s="235"/>
      <c r="AB10832" s="234"/>
    </row>
    <row r="10833" ht="14.5" customHeight="1" spans="11:28" x14ac:dyDescent="0.25">
      <c r="K10833" s="128"/>
      <c r="X10833" s="234"/>
      <c r="Y10833" s="234"/>
      <c r="Z10833" s="234"/>
      <c r="AA10833" s="235"/>
      <c r="AB10833" s="234"/>
    </row>
    <row r="10834" ht="14.5" customHeight="1" spans="11:28" x14ac:dyDescent="0.25">
      <c r="K10834" s="128"/>
      <c r="X10834" s="234"/>
      <c r="Y10834" s="234"/>
      <c r="Z10834" s="234"/>
      <c r="AA10834" s="235"/>
      <c r="AB10834" s="234"/>
    </row>
    <row r="10835" ht="14.5" customHeight="1" spans="11:28" x14ac:dyDescent="0.25">
      <c r="K10835" s="128"/>
      <c r="X10835" s="234"/>
      <c r="Y10835" s="234"/>
      <c r="Z10835" s="234"/>
      <c r="AA10835" s="235"/>
      <c r="AB10835" s="234"/>
    </row>
    <row r="10836" ht="14.5" customHeight="1" spans="11:28" x14ac:dyDescent="0.25">
      <c r="K10836" s="128"/>
      <c r="X10836" s="234"/>
      <c r="Y10836" s="234"/>
      <c r="Z10836" s="234"/>
      <c r="AA10836" s="235"/>
      <c r="AB10836" s="234"/>
    </row>
    <row r="10837" ht="14.5" customHeight="1" spans="11:28" x14ac:dyDescent="0.25">
      <c r="K10837" s="128"/>
      <c r="X10837" s="234"/>
      <c r="Y10837" s="234"/>
      <c r="Z10837" s="234"/>
      <c r="AA10837" s="235"/>
      <c r="AB10837" s="234"/>
    </row>
    <row r="10838" ht="14.5" customHeight="1" spans="11:28" x14ac:dyDescent="0.25">
      <c r="K10838" s="128"/>
      <c r="X10838" s="234"/>
      <c r="Y10838" s="234"/>
      <c r="Z10838" s="234"/>
      <c r="AA10838" s="235"/>
      <c r="AB10838" s="234"/>
    </row>
    <row r="10839" ht="14.5" customHeight="1" spans="11:28" x14ac:dyDescent="0.25">
      <c r="K10839" s="128"/>
      <c r="X10839" s="234"/>
      <c r="Y10839" s="234"/>
      <c r="Z10839" s="234"/>
      <c r="AA10839" s="235"/>
      <c r="AB10839" s="234"/>
    </row>
    <row r="10840" ht="14.5" customHeight="1" spans="11:28" x14ac:dyDescent="0.25">
      <c r="K10840" s="128"/>
      <c r="X10840" s="234"/>
      <c r="Y10840" s="234"/>
      <c r="Z10840" s="234"/>
      <c r="AA10840" s="235"/>
      <c r="AB10840" s="234"/>
    </row>
    <row r="10841" ht="14.5" customHeight="1" spans="11:28" x14ac:dyDescent="0.25">
      <c r="K10841" s="128"/>
      <c r="X10841" s="234"/>
      <c r="Y10841" s="234"/>
      <c r="Z10841" s="234"/>
      <c r="AA10841" s="235"/>
      <c r="AB10841" s="234"/>
    </row>
    <row r="10842" ht="14.5" customHeight="1" spans="11:28" x14ac:dyDescent="0.25">
      <c r="K10842" s="128"/>
      <c r="X10842" s="234"/>
      <c r="Y10842" s="234"/>
      <c r="Z10842" s="234"/>
      <c r="AA10842" s="235"/>
      <c r="AB10842" s="234"/>
    </row>
    <row r="10843" ht="14.5" customHeight="1" spans="11:28" x14ac:dyDescent="0.25">
      <c r="K10843" s="128"/>
      <c r="X10843" s="234"/>
      <c r="Y10843" s="234"/>
      <c r="Z10843" s="234"/>
      <c r="AA10843" s="235"/>
      <c r="AB10843" s="234"/>
    </row>
    <row r="10844" ht="14.5" customHeight="1" spans="11:28" x14ac:dyDescent="0.25">
      <c r="K10844" s="128"/>
      <c r="X10844" s="234"/>
      <c r="Y10844" s="234"/>
      <c r="Z10844" s="234"/>
      <c r="AA10844" s="235"/>
      <c r="AB10844" s="234"/>
    </row>
    <row r="10845" ht="14.5" customHeight="1" spans="11:28" x14ac:dyDescent="0.25">
      <c r="K10845" s="128"/>
      <c r="X10845" s="234"/>
      <c r="Y10845" s="234"/>
      <c r="Z10845" s="234"/>
      <c r="AA10845" s="235"/>
      <c r="AB10845" s="234"/>
    </row>
    <row r="10846" ht="14.5" customHeight="1" spans="11:28" x14ac:dyDescent="0.25">
      <c r="K10846" s="128"/>
      <c r="X10846" s="234"/>
      <c r="Y10846" s="234"/>
      <c r="Z10846" s="234"/>
      <c r="AA10846" s="235"/>
      <c r="AB10846" s="234"/>
    </row>
    <row r="10847" ht="14.5" customHeight="1" spans="11:28" x14ac:dyDescent="0.25">
      <c r="K10847" s="128"/>
      <c r="X10847" s="234"/>
      <c r="Y10847" s="234"/>
      <c r="Z10847" s="234"/>
      <c r="AA10847" s="235"/>
      <c r="AB10847" s="234"/>
    </row>
    <row r="10848" ht="14.5" customHeight="1" spans="11:28" x14ac:dyDescent="0.25">
      <c r="K10848" s="128"/>
      <c r="X10848" s="234"/>
      <c r="Y10848" s="234"/>
      <c r="Z10848" s="234"/>
      <c r="AA10848" s="235"/>
      <c r="AB10848" s="234"/>
    </row>
    <row r="10849" ht="14.5" customHeight="1" spans="11:28" x14ac:dyDescent="0.25">
      <c r="K10849" s="128"/>
      <c r="X10849" s="234"/>
      <c r="Y10849" s="234"/>
      <c r="Z10849" s="234"/>
      <c r="AA10849" s="235"/>
      <c r="AB10849" s="234"/>
    </row>
    <row r="10850" ht="14.5" customHeight="1" spans="11:28" x14ac:dyDescent="0.25">
      <c r="K10850" s="128"/>
      <c r="X10850" s="234"/>
      <c r="Y10850" s="234"/>
      <c r="Z10850" s="234"/>
      <c r="AA10850" s="235"/>
      <c r="AB10850" s="234"/>
    </row>
    <row r="10851" ht="14.5" customHeight="1" spans="11:28" x14ac:dyDescent="0.25">
      <c r="K10851" s="128"/>
      <c r="X10851" s="234"/>
      <c r="Y10851" s="234"/>
      <c r="Z10851" s="234"/>
      <c r="AA10851" s="235"/>
      <c r="AB10851" s="234"/>
    </row>
    <row r="10852" ht="14.5" customHeight="1" spans="11:28" x14ac:dyDescent="0.25">
      <c r="K10852" s="128"/>
      <c r="X10852" s="234"/>
      <c r="Y10852" s="234"/>
      <c r="Z10852" s="234"/>
      <c r="AA10852" s="235"/>
      <c r="AB10852" s="234"/>
    </row>
    <row r="10853" ht="14.5" customHeight="1" spans="11:28" x14ac:dyDescent="0.25">
      <c r="K10853" s="128"/>
      <c r="X10853" s="234"/>
      <c r="Y10853" s="234"/>
      <c r="Z10853" s="234"/>
      <c r="AA10853" s="235"/>
      <c r="AB10853" s="234"/>
    </row>
    <row r="10854" ht="14.5" customHeight="1" spans="11:28" x14ac:dyDescent="0.25">
      <c r="K10854" s="128"/>
      <c r="X10854" s="234"/>
      <c r="Y10854" s="234"/>
      <c r="Z10854" s="234"/>
      <c r="AA10854" s="235"/>
      <c r="AB10854" s="234"/>
    </row>
    <row r="10855" ht="14.5" customHeight="1" spans="11:28" x14ac:dyDescent="0.25">
      <c r="K10855" s="128"/>
      <c r="X10855" s="234"/>
      <c r="Y10855" s="234"/>
      <c r="Z10855" s="234"/>
      <c r="AA10855" s="235"/>
      <c r="AB10855" s="234"/>
    </row>
    <row r="10856" ht="14.5" customHeight="1" spans="11:28" x14ac:dyDescent="0.25">
      <c r="K10856" s="128"/>
      <c r="X10856" s="234"/>
      <c r="Y10856" s="234"/>
      <c r="Z10856" s="234"/>
      <c r="AA10856" s="235"/>
      <c r="AB10856" s="234"/>
    </row>
    <row r="10857" ht="14.5" customHeight="1" spans="11:28" x14ac:dyDescent="0.25">
      <c r="K10857" s="128"/>
      <c r="X10857" s="234"/>
      <c r="Y10857" s="234"/>
      <c r="Z10857" s="234"/>
      <c r="AA10857" s="235"/>
      <c r="AB10857" s="234"/>
    </row>
    <row r="10858" ht="14.5" customHeight="1" spans="11:28" x14ac:dyDescent="0.25">
      <c r="K10858" s="128"/>
      <c r="X10858" s="234"/>
      <c r="Y10858" s="234"/>
      <c r="Z10858" s="234"/>
      <c r="AA10858" s="235"/>
      <c r="AB10858" s="234"/>
    </row>
    <row r="10859" ht="14.5" customHeight="1" spans="11:28" x14ac:dyDescent="0.25">
      <c r="K10859" s="128"/>
      <c r="X10859" s="234"/>
      <c r="Y10859" s="234"/>
      <c r="Z10859" s="234"/>
      <c r="AA10859" s="235"/>
      <c r="AB10859" s="234"/>
    </row>
    <row r="10860" ht="14.5" customHeight="1" spans="11:28" x14ac:dyDescent="0.25">
      <c r="K10860" s="128"/>
      <c r="X10860" s="234"/>
      <c r="Y10860" s="234"/>
      <c r="Z10860" s="234"/>
      <c r="AA10860" s="235"/>
      <c r="AB10860" s="234"/>
    </row>
    <row r="10861" ht="14.5" customHeight="1" spans="11:28" x14ac:dyDescent="0.25">
      <c r="K10861" s="128"/>
      <c r="X10861" s="234"/>
      <c r="Y10861" s="234"/>
      <c r="Z10861" s="234"/>
      <c r="AA10861" s="235"/>
      <c r="AB10861" s="234"/>
    </row>
    <row r="10862" ht="14.5" customHeight="1" spans="11:28" x14ac:dyDescent="0.25">
      <c r="K10862" s="128"/>
      <c r="X10862" s="234"/>
      <c r="Y10862" s="234"/>
      <c r="Z10862" s="234"/>
      <c r="AA10862" s="235"/>
      <c r="AB10862" s="234"/>
    </row>
    <row r="10863" ht="14.5" customHeight="1" spans="11:28" x14ac:dyDescent="0.25">
      <c r="K10863" s="128"/>
      <c r="X10863" s="234"/>
      <c r="Y10863" s="234"/>
      <c r="Z10863" s="234"/>
      <c r="AA10863" s="235"/>
      <c r="AB10863" s="234"/>
    </row>
    <row r="10864" ht="14.5" customHeight="1" spans="11:28" x14ac:dyDescent="0.25">
      <c r="K10864" s="128"/>
      <c r="X10864" s="234"/>
      <c r="Y10864" s="234"/>
      <c r="Z10864" s="234"/>
      <c r="AA10864" s="235"/>
      <c r="AB10864" s="234"/>
    </row>
    <row r="10865" ht="14.5" customHeight="1" spans="11:28" x14ac:dyDescent="0.25">
      <c r="K10865" s="128"/>
      <c r="X10865" s="234"/>
      <c r="Y10865" s="234"/>
      <c r="Z10865" s="234"/>
      <c r="AA10865" s="235"/>
      <c r="AB10865" s="234"/>
    </row>
    <row r="10866" ht="14.5" customHeight="1" spans="11:28" x14ac:dyDescent="0.25">
      <c r="K10866" s="128"/>
      <c r="X10866" s="234"/>
      <c r="Y10866" s="234"/>
      <c r="Z10866" s="234"/>
      <c r="AA10866" s="235"/>
      <c r="AB10866" s="234"/>
    </row>
    <row r="10867" ht="14.5" customHeight="1" spans="11:28" x14ac:dyDescent="0.25">
      <c r="K10867" s="128"/>
      <c r="X10867" s="234"/>
      <c r="Y10867" s="234"/>
      <c r="Z10867" s="234"/>
      <c r="AA10867" s="235"/>
      <c r="AB10867" s="234"/>
    </row>
    <row r="10868" ht="14.5" customHeight="1" spans="11:28" x14ac:dyDescent="0.25">
      <c r="K10868" s="128"/>
      <c r="X10868" s="234"/>
      <c r="Y10868" s="234"/>
      <c r="Z10868" s="234"/>
      <c r="AA10868" s="235"/>
      <c r="AB10868" s="234"/>
    </row>
    <row r="10869" ht="14.5" customHeight="1" spans="11:28" x14ac:dyDescent="0.25">
      <c r="K10869" s="128"/>
      <c r="X10869" s="234"/>
      <c r="Y10869" s="234"/>
      <c r="Z10869" s="234"/>
      <c r="AA10869" s="235"/>
      <c r="AB10869" s="234"/>
    </row>
    <row r="10870" ht="14.5" customHeight="1" spans="11:28" x14ac:dyDescent="0.25">
      <c r="K10870" s="128"/>
      <c r="X10870" s="234"/>
      <c r="Y10870" s="234"/>
      <c r="Z10870" s="234"/>
      <c r="AA10870" s="235"/>
      <c r="AB10870" s="234"/>
    </row>
    <row r="10871" ht="14.5" customHeight="1" spans="11:28" x14ac:dyDescent="0.25">
      <c r="K10871" s="128"/>
      <c r="X10871" s="234"/>
      <c r="Y10871" s="234"/>
      <c r="Z10871" s="234"/>
      <c r="AA10871" s="235"/>
      <c r="AB10871" s="234"/>
    </row>
    <row r="10872" ht="14.5" customHeight="1" spans="11:28" x14ac:dyDescent="0.25">
      <c r="K10872" s="128"/>
      <c r="X10872" s="234"/>
      <c r="Y10872" s="234"/>
      <c r="Z10872" s="234"/>
      <c r="AA10872" s="235"/>
      <c r="AB10872" s="234"/>
    </row>
    <row r="10873" ht="14.5" customHeight="1" spans="11:28" x14ac:dyDescent="0.25">
      <c r="K10873" s="128"/>
      <c r="X10873" s="234"/>
      <c r="Y10873" s="234"/>
      <c r="Z10873" s="234"/>
      <c r="AA10873" s="235"/>
      <c r="AB10873" s="234"/>
    </row>
    <row r="10874" ht="14.5" customHeight="1" spans="11:28" x14ac:dyDescent="0.25">
      <c r="K10874" s="128"/>
      <c r="X10874" s="234"/>
      <c r="Y10874" s="234"/>
      <c r="Z10874" s="234"/>
      <c r="AA10874" s="235"/>
      <c r="AB10874" s="234"/>
    </row>
    <row r="10875" ht="14.5" customHeight="1" spans="11:28" x14ac:dyDescent="0.25">
      <c r="K10875" s="128"/>
      <c r="X10875" s="234"/>
      <c r="Y10875" s="234"/>
      <c r="Z10875" s="234"/>
      <c r="AA10875" s="235"/>
      <c r="AB10875" s="234"/>
    </row>
    <row r="10876" ht="14.5" customHeight="1" spans="11:28" x14ac:dyDescent="0.25">
      <c r="K10876" s="128"/>
      <c r="X10876" s="234"/>
      <c r="Y10876" s="234"/>
      <c r="Z10876" s="234"/>
      <c r="AA10876" s="235"/>
      <c r="AB10876" s="234"/>
    </row>
    <row r="10877" ht="14.5" customHeight="1" spans="11:28" x14ac:dyDescent="0.25">
      <c r="K10877" s="128"/>
      <c r="X10877" s="234"/>
      <c r="Y10877" s="234"/>
      <c r="Z10877" s="234"/>
      <c r="AA10877" s="235"/>
      <c r="AB10877" s="234"/>
    </row>
    <row r="10878" ht="14.5" customHeight="1" spans="11:28" x14ac:dyDescent="0.25">
      <c r="K10878" s="128"/>
      <c r="X10878" s="234"/>
      <c r="Y10878" s="234"/>
      <c r="Z10878" s="234"/>
      <c r="AA10878" s="235"/>
      <c r="AB10878" s="234"/>
    </row>
    <row r="10879" ht="14.5" customHeight="1" spans="11:28" x14ac:dyDescent="0.25">
      <c r="K10879" s="128"/>
      <c r="X10879" s="234"/>
      <c r="Y10879" s="234"/>
      <c r="Z10879" s="234"/>
      <c r="AA10879" s="235"/>
      <c r="AB10879" s="234"/>
    </row>
    <row r="10880" ht="14.5" customHeight="1" spans="11:28" x14ac:dyDescent="0.25">
      <c r="K10880" s="128"/>
      <c r="X10880" s="234"/>
      <c r="Y10880" s="234"/>
      <c r="Z10880" s="234"/>
      <c r="AA10880" s="235"/>
      <c r="AB10880" s="234"/>
    </row>
    <row r="10881" ht="14.5" customHeight="1" spans="11:28" x14ac:dyDescent="0.25">
      <c r="K10881" s="128"/>
      <c r="X10881" s="234"/>
      <c r="Y10881" s="234"/>
      <c r="Z10881" s="234"/>
      <c r="AA10881" s="235"/>
      <c r="AB10881" s="234"/>
    </row>
    <row r="10882" ht="14.5" customHeight="1" spans="11:28" x14ac:dyDescent="0.25">
      <c r="K10882" s="128"/>
      <c r="X10882" s="234"/>
      <c r="Y10882" s="234"/>
      <c r="Z10882" s="234"/>
      <c r="AA10882" s="235"/>
      <c r="AB10882" s="234"/>
    </row>
    <row r="10883" ht="14.5" customHeight="1" spans="11:28" x14ac:dyDescent="0.25">
      <c r="K10883" s="128"/>
      <c r="X10883" s="234"/>
      <c r="Y10883" s="234"/>
      <c r="Z10883" s="234"/>
      <c r="AA10883" s="235"/>
      <c r="AB10883" s="234"/>
    </row>
    <row r="10884" ht="14.5" customHeight="1" spans="11:28" x14ac:dyDescent="0.25">
      <c r="K10884" s="128"/>
      <c r="X10884" s="234"/>
      <c r="Y10884" s="234"/>
      <c r="Z10884" s="234"/>
      <c r="AA10884" s="235"/>
      <c r="AB10884" s="234"/>
    </row>
    <row r="10885" ht="14.5" customHeight="1" spans="11:28" x14ac:dyDescent="0.25">
      <c r="K10885" s="128"/>
      <c r="X10885" s="234"/>
      <c r="Y10885" s="234"/>
      <c r="Z10885" s="234"/>
      <c r="AA10885" s="235"/>
      <c r="AB10885" s="234"/>
    </row>
    <row r="10886" ht="14.5" customHeight="1" spans="11:28" x14ac:dyDescent="0.25">
      <c r="K10886" s="128"/>
      <c r="X10886" s="234"/>
      <c r="Y10886" s="234"/>
      <c r="Z10886" s="234"/>
      <c r="AA10886" s="235"/>
      <c r="AB10886" s="234"/>
    </row>
    <row r="10887" ht="14.5" customHeight="1" spans="11:28" x14ac:dyDescent="0.25">
      <c r="K10887" s="128"/>
      <c r="X10887" s="234"/>
      <c r="Y10887" s="234"/>
      <c r="Z10887" s="234"/>
      <c r="AA10887" s="235"/>
      <c r="AB10887" s="234"/>
    </row>
    <row r="10888" ht="14.5" customHeight="1" spans="11:28" x14ac:dyDescent="0.25">
      <c r="K10888" s="128"/>
      <c r="X10888" s="234"/>
      <c r="Y10888" s="234"/>
      <c r="Z10888" s="234"/>
      <c r="AA10888" s="235"/>
      <c r="AB10888" s="234"/>
    </row>
    <row r="10889" ht="14.5" customHeight="1" spans="11:28" x14ac:dyDescent="0.25">
      <c r="K10889" s="128"/>
      <c r="X10889" s="234"/>
      <c r="Y10889" s="234"/>
      <c r="Z10889" s="234"/>
      <c r="AA10889" s="235"/>
      <c r="AB10889" s="234"/>
    </row>
    <row r="10890" ht="14.5" customHeight="1" spans="11:28" x14ac:dyDescent="0.25">
      <c r="K10890" s="128"/>
      <c r="X10890" s="234"/>
      <c r="Y10890" s="234"/>
      <c r="Z10890" s="234"/>
      <c r="AA10890" s="235"/>
      <c r="AB10890" s="234"/>
    </row>
    <row r="10891" ht="14.5" customHeight="1" spans="11:28" x14ac:dyDescent="0.25">
      <c r="K10891" s="128"/>
      <c r="X10891" s="234"/>
      <c r="Y10891" s="234"/>
      <c r="Z10891" s="234"/>
      <c r="AA10891" s="235"/>
      <c r="AB10891" s="234"/>
    </row>
    <row r="10892" ht="14.5" customHeight="1" spans="11:28" x14ac:dyDescent="0.25">
      <c r="K10892" s="128"/>
      <c r="X10892" s="234"/>
      <c r="Y10892" s="234"/>
      <c r="Z10892" s="234"/>
      <c r="AA10892" s="235"/>
      <c r="AB10892" s="234"/>
    </row>
    <row r="10893" ht="14.5" customHeight="1" spans="11:28" x14ac:dyDescent="0.25">
      <c r="K10893" s="128"/>
      <c r="X10893" s="234"/>
      <c r="Y10893" s="234"/>
      <c r="Z10893" s="234"/>
      <c r="AA10893" s="235"/>
      <c r="AB10893" s="234"/>
    </row>
    <row r="10894" ht="14.5" customHeight="1" spans="11:28" x14ac:dyDescent="0.25">
      <c r="K10894" s="128"/>
      <c r="X10894" s="234"/>
      <c r="Y10894" s="234"/>
      <c r="Z10894" s="234"/>
      <c r="AA10894" s="235"/>
      <c r="AB10894" s="234"/>
    </row>
    <row r="10895" ht="14.5" customHeight="1" spans="11:28" x14ac:dyDescent="0.25">
      <c r="K10895" s="128"/>
      <c r="X10895" s="234"/>
      <c r="Y10895" s="234"/>
      <c r="Z10895" s="234"/>
      <c r="AA10895" s="235"/>
      <c r="AB10895" s="234"/>
    </row>
    <row r="10896" ht="14.5" customHeight="1" spans="11:28" x14ac:dyDescent="0.25">
      <c r="K10896" s="128"/>
      <c r="X10896" s="234"/>
      <c r="Y10896" s="234"/>
      <c r="Z10896" s="234"/>
      <c r="AA10896" s="235"/>
      <c r="AB10896" s="234"/>
    </row>
    <row r="10897" ht="14.5" customHeight="1" spans="11:28" x14ac:dyDescent="0.25">
      <c r="K10897" s="128"/>
      <c r="X10897" s="234"/>
      <c r="Y10897" s="234"/>
      <c r="Z10897" s="234"/>
      <c r="AA10897" s="235"/>
      <c r="AB10897" s="234"/>
    </row>
    <row r="10898" ht="14.5" customHeight="1" spans="11:28" x14ac:dyDescent="0.25">
      <c r="K10898" s="128"/>
      <c r="X10898" s="234"/>
      <c r="Y10898" s="234"/>
      <c r="Z10898" s="234"/>
      <c r="AA10898" s="235"/>
      <c r="AB10898" s="234"/>
    </row>
    <row r="10899" ht="14.5" customHeight="1" spans="11:28" x14ac:dyDescent="0.25">
      <c r="K10899" s="128"/>
      <c r="X10899" s="234"/>
      <c r="Y10899" s="234"/>
      <c r="Z10899" s="234"/>
      <c r="AA10899" s="235"/>
      <c r="AB10899" s="234"/>
    </row>
    <row r="10900" ht="14.5" customHeight="1" spans="11:28" x14ac:dyDescent="0.25">
      <c r="K10900" s="128"/>
      <c r="X10900" s="234"/>
      <c r="Y10900" s="234"/>
      <c r="Z10900" s="234"/>
      <c r="AA10900" s="235"/>
      <c r="AB10900" s="234"/>
    </row>
    <row r="10901" ht="14.5" customHeight="1" spans="11:28" x14ac:dyDescent="0.25">
      <c r="K10901" s="128"/>
      <c r="X10901" s="234"/>
      <c r="Y10901" s="234"/>
      <c r="Z10901" s="234"/>
      <c r="AA10901" s="235"/>
      <c r="AB10901" s="234"/>
    </row>
    <row r="10902" ht="14.5" customHeight="1" spans="11:28" x14ac:dyDescent="0.25">
      <c r="K10902" s="128"/>
      <c r="X10902" s="234"/>
      <c r="Y10902" s="234"/>
      <c r="Z10902" s="234"/>
      <c r="AA10902" s="235"/>
      <c r="AB10902" s="234"/>
    </row>
    <row r="10903" ht="14.5" customHeight="1" spans="11:28" x14ac:dyDescent="0.25">
      <c r="K10903" s="128"/>
      <c r="X10903" s="234"/>
      <c r="Y10903" s="234"/>
      <c r="Z10903" s="234"/>
      <c r="AA10903" s="235"/>
      <c r="AB10903" s="234"/>
    </row>
    <row r="10904" ht="14.5" customHeight="1" spans="11:28" x14ac:dyDescent="0.25">
      <c r="K10904" s="128"/>
      <c r="X10904" s="234"/>
      <c r="Y10904" s="234"/>
      <c r="Z10904" s="234"/>
      <c r="AA10904" s="235"/>
      <c r="AB10904" s="234"/>
    </row>
    <row r="10905" ht="14.5" customHeight="1" spans="11:28" x14ac:dyDescent="0.25">
      <c r="K10905" s="128"/>
      <c r="X10905" s="234"/>
      <c r="Y10905" s="234"/>
      <c r="Z10905" s="234"/>
      <c r="AA10905" s="235"/>
      <c r="AB10905" s="234"/>
    </row>
    <row r="10906" ht="14.5" customHeight="1" spans="11:28" x14ac:dyDescent="0.25">
      <c r="K10906" s="128"/>
      <c r="X10906" s="234"/>
      <c r="Y10906" s="234"/>
      <c r="Z10906" s="234"/>
      <c r="AA10906" s="235"/>
      <c r="AB10906" s="234"/>
    </row>
    <row r="10907" ht="14.5" customHeight="1" spans="11:28" x14ac:dyDescent="0.25">
      <c r="K10907" s="128"/>
      <c r="X10907" s="234"/>
      <c r="Y10907" s="234"/>
      <c r="Z10907" s="234"/>
      <c r="AA10907" s="235"/>
      <c r="AB10907" s="234"/>
    </row>
    <row r="10908" ht="14.5" customHeight="1" spans="11:28" x14ac:dyDescent="0.25">
      <c r="K10908" s="128"/>
      <c r="X10908" s="234"/>
      <c r="Y10908" s="234"/>
      <c r="Z10908" s="234"/>
      <c r="AA10908" s="235"/>
      <c r="AB10908" s="234"/>
    </row>
    <row r="10909" ht="14.5" customHeight="1" spans="11:28" x14ac:dyDescent="0.25">
      <c r="K10909" s="128"/>
      <c r="X10909" s="234"/>
      <c r="Y10909" s="234"/>
      <c r="Z10909" s="234"/>
      <c r="AA10909" s="235"/>
      <c r="AB10909" s="234"/>
    </row>
    <row r="10910" ht="14.5" customHeight="1" spans="11:28" x14ac:dyDescent="0.25">
      <c r="K10910" s="128"/>
      <c r="X10910" s="234"/>
      <c r="Y10910" s="234"/>
      <c r="Z10910" s="234"/>
      <c r="AA10910" s="235"/>
      <c r="AB10910" s="234"/>
    </row>
    <row r="10911" ht="14.5" customHeight="1" spans="11:28" x14ac:dyDescent="0.25">
      <c r="K10911" s="128"/>
      <c r="X10911" s="234"/>
      <c r="Y10911" s="234"/>
      <c r="Z10911" s="234"/>
      <c r="AA10911" s="235"/>
      <c r="AB10911" s="234"/>
    </row>
    <row r="10912" ht="14.5" customHeight="1" spans="11:28" x14ac:dyDescent="0.25">
      <c r="K10912" s="128"/>
      <c r="X10912" s="234"/>
      <c r="Y10912" s="234"/>
      <c r="Z10912" s="234"/>
      <c r="AA10912" s="235"/>
      <c r="AB10912" s="234"/>
    </row>
    <row r="10913" ht="14.5" customHeight="1" spans="11:28" x14ac:dyDescent="0.25">
      <c r="K10913" s="128"/>
      <c r="X10913" s="234"/>
      <c r="Y10913" s="234"/>
      <c r="Z10913" s="234"/>
      <c r="AA10913" s="235"/>
      <c r="AB10913" s="234"/>
    </row>
    <row r="10914" ht="14.5" customHeight="1" spans="11:28" x14ac:dyDescent="0.25">
      <c r="K10914" s="128"/>
      <c r="X10914" s="234"/>
      <c r="Y10914" s="234"/>
      <c r="Z10914" s="234"/>
      <c r="AA10914" s="235"/>
      <c r="AB10914" s="234"/>
    </row>
    <row r="10915" ht="14.5" customHeight="1" spans="11:28" x14ac:dyDescent="0.25">
      <c r="K10915" s="128"/>
      <c r="X10915" s="234"/>
      <c r="Y10915" s="234"/>
      <c r="Z10915" s="234"/>
      <c r="AA10915" s="235"/>
      <c r="AB10915" s="234"/>
    </row>
    <row r="10916" ht="14.5" customHeight="1" spans="11:28" x14ac:dyDescent="0.25">
      <c r="K10916" s="128"/>
      <c r="X10916" s="234"/>
      <c r="Y10916" s="234"/>
      <c r="Z10916" s="234"/>
      <c r="AA10916" s="235"/>
      <c r="AB10916" s="234"/>
    </row>
    <row r="10917" ht="14.5" customHeight="1" spans="11:28" x14ac:dyDescent="0.25">
      <c r="K10917" s="128"/>
      <c r="X10917" s="234"/>
      <c r="Y10917" s="234"/>
      <c r="Z10917" s="234"/>
      <c r="AA10917" s="235"/>
      <c r="AB10917" s="234"/>
    </row>
    <row r="10918" ht="14.5" customHeight="1" spans="11:28" x14ac:dyDescent="0.25">
      <c r="K10918" s="128"/>
      <c r="X10918" s="234"/>
      <c r="Y10918" s="234"/>
      <c r="Z10918" s="234"/>
      <c r="AA10918" s="235"/>
      <c r="AB10918" s="234"/>
    </row>
    <row r="10919" ht="14.5" customHeight="1" spans="11:28" x14ac:dyDescent="0.25">
      <c r="K10919" s="128"/>
      <c r="X10919" s="234"/>
      <c r="Y10919" s="234"/>
      <c r="Z10919" s="234"/>
      <c r="AA10919" s="235"/>
      <c r="AB10919" s="234"/>
    </row>
    <row r="10920" ht="14.5" customHeight="1" spans="11:28" x14ac:dyDescent="0.25">
      <c r="K10920" s="128"/>
      <c r="X10920" s="234"/>
      <c r="Y10920" s="234"/>
      <c r="Z10920" s="234"/>
      <c r="AA10920" s="235"/>
      <c r="AB10920" s="234"/>
    </row>
    <row r="10921" ht="14.5" customHeight="1" spans="11:28" x14ac:dyDescent="0.25">
      <c r="K10921" s="128"/>
      <c r="X10921" s="234"/>
      <c r="Y10921" s="234"/>
      <c r="Z10921" s="234"/>
      <c r="AA10921" s="235"/>
      <c r="AB10921" s="234"/>
    </row>
    <row r="10922" ht="14.5" customHeight="1" spans="11:28" x14ac:dyDescent="0.25">
      <c r="K10922" s="128"/>
      <c r="X10922" s="234"/>
      <c r="Y10922" s="234"/>
      <c r="Z10922" s="234"/>
      <c r="AA10922" s="235"/>
      <c r="AB10922" s="234"/>
    </row>
    <row r="10923" ht="14.5" customHeight="1" spans="11:28" x14ac:dyDescent="0.25">
      <c r="K10923" s="128"/>
      <c r="X10923" s="234"/>
      <c r="Y10923" s="234"/>
      <c r="Z10923" s="234"/>
      <c r="AA10923" s="235"/>
      <c r="AB10923" s="234"/>
    </row>
    <row r="10924" ht="14.5" customHeight="1" spans="11:28" x14ac:dyDescent="0.25">
      <c r="K10924" s="128"/>
      <c r="X10924" s="234"/>
      <c r="Y10924" s="234"/>
      <c r="Z10924" s="234"/>
      <c r="AA10924" s="235"/>
      <c r="AB10924" s="234"/>
    </row>
    <row r="10925" ht="14.5" customHeight="1" spans="11:28" x14ac:dyDescent="0.25">
      <c r="K10925" s="128"/>
      <c r="X10925" s="234"/>
      <c r="Y10925" s="234"/>
      <c r="Z10925" s="234"/>
      <c r="AA10925" s="235"/>
      <c r="AB10925" s="234"/>
    </row>
    <row r="10926" ht="14.5" customHeight="1" spans="11:28" x14ac:dyDescent="0.25">
      <c r="K10926" s="128"/>
      <c r="X10926" s="234"/>
      <c r="Y10926" s="234"/>
      <c r="Z10926" s="234"/>
      <c r="AA10926" s="235"/>
      <c r="AB10926" s="234"/>
    </row>
    <row r="10927" ht="14.5" customHeight="1" spans="11:28" x14ac:dyDescent="0.25">
      <c r="K10927" s="128"/>
      <c r="X10927" s="234"/>
      <c r="Y10927" s="234"/>
      <c r="Z10927" s="234"/>
      <c r="AA10927" s="235"/>
      <c r="AB10927" s="234"/>
    </row>
    <row r="10928" ht="14.5" customHeight="1" spans="11:28" x14ac:dyDescent="0.25">
      <c r="K10928" s="128"/>
      <c r="X10928" s="234"/>
      <c r="Y10928" s="234"/>
      <c r="Z10928" s="234"/>
      <c r="AA10928" s="235"/>
      <c r="AB10928" s="234"/>
    </row>
    <row r="10929" ht="14.5" customHeight="1" spans="11:28" x14ac:dyDescent="0.25">
      <c r="K10929" s="128"/>
      <c r="X10929" s="234"/>
      <c r="Y10929" s="234"/>
      <c r="Z10929" s="234"/>
      <c r="AA10929" s="235"/>
      <c r="AB10929" s="234"/>
    </row>
    <row r="10930" ht="14.5" customHeight="1" spans="11:28" x14ac:dyDescent="0.25">
      <c r="K10930" s="128"/>
      <c r="X10930" s="234"/>
      <c r="Y10930" s="234"/>
      <c r="Z10930" s="234"/>
      <c r="AA10930" s="235"/>
      <c r="AB10930" s="234"/>
    </row>
    <row r="10931" ht="14.5" customHeight="1" spans="11:28" x14ac:dyDescent="0.25">
      <c r="K10931" s="128"/>
      <c r="X10931" s="234"/>
      <c r="Y10931" s="234"/>
      <c r="Z10931" s="234"/>
      <c r="AA10931" s="235"/>
      <c r="AB10931" s="234"/>
    </row>
    <row r="10932" ht="14.5" customHeight="1" spans="11:28" x14ac:dyDescent="0.25">
      <c r="K10932" s="128"/>
      <c r="X10932" s="234"/>
      <c r="Y10932" s="234"/>
      <c r="Z10932" s="234"/>
      <c r="AA10932" s="235"/>
      <c r="AB10932" s="234"/>
    </row>
    <row r="10933" ht="14.5" customHeight="1" spans="11:28" x14ac:dyDescent="0.25">
      <c r="K10933" s="128"/>
      <c r="X10933" s="234"/>
      <c r="Y10933" s="234"/>
      <c r="Z10933" s="234"/>
      <c r="AA10933" s="235"/>
      <c r="AB10933" s="234"/>
    </row>
    <row r="10934" ht="14.5" customHeight="1" spans="11:28" x14ac:dyDescent="0.25">
      <c r="K10934" s="128"/>
      <c r="X10934" s="234"/>
      <c r="Y10934" s="234"/>
      <c r="Z10934" s="234"/>
      <c r="AA10934" s="235"/>
      <c r="AB10934" s="234"/>
    </row>
    <row r="10935" ht="14.5" customHeight="1" spans="11:28" x14ac:dyDescent="0.25">
      <c r="K10935" s="128"/>
      <c r="X10935" s="234"/>
      <c r="Y10935" s="234"/>
      <c r="Z10935" s="234"/>
      <c r="AA10935" s="235"/>
      <c r="AB10935" s="234"/>
    </row>
    <row r="10936" ht="14.5" customHeight="1" spans="11:28" x14ac:dyDescent="0.25">
      <c r="K10936" s="128"/>
      <c r="X10936" s="234"/>
      <c r="Y10936" s="234"/>
      <c r="Z10936" s="234"/>
      <c r="AA10936" s="235"/>
      <c r="AB10936" s="234"/>
    </row>
    <row r="10937" ht="14.5" customHeight="1" spans="11:28" x14ac:dyDescent="0.25">
      <c r="K10937" s="128"/>
      <c r="X10937" s="234"/>
      <c r="Y10937" s="234"/>
      <c r="Z10937" s="234"/>
      <c r="AA10937" s="235"/>
      <c r="AB10937" s="234"/>
    </row>
    <row r="10938" ht="14.5" customHeight="1" spans="11:28" x14ac:dyDescent="0.25">
      <c r="K10938" s="128"/>
      <c r="X10938" s="234"/>
      <c r="Y10938" s="234"/>
      <c r="Z10938" s="234"/>
      <c r="AA10938" s="235"/>
      <c r="AB10938" s="234"/>
    </row>
    <row r="10939" ht="14.5" customHeight="1" spans="11:28" x14ac:dyDescent="0.25">
      <c r="K10939" s="128"/>
      <c r="X10939" s="234"/>
      <c r="Y10939" s="234"/>
      <c r="Z10939" s="234"/>
      <c r="AA10939" s="235"/>
      <c r="AB10939" s="234"/>
    </row>
    <row r="10940" ht="14.5" customHeight="1" spans="11:28" x14ac:dyDescent="0.25">
      <c r="K10940" s="128"/>
      <c r="X10940" s="234"/>
      <c r="Y10940" s="234"/>
      <c r="Z10940" s="234"/>
      <c r="AA10940" s="235"/>
      <c r="AB10940" s="234"/>
    </row>
    <row r="10941" ht="14.5" customHeight="1" spans="11:28" x14ac:dyDescent="0.25">
      <c r="K10941" s="128"/>
      <c r="X10941" s="234"/>
      <c r="Y10941" s="234"/>
      <c r="Z10941" s="234"/>
      <c r="AA10941" s="235"/>
      <c r="AB10941" s="234"/>
    </row>
    <row r="10942" ht="14.5" customHeight="1" spans="11:28" x14ac:dyDescent="0.25">
      <c r="K10942" s="128"/>
      <c r="X10942" s="234"/>
      <c r="Y10942" s="234"/>
      <c r="Z10942" s="234"/>
      <c r="AA10942" s="235"/>
      <c r="AB10942" s="234"/>
    </row>
    <row r="10943" ht="14.5" customHeight="1" spans="11:28" x14ac:dyDescent="0.25">
      <c r="K10943" s="128"/>
      <c r="X10943" s="234"/>
      <c r="Y10943" s="234"/>
      <c r="Z10943" s="234"/>
      <c r="AA10943" s="235"/>
      <c r="AB10943" s="234"/>
    </row>
    <row r="10944" ht="14.5" customHeight="1" spans="11:28" x14ac:dyDescent="0.25">
      <c r="K10944" s="128"/>
      <c r="X10944" s="234"/>
      <c r="Y10944" s="234"/>
      <c r="Z10944" s="234"/>
      <c r="AA10944" s="235"/>
      <c r="AB10944" s="234"/>
    </row>
    <row r="10945" ht="14.5" customHeight="1" spans="11:28" x14ac:dyDescent="0.25">
      <c r="K10945" s="128"/>
      <c r="X10945" s="234"/>
      <c r="Y10945" s="234"/>
      <c r="Z10945" s="234"/>
      <c r="AA10945" s="235"/>
      <c r="AB10945" s="234"/>
    </row>
    <row r="10946" ht="14.5" customHeight="1" spans="11:28" x14ac:dyDescent="0.25">
      <c r="K10946" s="128"/>
      <c r="X10946" s="234"/>
      <c r="Y10946" s="234"/>
      <c r="Z10946" s="234"/>
      <c r="AA10946" s="235"/>
      <c r="AB10946" s="234"/>
    </row>
    <row r="10947" ht="14.5" customHeight="1" spans="11:28" x14ac:dyDescent="0.25">
      <c r="K10947" s="128"/>
      <c r="X10947" s="234"/>
      <c r="Y10947" s="234"/>
      <c r="Z10947" s="234"/>
      <c r="AA10947" s="235"/>
      <c r="AB10947" s="234"/>
    </row>
    <row r="10948" ht="14.5" customHeight="1" spans="11:28" x14ac:dyDescent="0.25">
      <c r="K10948" s="128"/>
      <c r="X10948" s="234"/>
      <c r="Y10948" s="234"/>
      <c r="Z10948" s="234"/>
      <c r="AA10948" s="235"/>
      <c r="AB10948" s="234"/>
    </row>
    <row r="10949" ht="14.5" customHeight="1" spans="11:28" x14ac:dyDescent="0.25">
      <c r="K10949" s="128"/>
      <c r="X10949" s="234"/>
      <c r="Y10949" s="234"/>
      <c r="Z10949" s="234"/>
      <c r="AA10949" s="235"/>
      <c r="AB10949" s="234"/>
    </row>
    <row r="10950" ht="14.5" customHeight="1" spans="11:28" x14ac:dyDescent="0.25">
      <c r="K10950" s="128"/>
      <c r="X10950" s="234"/>
      <c r="Y10950" s="234"/>
      <c r="Z10950" s="234"/>
      <c r="AA10950" s="235"/>
      <c r="AB10950" s="234"/>
    </row>
    <row r="10951" ht="14.5" customHeight="1" spans="11:28" x14ac:dyDescent="0.25">
      <c r="K10951" s="128"/>
      <c r="X10951" s="234"/>
      <c r="Y10951" s="234"/>
      <c r="Z10951" s="234"/>
      <c r="AA10951" s="235"/>
      <c r="AB10951" s="234"/>
    </row>
    <row r="10952" ht="14.5" customHeight="1" spans="11:28" x14ac:dyDescent="0.25">
      <c r="K10952" s="128"/>
      <c r="X10952" s="234"/>
      <c r="Y10952" s="234"/>
      <c r="Z10952" s="234"/>
      <c r="AA10952" s="235"/>
      <c r="AB10952" s="234"/>
    </row>
    <row r="10953" ht="14.5" customHeight="1" spans="11:28" x14ac:dyDescent="0.25">
      <c r="K10953" s="128"/>
      <c r="X10953" s="234"/>
      <c r="Y10953" s="234"/>
      <c r="Z10953" s="234"/>
      <c r="AA10953" s="235"/>
      <c r="AB10953" s="234"/>
    </row>
    <row r="10954" ht="14.5" customHeight="1" spans="11:28" x14ac:dyDescent="0.25">
      <c r="K10954" s="128"/>
      <c r="X10954" s="234"/>
      <c r="Y10954" s="234"/>
      <c r="Z10954" s="234"/>
      <c r="AA10954" s="235"/>
      <c r="AB10954" s="234"/>
    </row>
    <row r="10955" ht="14.5" customHeight="1" spans="11:28" x14ac:dyDescent="0.25">
      <c r="K10955" s="128"/>
      <c r="X10955" s="234"/>
      <c r="Y10955" s="234"/>
      <c r="Z10955" s="234"/>
      <c r="AA10955" s="235"/>
      <c r="AB10955" s="234"/>
    </row>
    <row r="10956" ht="14.5" customHeight="1" spans="11:28" x14ac:dyDescent="0.25">
      <c r="K10956" s="128"/>
      <c r="X10956" s="234"/>
      <c r="Y10956" s="234"/>
      <c r="Z10956" s="234"/>
      <c r="AA10956" s="235"/>
      <c r="AB10956" s="234"/>
    </row>
    <row r="10957" ht="14.5" customHeight="1" spans="11:28" x14ac:dyDescent="0.25">
      <c r="K10957" s="128"/>
      <c r="X10957" s="234"/>
      <c r="Y10957" s="234"/>
      <c r="Z10957" s="234"/>
      <c r="AA10957" s="235"/>
      <c r="AB10957" s="234"/>
    </row>
    <row r="10958" ht="14.5" customHeight="1" spans="11:28" x14ac:dyDescent="0.25">
      <c r="K10958" s="128"/>
      <c r="X10958" s="234"/>
      <c r="Y10958" s="234"/>
      <c r="Z10958" s="234"/>
      <c r="AA10958" s="235"/>
      <c r="AB10958" s="234"/>
    </row>
    <row r="10959" ht="14.5" customHeight="1" spans="11:28" x14ac:dyDescent="0.25">
      <c r="K10959" s="128"/>
      <c r="X10959" s="234"/>
      <c r="Y10959" s="234"/>
      <c r="Z10959" s="234"/>
      <c r="AA10959" s="235"/>
      <c r="AB10959" s="234"/>
    </row>
    <row r="10960" ht="14.5" customHeight="1" spans="11:28" x14ac:dyDescent="0.25">
      <c r="K10960" s="128"/>
      <c r="X10960" s="234"/>
      <c r="Y10960" s="234"/>
      <c r="Z10960" s="234"/>
      <c r="AA10960" s="235"/>
      <c r="AB10960" s="234"/>
    </row>
    <row r="10961" ht="14.5" customHeight="1" spans="11:28" x14ac:dyDescent="0.25">
      <c r="K10961" s="128"/>
      <c r="X10961" s="234"/>
      <c r="Y10961" s="234"/>
      <c r="Z10961" s="234"/>
      <c r="AA10961" s="235"/>
      <c r="AB10961" s="234"/>
    </row>
    <row r="10962" ht="14.5" customHeight="1" spans="11:28" x14ac:dyDescent="0.25">
      <c r="K10962" s="128"/>
      <c r="X10962" s="234"/>
      <c r="Y10962" s="234"/>
      <c r="Z10962" s="234"/>
      <c r="AA10962" s="235"/>
      <c r="AB10962" s="234"/>
    </row>
    <row r="10963" ht="14.5" customHeight="1" spans="11:28" x14ac:dyDescent="0.25">
      <c r="K10963" s="128"/>
      <c r="X10963" s="234"/>
      <c r="Y10963" s="234"/>
      <c r="Z10963" s="234"/>
      <c r="AA10963" s="235"/>
      <c r="AB10963" s="234"/>
    </row>
    <row r="10964" ht="14.5" customHeight="1" spans="11:28" x14ac:dyDescent="0.25">
      <c r="K10964" s="128"/>
      <c r="X10964" s="234"/>
      <c r="Y10964" s="234"/>
      <c r="Z10964" s="234"/>
      <c r="AA10964" s="235"/>
      <c r="AB10964" s="234"/>
    </row>
    <row r="10965" ht="14.5" customHeight="1" spans="11:28" x14ac:dyDescent="0.25">
      <c r="K10965" s="128"/>
      <c r="X10965" s="234"/>
      <c r="Y10965" s="234"/>
      <c r="Z10965" s="234"/>
      <c r="AA10965" s="235"/>
      <c r="AB10965" s="234"/>
    </row>
    <row r="10966" ht="14.5" customHeight="1" spans="11:28" x14ac:dyDescent="0.25">
      <c r="K10966" s="128"/>
      <c r="X10966" s="234"/>
      <c r="Y10966" s="234"/>
      <c r="Z10966" s="234"/>
      <c r="AA10966" s="235"/>
      <c r="AB10966" s="234"/>
    </row>
    <row r="10967" ht="14.5" customHeight="1" spans="11:28" x14ac:dyDescent="0.25">
      <c r="K10967" s="128"/>
      <c r="X10967" s="234"/>
      <c r="Y10967" s="234"/>
      <c r="Z10967" s="234"/>
      <c r="AA10967" s="235"/>
      <c r="AB10967" s="234"/>
    </row>
    <row r="10968" ht="14.5" customHeight="1" spans="11:28" x14ac:dyDescent="0.25">
      <c r="K10968" s="128"/>
      <c r="X10968" s="234"/>
      <c r="Y10968" s="234"/>
      <c r="Z10968" s="234"/>
      <c r="AA10968" s="235"/>
      <c r="AB10968" s="234"/>
    </row>
    <row r="10969" ht="14.5" customHeight="1" spans="11:28" x14ac:dyDescent="0.25">
      <c r="K10969" s="128"/>
      <c r="X10969" s="234"/>
      <c r="Y10969" s="234"/>
      <c r="Z10969" s="234"/>
      <c r="AA10969" s="235"/>
      <c r="AB10969" s="234"/>
    </row>
    <row r="10970" ht="14.5" customHeight="1" spans="11:28" x14ac:dyDescent="0.25">
      <c r="K10970" s="128"/>
      <c r="X10970" s="234"/>
      <c r="Y10970" s="234"/>
      <c r="Z10970" s="234"/>
      <c r="AA10970" s="235"/>
      <c r="AB10970" s="234"/>
    </row>
    <row r="10971" ht="14.5" customHeight="1" spans="11:28" x14ac:dyDescent="0.25">
      <c r="K10971" s="128"/>
      <c r="X10971" s="234"/>
      <c r="Y10971" s="234"/>
      <c r="Z10971" s="234"/>
      <c r="AA10971" s="235"/>
      <c r="AB10971" s="234"/>
    </row>
    <row r="10972" ht="14.5" customHeight="1" spans="11:28" x14ac:dyDescent="0.25">
      <c r="K10972" s="128"/>
      <c r="X10972" s="234"/>
      <c r="Y10972" s="234"/>
      <c r="Z10972" s="234"/>
      <c r="AA10972" s="235"/>
      <c r="AB10972" s="234"/>
    </row>
    <row r="10973" ht="14.5" customHeight="1" spans="11:28" x14ac:dyDescent="0.25">
      <c r="K10973" s="128"/>
      <c r="X10973" s="234"/>
      <c r="Y10973" s="234"/>
      <c r="Z10973" s="234"/>
      <c r="AA10973" s="235"/>
      <c r="AB10973" s="234"/>
    </row>
    <row r="10974" ht="14.5" customHeight="1" spans="11:28" x14ac:dyDescent="0.25">
      <c r="K10974" s="128"/>
      <c r="X10974" s="234"/>
      <c r="Y10974" s="234"/>
      <c r="Z10974" s="234"/>
      <c r="AA10974" s="235"/>
      <c r="AB10974" s="234"/>
    </row>
    <row r="10975" ht="14.5" customHeight="1" spans="11:28" x14ac:dyDescent="0.25">
      <c r="K10975" s="128"/>
      <c r="X10975" s="234"/>
      <c r="Y10975" s="234"/>
      <c r="Z10975" s="234"/>
      <c r="AA10975" s="235"/>
      <c r="AB10975" s="234"/>
    </row>
    <row r="10976" ht="14.5" customHeight="1" spans="11:28" x14ac:dyDescent="0.25">
      <c r="K10976" s="128"/>
      <c r="X10976" s="234"/>
      <c r="Y10976" s="234"/>
      <c r="Z10976" s="234"/>
      <c r="AA10976" s="235"/>
      <c r="AB10976" s="234"/>
    </row>
    <row r="10977" ht="14.5" customHeight="1" spans="11:28" x14ac:dyDescent="0.25">
      <c r="K10977" s="128"/>
      <c r="X10977" s="234"/>
      <c r="Y10977" s="234"/>
      <c r="Z10977" s="234"/>
      <c r="AA10977" s="235"/>
      <c r="AB10977" s="234"/>
    </row>
    <row r="10978" ht="14.5" customHeight="1" spans="11:28" x14ac:dyDescent="0.25">
      <c r="K10978" s="128"/>
      <c r="X10978" s="234"/>
      <c r="Y10978" s="234"/>
      <c r="Z10978" s="234"/>
      <c r="AA10978" s="235"/>
      <c r="AB10978" s="234"/>
    </row>
    <row r="10979" ht="14.5" customHeight="1" spans="11:28" x14ac:dyDescent="0.25">
      <c r="K10979" s="128"/>
      <c r="X10979" s="234"/>
      <c r="Y10979" s="234"/>
      <c r="Z10979" s="234"/>
      <c r="AA10979" s="235"/>
      <c r="AB10979" s="234"/>
    </row>
    <row r="10980" ht="14.5" customHeight="1" spans="11:28" x14ac:dyDescent="0.25">
      <c r="K10980" s="128"/>
      <c r="X10980" s="234"/>
      <c r="Y10980" s="234"/>
      <c r="Z10980" s="234"/>
      <c r="AA10980" s="235"/>
      <c r="AB10980" s="234"/>
    </row>
    <row r="10981" ht="14.5" customHeight="1" spans="11:28" x14ac:dyDescent="0.25">
      <c r="K10981" s="128"/>
      <c r="X10981" s="234"/>
      <c r="Y10981" s="234"/>
      <c r="Z10981" s="234"/>
      <c r="AA10981" s="235"/>
      <c r="AB10981" s="234"/>
    </row>
    <row r="10982" ht="14.5" customHeight="1" spans="11:28" x14ac:dyDescent="0.25">
      <c r="K10982" s="128"/>
      <c r="X10982" s="234"/>
      <c r="Y10982" s="234"/>
      <c r="Z10982" s="234"/>
      <c r="AA10982" s="235"/>
      <c r="AB10982" s="234"/>
    </row>
    <row r="10983" ht="14.5" customHeight="1" spans="11:28" x14ac:dyDescent="0.25">
      <c r="K10983" s="128"/>
      <c r="X10983" s="234"/>
      <c r="Y10983" s="234"/>
      <c r="Z10983" s="234"/>
      <c r="AA10983" s="235"/>
      <c r="AB10983" s="234"/>
    </row>
    <row r="10984" ht="14.5" customHeight="1" spans="11:28" x14ac:dyDescent="0.25">
      <c r="K10984" s="128"/>
      <c r="X10984" s="234"/>
      <c r="Y10984" s="234"/>
      <c r="Z10984" s="234"/>
      <c r="AA10984" s="235"/>
      <c r="AB10984" s="234"/>
    </row>
    <row r="10985" ht="14.5" customHeight="1" spans="11:28" x14ac:dyDescent="0.25">
      <c r="K10985" s="128"/>
      <c r="X10985" s="234"/>
      <c r="Y10985" s="234"/>
      <c r="Z10985" s="234"/>
      <c r="AA10985" s="235"/>
      <c r="AB10985" s="234"/>
    </row>
    <row r="10986" ht="14.5" customHeight="1" spans="11:28" x14ac:dyDescent="0.25">
      <c r="K10986" s="128"/>
      <c r="X10986" s="234"/>
      <c r="Y10986" s="234"/>
      <c r="Z10986" s="234"/>
      <c r="AA10986" s="235"/>
      <c r="AB10986" s="234"/>
    </row>
    <row r="10987" ht="14.5" customHeight="1" spans="11:28" x14ac:dyDescent="0.25">
      <c r="K10987" s="128"/>
      <c r="X10987" s="234"/>
      <c r="Y10987" s="234"/>
      <c r="Z10987" s="234"/>
      <c r="AA10987" s="235"/>
      <c r="AB10987" s="234"/>
    </row>
    <row r="10988" ht="14.5" customHeight="1" spans="11:28" x14ac:dyDescent="0.25">
      <c r="K10988" s="128"/>
      <c r="X10988" s="234"/>
      <c r="Y10988" s="234"/>
      <c r="Z10988" s="234"/>
      <c r="AA10988" s="235"/>
      <c r="AB10988" s="234"/>
    </row>
    <row r="10989" ht="14.5" customHeight="1" spans="11:28" x14ac:dyDescent="0.25">
      <c r="K10989" s="128"/>
      <c r="X10989" s="234"/>
      <c r="Y10989" s="234"/>
      <c r="Z10989" s="234"/>
      <c r="AA10989" s="235"/>
      <c r="AB10989" s="234"/>
    </row>
    <row r="10990" ht="14.5" customHeight="1" spans="11:28" x14ac:dyDescent="0.25">
      <c r="K10990" s="128"/>
      <c r="X10990" s="234"/>
      <c r="Y10990" s="234"/>
      <c r="Z10990" s="234"/>
      <c r="AA10990" s="235"/>
      <c r="AB10990" s="234"/>
    </row>
    <row r="10991" ht="14.5" customHeight="1" spans="11:28" x14ac:dyDescent="0.25">
      <c r="K10991" s="128"/>
      <c r="X10991" s="234"/>
      <c r="Y10991" s="234"/>
      <c r="Z10991" s="234"/>
      <c r="AA10991" s="235"/>
      <c r="AB10991" s="234"/>
    </row>
    <row r="10992" ht="14.5" customHeight="1" spans="11:28" x14ac:dyDescent="0.25">
      <c r="K10992" s="128"/>
      <c r="X10992" s="234"/>
      <c r="Y10992" s="234"/>
      <c r="Z10992" s="234"/>
      <c r="AA10992" s="235"/>
      <c r="AB10992" s="234"/>
    </row>
    <row r="10993" ht="14.5" customHeight="1" spans="11:28" x14ac:dyDescent="0.25">
      <c r="K10993" s="128"/>
      <c r="X10993" s="234"/>
      <c r="Y10993" s="234"/>
      <c r="Z10993" s="234"/>
      <c r="AA10993" s="235"/>
      <c r="AB10993" s="234"/>
    </row>
    <row r="10994" ht="14.5" customHeight="1" spans="11:28" x14ac:dyDescent="0.25">
      <c r="K10994" s="128"/>
      <c r="X10994" s="234"/>
      <c r="Y10994" s="234"/>
      <c r="Z10994" s="234"/>
      <c r="AA10994" s="235"/>
      <c r="AB10994" s="234"/>
    </row>
    <row r="10995" ht="14.5" customHeight="1" spans="11:28" x14ac:dyDescent="0.25">
      <c r="K10995" s="128"/>
      <c r="X10995" s="234"/>
      <c r="Y10995" s="234"/>
      <c r="Z10995" s="234"/>
      <c r="AA10995" s="235"/>
      <c r="AB10995" s="234"/>
    </row>
    <row r="10996" ht="14.5" customHeight="1" spans="11:28" x14ac:dyDescent="0.25">
      <c r="K10996" s="128"/>
      <c r="X10996" s="234"/>
      <c r="Y10996" s="234"/>
      <c r="Z10996" s="234"/>
      <c r="AA10996" s="235"/>
      <c r="AB10996" s="234"/>
    </row>
    <row r="10997" ht="14.5" customHeight="1" spans="11:28" x14ac:dyDescent="0.25">
      <c r="K10997" s="128"/>
      <c r="X10997" s="234"/>
      <c r="Y10997" s="234"/>
      <c r="Z10997" s="234"/>
      <c r="AA10997" s="235"/>
      <c r="AB10997" s="234"/>
    </row>
    <row r="10998" ht="14.5" customHeight="1" spans="11:28" x14ac:dyDescent="0.25">
      <c r="K10998" s="128"/>
      <c r="X10998" s="234"/>
      <c r="Y10998" s="234"/>
      <c r="Z10998" s="234"/>
      <c r="AA10998" s="235"/>
      <c r="AB10998" s="234"/>
    </row>
    <row r="10999" ht="14.5" customHeight="1" spans="11:28" x14ac:dyDescent="0.25">
      <c r="K10999" s="128"/>
      <c r="X10999" s="234"/>
      <c r="Y10999" s="234"/>
      <c r="Z10999" s="234"/>
      <c r="AA10999" s="235"/>
      <c r="AB10999" s="234"/>
    </row>
    <row r="11000" ht="14.5" customHeight="1" spans="11:28" x14ac:dyDescent="0.25">
      <c r="K11000" s="128"/>
      <c r="X11000" s="234"/>
      <c r="Y11000" s="234"/>
      <c r="Z11000" s="234"/>
      <c r="AA11000" s="235"/>
      <c r="AB11000" s="234"/>
    </row>
    <row r="11001" ht="14.5" customHeight="1" spans="11:28" x14ac:dyDescent="0.25">
      <c r="K11001" s="128"/>
      <c r="X11001" s="234"/>
      <c r="Y11001" s="234"/>
      <c r="Z11001" s="234"/>
      <c r="AA11001" s="235"/>
      <c r="AB11001" s="234"/>
    </row>
    <row r="11002" ht="14.5" customHeight="1" spans="11:28" x14ac:dyDescent="0.25">
      <c r="K11002" s="128"/>
      <c r="X11002" s="234"/>
      <c r="Y11002" s="234"/>
      <c r="Z11002" s="234"/>
      <c r="AA11002" s="235"/>
      <c r="AB11002" s="234"/>
    </row>
    <row r="11003" ht="14.5" customHeight="1" spans="11:28" x14ac:dyDescent="0.25">
      <c r="K11003" s="128"/>
      <c r="X11003" s="234"/>
      <c r="Y11003" s="234"/>
      <c r="Z11003" s="234"/>
      <c r="AA11003" s="235"/>
      <c r="AB11003" s="234"/>
    </row>
    <row r="11004" ht="14.5" customHeight="1" spans="11:28" x14ac:dyDescent="0.25">
      <c r="K11004" s="128"/>
      <c r="X11004" s="234"/>
      <c r="Y11004" s="234"/>
      <c r="Z11004" s="234"/>
      <c r="AA11004" s="235"/>
      <c r="AB11004" s="234"/>
    </row>
    <row r="11005" ht="14.5" customHeight="1" spans="11:28" x14ac:dyDescent="0.25">
      <c r="K11005" s="128"/>
      <c r="X11005" s="234"/>
      <c r="Y11005" s="234"/>
      <c r="Z11005" s="234"/>
      <c r="AA11005" s="235"/>
      <c r="AB11005" s="234"/>
    </row>
    <row r="11006" ht="14.5" customHeight="1" spans="11:28" x14ac:dyDescent="0.25">
      <c r="K11006" s="128"/>
      <c r="X11006" s="234"/>
      <c r="Y11006" s="234"/>
      <c r="Z11006" s="234"/>
      <c r="AA11006" s="235"/>
      <c r="AB11006" s="234"/>
    </row>
    <row r="11007" ht="14.5" customHeight="1" spans="11:28" x14ac:dyDescent="0.25">
      <c r="K11007" s="128"/>
      <c r="X11007" s="234"/>
      <c r="Y11007" s="234"/>
      <c r="Z11007" s="234"/>
      <c r="AA11007" s="235"/>
      <c r="AB11007" s="234"/>
    </row>
    <row r="11008" ht="14.5" customHeight="1" spans="11:28" x14ac:dyDescent="0.25">
      <c r="K11008" s="128"/>
      <c r="X11008" s="234"/>
      <c r="Y11008" s="234"/>
      <c r="Z11008" s="234"/>
      <c r="AA11008" s="235"/>
      <c r="AB11008" s="234"/>
    </row>
    <row r="11009" ht="14.5" customHeight="1" spans="11:28" x14ac:dyDescent="0.25">
      <c r="K11009" s="128"/>
      <c r="X11009" s="234"/>
      <c r="Y11009" s="234"/>
      <c r="Z11009" s="234"/>
      <c r="AA11009" s="235"/>
      <c r="AB11009" s="234"/>
    </row>
    <row r="11010" ht="14.5" customHeight="1" spans="11:28" x14ac:dyDescent="0.25">
      <c r="K11010" s="128"/>
      <c r="X11010" s="234"/>
      <c r="Y11010" s="234"/>
      <c r="Z11010" s="234"/>
      <c r="AA11010" s="235"/>
      <c r="AB11010" s="234"/>
    </row>
    <row r="11011" ht="14.5" customHeight="1" spans="11:28" x14ac:dyDescent="0.25">
      <c r="K11011" s="128"/>
      <c r="X11011" s="234"/>
      <c r="Y11011" s="234"/>
      <c r="Z11011" s="234"/>
      <c r="AA11011" s="235"/>
      <c r="AB11011" s="234"/>
    </row>
    <row r="11012" ht="14.5" customHeight="1" spans="11:28" x14ac:dyDescent="0.25">
      <c r="K11012" s="128"/>
      <c r="X11012" s="234"/>
      <c r="Y11012" s="234"/>
      <c r="Z11012" s="234"/>
      <c r="AA11012" s="235"/>
      <c r="AB11012" s="234"/>
    </row>
    <row r="11013" ht="14.5" customHeight="1" spans="11:28" x14ac:dyDescent="0.25">
      <c r="K11013" s="128"/>
      <c r="X11013" s="234"/>
      <c r="Y11013" s="234"/>
      <c r="Z11013" s="234"/>
      <c r="AA11013" s="235"/>
      <c r="AB11013" s="234"/>
    </row>
    <row r="11014" ht="14.5" customHeight="1" spans="11:28" x14ac:dyDescent="0.25">
      <c r="K11014" s="128"/>
      <c r="X11014" s="234"/>
      <c r="Y11014" s="234"/>
      <c r="Z11014" s="234"/>
      <c r="AA11014" s="235"/>
      <c r="AB11014" s="234"/>
    </row>
    <row r="11015" ht="14.5" customHeight="1" spans="11:28" x14ac:dyDescent="0.25">
      <c r="K11015" s="128"/>
      <c r="X11015" s="234"/>
      <c r="Y11015" s="234"/>
      <c r="Z11015" s="234"/>
      <c r="AA11015" s="235"/>
      <c r="AB11015" s="234"/>
    </row>
    <row r="11016" ht="14.5" customHeight="1" spans="11:28" x14ac:dyDescent="0.25">
      <c r="K11016" s="128"/>
      <c r="X11016" s="234"/>
      <c r="Y11016" s="234"/>
      <c r="Z11016" s="234"/>
      <c r="AA11016" s="235"/>
      <c r="AB11016" s="234"/>
    </row>
    <row r="11017" ht="14.5" customHeight="1" spans="11:28" x14ac:dyDescent="0.25">
      <c r="K11017" s="128"/>
      <c r="X11017" s="234"/>
      <c r="Y11017" s="234"/>
      <c r="Z11017" s="234"/>
      <c r="AA11017" s="235"/>
      <c r="AB11017" s="234"/>
    </row>
    <row r="11018" ht="14.5" customHeight="1" spans="11:28" x14ac:dyDescent="0.25">
      <c r="K11018" s="128"/>
      <c r="X11018" s="234"/>
      <c r="Y11018" s="234"/>
      <c r="Z11018" s="234"/>
      <c r="AA11018" s="235"/>
      <c r="AB11018" s="234"/>
    </row>
    <row r="11019" ht="14.5" customHeight="1" spans="11:28" x14ac:dyDescent="0.25">
      <c r="K11019" s="128"/>
      <c r="X11019" s="234"/>
      <c r="Y11019" s="234"/>
      <c r="Z11019" s="234"/>
      <c r="AA11019" s="235"/>
      <c r="AB11019" s="234"/>
    </row>
    <row r="11020" ht="14.5" customHeight="1" spans="11:28" x14ac:dyDescent="0.25">
      <c r="K11020" s="128"/>
      <c r="X11020" s="234"/>
      <c r="Y11020" s="234"/>
      <c r="Z11020" s="234"/>
      <c r="AA11020" s="235"/>
      <c r="AB11020" s="234"/>
    </row>
    <row r="11021" ht="14.5" customHeight="1" spans="11:28" x14ac:dyDescent="0.25">
      <c r="K11021" s="128"/>
      <c r="X11021" s="234"/>
      <c r="Y11021" s="234"/>
      <c r="Z11021" s="234"/>
      <c r="AA11021" s="235"/>
      <c r="AB11021" s="234"/>
    </row>
    <row r="11022" ht="14.5" customHeight="1" spans="11:28" x14ac:dyDescent="0.25">
      <c r="K11022" s="128"/>
      <c r="X11022" s="234"/>
      <c r="Y11022" s="234"/>
      <c r="Z11022" s="234"/>
      <c r="AA11022" s="235"/>
      <c r="AB11022" s="234"/>
    </row>
    <row r="11023" ht="14.5" customHeight="1" spans="11:28" x14ac:dyDescent="0.25">
      <c r="K11023" s="128"/>
      <c r="X11023" s="234"/>
      <c r="Y11023" s="234"/>
      <c r="Z11023" s="234"/>
      <c r="AA11023" s="235"/>
      <c r="AB11023" s="234"/>
    </row>
    <row r="11024" ht="14.5" customHeight="1" spans="11:28" x14ac:dyDescent="0.25">
      <c r="K11024" s="128"/>
      <c r="X11024" s="234"/>
      <c r="Y11024" s="234"/>
      <c r="Z11024" s="234"/>
      <c r="AA11024" s="235"/>
      <c r="AB11024" s="234"/>
    </row>
    <row r="11025" ht="14.5" customHeight="1" spans="11:28" x14ac:dyDescent="0.25">
      <c r="K11025" s="128"/>
      <c r="X11025" s="234"/>
      <c r="Y11025" s="234"/>
      <c r="Z11025" s="234"/>
      <c r="AA11025" s="235"/>
      <c r="AB11025" s="234"/>
    </row>
    <row r="11026" ht="14.5" customHeight="1" spans="11:28" x14ac:dyDescent="0.25">
      <c r="K11026" s="128"/>
      <c r="X11026" s="234"/>
      <c r="Y11026" s="234"/>
      <c r="Z11026" s="234"/>
      <c r="AA11026" s="235"/>
      <c r="AB11026" s="234"/>
    </row>
    <row r="11027" ht="14.5" customHeight="1" spans="11:28" x14ac:dyDescent="0.25">
      <c r="K11027" s="128"/>
      <c r="X11027" s="234"/>
      <c r="Y11027" s="234"/>
      <c r="Z11027" s="234"/>
      <c r="AA11027" s="235"/>
      <c r="AB11027" s="234"/>
    </row>
    <row r="11028" ht="14.5" customHeight="1" spans="11:28" x14ac:dyDescent="0.25">
      <c r="K11028" s="128"/>
      <c r="X11028" s="234"/>
      <c r="Y11028" s="234"/>
      <c r="Z11028" s="234"/>
      <c r="AA11028" s="235"/>
      <c r="AB11028" s="234"/>
    </row>
    <row r="11029" ht="14.5" customHeight="1" spans="11:28" x14ac:dyDescent="0.25">
      <c r="K11029" s="128"/>
      <c r="X11029" s="234"/>
      <c r="Y11029" s="234"/>
      <c r="Z11029" s="234"/>
      <c r="AA11029" s="235"/>
      <c r="AB11029" s="234"/>
    </row>
    <row r="11030" ht="14.5" customHeight="1" spans="11:28" x14ac:dyDescent="0.25">
      <c r="K11030" s="128"/>
      <c r="X11030" s="234"/>
      <c r="Y11030" s="234"/>
      <c r="Z11030" s="234"/>
      <c r="AA11030" s="235"/>
      <c r="AB11030" s="234"/>
    </row>
    <row r="11031" ht="14.5" customHeight="1" spans="11:28" x14ac:dyDescent="0.25">
      <c r="K11031" s="128"/>
      <c r="X11031" s="234"/>
      <c r="Y11031" s="234"/>
      <c r="Z11031" s="234"/>
      <c r="AA11031" s="235"/>
      <c r="AB11031" s="234"/>
    </row>
    <row r="11032" ht="14.5" customHeight="1" spans="11:28" x14ac:dyDescent="0.25">
      <c r="K11032" s="128"/>
      <c r="X11032" s="234"/>
      <c r="Y11032" s="234"/>
      <c r="Z11032" s="234"/>
      <c r="AA11032" s="235"/>
      <c r="AB11032" s="234"/>
    </row>
    <row r="11033" ht="14.5" customHeight="1" spans="11:28" x14ac:dyDescent="0.25">
      <c r="K11033" s="128"/>
      <c r="X11033" s="234"/>
      <c r="Y11033" s="234"/>
      <c r="Z11033" s="234"/>
      <c r="AA11033" s="235"/>
      <c r="AB11033" s="234"/>
    </row>
    <row r="11034" ht="14.5" customHeight="1" spans="11:28" x14ac:dyDescent="0.25">
      <c r="K11034" s="128"/>
      <c r="X11034" s="234"/>
      <c r="Y11034" s="234"/>
      <c r="Z11034" s="234"/>
      <c r="AA11034" s="235"/>
      <c r="AB11034" s="234"/>
    </row>
    <row r="11035" ht="14.5" customHeight="1" spans="11:28" x14ac:dyDescent="0.25">
      <c r="K11035" s="128"/>
      <c r="X11035" s="234"/>
      <c r="Y11035" s="234"/>
      <c r="Z11035" s="234"/>
      <c r="AA11035" s="235"/>
      <c r="AB11035" s="234"/>
    </row>
    <row r="11036" ht="14.5" customHeight="1" spans="11:28" x14ac:dyDescent="0.25">
      <c r="K11036" s="128"/>
      <c r="X11036" s="234"/>
      <c r="Y11036" s="234"/>
      <c r="Z11036" s="234"/>
      <c r="AA11036" s="235"/>
      <c r="AB11036" s="234"/>
    </row>
    <row r="11037" ht="14.5" customHeight="1" spans="11:28" x14ac:dyDescent="0.25">
      <c r="K11037" s="128"/>
      <c r="X11037" s="234"/>
      <c r="Y11037" s="234"/>
      <c r="Z11037" s="234"/>
      <c r="AA11037" s="235"/>
      <c r="AB11037" s="234"/>
    </row>
    <row r="11038" ht="14.5" customHeight="1" spans="11:28" x14ac:dyDescent="0.25">
      <c r="K11038" s="128"/>
      <c r="X11038" s="234"/>
      <c r="Y11038" s="234"/>
      <c r="Z11038" s="234"/>
      <c r="AA11038" s="235"/>
      <c r="AB11038" s="234"/>
    </row>
    <row r="11039" ht="14.5" customHeight="1" spans="11:28" x14ac:dyDescent="0.25">
      <c r="K11039" s="128"/>
      <c r="X11039" s="234"/>
      <c r="Y11039" s="234"/>
      <c r="Z11039" s="234"/>
      <c r="AA11039" s="235"/>
      <c r="AB11039" s="234"/>
    </row>
    <row r="11040" ht="14.5" customHeight="1" spans="11:28" x14ac:dyDescent="0.25">
      <c r="K11040" s="128"/>
      <c r="X11040" s="234"/>
      <c r="Y11040" s="234"/>
      <c r="Z11040" s="234"/>
      <c r="AA11040" s="235"/>
      <c r="AB11040" s="234"/>
    </row>
    <row r="11041" ht="14.5" customHeight="1" spans="11:28" x14ac:dyDescent="0.25">
      <c r="K11041" s="128"/>
      <c r="X11041" s="234"/>
      <c r="Y11041" s="234"/>
      <c r="Z11041" s="234"/>
      <c r="AA11041" s="235"/>
      <c r="AB11041" s="234"/>
    </row>
    <row r="11042" ht="14.5" customHeight="1" spans="11:28" x14ac:dyDescent="0.25">
      <c r="K11042" s="128"/>
      <c r="X11042" s="234"/>
      <c r="Y11042" s="234"/>
      <c r="Z11042" s="234"/>
      <c r="AA11042" s="235"/>
      <c r="AB11042" s="234"/>
    </row>
    <row r="11043" ht="14.5" customHeight="1" spans="11:28" x14ac:dyDescent="0.25">
      <c r="K11043" s="128"/>
      <c r="X11043" s="234"/>
      <c r="Y11043" s="234"/>
      <c r="Z11043" s="234"/>
      <c r="AA11043" s="235"/>
      <c r="AB11043" s="234"/>
    </row>
    <row r="11044" ht="14.5" customHeight="1" spans="11:28" x14ac:dyDescent="0.25">
      <c r="K11044" s="128"/>
      <c r="X11044" s="234"/>
      <c r="Y11044" s="234"/>
      <c r="Z11044" s="234"/>
      <c r="AA11044" s="235"/>
      <c r="AB11044" s="234"/>
    </row>
    <row r="11045" ht="14.5" customHeight="1" spans="11:28" x14ac:dyDescent="0.25">
      <c r="K11045" s="128"/>
      <c r="X11045" s="234"/>
      <c r="Y11045" s="234"/>
      <c r="Z11045" s="234"/>
      <c r="AA11045" s="235"/>
      <c r="AB11045" s="234"/>
    </row>
    <row r="11046" ht="14.5" customHeight="1" spans="11:28" x14ac:dyDescent="0.25">
      <c r="K11046" s="128"/>
      <c r="X11046" s="234"/>
      <c r="Y11046" s="234"/>
      <c r="Z11046" s="234"/>
      <c r="AA11046" s="235"/>
      <c r="AB11046" s="234"/>
    </row>
    <row r="11047" ht="14.5" customHeight="1" spans="11:28" x14ac:dyDescent="0.25">
      <c r="K11047" s="128"/>
      <c r="X11047" s="234"/>
      <c r="Y11047" s="234"/>
      <c r="Z11047" s="234"/>
      <c r="AA11047" s="235"/>
      <c r="AB11047" s="234"/>
    </row>
    <row r="11048" ht="14.5" customHeight="1" spans="11:28" x14ac:dyDescent="0.25">
      <c r="K11048" s="128"/>
      <c r="X11048" s="234"/>
      <c r="Y11048" s="234"/>
      <c r="Z11048" s="234"/>
      <c r="AA11048" s="235"/>
      <c r="AB11048" s="234"/>
    </row>
    <row r="11049" ht="14.5" customHeight="1" spans="11:28" x14ac:dyDescent="0.25">
      <c r="K11049" s="128"/>
      <c r="X11049" s="234"/>
      <c r="Y11049" s="234"/>
      <c r="Z11049" s="234"/>
      <c r="AA11049" s="235"/>
      <c r="AB11049" s="234"/>
    </row>
    <row r="11050" ht="14.5" customHeight="1" spans="11:28" x14ac:dyDescent="0.25">
      <c r="K11050" s="128"/>
      <c r="X11050" s="234"/>
      <c r="Y11050" s="234"/>
      <c r="Z11050" s="234"/>
      <c r="AA11050" s="235"/>
      <c r="AB11050" s="234"/>
    </row>
    <row r="11051" ht="14.5" customHeight="1" spans="11:28" x14ac:dyDescent="0.25">
      <c r="K11051" s="128"/>
      <c r="X11051" s="234"/>
      <c r="Y11051" s="234"/>
      <c r="Z11051" s="234"/>
      <c r="AA11051" s="235"/>
      <c r="AB11051" s="234"/>
    </row>
    <row r="11052" ht="14.5" customHeight="1" spans="11:28" x14ac:dyDescent="0.25">
      <c r="K11052" s="128"/>
      <c r="X11052" s="234"/>
      <c r="Y11052" s="234"/>
      <c r="Z11052" s="234"/>
      <c r="AA11052" s="235"/>
      <c r="AB11052" s="234"/>
    </row>
    <row r="11053" ht="14.5" customHeight="1" spans="11:28" x14ac:dyDescent="0.25">
      <c r="K11053" s="128"/>
      <c r="X11053" s="234"/>
      <c r="Y11053" s="234"/>
      <c r="Z11053" s="234"/>
      <c r="AA11053" s="235"/>
      <c r="AB11053" s="234"/>
    </row>
    <row r="11054" ht="14.5" customHeight="1" spans="11:28" x14ac:dyDescent="0.25">
      <c r="K11054" s="128"/>
      <c r="X11054" s="234"/>
      <c r="Y11054" s="234"/>
      <c r="Z11054" s="234"/>
      <c r="AA11054" s="235"/>
      <c r="AB11054" s="234"/>
    </row>
    <row r="11055" ht="14.5" customHeight="1" spans="11:28" x14ac:dyDescent="0.25">
      <c r="K11055" s="128"/>
      <c r="X11055" s="234"/>
      <c r="Y11055" s="234"/>
      <c r="Z11055" s="234"/>
      <c r="AA11055" s="235"/>
      <c r="AB11055" s="234"/>
    </row>
    <row r="11056" ht="14.5" customHeight="1" spans="11:28" x14ac:dyDescent="0.25">
      <c r="K11056" s="128"/>
      <c r="X11056" s="234"/>
      <c r="Y11056" s="234"/>
      <c r="Z11056" s="234"/>
      <c r="AA11056" s="235"/>
      <c r="AB11056" s="234"/>
    </row>
    <row r="11057" ht="14.5" customHeight="1" spans="11:28" x14ac:dyDescent="0.25">
      <c r="K11057" s="128"/>
      <c r="X11057" s="234"/>
      <c r="Y11057" s="234"/>
      <c r="Z11057" s="234"/>
      <c r="AA11057" s="235"/>
      <c r="AB11057" s="234"/>
    </row>
    <row r="11058" ht="14.5" customHeight="1" spans="11:28" x14ac:dyDescent="0.25">
      <c r="K11058" s="128"/>
      <c r="X11058" s="234"/>
      <c r="Y11058" s="234"/>
      <c r="Z11058" s="234"/>
      <c r="AA11058" s="235"/>
      <c r="AB11058" s="234"/>
    </row>
    <row r="11059" ht="14.5" customHeight="1" spans="11:28" x14ac:dyDescent="0.25">
      <c r="K11059" s="128"/>
      <c r="X11059" s="234"/>
      <c r="Y11059" s="234"/>
      <c r="Z11059" s="234"/>
      <c r="AA11059" s="235"/>
      <c r="AB11059" s="234"/>
    </row>
    <row r="11060" ht="14.5" customHeight="1" spans="11:28" x14ac:dyDescent="0.25">
      <c r="K11060" s="128"/>
      <c r="X11060" s="234"/>
      <c r="Y11060" s="234"/>
      <c r="Z11060" s="234"/>
      <c r="AA11060" s="235"/>
      <c r="AB11060" s="234"/>
    </row>
    <row r="11061" ht="14.5" customHeight="1" spans="11:28" x14ac:dyDescent="0.25">
      <c r="K11061" s="128"/>
      <c r="X11061" s="234"/>
      <c r="Y11061" s="234"/>
      <c r="Z11061" s="234"/>
      <c r="AA11061" s="235"/>
      <c r="AB11061" s="234"/>
    </row>
    <row r="11062" ht="14.5" customHeight="1" spans="11:28" x14ac:dyDescent="0.25">
      <c r="K11062" s="128"/>
      <c r="X11062" s="234"/>
      <c r="Y11062" s="234"/>
      <c r="Z11062" s="234"/>
      <c r="AA11062" s="235"/>
      <c r="AB11062" s="234"/>
    </row>
    <row r="11063" ht="14.5" customHeight="1" spans="11:28" x14ac:dyDescent="0.25">
      <c r="K11063" s="128"/>
      <c r="X11063" s="234"/>
      <c r="Y11063" s="234"/>
      <c r="Z11063" s="234"/>
      <c r="AA11063" s="235"/>
      <c r="AB11063" s="234"/>
    </row>
    <row r="11064" ht="14.5" customHeight="1" spans="11:28" x14ac:dyDescent="0.25">
      <c r="K11064" s="128"/>
      <c r="X11064" s="234"/>
      <c r="Y11064" s="234"/>
      <c r="Z11064" s="234"/>
      <c r="AA11064" s="235"/>
      <c r="AB11064" s="234"/>
    </row>
    <row r="11065" ht="14.5" customHeight="1" spans="11:28" x14ac:dyDescent="0.25">
      <c r="K11065" s="128"/>
      <c r="X11065" s="234"/>
      <c r="Y11065" s="234"/>
      <c r="Z11065" s="234"/>
      <c r="AA11065" s="235"/>
      <c r="AB11065" s="234"/>
    </row>
    <row r="11066" ht="14.5" customHeight="1" spans="11:28" x14ac:dyDescent="0.25">
      <c r="K11066" s="128"/>
      <c r="X11066" s="234"/>
      <c r="Y11066" s="234"/>
      <c r="Z11066" s="234"/>
      <c r="AA11066" s="235"/>
      <c r="AB11066" s="234"/>
    </row>
    <row r="11067" ht="14.5" customHeight="1" spans="11:28" x14ac:dyDescent="0.25">
      <c r="K11067" s="128"/>
      <c r="X11067" s="234"/>
      <c r="Y11067" s="234"/>
      <c r="Z11067" s="234"/>
      <c r="AA11067" s="235"/>
      <c r="AB11067" s="234"/>
    </row>
    <row r="11068" ht="14.5" customHeight="1" spans="11:28" x14ac:dyDescent="0.25">
      <c r="K11068" s="128"/>
      <c r="X11068" s="234"/>
      <c r="Y11068" s="234"/>
      <c r="Z11068" s="234"/>
      <c r="AA11068" s="235"/>
      <c r="AB11068" s="234"/>
    </row>
    <row r="11069" ht="14.5" customHeight="1" spans="11:28" x14ac:dyDescent="0.25">
      <c r="K11069" s="128"/>
      <c r="X11069" s="234"/>
      <c r="Y11069" s="234"/>
      <c r="Z11069" s="234"/>
      <c r="AA11069" s="235"/>
      <c r="AB11069" s="234"/>
    </row>
    <row r="11070" ht="14.5" customHeight="1" spans="11:28" x14ac:dyDescent="0.25">
      <c r="K11070" s="128"/>
      <c r="X11070" s="234"/>
      <c r="Y11070" s="234"/>
      <c r="Z11070" s="234"/>
      <c r="AA11070" s="235"/>
      <c r="AB11070" s="234"/>
    </row>
    <row r="11071" ht="14.5" customHeight="1" spans="11:28" x14ac:dyDescent="0.25">
      <c r="K11071" s="128"/>
      <c r="X11071" s="234"/>
      <c r="Y11071" s="234"/>
      <c r="Z11071" s="234"/>
      <c r="AA11071" s="235"/>
      <c r="AB11071" s="234"/>
    </row>
    <row r="11072" ht="14.5" customHeight="1" spans="11:28" x14ac:dyDescent="0.25">
      <c r="K11072" s="128"/>
      <c r="X11072" s="234"/>
      <c r="Y11072" s="234"/>
      <c r="Z11072" s="234"/>
      <c r="AA11072" s="235"/>
      <c r="AB11072" s="234"/>
    </row>
    <row r="11073" ht="14.5" customHeight="1" spans="11:28" x14ac:dyDescent="0.25">
      <c r="K11073" s="128"/>
      <c r="X11073" s="234"/>
      <c r="Y11073" s="234"/>
      <c r="Z11073" s="234"/>
      <c r="AA11073" s="235"/>
      <c r="AB11073" s="234"/>
    </row>
    <row r="11074" ht="14.5" customHeight="1" spans="11:28" x14ac:dyDescent="0.25">
      <c r="K11074" s="128"/>
      <c r="X11074" s="234"/>
      <c r="Y11074" s="234"/>
      <c r="Z11074" s="234"/>
      <c r="AA11074" s="235"/>
      <c r="AB11074" s="234"/>
    </row>
    <row r="11075" ht="14.5" customHeight="1" spans="11:28" x14ac:dyDescent="0.25">
      <c r="K11075" s="128"/>
      <c r="X11075" s="234"/>
      <c r="Y11075" s="234"/>
      <c r="Z11075" s="234"/>
      <c r="AA11075" s="235"/>
      <c r="AB11075" s="234"/>
    </row>
    <row r="11076" ht="14.5" customHeight="1" spans="11:28" x14ac:dyDescent="0.25">
      <c r="K11076" s="128"/>
      <c r="X11076" s="234"/>
      <c r="Y11076" s="234"/>
      <c r="Z11076" s="234"/>
      <c r="AA11076" s="235"/>
      <c r="AB11076" s="234"/>
    </row>
    <row r="11077" ht="14.5" customHeight="1" spans="11:28" x14ac:dyDescent="0.25">
      <c r="K11077" s="128"/>
      <c r="X11077" s="234"/>
      <c r="Y11077" s="234"/>
      <c r="Z11077" s="234"/>
      <c r="AA11077" s="235"/>
      <c r="AB11077" s="234"/>
    </row>
    <row r="11078" ht="14.5" customHeight="1" spans="11:28" x14ac:dyDescent="0.25">
      <c r="K11078" s="128"/>
      <c r="X11078" s="234"/>
      <c r="Y11078" s="234"/>
      <c r="Z11078" s="234"/>
      <c r="AA11078" s="235"/>
      <c r="AB11078" s="234"/>
    </row>
    <row r="11079" ht="14.5" customHeight="1" spans="11:28" x14ac:dyDescent="0.25">
      <c r="K11079" s="128"/>
      <c r="X11079" s="234"/>
      <c r="Y11079" s="234"/>
      <c r="Z11079" s="234"/>
      <c r="AA11079" s="235"/>
      <c r="AB11079" s="234"/>
    </row>
    <row r="11080" ht="14.5" customHeight="1" spans="11:28" x14ac:dyDescent="0.25">
      <c r="K11080" s="128"/>
      <c r="X11080" s="234"/>
      <c r="Y11080" s="234"/>
      <c r="Z11080" s="234"/>
      <c r="AA11080" s="235"/>
      <c r="AB11080" s="234"/>
    </row>
    <row r="11081" ht="14.5" customHeight="1" spans="11:28" x14ac:dyDescent="0.25">
      <c r="K11081" s="128"/>
      <c r="X11081" s="234"/>
      <c r="Y11081" s="234"/>
      <c r="Z11081" s="234"/>
      <c r="AA11081" s="235"/>
      <c r="AB11081" s="234"/>
    </row>
    <row r="11082" ht="14.5" customHeight="1" spans="11:28" x14ac:dyDescent="0.25">
      <c r="K11082" s="128"/>
      <c r="X11082" s="234"/>
      <c r="Y11082" s="234"/>
      <c r="Z11082" s="234"/>
      <c r="AA11082" s="235"/>
      <c r="AB11082" s="234"/>
    </row>
    <row r="11083" ht="14.5" customHeight="1" spans="11:28" x14ac:dyDescent="0.25">
      <c r="K11083" s="128"/>
      <c r="X11083" s="234"/>
      <c r="Y11083" s="234"/>
      <c r="Z11083" s="234"/>
      <c r="AA11083" s="235"/>
      <c r="AB11083" s="234"/>
    </row>
    <row r="11084" ht="14.5" customHeight="1" spans="11:28" x14ac:dyDescent="0.25">
      <c r="K11084" s="128"/>
      <c r="X11084" s="234"/>
      <c r="Y11084" s="234"/>
      <c r="Z11084" s="234"/>
      <c r="AA11084" s="235"/>
      <c r="AB11084" s="234"/>
    </row>
    <row r="11085" ht="14.5" customHeight="1" spans="11:28" x14ac:dyDescent="0.25">
      <c r="K11085" s="128"/>
      <c r="X11085" s="234"/>
      <c r="Y11085" s="234"/>
      <c r="Z11085" s="234"/>
      <c r="AA11085" s="235"/>
      <c r="AB11085" s="234"/>
    </row>
    <row r="11086" ht="14.5" customHeight="1" spans="11:28" x14ac:dyDescent="0.25">
      <c r="K11086" s="128"/>
      <c r="X11086" s="234"/>
      <c r="Y11086" s="234"/>
      <c r="Z11086" s="234"/>
      <c r="AA11086" s="235"/>
      <c r="AB11086" s="234"/>
    </row>
    <row r="11087" ht="14.5" customHeight="1" spans="11:28" x14ac:dyDescent="0.25">
      <c r="K11087" s="128"/>
      <c r="X11087" s="234"/>
      <c r="Y11087" s="234"/>
      <c r="Z11087" s="234"/>
      <c r="AA11087" s="235"/>
      <c r="AB11087" s="234"/>
    </row>
    <row r="11088" ht="14.5" customHeight="1" spans="11:28" x14ac:dyDescent="0.25">
      <c r="K11088" s="128"/>
      <c r="X11088" s="234"/>
      <c r="Y11088" s="234"/>
      <c r="Z11088" s="234"/>
      <c r="AA11088" s="235"/>
      <c r="AB11088" s="234"/>
    </row>
    <row r="11089" ht="14.5" customHeight="1" spans="11:28" x14ac:dyDescent="0.25">
      <c r="K11089" s="128"/>
      <c r="X11089" s="234"/>
      <c r="Y11089" s="234"/>
      <c r="Z11089" s="234"/>
      <c r="AA11089" s="235"/>
      <c r="AB11089" s="234"/>
    </row>
    <row r="11090" ht="14.5" customHeight="1" spans="11:28" x14ac:dyDescent="0.25">
      <c r="K11090" s="128"/>
      <c r="X11090" s="234"/>
      <c r="Y11090" s="234"/>
      <c r="Z11090" s="234"/>
      <c r="AA11090" s="235"/>
      <c r="AB11090" s="234"/>
    </row>
    <row r="11091" ht="14.5" customHeight="1" spans="11:28" x14ac:dyDescent="0.25">
      <c r="K11091" s="128"/>
      <c r="X11091" s="234"/>
      <c r="Y11091" s="234"/>
      <c r="Z11091" s="234"/>
      <c r="AA11091" s="235"/>
      <c r="AB11091" s="234"/>
    </row>
    <row r="11092" ht="14.5" customHeight="1" spans="11:28" x14ac:dyDescent="0.25">
      <c r="K11092" s="128"/>
      <c r="X11092" s="234"/>
      <c r="Y11092" s="234"/>
      <c r="Z11092" s="234"/>
      <c r="AA11092" s="235"/>
      <c r="AB11092" s="234"/>
    </row>
    <row r="11093" ht="14.5" customHeight="1" spans="11:28" x14ac:dyDescent="0.25">
      <c r="K11093" s="128"/>
      <c r="X11093" s="234"/>
      <c r="Y11093" s="234"/>
      <c r="Z11093" s="234"/>
      <c r="AA11093" s="235"/>
      <c r="AB11093" s="234"/>
    </row>
    <row r="11094" ht="14.5" customHeight="1" spans="11:28" x14ac:dyDescent="0.25">
      <c r="K11094" s="128"/>
      <c r="X11094" s="234"/>
      <c r="Y11094" s="234"/>
      <c r="Z11094" s="234"/>
      <c r="AA11094" s="235"/>
      <c r="AB11094" s="234"/>
    </row>
    <row r="11095" ht="14.5" customHeight="1" spans="11:28" x14ac:dyDescent="0.25">
      <c r="K11095" s="128"/>
      <c r="X11095" s="234"/>
      <c r="Y11095" s="234"/>
      <c r="Z11095" s="234"/>
      <c r="AA11095" s="235"/>
      <c r="AB11095" s="234"/>
    </row>
    <row r="11096" ht="14.5" customHeight="1" spans="11:28" x14ac:dyDescent="0.25">
      <c r="K11096" s="128"/>
      <c r="X11096" s="234"/>
      <c r="Y11096" s="234"/>
      <c r="Z11096" s="234"/>
      <c r="AA11096" s="235"/>
      <c r="AB11096" s="234"/>
    </row>
    <row r="11097" ht="14.5" customHeight="1" spans="11:28" x14ac:dyDescent="0.25">
      <c r="K11097" s="128"/>
      <c r="X11097" s="234"/>
      <c r="Y11097" s="234"/>
      <c r="Z11097" s="234"/>
      <c r="AA11097" s="235"/>
      <c r="AB11097" s="234"/>
    </row>
    <row r="11098" ht="14.5" customHeight="1" spans="11:28" x14ac:dyDescent="0.25">
      <c r="K11098" s="128"/>
      <c r="X11098" s="234"/>
      <c r="Y11098" s="234"/>
      <c r="Z11098" s="234"/>
      <c r="AA11098" s="235"/>
      <c r="AB11098" s="234"/>
    </row>
    <row r="11099" ht="14.5" customHeight="1" spans="11:28" x14ac:dyDescent="0.25">
      <c r="K11099" s="128"/>
      <c r="X11099" s="234"/>
      <c r="Y11099" s="234"/>
      <c r="Z11099" s="234"/>
      <c r="AA11099" s="235"/>
      <c r="AB11099" s="234"/>
    </row>
    <row r="11100" ht="14.5" customHeight="1" spans="11:28" x14ac:dyDescent="0.25">
      <c r="K11100" s="128"/>
      <c r="X11100" s="234"/>
      <c r="Y11100" s="234"/>
      <c r="Z11100" s="234"/>
      <c r="AA11100" s="235"/>
      <c r="AB11100" s="234"/>
    </row>
    <row r="11101" ht="14.5" customHeight="1" spans="11:28" x14ac:dyDescent="0.25">
      <c r="K11101" s="128"/>
      <c r="X11101" s="234"/>
      <c r="Y11101" s="234"/>
      <c r="Z11101" s="234"/>
      <c r="AA11101" s="235"/>
      <c r="AB11101" s="234"/>
    </row>
    <row r="11102" ht="14.5" customHeight="1" spans="11:28" x14ac:dyDescent="0.25">
      <c r="K11102" s="128"/>
      <c r="X11102" s="234"/>
      <c r="Y11102" s="234"/>
      <c r="Z11102" s="234"/>
      <c r="AA11102" s="235"/>
      <c r="AB11102" s="234"/>
    </row>
    <row r="11103" ht="14.5" customHeight="1" spans="11:28" x14ac:dyDescent="0.25">
      <c r="K11103" s="128"/>
      <c r="X11103" s="234"/>
      <c r="Y11103" s="234"/>
      <c r="Z11103" s="234"/>
      <c r="AA11103" s="235"/>
      <c r="AB11103" s="234"/>
    </row>
    <row r="11104" ht="14.5" customHeight="1" spans="11:28" x14ac:dyDescent="0.25">
      <c r="K11104" s="128"/>
      <c r="X11104" s="234"/>
      <c r="Y11104" s="234"/>
      <c r="Z11104" s="234"/>
      <c r="AA11104" s="235"/>
      <c r="AB11104" s="234"/>
    </row>
    <row r="11105" ht="14.5" customHeight="1" spans="11:28" x14ac:dyDescent="0.25">
      <c r="K11105" s="128"/>
      <c r="X11105" s="234"/>
      <c r="Y11105" s="234"/>
      <c r="Z11105" s="234"/>
      <c r="AA11105" s="235"/>
      <c r="AB11105" s="234"/>
    </row>
    <row r="11106" ht="14.5" customHeight="1" spans="11:28" x14ac:dyDescent="0.25">
      <c r="K11106" s="128"/>
      <c r="X11106" s="234"/>
      <c r="Y11106" s="234"/>
      <c r="Z11106" s="234"/>
      <c r="AA11106" s="235"/>
      <c r="AB11106" s="234"/>
    </row>
    <row r="11107" ht="14.5" customHeight="1" spans="11:28" x14ac:dyDescent="0.25">
      <c r="K11107" s="128"/>
      <c r="X11107" s="234"/>
      <c r="Y11107" s="234"/>
      <c r="Z11107" s="234"/>
      <c r="AA11107" s="235"/>
      <c r="AB11107" s="234"/>
    </row>
    <row r="11108" ht="14.5" customHeight="1" spans="11:28" x14ac:dyDescent="0.25">
      <c r="K11108" s="128"/>
      <c r="X11108" s="234"/>
      <c r="Y11108" s="234"/>
      <c r="Z11108" s="234"/>
      <c r="AA11108" s="235"/>
      <c r="AB11108" s="234"/>
    </row>
    <row r="11109" ht="14.5" customHeight="1" spans="11:28" x14ac:dyDescent="0.25">
      <c r="K11109" s="128"/>
      <c r="X11109" s="234"/>
      <c r="Y11109" s="234"/>
      <c r="Z11109" s="234"/>
      <c r="AA11109" s="235"/>
      <c r="AB11109" s="234"/>
    </row>
    <row r="11110" ht="14.5" customHeight="1" spans="11:28" x14ac:dyDescent="0.25">
      <c r="K11110" s="128"/>
      <c r="X11110" s="234"/>
      <c r="Y11110" s="234"/>
      <c r="Z11110" s="234"/>
      <c r="AA11110" s="235"/>
      <c r="AB11110" s="234"/>
    </row>
    <row r="11111" ht="14.5" customHeight="1" spans="11:28" x14ac:dyDescent="0.25">
      <c r="K11111" s="128"/>
      <c r="X11111" s="234"/>
      <c r="Y11111" s="234"/>
      <c r="Z11111" s="234"/>
      <c r="AA11111" s="235"/>
      <c r="AB11111" s="234"/>
    </row>
    <row r="11112" ht="14.5" customHeight="1" spans="11:28" x14ac:dyDescent="0.25">
      <c r="K11112" s="128"/>
      <c r="X11112" s="234"/>
      <c r="Y11112" s="234"/>
      <c r="Z11112" s="234"/>
      <c r="AA11112" s="235"/>
      <c r="AB11112" s="234"/>
    </row>
    <row r="11113" ht="14.5" customHeight="1" spans="11:28" x14ac:dyDescent="0.25">
      <c r="K11113" s="128"/>
      <c r="X11113" s="234"/>
      <c r="Y11113" s="234"/>
      <c r="Z11113" s="234"/>
      <c r="AA11113" s="235"/>
      <c r="AB11113" s="234"/>
    </row>
    <row r="11114" ht="14.5" customHeight="1" spans="11:28" x14ac:dyDescent="0.25">
      <c r="K11114" s="128"/>
      <c r="X11114" s="234"/>
      <c r="Y11114" s="234"/>
      <c r="Z11114" s="234"/>
      <c r="AA11114" s="235"/>
      <c r="AB11114" s="234"/>
    </row>
    <row r="11115" ht="14.5" customHeight="1" spans="11:28" x14ac:dyDescent="0.25">
      <c r="K11115" s="128"/>
      <c r="X11115" s="234"/>
      <c r="Y11115" s="234"/>
      <c r="Z11115" s="234"/>
      <c r="AA11115" s="235"/>
      <c r="AB11115" s="234"/>
    </row>
    <row r="11116" ht="14.5" customHeight="1" spans="11:28" x14ac:dyDescent="0.25">
      <c r="K11116" s="128"/>
      <c r="X11116" s="234"/>
      <c r="Y11116" s="234"/>
      <c r="Z11116" s="234"/>
      <c r="AA11116" s="235"/>
      <c r="AB11116" s="234"/>
    </row>
    <row r="11117" ht="14.5" customHeight="1" spans="11:28" x14ac:dyDescent="0.25">
      <c r="K11117" s="128"/>
      <c r="X11117" s="234"/>
      <c r="Y11117" s="234"/>
      <c r="Z11117" s="234"/>
      <c r="AA11117" s="235"/>
      <c r="AB11117" s="234"/>
    </row>
    <row r="11118" ht="14.5" customHeight="1" spans="11:28" x14ac:dyDescent="0.25">
      <c r="K11118" s="128"/>
      <c r="X11118" s="234"/>
      <c r="Y11118" s="234"/>
      <c r="Z11118" s="234"/>
      <c r="AA11118" s="235"/>
      <c r="AB11118" s="234"/>
    </row>
    <row r="11119" ht="14.5" customHeight="1" spans="11:28" x14ac:dyDescent="0.25">
      <c r="K11119" s="128"/>
      <c r="X11119" s="234"/>
      <c r="Y11119" s="234"/>
      <c r="Z11119" s="234"/>
      <c r="AA11119" s="235"/>
      <c r="AB11119" s="234"/>
    </row>
    <row r="11120" ht="14.5" customHeight="1" spans="11:28" x14ac:dyDescent="0.25">
      <c r="K11120" s="128"/>
      <c r="X11120" s="234"/>
      <c r="Y11120" s="234"/>
      <c r="Z11120" s="234"/>
      <c r="AA11120" s="235"/>
      <c r="AB11120" s="234"/>
    </row>
    <row r="11121" ht="14.5" customHeight="1" spans="11:28" x14ac:dyDescent="0.25">
      <c r="K11121" s="128"/>
      <c r="X11121" s="234"/>
      <c r="Y11121" s="234"/>
      <c r="Z11121" s="234"/>
      <c r="AA11121" s="235"/>
      <c r="AB11121" s="234"/>
    </row>
    <row r="11122" ht="14.5" customHeight="1" spans="11:28" x14ac:dyDescent="0.25">
      <c r="K11122" s="128"/>
      <c r="X11122" s="234"/>
      <c r="Y11122" s="234"/>
      <c r="Z11122" s="234"/>
      <c r="AA11122" s="235"/>
      <c r="AB11122" s="234"/>
    </row>
    <row r="11123" ht="14.5" customHeight="1" spans="11:28" x14ac:dyDescent="0.25">
      <c r="K11123" s="128"/>
      <c r="X11123" s="234"/>
      <c r="Y11123" s="234"/>
      <c r="Z11123" s="234"/>
      <c r="AA11123" s="235"/>
      <c r="AB11123" s="234"/>
    </row>
    <row r="11124" ht="14.5" customHeight="1" spans="11:28" x14ac:dyDescent="0.25">
      <c r="K11124" s="128"/>
      <c r="X11124" s="234"/>
      <c r="Y11124" s="234"/>
      <c r="Z11124" s="234"/>
      <c r="AA11124" s="235"/>
      <c r="AB11124" s="234"/>
    </row>
    <row r="11125" ht="14.5" customHeight="1" spans="11:28" x14ac:dyDescent="0.25">
      <c r="K11125" s="128"/>
      <c r="X11125" s="234"/>
      <c r="Y11125" s="234"/>
      <c r="Z11125" s="234"/>
      <c r="AA11125" s="235"/>
      <c r="AB11125" s="234"/>
    </row>
    <row r="11126" ht="14.5" customHeight="1" spans="11:28" x14ac:dyDescent="0.25">
      <c r="K11126" s="128"/>
      <c r="X11126" s="234"/>
      <c r="Y11126" s="234"/>
      <c r="Z11126" s="234"/>
      <c r="AA11126" s="235"/>
      <c r="AB11126" s="234"/>
    </row>
    <row r="11127" ht="14.5" customHeight="1" spans="11:28" x14ac:dyDescent="0.25">
      <c r="K11127" s="128"/>
      <c r="X11127" s="234"/>
      <c r="Y11127" s="234"/>
      <c r="Z11127" s="234"/>
      <c r="AA11127" s="235"/>
      <c r="AB11127" s="234"/>
    </row>
    <row r="11128" ht="14.5" customHeight="1" spans="11:28" x14ac:dyDescent="0.25">
      <c r="K11128" s="128"/>
      <c r="X11128" s="234"/>
      <c r="Y11128" s="234"/>
      <c r="Z11128" s="234"/>
      <c r="AA11128" s="235"/>
      <c r="AB11128" s="234"/>
    </row>
    <row r="11129" ht="14.5" customHeight="1" spans="11:28" x14ac:dyDescent="0.25">
      <c r="K11129" s="128"/>
      <c r="X11129" s="234"/>
      <c r="Y11129" s="234"/>
      <c r="Z11129" s="234"/>
      <c r="AA11129" s="235"/>
      <c r="AB11129" s="234"/>
    </row>
    <row r="11130" ht="14.5" customHeight="1" spans="11:28" x14ac:dyDescent="0.25">
      <c r="K11130" s="128"/>
      <c r="X11130" s="234"/>
      <c r="Y11130" s="234"/>
      <c r="Z11130" s="234"/>
      <c r="AA11130" s="235"/>
      <c r="AB11130" s="234"/>
    </row>
    <row r="11131" ht="14.5" customHeight="1" spans="11:28" x14ac:dyDescent="0.25">
      <c r="K11131" s="128"/>
      <c r="X11131" s="234"/>
      <c r="Y11131" s="234"/>
      <c r="Z11131" s="234"/>
      <c r="AA11131" s="235"/>
      <c r="AB11131" s="234"/>
    </row>
    <row r="11132" ht="14.5" customHeight="1" spans="11:28" x14ac:dyDescent="0.25">
      <c r="K11132" s="128"/>
      <c r="X11132" s="234"/>
      <c r="Y11132" s="234"/>
      <c r="Z11132" s="234"/>
      <c r="AA11132" s="235"/>
      <c r="AB11132" s="234"/>
    </row>
    <row r="11133" ht="14.5" customHeight="1" spans="11:28" x14ac:dyDescent="0.25">
      <c r="K11133" s="128"/>
      <c r="X11133" s="234"/>
      <c r="Y11133" s="234"/>
      <c r="Z11133" s="234"/>
      <c r="AA11133" s="235"/>
      <c r="AB11133" s="234"/>
    </row>
    <row r="11134" ht="14.5" customHeight="1" spans="11:28" x14ac:dyDescent="0.25">
      <c r="K11134" s="128"/>
      <c r="X11134" s="234"/>
      <c r="Y11134" s="234"/>
      <c r="Z11134" s="234"/>
      <c r="AA11134" s="235"/>
      <c r="AB11134" s="234"/>
    </row>
    <row r="11135" ht="14.5" customHeight="1" spans="11:28" x14ac:dyDescent="0.25">
      <c r="K11135" s="128"/>
      <c r="X11135" s="234"/>
      <c r="Y11135" s="234"/>
      <c r="Z11135" s="234"/>
      <c r="AA11135" s="235"/>
      <c r="AB11135" s="234"/>
    </row>
    <row r="11136" ht="14.5" customHeight="1" spans="11:28" x14ac:dyDescent="0.25">
      <c r="K11136" s="128"/>
      <c r="X11136" s="234"/>
      <c r="Y11136" s="234"/>
      <c r="Z11136" s="234"/>
      <c r="AA11136" s="235"/>
      <c r="AB11136" s="234"/>
    </row>
    <row r="11137" ht="14.5" customHeight="1" spans="11:28" x14ac:dyDescent="0.25">
      <c r="K11137" s="128"/>
      <c r="X11137" s="234"/>
      <c r="Y11137" s="234"/>
      <c r="Z11137" s="234"/>
      <c r="AA11137" s="235"/>
      <c r="AB11137" s="234"/>
    </row>
    <row r="11138" ht="14.5" customHeight="1" spans="11:28" x14ac:dyDescent="0.25">
      <c r="K11138" s="128"/>
      <c r="X11138" s="234"/>
      <c r="Y11138" s="234"/>
      <c r="Z11138" s="234"/>
      <c r="AA11138" s="235"/>
      <c r="AB11138" s="234"/>
    </row>
    <row r="11139" ht="14.5" customHeight="1" spans="11:28" x14ac:dyDescent="0.25">
      <c r="K11139" s="128"/>
      <c r="X11139" s="234"/>
      <c r="Y11139" s="234"/>
      <c r="Z11139" s="234"/>
      <c r="AA11139" s="235"/>
      <c r="AB11139" s="234"/>
    </row>
    <row r="11140" ht="14.5" customHeight="1" spans="11:28" x14ac:dyDescent="0.25">
      <c r="K11140" s="128"/>
      <c r="X11140" s="234"/>
      <c r="Y11140" s="234"/>
      <c r="Z11140" s="234"/>
      <c r="AA11140" s="235"/>
      <c r="AB11140" s="234"/>
    </row>
    <row r="11141" ht="14.5" customHeight="1" spans="11:28" x14ac:dyDescent="0.25">
      <c r="K11141" s="128"/>
      <c r="X11141" s="234"/>
      <c r="Y11141" s="234"/>
      <c r="Z11141" s="234"/>
      <c r="AA11141" s="235"/>
      <c r="AB11141" s="234"/>
    </row>
    <row r="11142" ht="14.5" customHeight="1" spans="11:28" x14ac:dyDescent="0.25">
      <c r="K11142" s="128"/>
      <c r="X11142" s="234"/>
      <c r="Y11142" s="234"/>
      <c r="Z11142" s="234"/>
      <c r="AA11142" s="235"/>
      <c r="AB11142" s="234"/>
    </row>
    <row r="11143" ht="14.5" customHeight="1" spans="11:28" x14ac:dyDescent="0.25">
      <c r="K11143" s="128"/>
      <c r="X11143" s="234"/>
      <c r="Y11143" s="234"/>
      <c r="Z11143" s="234"/>
      <c r="AA11143" s="235"/>
      <c r="AB11143" s="234"/>
    </row>
    <row r="11144" ht="14.5" customHeight="1" spans="11:28" x14ac:dyDescent="0.25">
      <c r="K11144" s="128"/>
      <c r="X11144" s="234"/>
      <c r="Y11144" s="234"/>
      <c r="Z11144" s="234"/>
      <c r="AA11144" s="235"/>
      <c r="AB11144" s="234"/>
    </row>
    <row r="11145" ht="14.5" customHeight="1" spans="11:28" x14ac:dyDescent="0.25">
      <c r="K11145" s="128"/>
      <c r="X11145" s="234"/>
      <c r="Y11145" s="234"/>
      <c r="Z11145" s="234"/>
      <c r="AA11145" s="235"/>
      <c r="AB11145" s="234"/>
    </row>
    <row r="11146" ht="14.5" customHeight="1" spans="11:28" x14ac:dyDescent="0.25">
      <c r="K11146" s="128"/>
      <c r="X11146" s="234"/>
      <c r="Y11146" s="234"/>
      <c r="Z11146" s="234"/>
      <c r="AA11146" s="235"/>
      <c r="AB11146" s="234"/>
    </row>
    <row r="11147" ht="14.5" customHeight="1" spans="11:28" x14ac:dyDescent="0.25">
      <c r="K11147" s="128"/>
      <c r="X11147" s="234"/>
      <c r="Y11147" s="234"/>
      <c r="Z11147" s="234"/>
      <c r="AA11147" s="235"/>
      <c r="AB11147" s="234"/>
    </row>
    <row r="11148" ht="14.5" customHeight="1" spans="11:28" x14ac:dyDescent="0.25">
      <c r="K11148" s="128"/>
      <c r="X11148" s="234"/>
      <c r="Y11148" s="234"/>
      <c r="Z11148" s="234"/>
      <c r="AA11148" s="235"/>
      <c r="AB11148" s="234"/>
    </row>
    <row r="11149" ht="14.5" customHeight="1" spans="11:28" x14ac:dyDescent="0.25">
      <c r="K11149" s="128"/>
      <c r="X11149" s="234"/>
      <c r="Y11149" s="234"/>
      <c r="Z11149" s="234"/>
      <c r="AA11149" s="235"/>
      <c r="AB11149" s="234"/>
    </row>
    <row r="11150" ht="14.5" customHeight="1" spans="11:28" x14ac:dyDescent="0.25">
      <c r="K11150" s="128"/>
      <c r="X11150" s="234"/>
      <c r="Y11150" s="234"/>
      <c r="Z11150" s="234"/>
      <c r="AA11150" s="235"/>
      <c r="AB11150" s="234"/>
    </row>
    <row r="11151" ht="14.5" customHeight="1" spans="11:28" x14ac:dyDescent="0.25">
      <c r="K11151" s="128"/>
      <c r="X11151" s="234"/>
      <c r="Y11151" s="234"/>
      <c r="Z11151" s="234"/>
      <c r="AA11151" s="235"/>
      <c r="AB11151" s="234"/>
    </row>
    <row r="11152" ht="14.5" customHeight="1" spans="11:28" x14ac:dyDescent="0.25">
      <c r="K11152" s="128"/>
      <c r="X11152" s="234"/>
      <c r="Y11152" s="234"/>
      <c r="Z11152" s="234"/>
      <c r="AA11152" s="235"/>
      <c r="AB11152" s="234"/>
    </row>
    <row r="11153" ht="14.5" customHeight="1" spans="11:28" x14ac:dyDescent="0.25">
      <c r="K11153" s="128"/>
      <c r="X11153" s="234"/>
      <c r="Y11153" s="234"/>
      <c r="Z11153" s="234"/>
      <c r="AA11153" s="235"/>
      <c r="AB11153" s="234"/>
    </row>
    <row r="11154" ht="14.5" customHeight="1" spans="11:28" x14ac:dyDescent="0.25">
      <c r="K11154" s="128"/>
      <c r="X11154" s="234"/>
      <c r="Y11154" s="234"/>
      <c r="Z11154" s="234"/>
      <c r="AA11154" s="235"/>
      <c r="AB11154" s="234"/>
    </row>
    <row r="11155" ht="14.5" customHeight="1" spans="11:28" x14ac:dyDescent="0.25">
      <c r="K11155" s="128"/>
      <c r="X11155" s="234"/>
      <c r="Y11155" s="234"/>
      <c r="Z11155" s="234"/>
      <c r="AA11155" s="235"/>
      <c r="AB11155" s="234"/>
    </row>
    <row r="11156" ht="14.5" customHeight="1" spans="11:28" x14ac:dyDescent="0.25">
      <c r="K11156" s="128"/>
      <c r="X11156" s="234"/>
      <c r="Y11156" s="234"/>
      <c r="Z11156" s="234"/>
      <c r="AA11156" s="235"/>
      <c r="AB11156" s="234"/>
    </row>
    <row r="11157" ht="14.5" customHeight="1" spans="11:28" x14ac:dyDescent="0.25">
      <c r="K11157" s="128"/>
      <c r="X11157" s="234"/>
      <c r="Y11157" s="234"/>
      <c r="Z11157" s="234"/>
      <c r="AA11157" s="235"/>
      <c r="AB11157" s="234"/>
    </row>
    <row r="11158" ht="14.5" customHeight="1" spans="11:28" x14ac:dyDescent="0.25">
      <c r="K11158" s="128"/>
      <c r="X11158" s="234"/>
      <c r="Y11158" s="234"/>
      <c r="Z11158" s="234"/>
      <c r="AA11158" s="235"/>
      <c r="AB11158" s="234"/>
    </row>
    <row r="11159" ht="14.5" customHeight="1" spans="11:28" x14ac:dyDescent="0.25">
      <c r="K11159" s="128"/>
      <c r="X11159" s="234"/>
      <c r="Y11159" s="234"/>
      <c r="Z11159" s="234"/>
      <c r="AA11159" s="235"/>
      <c r="AB11159" s="234"/>
    </row>
    <row r="11160" ht="14.5" customHeight="1" spans="11:28" x14ac:dyDescent="0.25">
      <c r="K11160" s="128"/>
      <c r="X11160" s="234"/>
      <c r="Y11160" s="234"/>
      <c r="Z11160" s="234"/>
      <c r="AA11160" s="235"/>
      <c r="AB11160" s="234"/>
    </row>
    <row r="11161" ht="14.5" customHeight="1" spans="11:28" x14ac:dyDescent="0.25">
      <c r="K11161" s="128"/>
      <c r="X11161" s="234"/>
      <c r="Y11161" s="234"/>
      <c r="Z11161" s="234"/>
      <c r="AA11161" s="235"/>
      <c r="AB11161" s="234"/>
    </row>
    <row r="11162" ht="14.5" customHeight="1" spans="11:28" x14ac:dyDescent="0.25">
      <c r="K11162" s="128"/>
      <c r="X11162" s="234"/>
      <c r="Y11162" s="234"/>
      <c r="Z11162" s="234"/>
      <c r="AA11162" s="235"/>
      <c r="AB11162" s="234"/>
    </row>
    <row r="11163" ht="14.5" customHeight="1" spans="11:28" x14ac:dyDescent="0.25">
      <c r="K11163" s="128"/>
      <c r="X11163" s="234"/>
      <c r="Y11163" s="234"/>
      <c r="Z11163" s="234"/>
      <c r="AA11163" s="235"/>
      <c r="AB11163" s="234"/>
    </row>
    <row r="11164" ht="14.5" customHeight="1" spans="11:28" x14ac:dyDescent="0.25">
      <c r="K11164" s="128"/>
      <c r="X11164" s="234"/>
      <c r="Y11164" s="234"/>
      <c r="Z11164" s="234"/>
      <c r="AA11164" s="235"/>
      <c r="AB11164" s="234"/>
    </row>
    <row r="11165" ht="14.5" customHeight="1" spans="11:28" x14ac:dyDescent="0.25">
      <c r="K11165" s="128"/>
      <c r="X11165" s="234"/>
      <c r="Y11165" s="234"/>
      <c r="Z11165" s="234"/>
      <c r="AA11165" s="235"/>
      <c r="AB11165" s="234"/>
    </row>
    <row r="11166" ht="14.5" customHeight="1" spans="11:28" x14ac:dyDescent="0.25">
      <c r="K11166" s="128"/>
      <c r="X11166" s="234"/>
      <c r="Y11166" s="234"/>
      <c r="Z11166" s="234"/>
      <c r="AA11166" s="235"/>
      <c r="AB11166" s="234"/>
    </row>
    <row r="11167" ht="14.5" customHeight="1" spans="11:28" x14ac:dyDescent="0.25">
      <c r="K11167" s="128"/>
      <c r="X11167" s="234"/>
      <c r="Y11167" s="234"/>
      <c r="Z11167" s="234"/>
      <c r="AA11167" s="235"/>
      <c r="AB11167" s="234"/>
    </row>
    <row r="11168" ht="14.5" customHeight="1" spans="11:28" x14ac:dyDescent="0.25">
      <c r="K11168" s="128"/>
      <c r="X11168" s="234"/>
      <c r="Y11168" s="234"/>
      <c r="Z11168" s="234"/>
      <c r="AA11168" s="235"/>
      <c r="AB11168" s="234"/>
    </row>
    <row r="11169" ht="14.5" customHeight="1" spans="11:28" x14ac:dyDescent="0.25">
      <c r="K11169" s="128"/>
      <c r="X11169" s="234"/>
      <c r="Y11169" s="234"/>
      <c r="Z11169" s="234"/>
      <c r="AA11169" s="235"/>
      <c r="AB11169" s="234"/>
    </row>
    <row r="11170" ht="14.5" customHeight="1" spans="11:28" x14ac:dyDescent="0.25">
      <c r="K11170" s="128"/>
      <c r="X11170" s="234"/>
      <c r="Y11170" s="234"/>
      <c r="Z11170" s="234"/>
      <c r="AA11170" s="235"/>
      <c r="AB11170" s="234"/>
    </row>
    <row r="11171" ht="14.5" customHeight="1" spans="11:28" x14ac:dyDescent="0.25">
      <c r="K11171" s="128"/>
      <c r="X11171" s="234"/>
      <c r="Y11171" s="234"/>
      <c r="Z11171" s="234"/>
      <c r="AA11171" s="235"/>
      <c r="AB11171" s="234"/>
    </row>
    <row r="11172" ht="14.5" customHeight="1" spans="11:28" x14ac:dyDescent="0.25">
      <c r="K11172" s="128"/>
      <c r="X11172" s="234"/>
      <c r="Y11172" s="234"/>
      <c r="Z11172" s="234"/>
      <c r="AA11172" s="235"/>
      <c r="AB11172" s="234"/>
    </row>
    <row r="11173" ht="14.5" customHeight="1" spans="11:28" x14ac:dyDescent="0.25">
      <c r="K11173" s="128"/>
      <c r="X11173" s="234"/>
      <c r="Y11173" s="234"/>
      <c r="Z11173" s="234"/>
      <c r="AA11173" s="235"/>
      <c r="AB11173" s="234"/>
    </row>
    <row r="11174" ht="14.5" customHeight="1" spans="11:28" x14ac:dyDescent="0.25">
      <c r="K11174" s="128"/>
      <c r="X11174" s="234"/>
      <c r="Y11174" s="234"/>
      <c r="Z11174" s="234"/>
      <c r="AA11174" s="235"/>
      <c r="AB11174" s="234"/>
    </row>
    <row r="11175" ht="14.5" customHeight="1" spans="11:28" x14ac:dyDescent="0.25">
      <c r="K11175" s="128"/>
      <c r="X11175" s="234"/>
      <c r="Y11175" s="234"/>
      <c r="Z11175" s="234"/>
      <c r="AA11175" s="235"/>
      <c r="AB11175" s="234"/>
    </row>
    <row r="11176" ht="14.5" customHeight="1" spans="11:28" x14ac:dyDescent="0.25">
      <c r="K11176" s="128"/>
      <c r="X11176" s="234"/>
      <c r="Y11176" s="234"/>
      <c r="Z11176" s="234"/>
      <c r="AA11176" s="235"/>
      <c r="AB11176" s="234"/>
    </row>
    <row r="11177" ht="14.5" customHeight="1" spans="11:28" x14ac:dyDescent="0.25">
      <c r="K11177" s="128"/>
      <c r="X11177" s="234"/>
      <c r="Y11177" s="234"/>
      <c r="Z11177" s="234"/>
      <c r="AA11177" s="235"/>
      <c r="AB11177" s="234"/>
    </row>
    <row r="11178" ht="14.5" customHeight="1" spans="11:28" x14ac:dyDescent="0.25">
      <c r="K11178" s="128"/>
      <c r="X11178" s="234"/>
      <c r="Y11178" s="234"/>
      <c r="Z11178" s="234"/>
      <c r="AA11178" s="235"/>
      <c r="AB11178" s="234"/>
    </row>
    <row r="11179" ht="14.5" customHeight="1" spans="11:28" x14ac:dyDescent="0.25">
      <c r="K11179" s="128"/>
      <c r="X11179" s="234"/>
      <c r="Y11179" s="234"/>
      <c r="Z11179" s="234"/>
      <c r="AA11179" s="235"/>
      <c r="AB11179" s="234"/>
    </row>
    <row r="11180" ht="14.5" customHeight="1" spans="11:28" x14ac:dyDescent="0.25">
      <c r="K11180" s="128"/>
      <c r="X11180" s="234"/>
      <c r="Y11180" s="234"/>
      <c r="Z11180" s="234"/>
      <c r="AA11180" s="235"/>
      <c r="AB11180" s="234"/>
    </row>
    <row r="11181" ht="14.5" customHeight="1" spans="11:28" x14ac:dyDescent="0.25">
      <c r="K11181" s="128"/>
      <c r="X11181" s="234"/>
      <c r="Y11181" s="234"/>
      <c r="Z11181" s="234"/>
      <c r="AA11181" s="235"/>
      <c r="AB11181" s="234"/>
    </row>
    <row r="11182" ht="14.5" customHeight="1" spans="11:28" x14ac:dyDescent="0.25">
      <c r="K11182" s="128"/>
      <c r="X11182" s="234"/>
      <c r="Y11182" s="234"/>
      <c r="Z11182" s="234"/>
      <c r="AA11182" s="235"/>
      <c r="AB11182" s="234"/>
    </row>
    <row r="11183" ht="14.5" customHeight="1" spans="11:28" x14ac:dyDescent="0.25">
      <c r="K11183" s="128"/>
      <c r="X11183" s="234"/>
      <c r="Y11183" s="234"/>
      <c r="Z11183" s="234"/>
      <c r="AA11183" s="235"/>
      <c r="AB11183" s="234"/>
    </row>
    <row r="11184" ht="14.5" customHeight="1" spans="11:28" x14ac:dyDescent="0.25">
      <c r="K11184" s="128"/>
      <c r="X11184" s="234"/>
      <c r="Y11184" s="234"/>
      <c r="Z11184" s="234"/>
      <c r="AA11184" s="235"/>
      <c r="AB11184" s="234"/>
    </row>
    <row r="11185" ht="14.5" customHeight="1" spans="11:28" x14ac:dyDescent="0.25">
      <c r="K11185" s="128"/>
      <c r="X11185" s="234"/>
      <c r="Y11185" s="234"/>
      <c r="Z11185" s="234"/>
      <c r="AA11185" s="235"/>
      <c r="AB11185" s="234"/>
    </row>
    <row r="11186" ht="14.5" customHeight="1" spans="11:28" x14ac:dyDescent="0.25">
      <c r="K11186" s="128"/>
      <c r="X11186" s="234"/>
      <c r="Y11186" s="234"/>
      <c r="Z11186" s="234"/>
      <c r="AA11186" s="235"/>
      <c r="AB11186" s="234"/>
    </row>
    <row r="11187" ht="14.5" customHeight="1" spans="11:28" x14ac:dyDescent="0.25">
      <c r="K11187" s="128"/>
      <c r="X11187" s="234"/>
      <c r="Y11187" s="234"/>
      <c r="Z11187" s="234"/>
      <c r="AA11187" s="235"/>
      <c r="AB11187" s="234"/>
    </row>
    <row r="11188" ht="14.5" customHeight="1" spans="11:28" x14ac:dyDescent="0.25">
      <c r="K11188" s="128"/>
      <c r="X11188" s="234"/>
      <c r="Y11188" s="234"/>
      <c r="Z11188" s="234"/>
      <c r="AA11188" s="235"/>
      <c r="AB11188" s="234"/>
    </row>
    <row r="11189" ht="14.5" customHeight="1" spans="11:28" x14ac:dyDescent="0.25">
      <c r="K11189" s="128"/>
      <c r="X11189" s="234"/>
      <c r="Y11189" s="234"/>
      <c r="Z11189" s="234"/>
      <c r="AA11189" s="235"/>
      <c r="AB11189" s="234"/>
    </row>
    <row r="11190" ht="14.5" customHeight="1" spans="11:28" x14ac:dyDescent="0.25">
      <c r="K11190" s="128"/>
      <c r="X11190" s="234"/>
      <c r="Y11190" s="234"/>
      <c r="Z11190" s="234"/>
      <c r="AA11190" s="235"/>
      <c r="AB11190" s="234"/>
    </row>
    <row r="11191" ht="14.5" customHeight="1" spans="11:28" x14ac:dyDescent="0.25">
      <c r="K11191" s="128"/>
      <c r="X11191" s="234"/>
      <c r="Y11191" s="234"/>
      <c r="Z11191" s="234"/>
      <c r="AA11191" s="235"/>
      <c r="AB11191" s="234"/>
    </row>
    <row r="11192" ht="14.5" customHeight="1" spans="11:28" x14ac:dyDescent="0.25">
      <c r="K11192" s="128"/>
      <c r="X11192" s="234"/>
      <c r="Y11192" s="234"/>
      <c r="Z11192" s="234"/>
      <c r="AA11192" s="235"/>
      <c r="AB11192" s="234"/>
    </row>
    <row r="11193" ht="14.5" customHeight="1" spans="11:28" x14ac:dyDescent="0.25">
      <c r="K11193" s="128"/>
      <c r="X11193" s="234"/>
      <c r="Y11193" s="234"/>
      <c r="Z11193" s="234"/>
      <c r="AA11193" s="235"/>
      <c r="AB11193" s="234"/>
    </row>
    <row r="11194" ht="14.5" customHeight="1" spans="11:28" x14ac:dyDescent="0.25">
      <c r="K11194" s="128"/>
      <c r="X11194" s="234"/>
      <c r="Y11194" s="234"/>
      <c r="Z11194" s="234"/>
      <c r="AA11194" s="235"/>
      <c r="AB11194" s="234"/>
    </row>
    <row r="11195" ht="14.5" customHeight="1" spans="11:28" x14ac:dyDescent="0.25">
      <c r="K11195" s="128"/>
      <c r="X11195" s="234"/>
      <c r="Y11195" s="234"/>
      <c r="Z11195" s="234"/>
      <c r="AA11195" s="235"/>
      <c r="AB11195" s="234"/>
    </row>
    <row r="11196" ht="14.5" customHeight="1" spans="11:28" x14ac:dyDescent="0.25">
      <c r="K11196" s="128"/>
      <c r="X11196" s="234"/>
      <c r="Y11196" s="234"/>
      <c r="Z11196" s="234"/>
      <c r="AA11196" s="235"/>
      <c r="AB11196" s="234"/>
    </row>
    <row r="11197" ht="14.5" customHeight="1" spans="11:28" x14ac:dyDescent="0.25">
      <c r="K11197" s="128"/>
      <c r="X11197" s="234"/>
      <c r="Y11197" s="234"/>
      <c r="Z11197" s="234"/>
      <c r="AA11197" s="235"/>
      <c r="AB11197" s="234"/>
    </row>
    <row r="11198" ht="14.5" customHeight="1" spans="11:28" x14ac:dyDescent="0.25">
      <c r="K11198" s="128"/>
      <c r="X11198" s="234"/>
      <c r="Y11198" s="234"/>
      <c r="Z11198" s="234"/>
      <c r="AA11198" s="235"/>
      <c r="AB11198" s="234"/>
    </row>
    <row r="11199" ht="14.5" customHeight="1" spans="11:28" x14ac:dyDescent="0.25">
      <c r="K11199" s="128"/>
      <c r="X11199" s="234"/>
      <c r="Y11199" s="234"/>
      <c r="Z11199" s="234"/>
      <c r="AA11199" s="235"/>
      <c r="AB11199" s="234"/>
    </row>
    <row r="11200" ht="14.5" customHeight="1" spans="11:28" x14ac:dyDescent="0.25">
      <c r="K11200" s="128"/>
      <c r="X11200" s="234"/>
      <c r="Y11200" s="234"/>
      <c r="Z11200" s="234"/>
      <c r="AA11200" s="235"/>
      <c r="AB11200" s="234"/>
    </row>
    <row r="11201" ht="14.5" customHeight="1" spans="11:28" x14ac:dyDescent="0.25">
      <c r="K11201" s="128"/>
      <c r="X11201" s="234"/>
      <c r="Y11201" s="234"/>
      <c r="Z11201" s="234"/>
      <c r="AA11201" s="235"/>
      <c r="AB11201" s="234"/>
    </row>
    <row r="11202" ht="14.5" customHeight="1" spans="11:28" x14ac:dyDescent="0.25">
      <c r="K11202" s="128"/>
      <c r="X11202" s="234"/>
      <c r="Y11202" s="234"/>
      <c r="Z11202" s="234"/>
      <c r="AA11202" s="235"/>
      <c r="AB11202" s="234"/>
    </row>
    <row r="11203" ht="14.5" customHeight="1" spans="11:28" x14ac:dyDescent="0.25">
      <c r="K11203" s="128"/>
      <c r="X11203" s="234"/>
      <c r="Y11203" s="234"/>
      <c r="Z11203" s="234"/>
      <c r="AA11203" s="235"/>
      <c r="AB11203" s="234"/>
    </row>
    <row r="11204" ht="14.5" customHeight="1" spans="11:28" x14ac:dyDescent="0.25">
      <c r="K11204" s="128"/>
      <c r="X11204" s="234"/>
      <c r="Y11204" s="234"/>
      <c r="Z11204" s="234"/>
      <c r="AA11204" s="235"/>
      <c r="AB11204" s="234"/>
    </row>
    <row r="11205" ht="14.5" customHeight="1" spans="11:28" x14ac:dyDescent="0.25">
      <c r="K11205" s="128"/>
      <c r="X11205" s="234"/>
      <c r="Y11205" s="234"/>
      <c r="Z11205" s="234"/>
      <c r="AA11205" s="235"/>
      <c r="AB11205" s="234"/>
    </row>
    <row r="11206" ht="14.5" customHeight="1" spans="11:28" x14ac:dyDescent="0.25">
      <c r="K11206" s="128"/>
      <c r="X11206" s="234"/>
      <c r="Y11206" s="234"/>
      <c r="Z11206" s="234"/>
      <c r="AA11206" s="235"/>
      <c r="AB11206" s="234"/>
    </row>
    <row r="11207" ht="14.5" customHeight="1" spans="11:28" x14ac:dyDescent="0.25">
      <c r="K11207" s="128"/>
      <c r="X11207" s="234"/>
      <c r="Y11207" s="234"/>
      <c r="Z11207" s="234"/>
      <c r="AA11207" s="235"/>
      <c r="AB11207" s="234"/>
    </row>
    <row r="11208" ht="14.5" customHeight="1" spans="11:28" x14ac:dyDescent="0.25">
      <c r="K11208" s="128"/>
      <c r="X11208" s="234"/>
      <c r="Y11208" s="234"/>
      <c r="Z11208" s="234"/>
      <c r="AA11208" s="235"/>
      <c r="AB11208" s="234"/>
    </row>
    <row r="11209" ht="14.5" customHeight="1" spans="11:28" x14ac:dyDescent="0.25">
      <c r="K11209" s="128"/>
      <c r="X11209" s="234"/>
      <c r="Y11209" s="234"/>
      <c r="Z11209" s="234"/>
      <c r="AA11209" s="235"/>
      <c r="AB11209" s="234"/>
    </row>
    <row r="11210" ht="14.5" customHeight="1" spans="11:28" x14ac:dyDescent="0.25">
      <c r="K11210" s="128"/>
      <c r="X11210" s="234"/>
      <c r="Y11210" s="234"/>
      <c r="Z11210" s="234"/>
      <c r="AA11210" s="235"/>
      <c r="AB11210" s="234"/>
    </row>
    <row r="11211" ht="14.5" customHeight="1" spans="11:28" x14ac:dyDescent="0.25">
      <c r="K11211" s="128"/>
      <c r="X11211" s="234"/>
      <c r="Y11211" s="234"/>
      <c r="Z11211" s="234"/>
      <c r="AA11211" s="235"/>
      <c r="AB11211" s="234"/>
    </row>
    <row r="11212" ht="14.5" customHeight="1" spans="11:28" x14ac:dyDescent="0.25">
      <c r="K11212" s="128"/>
      <c r="X11212" s="234"/>
      <c r="Y11212" s="234"/>
      <c r="Z11212" s="234"/>
      <c r="AA11212" s="235"/>
      <c r="AB11212" s="234"/>
    </row>
    <row r="11213" ht="14.5" customHeight="1" spans="11:28" x14ac:dyDescent="0.25">
      <c r="K11213" s="128"/>
      <c r="X11213" s="234"/>
      <c r="Y11213" s="234"/>
      <c r="Z11213" s="234"/>
      <c r="AA11213" s="235"/>
      <c r="AB11213" s="234"/>
    </row>
    <row r="11214" ht="14.5" customHeight="1" spans="11:28" x14ac:dyDescent="0.25">
      <c r="K11214" s="128"/>
      <c r="X11214" s="234"/>
      <c r="Y11214" s="234"/>
      <c r="Z11214" s="234"/>
      <c r="AA11214" s="235"/>
      <c r="AB11214" s="234"/>
    </row>
    <row r="11215" ht="14.5" customHeight="1" spans="11:28" x14ac:dyDescent="0.25">
      <c r="K11215" s="128"/>
      <c r="X11215" s="234"/>
      <c r="Y11215" s="234"/>
      <c r="Z11215" s="234"/>
      <c r="AA11215" s="235"/>
      <c r="AB11215" s="234"/>
    </row>
    <row r="11216" ht="14.5" customHeight="1" spans="11:28" x14ac:dyDescent="0.25">
      <c r="K11216" s="128"/>
      <c r="X11216" s="234"/>
      <c r="Y11216" s="234"/>
      <c r="Z11216" s="234"/>
      <c r="AA11216" s="235"/>
      <c r="AB11216" s="234"/>
    </row>
    <row r="11217" ht="14.5" customHeight="1" spans="11:28" x14ac:dyDescent="0.25">
      <c r="K11217" s="128"/>
      <c r="X11217" s="234"/>
      <c r="Y11217" s="234"/>
      <c r="Z11217" s="234"/>
      <c r="AA11217" s="235"/>
      <c r="AB11217" s="234"/>
    </row>
    <row r="11218" ht="14.5" customHeight="1" spans="11:28" x14ac:dyDescent="0.25">
      <c r="K11218" s="128"/>
      <c r="X11218" s="234"/>
      <c r="Y11218" s="234"/>
      <c r="Z11218" s="234"/>
      <c r="AA11218" s="235"/>
      <c r="AB11218" s="234"/>
    </row>
    <row r="11219" ht="14.5" customHeight="1" spans="11:28" x14ac:dyDescent="0.25">
      <c r="K11219" s="128"/>
      <c r="X11219" s="234"/>
      <c r="Y11219" s="234"/>
      <c r="Z11219" s="234"/>
      <c r="AA11219" s="235"/>
      <c r="AB11219" s="234"/>
    </row>
    <row r="11220" ht="14.5" customHeight="1" spans="11:28" x14ac:dyDescent="0.25">
      <c r="K11220" s="128"/>
      <c r="X11220" s="234"/>
      <c r="Y11220" s="234"/>
      <c r="Z11220" s="234"/>
      <c r="AA11220" s="235"/>
      <c r="AB11220" s="234"/>
    </row>
    <row r="11221" ht="14.5" customHeight="1" spans="11:28" x14ac:dyDescent="0.25">
      <c r="K11221" s="128"/>
      <c r="X11221" s="234"/>
      <c r="Y11221" s="234"/>
      <c r="Z11221" s="234"/>
      <c r="AA11221" s="235"/>
      <c r="AB11221" s="234"/>
    </row>
    <row r="11222" ht="14.5" customHeight="1" spans="11:28" x14ac:dyDescent="0.25">
      <c r="K11222" s="128"/>
      <c r="X11222" s="234"/>
      <c r="Y11222" s="234"/>
      <c r="Z11222" s="234"/>
      <c r="AA11222" s="235"/>
      <c r="AB11222" s="234"/>
    </row>
    <row r="11223" ht="14.5" customHeight="1" spans="11:28" x14ac:dyDescent="0.25">
      <c r="K11223" s="128"/>
      <c r="X11223" s="234"/>
      <c r="Y11223" s="234"/>
      <c r="Z11223" s="234"/>
      <c r="AA11223" s="235"/>
      <c r="AB11223" s="234"/>
    </row>
    <row r="11224" ht="14.5" customHeight="1" spans="11:28" x14ac:dyDescent="0.25">
      <c r="K11224" s="128"/>
      <c r="X11224" s="234"/>
      <c r="Y11224" s="234"/>
      <c r="Z11224" s="234"/>
      <c r="AA11224" s="235"/>
      <c r="AB11224" s="234"/>
    </row>
    <row r="11225" ht="14.5" customHeight="1" spans="11:28" x14ac:dyDescent="0.25">
      <c r="K11225" s="128"/>
      <c r="X11225" s="234"/>
      <c r="Y11225" s="234"/>
      <c r="Z11225" s="234"/>
      <c r="AA11225" s="235"/>
      <c r="AB11225" s="234"/>
    </row>
    <row r="11226" ht="14.5" customHeight="1" spans="11:28" x14ac:dyDescent="0.25">
      <c r="K11226" s="128"/>
      <c r="X11226" s="234"/>
      <c r="Y11226" s="234"/>
      <c r="Z11226" s="234"/>
      <c r="AA11226" s="235"/>
      <c r="AB11226" s="234"/>
    </row>
    <row r="11227" ht="14.5" customHeight="1" spans="11:28" x14ac:dyDescent="0.25">
      <c r="K11227" s="128"/>
      <c r="X11227" s="234"/>
      <c r="Y11227" s="234"/>
      <c r="Z11227" s="234"/>
      <c r="AA11227" s="235"/>
      <c r="AB11227" s="234"/>
    </row>
    <row r="11228" ht="14.5" customHeight="1" spans="11:28" x14ac:dyDescent="0.25">
      <c r="K11228" s="128"/>
      <c r="X11228" s="234"/>
      <c r="Y11228" s="234"/>
      <c r="Z11228" s="234"/>
      <c r="AA11228" s="235"/>
      <c r="AB11228" s="234"/>
    </row>
    <row r="11229" ht="14.5" customHeight="1" spans="11:28" x14ac:dyDescent="0.25">
      <c r="K11229" s="128"/>
      <c r="X11229" s="234"/>
      <c r="Y11229" s="234"/>
      <c r="Z11229" s="234"/>
      <c r="AA11229" s="235"/>
      <c r="AB11229" s="234"/>
    </row>
    <row r="11230" ht="14.5" customHeight="1" spans="11:28" x14ac:dyDescent="0.25">
      <c r="K11230" s="128"/>
      <c r="X11230" s="234"/>
      <c r="Y11230" s="234"/>
      <c r="Z11230" s="234"/>
      <c r="AA11230" s="235"/>
      <c r="AB11230" s="234"/>
    </row>
    <row r="11231" ht="14.5" customHeight="1" spans="11:28" x14ac:dyDescent="0.25">
      <c r="K11231" s="128"/>
      <c r="X11231" s="234"/>
      <c r="Y11231" s="234"/>
      <c r="Z11231" s="234"/>
      <c r="AA11231" s="235"/>
      <c r="AB11231" s="234"/>
    </row>
    <row r="11232" ht="14.5" customHeight="1" spans="11:28" x14ac:dyDescent="0.25">
      <c r="K11232" s="128"/>
      <c r="X11232" s="234"/>
      <c r="Y11232" s="234"/>
      <c r="Z11232" s="234"/>
      <c r="AA11232" s="235"/>
      <c r="AB11232" s="234"/>
    </row>
    <row r="11233" ht="14.5" customHeight="1" spans="11:28" x14ac:dyDescent="0.25">
      <c r="K11233" s="128"/>
      <c r="X11233" s="234"/>
      <c r="Y11233" s="234"/>
      <c r="Z11233" s="234"/>
      <c r="AA11233" s="235"/>
      <c r="AB11233" s="234"/>
    </row>
    <row r="11234" ht="14.5" customHeight="1" spans="11:28" x14ac:dyDescent="0.25">
      <c r="K11234" s="128"/>
      <c r="X11234" s="234"/>
      <c r="Y11234" s="234"/>
      <c r="Z11234" s="234"/>
      <c r="AA11234" s="235"/>
      <c r="AB11234" s="234"/>
    </row>
    <row r="11235" ht="14.5" customHeight="1" spans="11:28" x14ac:dyDescent="0.25">
      <c r="K11235" s="128"/>
      <c r="X11235" s="234"/>
      <c r="Y11235" s="234"/>
      <c r="Z11235" s="234"/>
      <c r="AA11235" s="235"/>
      <c r="AB11235" s="234"/>
    </row>
    <row r="11236" ht="14.5" customHeight="1" spans="11:28" x14ac:dyDescent="0.25">
      <c r="K11236" s="128"/>
      <c r="X11236" s="234"/>
      <c r="Y11236" s="234"/>
      <c r="Z11236" s="234"/>
      <c r="AA11236" s="235"/>
      <c r="AB11236" s="234"/>
    </row>
    <row r="11237" ht="14.5" customHeight="1" spans="11:28" x14ac:dyDescent="0.25">
      <c r="K11237" s="128"/>
      <c r="X11237" s="234"/>
      <c r="Y11237" s="234"/>
      <c r="Z11237" s="234"/>
      <c r="AA11237" s="235"/>
      <c r="AB11237" s="234"/>
    </row>
    <row r="11238" ht="14.5" customHeight="1" spans="11:28" x14ac:dyDescent="0.25">
      <c r="K11238" s="128"/>
      <c r="X11238" s="234"/>
      <c r="Y11238" s="234"/>
      <c r="Z11238" s="234"/>
      <c r="AA11238" s="235"/>
      <c r="AB11238" s="234"/>
    </row>
    <row r="11239" ht="14.5" customHeight="1" spans="11:28" x14ac:dyDescent="0.25">
      <c r="K11239" s="128"/>
      <c r="X11239" s="234"/>
      <c r="Y11239" s="234"/>
      <c r="Z11239" s="234"/>
      <c r="AA11239" s="235"/>
      <c r="AB11239" s="234"/>
    </row>
    <row r="11240" ht="14.5" customHeight="1" spans="11:28" x14ac:dyDescent="0.25">
      <c r="K11240" s="128"/>
      <c r="X11240" s="234"/>
      <c r="Y11240" s="234"/>
      <c r="Z11240" s="234"/>
      <c r="AA11240" s="235"/>
      <c r="AB11240" s="234"/>
    </row>
    <row r="11241" ht="14.5" customHeight="1" spans="11:28" x14ac:dyDescent="0.25">
      <c r="K11241" s="128"/>
      <c r="X11241" s="234"/>
      <c r="Y11241" s="234"/>
      <c r="Z11241" s="234"/>
      <c r="AA11241" s="235"/>
      <c r="AB11241" s="234"/>
    </row>
    <row r="11242" ht="14.5" customHeight="1" spans="11:28" x14ac:dyDescent="0.25">
      <c r="K11242" s="128"/>
      <c r="X11242" s="234"/>
      <c r="Y11242" s="234"/>
      <c r="Z11242" s="234"/>
      <c r="AA11242" s="235"/>
      <c r="AB11242" s="234"/>
    </row>
    <row r="11243" ht="14.5" customHeight="1" spans="11:28" x14ac:dyDescent="0.25">
      <c r="K11243" s="128"/>
      <c r="X11243" s="234"/>
      <c r="Y11243" s="234"/>
      <c r="Z11243" s="234"/>
      <c r="AA11243" s="235"/>
      <c r="AB11243" s="234"/>
    </row>
    <row r="11244" ht="14.5" customHeight="1" spans="11:28" x14ac:dyDescent="0.25">
      <c r="K11244" s="128"/>
      <c r="X11244" s="234"/>
      <c r="Y11244" s="234"/>
      <c r="Z11244" s="234"/>
      <c r="AA11244" s="235"/>
      <c r="AB11244" s="234"/>
    </row>
    <row r="11245" ht="14.5" customHeight="1" spans="11:28" x14ac:dyDescent="0.25">
      <c r="K11245" s="128"/>
      <c r="X11245" s="234"/>
      <c r="Y11245" s="234"/>
      <c r="Z11245" s="234"/>
      <c r="AA11245" s="235"/>
      <c r="AB11245" s="234"/>
    </row>
    <row r="11246" ht="14.5" customHeight="1" spans="11:28" x14ac:dyDescent="0.25">
      <c r="K11246" s="128"/>
      <c r="X11246" s="234"/>
      <c r="Y11246" s="234"/>
      <c r="Z11246" s="234"/>
      <c r="AA11246" s="235"/>
      <c r="AB11246" s="234"/>
    </row>
    <row r="11247" ht="14.5" customHeight="1" spans="11:28" x14ac:dyDescent="0.25">
      <c r="K11247" s="128"/>
      <c r="X11247" s="234"/>
      <c r="Y11247" s="234"/>
      <c r="Z11247" s="234"/>
      <c r="AA11247" s="235"/>
      <c r="AB11247" s="234"/>
    </row>
    <row r="11248" ht="14.5" customHeight="1" spans="11:28" x14ac:dyDescent="0.25">
      <c r="K11248" s="128"/>
      <c r="X11248" s="234"/>
      <c r="Y11248" s="234"/>
      <c r="Z11248" s="234"/>
      <c r="AA11248" s="235"/>
      <c r="AB11248" s="234"/>
    </row>
    <row r="11249" ht="14.5" customHeight="1" spans="11:28" x14ac:dyDescent="0.25">
      <c r="K11249" s="128"/>
      <c r="X11249" s="234"/>
      <c r="Y11249" s="234"/>
      <c r="Z11249" s="234"/>
      <c r="AA11249" s="235"/>
      <c r="AB11249" s="234"/>
    </row>
    <row r="11250" ht="14.5" customHeight="1" spans="11:28" x14ac:dyDescent="0.25">
      <c r="K11250" s="128"/>
      <c r="X11250" s="234"/>
      <c r="Y11250" s="234"/>
      <c r="Z11250" s="234"/>
      <c r="AA11250" s="235"/>
      <c r="AB11250" s="234"/>
    </row>
    <row r="11251" ht="14.5" customHeight="1" spans="11:28" x14ac:dyDescent="0.25">
      <c r="K11251" s="128"/>
      <c r="X11251" s="234"/>
      <c r="Y11251" s="234"/>
      <c r="Z11251" s="234"/>
      <c r="AA11251" s="235"/>
      <c r="AB11251" s="234"/>
    </row>
    <row r="11252" ht="14.5" customHeight="1" spans="11:28" x14ac:dyDescent="0.25">
      <c r="K11252" s="128"/>
      <c r="X11252" s="234"/>
      <c r="Y11252" s="234"/>
      <c r="Z11252" s="234"/>
      <c r="AA11252" s="235"/>
      <c r="AB11252" s="234"/>
    </row>
    <row r="11253" ht="14.5" customHeight="1" spans="11:28" x14ac:dyDescent="0.25">
      <c r="K11253" s="128"/>
      <c r="X11253" s="234"/>
      <c r="Y11253" s="234"/>
      <c r="Z11253" s="234"/>
      <c r="AA11253" s="235"/>
      <c r="AB11253" s="234"/>
    </row>
    <row r="11254" ht="14.5" customHeight="1" spans="11:28" x14ac:dyDescent="0.25">
      <c r="K11254" s="128"/>
      <c r="X11254" s="234"/>
      <c r="Y11254" s="234"/>
      <c r="Z11254" s="234"/>
      <c r="AA11254" s="235"/>
      <c r="AB11254" s="234"/>
    </row>
    <row r="11255" ht="14.5" customHeight="1" spans="11:28" x14ac:dyDescent="0.25">
      <c r="K11255" s="128"/>
      <c r="X11255" s="234"/>
      <c r="Y11255" s="234"/>
      <c r="Z11255" s="234"/>
      <c r="AA11255" s="235"/>
      <c r="AB11255" s="234"/>
    </row>
    <row r="11256" ht="14.5" customHeight="1" spans="11:28" x14ac:dyDescent="0.25">
      <c r="K11256" s="128"/>
      <c r="X11256" s="234"/>
      <c r="Y11256" s="234"/>
      <c r="Z11256" s="234"/>
      <c r="AA11256" s="235"/>
      <c r="AB11256" s="234"/>
    </row>
    <row r="11257" ht="14.5" customHeight="1" spans="11:28" x14ac:dyDescent="0.25">
      <c r="K11257" s="128"/>
      <c r="X11257" s="234"/>
      <c r="Y11257" s="234"/>
      <c r="Z11257" s="234"/>
      <c r="AA11257" s="235"/>
      <c r="AB11257" s="234"/>
    </row>
    <row r="11258" ht="14.5" customHeight="1" spans="11:28" x14ac:dyDescent="0.25">
      <c r="K11258" s="128"/>
      <c r="X11258" s="234"/>
      <c r="Y11258" s="234"/>
      <c r="Z11258" s="234"/>
      <c r="AA11258" s="235"/>
      <c r="AB11258" s="234"/>
    </row>
    <row r="11259" ht="14.5" customHeight="1" spans="11:28" x14ac:dyDescent="0.25">
      <c r="K11259" s="128"/>
      <c r="X11259" s="234"/>
      <c r="Y11259" s="234"/>
      <c r="Z11259" s="234"/>
      <c r="AA11259" s="235"/>
      <c r="AB11259" s="234"/>
    </row>
    <row r="11260" ht="14.5" customHeight="1" spans="11:28" x14ac:dyDescent="0.25">
      <c r="K11260" s="128"/>
      <c r="X11260" s="234"/>
      <c r="Y11260" s="234"/>
      <c r="Z11260" s="234"/>
      <c r="AA11260" s="235"/>
      <c r="AB11260" s="234"/>
    </row>
    <row r="11261" ht="14.5" customHeight="1" spans="11:28" x14ac:dyDescent="0.25">
      <c r="K11261" s="128"/>
      <c r="X11261" s="234"/>
      <c r="Y11261" s="234"/>
      <c r="Z11261" s="234"/>
      <c r="AA11261" s="235"/>
      <c r="AB11261" s="234"/>
    </row>
    <row r="11262" ht="14.5" customHeight="1" spans="11:28" x14ac:dyDescent="0.25">
      <c r="K11262" s="128"/>
      <c r="X11262" s="234"/>
      <c r="Y11262" s="234"/>
      <c r="Z11262" s="234"/>
      <c r="AA11262" s="235"/>
      <c r="AB11262" s="234"/>
    </row>
    <row r="11263" ht="14.5" customHeight="1" spans="11:28" x14ac:dyDescent="0.25">
      <c r="K11263" s="128"/>
      <c r="X11263" s="234"/>
      <c r="Y11263" s="234"/>
      <c r="Z11263" s="234"/>
      <c r="AA11263" s="235"/>
      <c r="AB11263" s="234"/>
    </row>
    <row r="11264" ht="14.5" customHeight="1" spans="11:28" x14ac:dyDescent="0.25">
      <c r="K11264" s="128"/>
      <c r="X11264" s="234"/>
      <c r="Y11264" s="234"/>
      <c r="Z11264" s="234"/>
      <c r="AA11264" s="235"/>
      <c r="AB11264" s="234"/>
    </row>
    <row r="11265" ht="14.5" customHeight="1" spans="11:28" x14ac:dyDescent="0.25">
      <c r="K11265" s="128"/>
      <c r="X11265" s="234"/>
      <c r="Y11265" s="234"/>
      <c r="Z11265" s="234"/>
      <c r="AA11265" s="235"/>
      <c r="AB11265" s="234"/>
    </row>
    <row r="11266" ht="14.5" customHeight="1" spans="11:28" x14ac:dyDescent="0.25">
      <c r="K11266" s="128"/>
      <c r="X11266" s="234"/>
      <c r="Y11266" s="234"/>
      <c r="Z11266" s="234"/>
      <c r="AA11266" s="235"/>
      <c r="AB11266" s="234"/>
    </row>
    <row r="11267" ht="14.5" customHeight="1" spans="11:28" x14ac:dyDescent="0.25">
      <c r="K11267" s="128"/>
      <c r="X11267" s="234"/>
      <c r="Y11267" s="234"/>
      <c r="Z11267" s="234"/>
      <c r="AA11267" s="235"/>
      <c r="AB11267" s="234"/>
    </row>
    <row r="11268" ht="14.5" customHeight="1" spans="11:28" x14ac:dyDescent="0.25">
      <c r="K11268" s="128"/>
      <c r="X11268" s="234"/>
      <c r="Y11268" s="234"/>
      <c r="Z11268" s="234"/>
      <c r="AA11268" s="235"/>
      <c r="AB11268" s="234"/>
    </row>
    <row r="11269" ht="14.5" customHeight="1" spans="11:28" x14ac:dyDescent="0.25">
      <c r="K11269" s="128"/>
      <c r="X11269" s="234"/>
      <c r="Y11269" s="234"/>
      <c r="Z11269" s="234"/>
      <c r="AA11269" s="235"/>
      <c r="AB11269" s="234"/>
    </row>
    <row r="11270" ht="14.5" customHeight="1" spans="11:28" x14ac:dyDescent="0.25">
      <c r="K11270" s="128"/>
      <c r="X11270" s="234"/>
      <c r="Y11270" s="234"/>
      <c r="Z11270" s="234"/>
      <c r="AA11270" s="235"/>
      <c r="AB11270" s="234"/>
    </row>
    <row r="11271" ht="14.5" customHeight="1" spans="11:28" x14ac:dyDescent="0.25">
      <c r="K11271" s="128"/>
      <c r="X11271" s="234"/>
      <c r="Y11271" s="234"/>
      <c r="Z11271" s="234"/>
      <c r="AA11271" s="235"/>
      <c r="AB11271" s="234"/>
    </row>
    <row r="11272" ht="14.5" customHeight="1" spans="11:28" x14ac:dyDescent="0.25">
      <c r="K11272" s="128"/>
      <c r="X11272" s="234"/>
      <c r="Y11272" s="234"/>
      <c r="Z11272" s="234"/>
      <c r="AA11272" s="235"/>
      <c r="AB11272" s="234"/>
    </row>
    <row r="11273" ht="14.5" customHeight="1" spans="11:28" x14ac:dyDescent="0.25">
      <c r="K11273" s="128"/>
      <c r="X11273" s="234"/>
      <c r="Y11273" s="234"/>
      <c r="Z11273" s="234"/>
      <c r="AA11273" s="235"/>
      <c r="AB11273" s="234"/>
    </row>
    <row r="11274" ht="14.5" customHeight="1" spans="11:28" x14ac:dyDescent="0.25">
      <c r="K11274" s="128"/>
      <c r="X11274" s="234"/>
      <c r="Y11274" s="234"/>
      <c r="Z11274" s="234"/>
      <c r="AA11274" s="235"/>
      <c r="AB11274" s="234"/>
    </row>
    <row r="11275" ht="14.5" customHeight="1" spans="11:28" x14ac:dyDescent="0.25">
      <c r="K11275" s="128"/>
      <c r="X11275" s="234"/>
      <c r="Y11275" s="234"/>
      <c r="Z11275" s="234"/>
      <c r="AA11275" s="235"/>
      <c r="AB11275" s="234"/>
    </row>
    <row r="11276" ht="14.5" customHeight="1" spans="11:28" x14ac:dyDescent="0.25">
      <c r="K11276" s="128"/>
      <c r="X11276" s="234"/>
      <c r="Y11276" s="234"/>
      <c r="Z11276" s="234"/>
      <c r="AA11276" s="235"/>
      <c r="AB11276" s="234"/>
    </row>
    <row r="11277" ht="14.5" customHeight="1" spans="11:28" x14ac:dyDescent="0.25">
      <c r="K11277" s="128"/>
      <c r="X11277" s="234"/>
      <c r="Y11277" s="234"/>
      <c r="Z11277" s="234"/>
      <c r="AA11277" s="235"/>
      <c r="AB11277" s="234"/>
    </row>
    <row r="11278" ht="14.5" customHeight="1" spans="11:28" x14ac:dyDescent="0.25">
      <c r="K11278" s="128"/>
      <c r="X11278" s="234"/>
      <c r="Y11278" s="234"/>
      <c r="Z11278" s="234"/>
      <c r="AA11278" s="235"/>
      <c r="AB11278" s="234"/>
    </row>
    <row r="11279" ht="14.5" customHeight="1" spans="11:28" x14ac:dyDescent="0.25">
      <c r="K11279" s="128"/>
      <c r="X11279" s="234"/>
      <c r="Y11279" s="234"/>
      <c r="Z11279" s="234"/>
      <c r="AA11279" s="235"/>
      <c r="AB11279" s="234"/>
    </row>
    <row r="11280" ht="14.5" customHeight="1" spans="11:28" x14ac:dyDescent="0.25">
      <c r="K11280" s="128"/>
      <c r="X11280" s="234"/>
      <c r="Y11280" s="234"/>
      <c r="Z11280" s="234"/>
      <c r="AA11280" s="235"/>
      <c r="AB11280" s="234"/>
    </row>
    <row r="11281" ht="14.5" customHeight="1" spans="11:28" x14ac:dyDescent="0.25">
      <c r="K11281" s="128"/>
      <c r="X11281" s="234"/>
      <c r="Y11281" s="234"/>
      <c r="Z11281" s="234"/>
      <c r="AA11281" s="235"/>
      <c r="AB11281" s="234"/>
    </row>
    <row r="11282" ht="14.5" customHeight="1" spans="11:28" x14ac:dyDescent="0.25">
      <c r="K11282" s="128"/>
      <c r="X11282" s="234"/>
      <c r="Y11282" s="234"/>
      <c r="Z11282" s="234"/>
      <c r="AA11282" s="235"/>
      <c r="AB11282" s="234"/>
    </row>
    <row r="11283" ht="14.5" customHeight="1" spans="11:28" x14ac:dyDescent="0.25">
      <c r="K11283" s="128"/>
      <c r="X11283" s="234"/>
      <c r="Y11283" s="234"/>
      <c r="Z11283" s="234"/>
      <c r="AA11283" s="235"/>
      <c r="AB11283" s="234"/>
    </row>
    <row r="11284" ht="14.5" customHeight="1" spans="11:28" x14ac:dyDescent="0.25">
      <c r="K11284" s="128"/>
      <c r="X11284" s="234"/>
      <c r="Y11284" s="234"/>
      <c r="Z11284" s="234"/>
      <c r="AA11284" s="235"/>
      <c r="AB11284" s="234"/>
    </row>
    <row r="11285" ht="14.5" customHeight="1" spans="11:28" x14ac:dyDescent="0.25">
      <c r="K11285" s="128"/>
      <c r="X11285" s="234"/>
      <c r="Y11285" s="234"/>
      <c r="Z11285" s="234"/>
      <c r="AA11285" s="235"/>
      <c r="AB11285" s="234"/>
    </row>
    <row r="11286" ht="14.5" customHeight="1" spans="11:28" x14ac:dyDescent="0.25">
      <c r="K11286" s="128"/>
      <c r="X11286" s="234"/>
      <c r="Y11286" s="234"/>
      <c r="Z11286" s="234"/>
      <c r="AA11286" s="235"/>
      <c r="AB11286" s="234"/>
    </row>
    <row r="11287" ht="14.5" customHeight="1" spans="11:28" x14ac:dyDescent="0.25">
      <c r="K11287" s="128"/>
      <c r="X11287" s="234"/>
      <c r="Y11287" s="234"/>
      <c r="Z11287" s="234"/>
      <c r="AA11287" s="235"/>
      <c r="AB11287" s="234"/>
    </row>
    <row r="11288" ht="14.5" customHeight="1" spans="11:28" x14ac:dyDescent="0.25">
      <c r="K11288" s="128"/>
      <c r="X11288" s="234"/>
      <c r="Y11288" s="234"/>
      <c r="Z11288" s="234"/>
      <c r="AA11288" s="235"/>
      <c r="AB11288" s="234"/>
    </row>
    <row r="11289" ht="14.5" customHeight="1" spans="11:28" x14ac:dyDescent="0.25">
      <c r="K11289" s="128"/>
      <c r="X11289" s="234"/>
      <c r="Y11289" s="234"/>
      <c r="Z11289" s="234"/>
      <c r="AA11289" s="235"/>
      <c r="AB11289" s="234"/>
    </row>
    <row r="11290" ht="14.5" customHeight="1" spans="11:28" x14ac:dyDescent="0.25">
      <c r="K11290" s="128"/>
      <c r="X11290" s="234"/>
      <c r="Y11290" s="234"/>
      <c r="Z11290" s="234"/>
      <c r="AA11290" s="235"/>
      <c r="AB11290" s="234"/>
    </row>
    <row r="11291" ht="14.5" customHeight="1" spans="11:28" x14ac:dyDescent="0.25">
      <c r="K11291" s="128"/>
      <c r="X11291" s="234"/>
      <c r="Y11291" s="234"/>
      <c r="Z11291" s="234"/>
      <c r="AA11291" s="235"/>
      <c r="AB11291" s="234"/>
    </row>
    <row r="11292" ht="14.5" customHeight="1" spans="11:28" x14ac:dyDescent="0.25">
      <c r="K11292" s="128"/>
      <c r="X11292" s="234"/>
      <c r="Y11292" s="234"/>
      <c r="Z11292" s="234"/>
      <c r="AA11292" s="235"/>
      <c r="AB11292" s="234"/>
    </row>
    <row r="11293" ht="14.5" customHeight="1" spans="11:28" x14ac:dyDescent="0.25">
      <c r="K11293" s="128"/>
      <c r="X11293" s="234"/>
      <c r="Y11293" s="234"/>
      <c r="Z11293" s="234"/>
      <c r="AA11293" s="235"/>
      <c r="AB11293" s="234"/>
    </row>
    <row r="11294" ht="14.5" customHeight="1" spans="11:28" x14ac:dyDescent="0.25">
      <c r="K11294" s="128"/>
      <c r="X11294" s="234"/>
      <c r="Y11294" s="234"/>
      <c r="Z11294" s="234"/>
      <c r="AA11294" s="235"/>
      <c r="AB11294" s="234"/>
    </row>
    <row r="11295" ht="14.5" customHeight="1" spans="11:28" x14ac:dyDescent="0.25">
      <c r="K11295" s="128"/>
      <c r="X11295" s="234"/>
      <c r="Y11295" s="234"/>
      <c r="Z11295" s="234"/>
      <c r="AA11295" s="235"/>
      <c r="AB11295" s="234"/>
    </row>
    <row r="11296" ht="14.5" customHeight="1" spans="11:28" x14ac:dyDescent="0.25">
      <c r="K11296" s="128"/>
      <c r="X11296" s="234"/>
      <c r="Y11296" s="234"/>
      <c r="Z11296" s="234"/>
      <c r="AA11296" s="235"/>
      <c r="AB11296" s="234"/>
    </row>
    <row r="11297" ht="14.5" customHeight="1" spans="11:28" x14ac:dyDescent="0.25">
      <c r="K11297" s="128"/>
      <c r="X11297" s="234"/>
      <c r="Y11297" s="234"/>
      <c r="Z11297" s="234"/>
      <c r="AA11297" s="235"/>
      <c r="AB11297" s="234"/>
    </row>
    <row r="11298" ht="14.5" customHeight="1" spans="11:28" x14ac:dyDescent="0.25">
      <c r="K11298" s="128"/>
      <c r="X11298" s="234"/>
      <c r="Y11298" s="234"/>
      <c r="Z11298" s="234"/>
      <c r="AA11298" s="235"/>
      <c r="AB11298" s="234"/>
    </row>
    <row r="11299" ht="14.5" customHeight="1" spans="11:28" x14ac:dyDescent="0.25">
      <c r="K11299" s="128"/>
      <c r="X11299" s="234"/>
      <c r="Y11299" s="234"/>
      <c r="Z11299" s="234"/>
      <c r="AA11299" s="235"/>
      <c r="AB11299" s="234"/>
    </row>
    <row r="11300" ht="14.5" customHeight="1" spans="11:28" x14ac:dyDescent="0.25">
      <c r="K11300" s="128"/>
      <c r="X11300" s="234"/>
      <c r="Y11300" s="234"/>
      <c r="Z11300" s="234"/>
      <c r="AA11300" s="235"/>
      <c r="AB11300" s="234"/>
    </row>
    <row r="11301" ht="14.5" customHeight="1" spans="11:28" x14ac:dyDescent="0.25">
      <c r="K11301" s="128"/>
      <c r="X11301" s="234"/>
      <c r="Y11301" s="234"/>
      <c r="Z11301" s="234"/>
      <c r="AA11301" s="235"/>
      <c r="AB11301" s="234"/>
    </row>
    <row r="11302" ht="14.5" customHeight="1" spans="11:28" x14ac:dyDescent="0.25">
      <c r="K11302" s="128"/>
      <c r="X11302" s="234"/>
      <c r="Y11302" s="234"/>
      <c r="Z11302" s="234"/>
      <c r="AA11302" s="235"/>
      <c r="AB11302" s="234"/>
    </row>
    <row r="11303" ht="14.5" customHeight="1" spans="11:28" x14ac:dyDescent="0.25">
      <c r="K11303" s="128"/>
      <c r="X11303" s="234"/>
      <c r="Y11303" s="234"/>
      <c r="Z11303" s="234"/>
      <c r="AA11303" s="235"/>
      <c r="AB11303" s="234"/>
    </row>
    <row r="11304" ht="14.5" customHeight="1" spans="11:28" x14ac:dyDescent="0.25">
      <c r="K11304" s="128"/>
      <c r="X11304" s="234"/>
      <c r="Y11304" s="234"/>
      <c r="Z11304" s="234"/>
      <c r="AA11304" s="235"/>
      <c r="AB11304" s="234"/>
    </row>
    <row r="11305" ht="14.5" customHeight="1" spans="11:28" x14ac:dyDescent="0.25">
      <c r="K11305" s="128"/>
      <c r="X11305" s="234"/>
      <c r="Y11305" s="234"/>
      <c r="Z11305" s="234"/>
      <c r="AA11305" s="235"/>
      <c r="AB11305" s="234"/>
    </row>
    <row r="11306" ht="14.5" customHeight="1" spans="11:28" x14ac:dyDescent="0.25">
      <c r="K11306" s="128"/>
      <c r="X11306" s="234"/>
      <c r="Y11306" s="234"/>
      <c r="Z11306" s="234"/>
      <c r="AA11306" s="235"/>
      <c r="AB11306" s="234"/>
    </row>
    <row r="11307" ht="14.5" customHeight="1" spans="11:28" x14ac:dyDescent="0.25">
      <c r="K11307" s="128"/>
      <c r="X11307" s="234"/>
      <c r="Y11307" s="234"/>
      <c r="Z11307" s="234"/>
      <c r="AA11307" s="235"/>
      <c r="AB11307" s="234"/>
    </row>
    <row r="11308" ht="14.5" customHeight="1" spans="11:28" x14ac:dyDescent="0.25">
      <c r="K11308" s="128"/>
      <c r="X11308" s="234"/>
      <c r="Y11308" s="234"/>
      <c r="Z11308" s="234"/>
      <c r="AA11308" s="235"/>
      <c r="AB11308" s="234"/>
    </row>
    <row r="11309" ht="14.5" customHeight="1" spans="11:28" x14ac:dyDescent="0.25">
      <c r="K11309" s="128"/>
      <c r="X11309" s="234"/>
      <c r="Y11309" s="234"/>
      <c r="Z11309" s="234"/>
      <c r="AA11309" s="235"/>
      <c r="AB11309" s="234"/>
    </row>
    <row r="11310" ht="14.5" customHeight="1" spans="11:28" x14ac:dyDescent="0.25">
      <c r="K11310" s="128"/>
      <c r="X11310" s="234"/>
      <c r="Y11310" s="234"/>
      <c r="Z11310" s="234"/>
      <c r="AA11310" s="235"/>
      <c r="AB11310" s="234"/>
    </row>
    <row r="11311" ht="14.5" customHeight="1" spans="11:28" x14ac:dyDescent="0.25">
      <c r="K11311" s="128"/>
      <c r="X11311" s="234"/>
      <c r="Y11311" s="234"/>
      <c r="Z11311" s="234"/>
      <c r="AA11311" s="235"/>
      <c r="AB11311" s="234"/>
    </row>
    <row r="11312" ht="14.5" customHeight="1" spans="11:28" x14ac:dyDescent="0.25">
      <c r="K11312" s="128"/>
      <c r="X11312" s="234"/>
      <c r="Y11312" s="234"/>
      <c r="Z11312" s="234"/>
      <c r="AA11312" s="235"/>
      <c r="AB11312" s="234"/>
    </row>
    <row r="11313" ht="14.5" customHeight="1" spans="11:28" x14ac:dyDescent="0.25">
      <c r="K11313" s="128"/>
      <c r="X11313" s="234"/>
      <c r="Y11313" s="234"/>
      <c r="Z11313" s="234"/>
      <c r="AA11313" s="235"/>
      <c r="AB11313" s="234"/>
    </row>
    <row r="11314" ht="14.5" customHeight="1" spans="11:28" x14ac:dyDescent="0.25">
      <c r="K11314" s="128"/>
      <c r="X11314" s="234"/>
      <c r="Y11314" s="234"/>
      <c r="Z11314" s="234"/>
      <c r="AA11314" s="235"/>
      <c r="AB11314" s="234"/>
    </row>
    <row r="11315" ht="14.5" customHeight="1" spans="11:28" x14ac:dyDescent="0.25">
      <c r="K11315" s="128"/>
      <c r="X11315" s="234"/>
      <c r="Y11315" s="234"/>
      <c r="Z11315" s="234"/>
      <c r="AA11315" s="235"/>
      <c r="AB11315" s="234"/>
    </row>
    <row r="11316" ht="14.5" customHeight="1" spans="11:28" x14ac:dyDescent="0.25">
      <c r="K11316" s="128"/>
      <c r="X11316" s="234"/>
      <c r="Y11316" s="234"/>
      <c r="Z11316" s="234"/>
      <c r="AA11316" s="235"/>
      <c r="AB11316" s="234"/>
    </row>
    <row r="11317" ht="14.5" customHeight="1" spans="11:28" x14ac:dyDescent="0.25">
      <c r="K11317" s="128"/>
      <c r="X11317" s="234"/>
      <c r="Y11317" s="234"/>
      <c r="Z11317" s="234"/>
      <c r="AA11317" s="235"/>
      <c r="AB11317" s="234"/>
    </row>
    <row r="11318" ht="14.5" customHeight="1" spans="11:28" x14ac:dyDescent="0.25">
      <c r="K11318" s="128"/>
      <c r="X11318" s="234"/>
      <c r="Y11318" s="234"/>
      <c r="Z11318" s="234"/>
      <c r="AA11318" s="235"/>
      <c r="AB11318" s="234"/>
    </row>
    <row r="11319" ht="14.5" customHeight="1" spans="11:28" x14ac:dyDescent="0.25">
      <c r="K11319" s="128"/>
      <c r="X11319" s="234"/>
      <c r="Y11319" s="234"/>
      <c r="Z11319" s="234"/>
      <c r="AA11319" s="235"/>
      <c r="AB11319" s="234"/>
    </row>
    <row r="11320" ht="14.5" customHeight="1" spans="11:28" x14ac:dyDescent="0.25">
      <c r="K11320" s="128"/>
      <c r="X11320" s="234"/>
      <c r="Y11320" s="234"/>
      <c r="Z11320" s="234"/>
      <c r="AA11320" s="235"/>
      <c r="AB11320" s="234"/>
    </row>
    <row r="11321" ht="14.5" customHeight="1" spans="11:28" x14ac:dyDescent="0.25">
      <c r="K11321" s="128"/>
      <c r="X11321" s="234"/>
      <c r="Y11321" s="234"/>
      <c r="Z11321" s="234"/>
      <c r="AA11321" s="235"/>
      <c r="AB11321" s="234"/>
    </row>
    <row r="11322" ht="14.5" customHeight="1" spans="11:28" x14ac:dyDescent="0.25">
      <c r="K11322" s="128"/>
      <c r="X11322" s="234"/>
      <c r="Y11322" s="234"/>
      <c r="Z11322" s="234"/>
      <c r="AA11322" s="235"/>
      <c r="AB11322" s="234"/>
    </row>
    <row r="11323" ht="14.5" customHeight="1" spans="11:28" x14ac:dyDescent="0.25">
      <c r="K11323" s="128"/>
      <c r="X11323" s="234"/>
      <c r="Y11323" s="234"/>
      <c r="Z11323" s="234"/>
      <c r="AA11323" s="235"/>
      <c r="AB11323" s="234"/>
    </row>
    <row r="11324" ht="14.5" customHeight="1" spans="11:28" x14ac:dyDescent="0.25">
      <c r="K11324" s="128"/>
      <c r="X11324" s="234"/>
      <c r="Y11324" s="234"/>
      <c r="Z11324" s="234"/>
      <c r="AA11324" s="235"/>
      <c r="AB11324" s="234"/>
    </row>
    <row r="11325" ht="14.5" customHeight="1" spans="11:28" x14ac:dyDescent="0.25">
      <c r="K11325" s="128"/>
      <c r="X11325" s="234"/>
      <c r="Y11325" s="234"/>
      <c r="Z11325" s="234"/>
      <c r="AA11325" s="235"/>
      <c r="AB11325" s="234"/>
    </row>
    <row r="11326" ht="14.5" customHeight="1" spans="11:28" x14ac:dyDescent="0.25">
      <c r="K11326" s="128"/>
      <c r="X11326" s="234"/>
      <c r="Y11326" s="234"/>
      <c r="Z11326" s="234"/>
      <c r="AA11326" s="235"/>
      <c r="AB11326" s="234"/>
    </row>
    <row r="11327" ht="14.5" customHeight="1" spans="11:28" x14ac:dyDescent="0.25">
      <c r="K11327" s="128"/>
      <c r="X11327" s="234"/>
      <c r="Y11327" s="234"/>
      <c r="Z11327" s="234"/>
      <c r="AA11327" s="235"/>
      <c r="AB11327" s="234"/>
    </row>
    <row r="11328" ht="14.5" customHeight="1" spans="11:28" x14ac:dyDescent="0.25">
      <c r="K11328" s="128"/>
      <c r="X11328" s="234"/>
      <c r="Y11328" s="234"/>
      <c r="Z11328" s="234"/>
      <c r="AA11328" s="235"/>
      <c r="AB11328" s="234"/>
    </row>
    <row r="11329" ht="14.5" customHeight="1" spans="11:28" x14ac:dyDescent="0.25">
      <c r="K11329" s="128"/>
      <c r="X11329" s="234"/>
      <c r="Y11329" s="234"/>
      <c r="Z11329" s="234"/>
      <c r="AA11329" s="235"/>
      <c r="AB11329" s="234"/>
    </row>
    <row r="11330" ht="14.5" customHeight="1" spans="11:28" x14ac:dyDescent="0.25">
      <c r="K11330" s="128"/>
      <c r="X11330" s="234"/>
      <c r="Y11330" s="234"/>
      <c r="Z11330" s="234"/>
      <c r="AA11330" s="235"/>
      <c r="AB11330" s="234"/>
    </row>
    <row r="11331" ht="14.5" customHeight="1" spans="11:28" x14ac:dyDescent="0.25">
      <c r="K11331" s="128"/>
      <c r="X11331" s="234"/>
      <c r="Y11331" s="234"/>
      <c r="Z11331" s="234"/>
      <c r="AA11331" s="235"/>
      <c r="AB11331" s="234"/>
    </row>
    <row r="11332" ht="14.5" customHeight="1" spans="11:28" x14ac:dyDescent="0.25">
      <c r="K11332" s="128"/>
      <c r="X11332" s="234"/>
      <c r="Y11332" s="234"/>
      <c r="Z11332" s="234"/>
      <c r="AA11332" s="235"/>
      <c r="AB11332" s="234"/>
    </row>
    <row r="11333" ht="14.5" customHeight="1" spans="11:28" x14ac:dyDescent="0.25">
      <c r="K11333" s="128"/>
      <c r="X11333" s="234"/>
      <c r="Y11333" s="234"/>
      <c r="Z11333" s="234"/>
      <c r="AA11333" s="235"/>
      <c r="AB11333" s="234"/>
    </row>
    <row r="11334" ht="14.5" customHeight="1" spans="11:28" x14ac:dyDescent="0.25">
      <c r="K11334" s="128"/>
      <c r="X11334" s="234"/>
      <c r="Y11334" s="234"/>
      <c r="Z11334" s="234"/>
      <c r="AA11334" s="235"/>
      <c r="AB11334" s="234"/>
    </row>
    <row r="11335" ht="14.5" customHeight="1" spans="11:28" x14ac:dyDescent="0.25">
      <c r="K11335" s="128"/>
      <c r="X11335" s="234"/>
      <c r="Y11335" s="234"/>
      <c r="Z11335" s="234"/>
      <c r="AA11335" s="235"/>
      <c r="AB11335" s="234"/>
    </row>
    <row r="11336" ht="14.5" customHeight="1" spans="11:28" x14ac:dyDescent="0.25">
      <c r="K11336" s="128"/>
      <c r="X11336" s="234"/>
      <c r="Y11336" s="234"/>
      <c r="Z11336" s="234"/>
      <c r="AA11336" s="235"/>
      <c r="AB11336" s="234"/>
    </row>
    <row r="11337" ht="14.5" customHeight="1" spans="11:28" x14ac:dyDescent="0.25">
      <c r="K11337" s="128"/>
      <c r="X11337" s="234"/>
      <c r="Y11337" s="234"/>
      <c r="Z11337" s="234"/>
      <c r="AA11337" s="235"/>
      <c r="AB11337" s="234"/>
    </row>
    <row r="11338" ht="14.5" customHeight="1" spans="11:28" x14ac:dyDescent="0.25">
      <c r="K11338" s="128"/>
      <c r="X11338" s="234"/>
      <c r="Y11338" s="234"/>
      <c r="Z11338" s="234"/>
      <c r="AA11338" s="235"/>
      <c r="AB11338" s="234"/>
    </row>
    <row r="11339" ht="14.5" customHeight="1" spans="11:28" x14ac:dyDescent="0.25">
      <c r="K11339" s="128"/>
      <c r="X11339" s="234"/>
      <c r="Y11339" s="234"/>
      <c r="Z11339" s="234"/>
      <c r="AA11339" s="235"/>
      <c r="AB11339" s="234"/>
    </row>
    <row r="11340" ht="14.5" customHeight="1" spans="11:28" x14ac:dyDescent="0.25">
      <c r="K11340" s="128"/>
      <c r="X11340" s="234"/>
      <c r="Y11340" s="234"/>
      <c r="Z11340" s="234"/>
      <c r="AA11340" s="235"/>
      <c r="AB11340" s="234"/>
    </row>
    <row r="11341" ht="14.5" customHeight="1" spans="11:28" x14ac:dyDescent="0.25">
      <c r="K11341" s="128"/>
      <c r="X11341" s="234"/>
      <c r="Y11341" s="234"/>
      <c r="Z11341" s="234"/>
      <c r="AA11341" s="235"/>
      <c r="AB11341" s="234"/>
    </row>
    <row r="11342" ht="14.5" customHeight="1" spans="11:28" x14ac:dyDescent="0.25">
      <c r="K11342" s="128"/>
      <c r="X11342" s="234"/>
      <c r="Y11342" s="234"/>
      <c r="Z11342" s="234"/>
      <c r="AA11342" s="235"/>
      <c r="AB11342" s="234"/>
    </row>
    <row r="11343" ht="14.5" customHeight="1" spans="11:28" x14ac:dyDescent="0.25">
      <c r="K11343" s="128"/>
      <c r="X11343" s="234"/>
      <c r="Y11343" s="234"/>
      <c r="Z11343" s="234"/>
      <c r="AA11343" s="235"/>
      <c r="AB11343" s="234"/>
    </row>
    <row r="11344" ht="14.5" customHeight="1" spans="11:28" x14ac:dyDescent="0.25">
      <c r="K11344" s="128"/>
      <c r="X11344" s="234"/>
      <c r="Y11344" s="234"/>
      <c r="Z11344" s="234"/>
      <c r="AA11344" s="235"/>
      <c r="AB11344" s="234"/>
    </row>
    <row r="11345" ht="14.5" customHeight="1" spans="11:28" x14ac:dyDescent="0.25">
      <c r="K11345" s="128"/>
      <c r="X11345" s="234"/>
      <c r="Y11345" s="234"/>
      <c r="Z11345" s="234"/>
      <c r="AA11345" s="235"/>
      <c r="AB11345" s="234"/>
    </row>
    <row r="11346" ht="14.5" customHeight="1" spans="11:28" x14ac:dyDescent="0.25">
      <c r="K11346" s="128"/>
      <c r="X11346" s="234"/>
      <c r="Y11346" s="234"/>
      <c r="Z11346" s="234"/>
      <c r="AA11346" s="235"/>
      <c r="AB11346" s="234"/>
    </row>
    <row r="11347" ht="14.5" customHeight="1" spans="11:28" x14ac:dyDescent="0.25">
      <c r="K11347" s="128"/>
      <c r="X11347" s="234"/>
      <c r="Y11347" s="234"/>
      <c r="Z11347" s="234"/>
      <c r="AA11347" s="235"/>
      <c r="AB11347" s="234"/>
    </row>
    <row r="11348" ht="14.5" customHeight="1" spans="11:28" x14ac:dyDescent="0.25">
      <c r="K11348" s="128"/>
      <c r="X11348" s="234"/>
      <c r="Y11348" s="234"/>
      <c r="Z11348" s="234"/>
      <c r="AA11348" s="235"/>
      <c r="AB11348" s="234"/>
    </row>
    <row r="11349" ht="14.5" customHeight="1" spans="11:28" x14ac:dyDescent="0.25">
      <c r="K11349" s="128"/>
      <c r="X11349" s="234"/>
      <c r="Y11349" s="234"/>
      <c r="Z11349" s="234"/>
      <c r="AA11349" s="235"/>
      <c r="AB11349" s="234"/>
    </row>
    <row r="11350" ht="14.5" customHeight="1" spans="11:28" x14ac:dyDescent="0.25">
      <c r="K11350" s="128"/>
      <c r="X11350" s="234"/>
      <c r="Y11350" s="234"/>
      <c r="Z11350" s="234"/>
      <c r="AA11350" s="235"/>
      <c r="AB11350" s="234"/>
    </row>
    <row r="11351" ht="14.5" customHeight="1" spans="11:28" x14ac:dyDescent="0.25">
      <c r="K11351" s="128"/>
      <c r="X11351" s="234"/>
      <c r="Y11351" s="234"/>
      <c r="Z11351" s="234"/>
      <c r="AA11351" s="235"/>
      <c r="AB11351" s="234"/>
    </row>
    <row r="11352" ht="14.5" customHeight="1" spans="11:28" x14ac:dyDescent="0.25">
      <c r="K11352" s="128"/>
      <c r="X11352" s="234"/>
      <c r="Y11352" s="234"/>
      <c r="Z11352" s="234"/>
      <c r="AA11352" s="235"/>
      <c r="AB11352" s="234"/>
    </row>
    <row r="11353" ht="14.5" customHeight="1" spans="11:28" x14ac:dyDescent="0.25">
      <c r="K11353" s="128"/>
      <c r="X11353" s="234"/>
      <c r="Y11353" s="234"/>
      <c r="Z11353" s="234"/>
      <c r="AA11353" s="235"/>
      <c r="AB11353" s="234"/>
    </row>
    <row r="11354" ht="14.5" customHeight="1" spans="11:28" x14ac:dyDescent="0.25">
      <c r="K11354" s="128"/>
      <c r="X11354" s="234"/>
      <c r="Y11354" s="234"/>
      <c r="Z11354" s="234"/>
      <c r="AA11354" s="235"/>
      <c r="AB11354" s="234"/>
    </row>
    <row r="11355" ht="14.5" customHeight="1" spans="11:28" x14ac:dyDescent="0.25">
      <c r="K11355" s="128"/>
      <c r="X11355" s="234"/>
      <c r="Y11355" s="234"/>
      <c r="Z11355" s="234"/>
      <c r="AA11355" s="235"/>
      <c r="AB11355" s="234"/>
    </row>
    <row r="11356" ht="14.5" customHeight="1" spans="11:28" x14ac:dyDescent="0.25">
      <c r="K11356" s="128"/>
      <c r="X11356" s="234"/>
      <c r="Y11356" s="234"/>
      <c r="Z11356" s="234"/>
      <c r="AA11356" s="235"/>
      <c r="AB11356" s="234"/>
    </row>
    <row r="11357" ht="14.5" customHeight="1" spans="11:28" x14ac:dyDescent="0.25">
      <c r="K11357" s="128"/>
      <c r="X11357" s="234"/>
      <c r="Y11357" s="234"/>
      <c r="Z11357" s="234"/>
      <c r="AA11357" s="235"/>
      <c r="AB11357" s="234"/>
    </row>
    <row r="11358" ht="14.5" customHeight="1" spans="11:28" x14ac:dyDescent="0.25">
      <c r="K11358" s="128"/>
      <c r="X11358" s="234"/>
      <c r="Y11358" s="234"/>
      <c r="Z11358" s="234"/>
      <c r="AA11358" s="235"/>
      <c r="AB11358" s="234"/>
    </row>
    <row r="11359" ht="14.5" customHeight="1" spans="11:28" x14ac:dyDescent="0.25">
      <c r="K11359" s="128"/>
      <c r="X11359" s="234"/>
      <c r="Y11359" s="234"/>
      <c r="Z11359" s="234"/>
      <c r="AA11359" s="235"/>
      <c r="AB11359" s="234"/>
    </row>
    <row r="11360" ht="14.5" customHeight="1" spans="11:28" x14ac:dyDescent="0.25">
      <c r="K11360" s="128"/>
      <c r="X11360" s="234"/>
      <c r="Y11360" s="234"/>
      <c r="Z11360" s="234"/>
      <c r="AA11360" s="235"/>
      <c r="AB11360" s="234"/>
    </row>
    <row r="11361" ht="14.5" customHeight="1" spans="11:28" x14ac:dyDescent="0.25">
      <c r="K11361" s="128"/>
      <c r="X11361" s="234"/>
      <c r="Y11361" s="234"/>
      <c r="Z11361" s="234"/>
      <c r="AA11361" s="235"/>
      <c r="AB11361" s="234"/>
    </row>
    <row r="11362" ht="14.5" customHeight="1" spans="11:28" x14ac:dyDescent="0.25">
      <c r="K11362" s="128"/>
      <c r="X11362" s="234"/>
      <c r="Y11362" s="234"/>
      <c r="Z11362" s="234"/>
      <c r="AA11362" s="235"/>
      <c r="AB11362" s="234"/>
    </row>
    <row r="11363" ht="14.5" customHeight="1" spans="11:28" x14ac:dyDescent="0.25">
      <c r="K11363" s="128"/>
      <c r="X11363" s="234"/>
      <c r="Y11363" s="234"/>
      <c r="Z11363" s="234"/>
      <c r="AA11363" s="235"/>
      <c r="AB11363" s="234"/>
    </row>
    <row r="11364" ht="14.5" customHeight="1" spans="11:28" x14ac:dyDescent="0.25">
      <c r="K11364" s="128"/>
      <c r="X11364" s="234"/>
      <c r="Y11364" s="234"/>
      <c r="Z11364" s="234"/>
      <c r="AA11364" s="235"/>
      <c r="AB11364" s="234"/>
    </row>
    <row r="11365" ht="14.5" customHeight="1" spans="11:28" x14ac:dyDescent="0.25">
      <c r="K11365" s="128"/>
      <c r="X11365" s="234"/>
      <c r="Y11365" s="234"/>
      <c r="Z11365" s="234"/>
      <c r="AA11365" s="235"/>
      <c r="AB11365" s="234"/>
    </row>
    <row r="11366" ht="14.5" customHeight="1" spans="11:28" x14ac:dyDescent="0.25">
      <c r="K11366" s="128"/>
      <c r="X11366" s="234"/>
      <c r="Y11366" s="234"/>
      <c r="Z11366" s="234"/>
      <c r="AA11366" s="235"/>
      <c r="AB11366" s="234"/>
    </row>
    <row r="11367" ht="14.5" customHeight="1" spans="11:28" x14ac:dyDescent="0.25">
      <c r="K11367" s="128"/>
      <c r="X11367" s="234"/>
      <c r="Y11367" s="234"/>
      <c r="Z11367" s="234"/>
      <c r="AA11367" s="235"/>
      <c r="AB11367" s="234"/>
    </row>
    <row r="11368" ht="14.5" customHeight="1" spans="11:28" x14ac:dyDescent="0.25">
      <c r="K11368" s="128"/>
      <c r="X11368" s="234"/>
      <c r="Y11368" s="234"/>
      <c r="Z11368" s="234"/>
      <c r="AA11368" s="235"/>
      <c r="AB11368" s="234"/>
    </row>
    <row r="11369" ht="14.5" customHeight="1" spans="11:28" x14ac:dyDescent="0.25">
      <c r="K11369" s="128"/>
      <c r="X11369" s="234"/>
      <c r="Y11369" s="234"/>
      <c r="Z11369" s="234"/>
      <c r="AA11369" s="235"/>
      <c r="AB11369" s="234"/>
    </row>
    <row r="11370" ht="14.5" customHeight="1" spans="11:28" x14ac:dyDescent="0.25">
      <c r="K11370" s="128"/>
      <c r="X11370" s="234"/>
      <c r="Y11370" s="234"/>
      <c r="Z11370" s="234"/>
      <c r="AA11370" s="235"/>
      <c r="AB11370" s="234"/>
    </row>
    <row r="11371" ht="14.5" customHeight="1" spans="11:28" x14ac:dyDescent="0.25">
      <c r="K11371" s="128"/>
      <c r="X11371" s="234"/>
      <c r="Y11371" s="234"/>
      <c r="Z11371" s="234"/>
      <c r="AA11371" s="235"/>
      <c r="AB11371" s="234"/>
    </row>
    <row r="11372" ht="14.5" customHeight="1" spans="11:28" x14ac:dyDescent="0.25">
      <c r="K11372" s="128"/>
      <c r="X11372" s="234"/>
      <c r="Y11372" s="234"/>
      <c r="Z11372" s="234"/>
      <c r="AA11372" s="235"/>
      <c r="AB11372" s="234"/>
    </row>
    <row r="11373" ht="14.5" customHeight="1" spans="11:28" x14ac:dyDescent="0.25">
      <c r="K11373" s="128"/>
      <c r="X11373" s="234"/>
      <c r="Y11373" s="234"/>
      <c r="Z11373" s="234"/>
      <c r="AA11373" s="235"/>
      <c r="AB11373" s="234"/>
    </row>
    <row r="11374" ht="14.5" customHeight="1" spans="11:28" x14ac:dyDescent="0.25">
      <c r="K11374" s="128"/>
      <c r="X11374" s="234"/>
      <c r="Y11374" s="234"/>
      <c r="Z11374" s="234"/>
      <c r="AA11374" s="235"/>
      <c r="AB11374" s="234"/>
    </row>
    <row r="11375" ht="14.5" customHeight="1" spans="11:28" x14ac:dyDescent="0.25">
      <c r="K11375" s="128"/>
      <c r="X11375" s="234"/>
      <c r="Y11375" s="234"/>
      <c r="Z11375" s="234"/>
      <c r="AA11375" s="235"/>
      <c r="AB11375" s="234"/>
    </row>
    <row r="11376" ht="14.5" customHeight="1" spans="11:28" x14ac:dyDescent="0.25">
      <c r="K11376" s="128"/>
      <c r="X11376" s="234"/>
      <c r="Y11376" s="234"/>
      <c r="Z11376" s="234"/>
      <c r="AA11376" s="235"/>
      <c r="AB11376" s="234"/>
    </row>
    <row r="11377" ht="14.5" customHeight="1" spans="11:28" x14ac:dyDescent="0.25">
      <c r="K11377" s="128"/>
      <c r="X11377" s="234"/>
      <c r="Y11377" s="234"/>
      <c r="Z11377" s="234"/>
      <c r="AA11377" s="235"/>
      <c r="AB11377" s="234"/>
    </row>
    <row r="11378" ht="14.5" customHeight="1" spans="11:28" x14ac:dyDescent="0.25">
      <c r="K11378" s="128"/>
      <c r="X11378" s="234"/>
      <c r="Y11378" s="234"/>
      <c r="Z11378" s="234"/>
      <c r="AA11378" s="235"/>
      <c r="AB11378" s="234"/>
    </row>
    <row r="11379" ht="14.5" customHeight="1" spans="11:28" x14ac:dyDescent="0.25">
      <c r="K11379" s="128"/>
      <c r="X11379" s="234"/>
      <c r="Y11379" s="234"/>
      <c r="Z11379" s="234"/>
      <c r="AA11379" s="235"/>
      <c r="AB11379" s="234"/>
    </row>
    <row r="11380" ht="14.5" customHeight="1" spans="11:28" x14ac:dyDescent="0.25">
      <c r="K11380" s="128"/>
      <c r="X11380" s="234"/>
      <c r="Y11380" s="234"/>
      <c r="Z11380" s="234"/>
      <c r="AA11380" s="235"/>
      <c r="AB11380" s="234"/>
    </row>
    <row r="11381" ht="14.5" customHeight="1" spans="11:28" x14ac:dyDescent="0.25">
      <c r="K11381" s="128"/>
      <c r="X11381" s="234"/>
      <c r="Y11381" s="234"/>
      <c r="Z11381" s="234"/>
      <c r="AA11381" s="235"/>
      <c r="AB11381" s="234"/>
    </row>
    <row r="11382" ht="14.5" customHeight="1" spans="11:28" x14ac:dyDescent="0.25">
      <c r="K11382" s="128"/>
      <c r="X11382" s="234"/>
      <c r="Y11382" s="234"/>
      <c r="Z11382" s="234"/>
      <c r="AA11382" s="235"/>
      <c r="AB11382" s="234"/>
    </row>
    <row r="11383" ht="14.5" customHeight="1" spans="11:28" x14ac:dyDescent="0.25">
      <c r="K11383" s="128"/>
      <c r="X11383" s="234"/>
      <c r="Y11383" s="234"/>
      <c r="Z11383" s="234"/>
      <c r="AA11383" s="235"/>
      <c r="AB11383" s="234"/>
    </row>
    <row r="11384" ht="14.5" customHeight="1" spans="11:28" x14ac:dyDescent="0.25">
      <c r="K11384" s="128"/>
      <c r="X11384" s="234"/>
      <c r="Y11384" s="234"/>
      <c r="Z11384" s="234"/>
      <c r="AA11384" s="235"/>
      <c r="AB11384" s="234"/>
    </row>
    <row r="11385" ht="14.5" customHeight="1" spans="11:28" x14ac:dyDescent="0.25">
      <c r="K11385" s="128"/>
      <c r="X11385" s="234"/>
      <c r="Y11385" s="234"/>
      <c r="Z11385" s="234"/>
      <c r="AA11385" s="235"/>
      <c r="AB11385" s="234"/>
    </row>
    <row r="11386" ht="14.5" customHeight="1" spans="11:28" x14ac:dyDescent="0.25">
      <c r="K11386" s="128"/>
      <c r="X11386" s="234"/>
      <c r="Y11386" s="234"/>
      <c r="Z11386" s="234"/>
      <c r="AA11386" s="235"/>
      <c r="AB11386" s="234"/>
    </row>
    <row r="11387" ht="14.5" customHeight="1" spans="11:28" x14ac:dyDescent="0.25">
      <c r="K11387" s="128"/>
      <c r="X11387" s="234"/>
      <c r="Y11387" s="234"/>
      <c r="Z11387" s="234"/>
      <c r="AA11387" s="235"/>
      <c r="AB11387" s="234"/>
    </row>
    <row r="11388" ht="14.5" customHeight="1" spans="11:28" x14ac:dyDescent="0.25">
      <c r="K11388" s="128"/>
      <c r="X11388" s="234"/>
      <c r="Y11388" s="234"/>
      <c r="Z11388" s="234"/>
      <c r="AA11388" s="235"/>
      <c r="AB11388" s="234"/>
    </row>
    <row r="11389" ht="14.5" customHeight="1" spans="11:28" x14ac:dyDescent="0.25">
      <c r="K11389" s="128"/>
      <c r="X11389" s="234"/>
      <c r="Y11389" s="234"/>
      <c r="Z11389" s="234"/>
      <c r="AA11389" s="235"/>
      <c r="AB11389" s="234"/>
    </row>
    <row r="11390" ht="14.5" customHeight="1" spans="11:28" x14ac:dyDescent="0.25">
      <c r="K11390" s="128"/>
      <c r="X11390" s="234"/>
      <c r="Y11390" s="234"/>
      <c r="Z11390" s="234"/>
      <c r="AA11390" s="235"/>
      <c r="AB11390" s="234"/>
    </row>
    <row r="11391" ht="14.5" customHeight="1" spans="11:28" x14ac:dyDescent="0.25">
      <c r="K11391" s="128"/>
      <c r="X11391" s="234"/>
      <c r="Y11391" s="234"/>
      <c r="Z11391" s="234"/>
      <c r="AA11391" s="235"/>
      <c r="AB11391" s="234"/>
    </row>
    <row r="11392" ht="14.5" customHeight="1" spans="11:28" x14ac:dyDescent="0.25">
      <c r="K11392" s="128"/>
      <c r="X11392" s="234"/>
      <c r="Y11392" s="234"/>
      <c r="Z11392" s="234"/>
      <c r="AA11392" s="235"/>
      <c r="AB11392" s="234"/>
    </row>
    <row r="11393" ht="14.5" customHeight="1" spans="11:28" x14ac:dyDescent="0.25">
      <c r="K11393" s="128"/>
      <c r="X11393" s="234"/>
      <c r="Y11393" s="234"/>
      <c r="Z11393" s="234"/>
      <c r="AA11393" s="235"/>
      <c r="AB11393" s="234"/>
    </row>
    <row r="11394" ht="14.5" customHeight="1" spans="11:28" x14ac:dyDescent="0.25">
      <c r="K11394" s="128"/>
      <c r="X11394" s="234"/>
      <c r="Y11394" s="234"/>
      <c r="Z11394" s="234"/>
      <c r="AA11394" s="235"/>
      <c r="AB11394" s="234"/>
    </row>
    <row r="11395" ht="14.5" customHeight="1" spans="11:28" x14ac:dyDescent="0.25">
      <c r="K11395" s="128"/>
      <c r="X11395" s="234"/>
      <c r="Y11395" s="234"/>
      <c r="Z11395" s="234"/>
      <c r="AA11395" s="235"/>
      <c r="AB11395" s="234"/>
    </row>
    <row r="11396" ht="14.5" customHeight="1" spans="11:28" x14ac:dyDescent="0.25">
      <c r="K11396" s="128"/>
      <c r="X11396" s="234"/>
      <c r="Y11396" s="234"/>
      <c r="Z11396" s="234"/>
      <c r="AA11396" s="235"/>
      <c r="AB11396" s="234"/>
    </row>
    <row r="11397" ht="14.5" customHeight="1" spans="11:28" x14ac:dyDescent="0.25">
      <c r="K11397" s="128"/>
      <c r="X11397" s="234"/>
      <c r="Y11397" s="234"/>
      <c r="Z11397" s="234"/>
      <c r="AA11397" s="235"/>
      <c r="AB11397" s="234"/>
    </row>
    <row r="11398" ht="14.5" customHeight="1" spans="11:28" x14ac:dyDescent="0.25">
      <c r="K11398" s="128"/>
      <c r="X11398" s="234"/>
      <c r="Y11398" s="234"/>
      <c r="Z11398" s="234"/>
      <c r="AA11398" s="235"/>
      <c r="AB11398" s="234"/>
    </row>
    <row r="11399" ht="14.5" customHeight="1" spans="11:28" x14ac:dyDescent="0.25">
      <c r="K11399" s="128"/>
      <c r="X11399" s="234"/>
      <c r="Y11399" s="234"/>
      <c r="Z11399" s="234"/>
      <c r="AA11399" s="235"/>
      <c r="AB11399" s="234"/>
    </row>
    <row r="11400" ht="14.5" customHeight="1" spans="11:28" x14ac:dyDescent="0.25">
      <c r="K11400" s="128"/>
      <c r="X11400" s="234"/>
      <c r="Y11400" s="234"/>
      <c r="Z11400" s="234"/>
      <c r="AA11400" s="235"/>
      <c r="AB11400" s="234"/>
    </row>
    <row r="11401" ht="14.5" customHeight="1" spans="11:28" x14ac:dyDescent="0.25">
      <c r="K11401" s="128"/>
      <c r="X11401" s="234"/>
      <c r="Y11401" s="234"/>
      <c r="Z11401" s="234"/>
      <c r="AA11401" s="235"/>
      <c r="AB11401" s="234"/>
    </row>
    <row r="11402" ht="14.5" customHeight="1" spans="11:28" x14ac:dyDescent="0.25">
      <c r="K11402" s="128"/>
      <c r="X11402" s="234"/>
      <c r="Y11402" s="234"/>
      <c r="Z11402" s="234"/>
      <c r="AA11402" s="235"/>
      <c r="AB11402" s="234"/>
    </row>
    <row r="11403" ht="14.5" customHeight="1" spans="11:28" x14ac:dyDescent="0.25">
      <c r="K11403" s="128"/>
      <c r="X11403" s="234"/>
      <c r="Y11403" s="234"/>
      <c r="Z11403" s="234"/>
      <c r="AA11403" s="235"/>
      <c r="AB11403" s="234"/>
    </row>
    <row r="11404" ht="14.5" customHeight="1" spans="11:28" x14ac:dyDescent="0.25">
      <c r="K11404" s="128"/>
      <c r="X11404" s="234"/>
      <c r="Y11404" s="234"/>
      <c r="Z11404" s="234"/>
      <c r="AA11404" s="235"/>
      <c r="AB11404" s="234"/>
    </row>
    <row r="11405" ht="14.5" customHeight="1" spans="11:28" x14ac:dyDescent="0.25">
      <c r="K11405" s="128"/>
      <c r="X11405" s="234"/>
      <c r="Y11405" s="234"/>
      <c r="Z11405" s="234"/>
      <c r="AA11405" s="235"/>
      <c r="AB11405" s="234"/>
    </row>
    <row r="11406" ht="14.5" customHeight="1" spans="11:28" x14ac:dyDescent="0.25">
      <c r="K11406" s="128"/>
      <c r="X11406" s="234"/>
      <c r="Y11406" s="234"/>
      <c r="Z11406" s="234"/>
      <c r="AA11406" s="235"/>
      <c r="AB11406" s="234"/>
    </row>
    <row r="11407" ht="14.5" customHeight="1" spans="11:28" x14ac:dyDescent="0.25">
      <c r="K11407" s="128"/>
      <c r="X11407" s="234"/>
      <c r="Y11407" s="234"/>
      <c r="Z11407" s="234"/>
      <c r="AA11407" s="235"/>
      <c r="AB11407" s="234"/>
    </row>
    <row r="11408" ht="14.5" customHeight="1" spans="11:28" x14ac:dyDescent="0.25">
      <c r="K11408" s="128"/>
      <c r="X11408" s="234"/>
      <c r="Y11408" s="234"/>
      <c r="Z11408" s="234"/>
      <c r="AA11408" s="235"/>
      <c r="AB11408" s="234"/>
    </row>
    <row r="11409" ht="14.5" customHeight="1" spans="11:28" x14ac:dyDescent="0.25">
      <c r="K11409" s="128"/>
      <c r="X11409" s="234"/>
      <c r="Y11409" s="234"/>
      <c r="Z11409" s="234"/>
      <c r="AA11409" s="235"/>
      <c r="AB11409" s="234"/>
    </row>
    <row r="11410" ht="14.5" customHeight="1" spans="11:28" x14ac:dyDescent="0.25">
      <c r="K11410" s="128"/>
      <c r="X11410" s="234"/>
      <c r="Y11410" s="234"/>
      <c r="Z11410" s="234"/>
      <c r="AA11410" s="235"/>
      <c r="AB11410" s="234"/>
    </row>
    <row r="11411" ht="14.5" customHeight="1" spans="11:28" x14ac:dyDescent="0.25">
      <c r="K11411" s="128"/>
      <c r="X11411" s="234"/>
      <c r="Y11411" s="234"/>
      <c r="Z11411" s="234"/>
      <c r="AA11411" s="235"/>
      <c r="AB11411" s="234"/>
    </row>
    <row r="11412" ht="14.5" customHeight="1" spans="11:28" x14ac:dyDescent="0.25">
      <c r="K11412" s="128"/>
      <c r="X11412" s="234"/>
      <c r="Y11412" s="234"/>
      <c r="Z11412" s="234"/>
      <c r="AA11412" s="235"/>
      <c r="AB11412" s="234"/>
    </row>
    <row r="11413" ht="14.5" customHeight="1" spans="11:28" x14ac:dyDescent="0.25">
      <c r="K11413" s="128"/>
      <c r="X11413" s="234"/>
      <c r="Y11413" s="234"/>
      <c r="Z11413" s="234"/>
      <c r="AA11413" s="235"/>
      <c r="AB11413" s="234"/>
    </row>
    <row r="11414" ht="14.5" customHeight="1" spans="11:28" x14ac:dyDescent="0.25">
      <c r="K11414" s="128"/>
      <c r="X11414" s="234"/>
      <c r="Y11414" s="234"/>
      <c r="Z11414" s="234"/>
      <c r="AA11414" s="235"/>
      <c r="AB11414" s="234"/>
    </row>
    <row r="11415" ht="14.5" customHeight="1" spans="11:28" x14ac:dyDescent="0.25">
      <c r="K11415" s="128"/>
      <c r="X11415" s="234"/>
      <c r="Y11415" s="234"/>
      <c r="Z11415" s="234"/>
      <c r="AA11415" s="235"/>
      <c r="AB11415" s="234"/>
    </row>
    <row r="11416" ht="14.5" customHeight="1" spans="11:28" x14ac:dyDescent="0.25">
      <c r="K11416" s="128"/>
      <c r="X11416" s="234"/>
      <c r="Y11416" s="234"/>
      <c r="Z11416" s="234"/>
      <c r="AA11416" s="235"/>
      <c r="AB11416" s="234"/>
    </row>
    <row r="11417" ht="14.5" customHeight="1" spans="11:28" x14ac:dyDescent="0.25">
      <c r="K11417" s="128"/>
      <c r="X11417" s="234"/>
      <c r="Y11417" s="234"/>
      <c r="Z11417" s="234"/>
      <c r="AA11417" s="235"/>
      <c r="AB11417" s="234"/>
    </row>
    <row r="11418" ht="14.5" customHeight="1" spans="11:28" x14ac:dyDescent="0.25">
      <c r="K11418" s="128"/>
      <c r="X11418" s="234"/>
      <c r="Y11418" s="234"/>
      <c r="Z11418" s="234"/>
      <c r="AA11418" s="235"/>
      <c r="AB11418" s="234"/>
    </row>
    <row r="11419" ht="14.5" customHeight="1" spans="11:28" x14ac:dyDescent="0.25">
      <c r="K11419" s="128"/>
      <c r="X11419" s="234"/>
      <c r="Y11419" s="234"/>
      <c r="Z11419" s="234"/>
      <c r="AA11419" s="235"/>
      <c r="AB11419" s="234"/>
    </row>
    <row r="11420" ht="14.5" customHeight="1" spans="11:28" x14ac:dyDescent="0.25">
      <c r="K11420" s="128"/>
      <c r="X11420" s="234"/>
      <c r="Y11420" s="234"/>
      <c r="Z11420" s="234"/>
      <c r="AA11420" s="235"/>
      <c r="AB11420" s="234"/>
    </row>
    <row r="11421" ht="14.5" customHeight="1" spans="11:28" x14ac:dyDescent="0.25">
      <c r="K11421" s="128"/>
      <c r="X11421" s="234"/>
      <c r="Y11421" s="234"/>
      <c r="Z11421" s="234"/>
      <c r="AA11421" s="235"/>
      <c r="AB11421" s="234"/>
    </row>
    <row r="11422" ht="14.5" customHeight="1" spans="11:28" x14ac:dyDescent="0.25">
      <c r="K11422" s="128"/>
      <c r="X11422" s="234"/>
      <c r="Y11422" s="234"/>
      <c r="Z11422" s="234"/>
      <c r="AA11422" s="235"/>
      <c r="AB11422" s="234"/>
    </row>
    <row r="11423" ht="14.5" customHeight="1" spans="11:28" x14ac:dyDescent="0.25">
      <c r="K11423" s="128"/>
      <c r="X11423" s="234"/>
      <c r="Y11423" s="234"/>
      <c r="Z11423" s="234"/>
      <c r="AA11423" s="235"/>
      <c r="AB11423" s="234"/>
    </row>
    <row r="11424" ht="14.5" customHeight="1" spans="11:28" x14ac:dyDescent="0.25">
      <c r="K11424" s="128"/>
      <c r="X11424" s="234"/>
      <c r="Y11424" s="234"/>
      <c r="Z11424" s="234"/>
      <c r="AA11424" s="235"/>
      <c r="AB11424" s="234"/>
    </row>
    <row r="11425" ht="14.5" customHeight="1" spans="11:28" x14ac:dyDescent="0.25">
      <c r="K11425" s="128"/>
      <c r="X11425" s="234"/>
      <c r="Y11425" s="234"/>
      <c r="Z11425" s="234"/>
      <c r="AA11425" s="235"/>
      <c r="AB11425" s="234"/>
    </row>
    <row r="11426" ht="14.5" customHeight="1" spans="11:28" x14ac:dyDescent="0.25">
      <c r="K11426" s="128"/>
      <c r="X11426" s="234"/>
      <c r="Y11426" s="234"/>
      <c r="Z11426" s="234"/>
      <c r="AA11426" s="235"/>
      <c r="AB11426" s="234"/>
    </row>
    <row r="11427" ht="14.5" customHeight="1" spans="11:28" x14ac:dyDescent="0.25">
      <c r="K11427" s="128"/>
      <c r="X11427" s="234"/>
      <c r="Y11427" s="234"/>
      <c r="Z11427" s="234"/>
      <c r="AA11427" s="235"/>
      <c r="AB11427" s="234"/>
    </row>
    <row r="11428" ht="14.5" customHeight="1" spans="11:28" x14ac:dyDescent="0.25">
      <c r="K11428" s="128"/>
      <c r="X11428" s="234"/>
      <c r="Y11428" s="234"/>
      <c r="Z11428" s="234"/>
      <c r="AA11428" s="235"/>
      <c r="AB11428" s="234"/>
    </row>
    <row r="11429" ht="14.5" customHeight="1" spans="11:28" x14ac:dyDescent="0.25">
      <c r="K11429" s="128"/>
      <c r="X11429" s="234"/>
      <c r="Y11429" s="234"/>
      <c r="Z11429" s="234"/>
      <c r="AA11429" s="235"/>
      <c r="AB11429" s="234"/>
    </row>
    <row r="11430" ht="14.5" customHeight="1" spans="11:28" x14ac:dyDescent="0.25">
      <c r="K11430" s="128"/>
      <c r="X11430" s="234"/>
      <c r="Y11430" s="234"/>
      <c r="Z11430" s="234"/>
      <c r="AA11430" s="235"/>
      <c r="AB11430" s="234"/>
    </row>
    <row r="11431" ht="14.5" customHeight="1" spans="11:28" x14ac:dyDescent="0.25">
      <c r="K11431" s="128"/>
      <c r="X11431" s="234"/>
      <c r="Y11431" s="234"/>
      <c r="Z11431" s="234"/>
      <c r="AA11431" s="235"/>
      <c r="AB11431" s="234"/>
    </row>
    <row r="11432" ht="14.5" customHeight="1" spans="11:28" x14ac:dyDescent="0.25">
      <c r="K11432" s="128"/>
      <c r="X11432" s="234"/>
      <c r="Y11432" s="234"/>
      <c r="Z11432" s="234"/>
      <c r="AA11432" s="235"/>
      <c r="AB11432" s="234"/>
    </row>
    <row r="11433" ht="14.5" customHeight="1" spans="11:28" x14ac:dyDescent="0.25">
      <c r="K11433" s="128"/>
      <c r="X11433" s="234"/>
      <c r="Y11433" s="234"/>
      <c r="Z11433" s="234"/>
      <c r="AA11433" s="235"/>
      <c r="AB11433" s="234"/>
    </row>
    <row r="11434" ht="14.5" customHeight="1" spans="11:28" x14ac:dyDescent="0.25">
      <c r="K11434" s="128"/>
      <c r="X11434" s="234"/>
      <c r="Y11434" s="234"/>
      <c r="Z11434" s="234"/>
      <c r="AA11434" s="235"/>
      <c r="AB11434" s="234"/>
    </row>
    <row r="11435" ht="14.5" customHeight="1" spans="11:28" x14ac:dyDescent="0.25">
      <c r="K11435" s="128"/>
      <c r="X11435" s="234"/>
      <c r="Y11435" s="234"/>
      <c r="Z11435" s="234"/>
      <c r="AA11435" s="235"/>
      <c r="AB11435" s="234"/>
    </row>
    <row r="11436" ht="14.5" customHeight="1" spans="11:28" x14ac:dyDescent="0.25">
      <c r="K11436" s="128"/>
      <c r="X11436" s="234"/>
      <c r="Y11436" s="234"/>
      <c r="Z11436" s="234"/>
      <c r="AA11436" s="235"/>
      <c r="AB11436" s="234"/>
    </row>
    <row r="11437" ht="14.5" customHeight="1" spans="11:28" x14ac:dyDescent="0.25">
      <c r="K11437" s="128"/>
      <c r="X11437" s="234"/>
      <c r="Y11437" s="234"/>
      <c r="Z11437" s="234"/>
      <c r="AA11437" s="235"/>
      <c r="AB11437" s="234"/>
    </row>
    <row r="11438" ht="14.5" customHeight="1" spans="11:28" x14ac:dyDescent="0.25">
      <c r="K11438" s="128"/>
      <c r="X11438" s="234"/>
      <c r="Y11438" s="234"/>
      <c r="Z11438" s="234"/>
      <c r="AA11438" s="235"/>
      <c r="AB11438" s="234"/>
    </row>
    <row r="11439" ht="14.5" customHeight="1" spans="11:28" x14ac:dyDescent="0.25">
      <c r="K11439" s="128"/>
      <c r="X11439" s="234"/>
      <c r="Y11439" s="234"/>
      <c r="Z11439" s="234"/>
      <c r="AA11439" s="235"/>
      <c r="AB11439" s="234"/>
    </row>
    <row r="11440" ht="14.5" customHeight="1" spans="11:28" x14ac:dyDescent="0.25">
      <c r="K11440" s="128"/>
      <c r="X11440" s="234"/>
      <c r="Y11440" s="234"/>
      <c r="Z11440" s="234"/>
      <c r="AA11440" s="235"/>
      <c r="AB11440" s="234"/>
    </row>
    <row r="11441" ht="14.5" customHeight="1" spans="11:28" x14ac:dyDescent="0.25">
      <c r="K11441" s="128"/>
      <c r="X11441" s="234"/>
      <c r="Y11441" s="234"/>
      <c r="Z11441" s="234"/>
      <c r="AA11441" s="235"/>
      <c r="AB11441" s="234"/>
    </row>
    <row r="11442" ht="14.5" customHeight="1" spans="11:28" x14ac:dyDescent="0.25">
      <c r="K11442" s="128"/>
      <c r="X11442" s="234"/>
      <c r="Y11442" s="234"/>
      <c r="Z11442" s="234"/>
      <c r="AA11442" s="235"/>
      <c r="AB11442" s="234"/>
    </row>
    <row r="11443" ht="14.5" customHeight="1" spans="11:28" x14ac:dyDescent="0.25">
      <c r="K11443" s="128"/>
      <c r="X11443" s="234"/>
      <c r="Y11443" s="234"/>
      <c r="Z11443" s="234"/>
      <c r="AA11443" s="235"/>
      <c r="AB11443" s="234"/>
    </row>
    <row r="11444" ht="14.5" customHeight="1" spans="11:28" x14ac:dyDescent="0.25">
      <c r="K11444" s="128"/>
      <c r="X11444" s="234"/>
      <c r="Y11444" s="234"/>
      <c r="Z11444" s="234"/>
      <c r="AA11444" s="235"/>
      <c r="AB11444" s="234"/>
    </row>
    <row r="11445" ht="14.5" customHeight="1" spans="11:28" x14ac:dyDescent="0.25">
      <c r="K11445" s="128"/>
      <c r="X11445" s="234"/>
      <c r="Y11445" s="234"/>
      <c r="Z11445" s="234"/>
      <c r="AA11445" s="235"/>
      <c r="AB11445" s="234"/>
    </row>
    <row r="11446" ht="14.5" customHeight="1" spans="11:28" x14ac:dyDescent="0.25">
      <c r="K11446" s="128"/>
      <c r="X11446" s="234"/>
      <c r="Y11446" s="234"/>
      <c r="Z11446" s="234"/>
      <c r="AA11446" s="235"/>
      <c r="AB11446" s="234"/>
    </row>
    <row r="11447" ht="14.5" customHeight="1" spans="11:28" x14ac:dyDescent="0.25">
      <c r="K11447" s="128"/>
      <c r="X11447" s="234"/>
      <c r="Y11447" s="234"/>
      <c r="Z11447" s="234"/>
      <c r="AA11447" s="235"/>
      <c r="AB11447" s="234"/>
    </row>
    <row r="11448" ht="14.5" customHeight="1" spans="11:28" x14ac:dyDescent="0.25">
      <c r="K11448" s="128"/>
      <c r="X11448" s="234"/>
      <c r="Y11448" s="234"/>
      <c r="Z11448" s="234"/>
      <c r="AA11448" s="235"/>
      <c r="AB11448" s="234"/>
    </row>
    <row r="11449" ht="14.5" customHeight="1" spans="11:28" x14ac:dyDescent="0.25">
      <c r="K11449" s="128"/>
      <c r="X11449" s="234"/>
      <c r="Y11449" s="234"/>
      <c r="Z11449" s="234"/>
      <c r="AA11449" s="235"/>
      <c r="AB11449" s="234"/>
    </row>
    <row r="11450" ht="14.5" customHeight="1" spans="11:28" x14ac:dyDescent="0.25">
      <c r="K11450" s="128"/>
      <c r="X11450" s="234"/>
      <c r="Y11450" s="234"/>
      <c r="Z11450" s="234"/>
      <c r="AA11450" s="235"/>
      <c r="AB11450" s="234"/>
    </row>
    <row r="11451" ht="14.5" customHeight="1" spans="11:28" x14ac:dyDescent="0.25">
      <c r="K11451" s="128"/>
      <c r="X11451" s="234"/>
      <c r="Y11451" s="234"/>
      <c r="Z11451" s="234"/>
      <c r="AA11451" s="235"/>
      <c r="AB11451" s="234"/>
    </row>
    <row r="11452" ht="14.5" customHeight="1" spans="11:28" x14ac:dyDescent="0.25">
      <c r="K11452" s="128"/>
      <c r="X11452" s="234"/>
      <c r="Y11452" s="234"/>
      <c r="Z11452" s="234"/>
      <c r="AA11452" s="235"/>
      <c r="AB11452" s="234"/>
    </row>
    <row r="11453" ht="14.5" customHeight="1" spans="11:28" x14ac:dyDescent="0.25">
      <c r="K11453" s="128"/>
      <c r="X11453" s="234"/>
      <c r="Y11453" s="234"/>
      <c r="Z11453" s="234"/>
      <c r="AA11453" s="235"/>
      <c r="AB11453" s="234"/>
    </row>
    <row r="11454" ht="14.5" customHeight="1" spans="11:28" x14ac:dyDescent="0.25">
      <c r="K11454" s="128"/>
      <c r="X11454" s="234"/>
      <c r="Y11454" s="234"/>
      <c r="Z11454" s="234"/>
      <c r="AA11454" s="235"/>
      <c r="AB11454" s="234"/>
    </row>
    <row r="11455" ht="14.5" customHeight="1" spans="11:28" x14ac:dyDescent="0.25">
      <c r="K11455" s="128"/>
      <c r="X11455" s="234"/>
      <c r="Y11455" s="234"/>
      <c r="Z11455" s="234"/>
      <c r="AA11455" s="235"/>
      <c r="AB11455" s="234"/>
    </row>
    <row r="11456" ht="14.5" customHeight="1" spans="11:28" x14ac:dyDescent="0.25">
      <c r="K11456" s="128"/>
      <c r="X11456" s="234"/>
      <c r="Y11456" s="234"/>
      <c r="Z11456" s="234"/>
      <c r="AA11456" s="235"/>
      <c r="AB11456" s="234"/>
    </row>
    <row r="11457" ht="14.5" customHeight="1" spans="11:28" x14ac:dyDescent="0.25">
      <c r="K11457" s="128"/>
      <c r="X11457" s="234"/>
      <c r="Y11457" s="234"/>
      <c r="Z11457" s="234"/>
      <c r="AA11457" s="235"/>
      <c r="AB11457" s="234"/>
    </row>
    <row r="11458" ht="14.5" customHeight="1" spans="11:28" x14ac:dyDescent="0.25">
      <c r="K11458" s="128"/>
      <c r="X11458" s="234"/>
      <c r="Y11458" s="234"/>
      <c r="Z11458" s="234"/>
      <c r="AA11458" s="235"/>
      <c r="AB11458" s="234"/>
    </row>
    <row r="11459" ht="14.5" customHeight="1" spans="11:28" x14ac:dyDescent="0.25">
      <c r="K11459" s="128"/>
      <c r="X11459" s="234"/>
      <c r="Y11459" s="234"/>
      <c r="Z11459" s="234"/>
      <c r="AA11459" s="235"/>
      <c r="AB11459" s="234"/>
    </row>
    <row r="11460" ht="14.5" customHeight="1" spans="11:28" x14ac:dyDescent="0.25">
      <c r="K11460" s="128"/>
      <c r="X11460" s="234"/>
      <c r="Y11460" s="234"/>
      <c r="Z11460" s="234"/>
      <c r="AA11460" s="235"/>
      <c r="AB11460" s="234"/>
    </row>
    <row r="11461" ht="14.5" customHeight="1" spans="11:28" x14ac:dyDescent="0.25">
      <c r="K11461" s="128"/>
      <c r="X11461" s="234"/>
      <c r="Y11461" s="234"/>
      <c r="Z11461" s="234"/>
      <c r="AA11461" s="235"/>
      <c r="AB11461" s="234"/>
    </row>
    <row r="11462" ht="14.5" customHeight="1" spans="11:28" x14ac:dyDescent="0.25">
      <c r="K11462" s="128"/>
      <c r="X11462" s="234"/>
      <c r="Y11462" s="234"/>
      <c r="Z11462" s="234"/>
      <c r="AA11462" s="235"/>
      <c r="AB11462" s="234"/>
    </row>
    <row r="11463" ht="14.5" customHeight="1" spans="11:28" x14ac:dyDescent="0.25">
      <c r="K11463" s="128"/>
      <c r="X11463" s="234"/>
      <c r="Y11463" s="234"/>
      <c r="Z11463" s="234"/>
      <c r="AA11463" s="235"/>
      <c r="AB11463" s="234"/>
    </row>
    <row r="11464" ht="14.5" customHeight="1" spans="11:28" x14ac:dyDescent="0.25">
      <c r="K11464" s="128"/>
      <c r="X11464" s="234"/>
      <c r="Y11464" s="234"/>
      <c r="Z11464" s="234"/>
      <c r="AA11464" s="235"/>
      <c r="AB11464" s="234"/>
    </row>
    <row r="11465" ht="14.5" customHeight="1" spans="11:28" x14ac:dyDescent="0.25">
      <c r="K11465" s="128"/>
      <c r="X11465" s="234"/>
      <c r="Y11465" s="234"/>
      <c r="Z11465" s="234"/>
      <c r="AA11465" s="235"/>
      <c r="AB11465" s="234"/>
    </row>
    <row r="11466" ht="14.5" customHeight="1" spans="11:28" x14ac:dyDescent="0.25">
      <c r="K11466" s="128"/>
      <c r="X11466" s="234"/>
      <c r="Y11466" s="234"/>
      <c r="Z11466" s="234"/>
      <c r="AA11466" s="235"/>
      <c r="AB11466" s="234"/>
    </row>
    <row r="11467" ht="14.5" customHeight="1" spans="11:28" x14ac:dyDescent="0.25">
      <c r="K11467" s="128"/>
      <c r="X11467" s="234"/>
      <c r="Y11467" s="234"/>
      <c r="Z11467" s="234"/>
      <c r="AA11467" s="235"/>
      <c r="AB11467" s="234"/>
    </row>
    <row r="11468" ht="14.5" customHeight="1" spans="11:28" x14ac:dyDescent="0.25">
      <c r="K11468" s="128"/>
      <c r="X11468" s="234"/>
      <c r="Y11468" s="234"/>
      <c r="Z11468" s="234"/>
      <c r="AA11468" s="235"/>
      <c r="AB11468" s="234"/>
    </row>
    <row r="11469" ht="14.5" customHeight="1" spans="11:28" x14ac:dyDescent="0.25">
      <c r="K11469" s="128"/>
      <c r="X11469" s="234"/>
      <c r="Y11469" s="234"/>
      <c r="Z11469" s="234"/>
      <c r="AA11469" s="235"/>
      <c r="AB11469" s="234"/>
    </row>
    <row r="11470" ht="14.5" customHeight="1" spans="11:28" x14ac:dyDescent="0.25">
      <c r="K11470" s="128"/>
      <c r="X11470" s="234"/>
      <c r="Y11470" s="234"/>
      <c r="Z11470" s="234"/>
      <c r="AA11470" s="235"/>
      <c r="AB11470" s="234"/>
    </row>
    <row r="11471" ht="14.5" customHeight="1" spans="11:28" x14ac:dyDescent="0.25">
      <c r="K11471" s="128"/>
      <c r="X11471" s="234"/>
      <c r="Y11471" s="234"/>
      <c r="Z11471" s="234"/>
      <c r="AA11471" s="235"/>
      <c r="AB11471" s="234"/>
    </row>
    <row r="11472" ht="14.5" customHeight="1" spans="11:28" x14ac:dyDescent="0.25">
      <c r="K11472" s="128"/>
      <c r="X11472" s="234"/>
      <c r="Y11472" s="234"/>
      <c r="Z11472" s="234"/>
      <c r="AA11472" s="235"/>
      <c r="AB11472" s="234"/>
    </row>
    <row r="11473" ht="14.5" customHeight="1" spans="11:28" x14ac:dyDescent="0.25">
      <c r="K11473" s="128"/>
      <c r="X11473" s="234"/>
      <c r="Y11473" s="234"/>
      <c r="Z11473" s="234"/>
      <c r="AA11473" s="235"/>
      <c r="AB11473" s="234"/>
    </row>
    <row r="11474" ht="14.5" customHeight="1" spans="11:28" x14ac:dyDescent="0.25">
      <c r="K11474" s="128"/>
      <c r="X11474" s="234"/>
      <c r="Y11474" s="234"/>
      <c r="Z11474" s="234"/>
      <c r="AA11474" s="235"/>
      <c r="AB11474" s="234"/>
    </row>
    <row r="11475" ht="14.5" customHeight="1" spans="11:28" x14ac:dyDescent="0.25">
      <c r="K11475" s="128"/>
      <c r="X11475" s="234"/>
      <c r="Y11475" s="234"/>
      <c r="Z11475" s="234"/>
      <c r="AA11475" s="235"/>
      <c r="AB11475" s="234"/>
    </row>
    <row r="11476" ht="14.5" customHeight="1" spans="11:28" x14ac:dyDescent="0.25">
      <c r="K11476" s="128"/>
      <c r="X11476" s="234"/>
      <c r="Y11476" s="234"/>
      <c r="Z11476" s="234"/>
      <c r="AA11476" s="235"/>
      <c r="AB11476" s="234"/>
    </row>
    <row r="11477" ht="14.5" customHeight="1" spans="11:28" x14ac:dyDescent="0.25">
      <c r="K11477" s="128"/>
      <c r="X11477" s="234"/>
      <c r="Y11477" s="234"/>
      <c r="Z11477" s="234"/>
      <c r="AA11477" s="235"/>
      <c r="AB11477" s="234"/>
    </row>
    <row r="11478" ht="14.5" customHeight="1" spans="11:28" x14ac:dyDescent="0.25">
      <c r="K11478" s="128"/>
      <c r="X11478" s="234"/>
      <c r="Y11478" s="234"/>
      <c r="Z11478" s="234"/>
      <c r="AA11478" s="235"/>
      <c r="AB11478" s="234"/>
    </row>
    <row r="11479" ht="14.5" customHeight="1" spans="11:28" x14ac:dyDescent="0.25">
      <c r="K11479" s="128"/>
      <c r="X11479" s="234"/>
      <c r="Y11479" s="234"/>
      <c r="Z11479" s="234"/>
      <c r="AA11479" s="235"/>
      <c r="AB11479" s="234"/>
    </row>
    <row r="11480" ht="14.5" customHeight="1" spans="11:28" x14ac:dyDescent="0.25">
      <c r="K11480" s="128"/>
      <c r="X11480" s="234"/>
      <c r="Y11480" s="234"/>
      <c r="Z11480" s="234"/>
      <c r="AA11480" s="235"/>
      <c r="AB11480" s="234"/>
    </row>
    <row r="11481" ht="14.5" customHeight="1" spans="11:28" x14ac:dyDescent="0.25">
      <c r="K11481" s="128"/>
      <c r="X11481" s="234"/>
      <c r="Y11481" s="234"/>
      <c r="Z11481" s="234"/>
      <c r="AA11481" s="235"/>
      <c r="AB11481" s="234"/>
    </row>
    <row r="11482" ht="14.5" customHeight="1" spans="11:28" x14ac:dyDescent="0.25">
      <c r="K11482" s="128"/>
      <c r="X11482" s="234"/>
      <c r="Y11482" s="234"/>
      <c r="Z11482" s="234"/>
      <c r="AA11482" s="235"/>
      <c r="AB11482" s="234"/>
    </row>
    <row r="11483" ht="14.5" customHeight="1" spans="11:28" x14ac:dyDescent="0.25">
      <c r="K11483" s="128"/>
      <c r="X11483" s="234"/>
      <c r="Y11483" s="234"/>
      <c r="Z11483" s="234"/>
      <c r="AA11483" s="235"/>
      <c r="AB11483" s="234"/>
    </row>
    <row r="11484" ht="14.5" customHeight="1" spans="11:28" x14ac:dyDescent="0.25">
      <c r="K11484" s="128"/>
      <c r="X11484" s="234"/>
      <c r="Y11484" s="234"/>
      <c r="Z11484" s="234"/>
      <c r="AA11484" s="235"/>
      <c r="AB11484" s="234"/>
    </row>
    <row r="11485" ht="14.5" customHeight="1" spans="11:28" x14ac:dyDescent="0.25">
      <c r="K11485" s="128"/>
      <c r="X11485" s="234"/>
      <c r="Y11485" s="234"/>
      <c r="Z11485" s="234"/>
      <c r="AA11485" s="235"/>
      <c r="AB11485" s="234"/>
    </row>
    <row r="11486" ht="14.5" customHeight="1" spans="11:28" x14ac:dyDescent="0.25">
      <c r="K11486" s="128"/>
      <c r="X11486" s="234"/>
      <c r="Y11486" s="234"/>
      <c r="Z11486" s="234"/>
      <c r="AA11486" s="235"/>
      <c r="AB11486" s="234"/>
    </row>
    <row r="11487" ht="14.5" customHeight="1" spans="11:28" x14ac:dyDescent="0.25">
      <c r="K11487" s="128"/>
      <c r="X11487" s="234"/>
      <c r="Y11487" s="234"/>
      <c r="Z11487" s="234"/>
      <c r="AA11487" s="235"/>
      <c r="AB11487" s="234"/>
    </row>
    <row r="11488" ht="14.5" customHeight="1" spans="11:28" x14ac:dyDescent="0.25">
      <c r="K11488" s="128"/>
      <c r="X11488" s="234"/>
      <c r="Y11488" s="234"/>
      <c r="Z11488" s="234"/>
      <c r="AA11488" s="235"/>
      <c r="AB11488" s="234"/>
    </row>
    <row r="11489" ht="14.5" customHeight="1" spans="11:28" x14ac:dyDescent="0.25">
      <c r="K11489" s="128"/>
      <c r="X11489" s="234"/>
      <c r="Y11489" s="234"/>
      <c r="Z11489" s="234"/>
      <c r="AA11489" s="235"/>
      <c r="AB11489" s="234"/>
    </row>
    <row r="11490" ht="14.5" customHeight="1" spans="11:28" x14ac:dyDescent="0.25">
      <c r="K11490" s="128"/>
      <c r="X11490" s="234"/>
      <c r="Y11490" s="234"/>
      <c r="Z11490" s="234"/>
      <c r="AA11490" s="235"/>
      <c r="AB11490" s="234"/>
    </row>
    <row r="11491" ht="14.5" customHeight="1" spans="11:28" x14ac:dyDescent="0.25">
      <c r="K11491" s="128"/>
      <c r="X11491" s="234"/>
      <c r="Y11491" s="234"/>
      <c r="Z11491" s="234"/>
      <c r="AA11491" s="235"/>
      <c r="AB11491" s="234"/>
    </row>
    <row r="11492" ht="14.5" customHeight="1" spans="11:28" x14ac:dyDescent="0.25">
      <c r="K11492" s="128"/>
      <c r="X11492" s="234"/>
      <c r="Y11492" s="234"/>
      <c r="Z11492" s="234"/>
      <c r="AA11492" s="235"/>
      <c r="AB11492" s="234"/>
    </row>
    <row r="11493" ht="14.5" customHeight="1" spans="11:28" x14ac:dyDescent="0.25">
      <c r="K11493" s="128"/>
      <c r="X11493" s="234"/>
      <c r="Y11493" s="234"/>
      <c r="Z11493" s="234"/>
      <c r="AA11493" s="235"/>
      <c r="AB11493" s="234"/>
    </row>
    <row r="11494" ht="14.5" customHeight="1" spans="11:28" x14ac:dyDescent="0.25">
      <c r="K11494" s="128"/>
      <c r="X11494" s="234"/>
      <c r="Y11494" s="234"/>
      <c r="Z11494" s="234"/>
      <c r="AA11494" s="235"/>
      <c r="AB11494" s="234"/>
    </row>
    <row r="11495" ht="14.5" customHeight="1" spans="11:28" x14ac:dyDescent="0.25">
      <c r="K11495" s="128"/>
      <c r="X11495" s="234"/>
      <c r="Y11495" s="234"/>
      <c r="Z11495" s="234"/>
      <c r="AA11495" s="235"/>
      <c r="AB11495" s="234"/>
    </row>
    <row r="11496" ht="14.5" customHeight="1" spans="11:28" x14ac:dyDescent="0.25">
      <c r="K11496" s="128"/>
      <c r="X11496" s="234"/>
      <c r="Y11496" s="234"/>
      <c r="Z11496" s="234"/>
      <c r="AA11496" s="235"/>
      <c r="AB11496" s="234"/>
    </row>
    <row r="11497" ht="14.5" customHeight="1" spans="11:28" x14ac:dyDescent="0.25">
      <c r="K11497" s="128"/>
      <c r="X11497" s="234"/>
      <c r="Y11497" s="234"/>
      <c r="Z11497" s="234"/>
      <c r="AA11497" s="235"/>
      <c r="AB11497" s="234"/>
    </row>
    <row r="11498" ht="14.5" customHeight="1" spans="11:28" x14ac:dyDescent="0.25">
      <c r="K11498" s="128"/>
      <c r="X11498" s="234"/>
      <c r="Y11498" s="234"/>
      <c r="Z11498" s="234"/>
      <c r="AA11498" s="235"/>
      <c r="AB11498" s="234"/>
    </row>
    <row r="11499" ht="14.5" customHeight="1" spans="11:28" x14ac:dyDescent="0.25">
      <c r="K11499" s="128"/>
      <c r="X11499" s="234"/>
      <c r="Y11499" s="234"/>
      <c r="Z11499" s="234"/>
      <c r="AA11499" s="235"/>
      <c r="AB11499" s="234"/>
    </row>
    <row r="11500" ht="14.5" customHeight="1" spans="11:28" x14ac:dyDescent="0.25">
      <c r="K11500" s="128"/>
      <c r="X11500" s="234"/>
      <c r="Y11500" s="234"/>
      <c r="Z11500" s="234"/>
      <c r="AA11500" s="235"/>
      <c r="AB11500" s="234"/>
    </row>
    <row r="11501" ht="14.5" customHeight="1" spans="11:28" x14ac:dyDescent="0.25">
      <c r="K11501" s="128"/>
      <c r="X11501" s="234"/>
      <c r="Y11501" s="234"/>
      <c r="Z11501" s="234"/>
      <c r="AA11501" s="235"/>
      <c r="AB11501" s="234"/>
    </row>
    <row r="11502" ht="14.5" customHeight="1" spans="11:28" x14ac:dyDescent="0.25">
      <c r="K11502" s="128"/>
      <c r="X11502" s="234"/>
      <c r="Y11502" s="234"/>
      <c r="Z11502" s="234"/>
      <c r="AA11502" s="235"/>
      <c r="AB11502" s="234"/>
    </row>
    <row r="11503" ht="14.5" customHeight="1" spans="11:28" x14ac:dyDescent="0.25">
      <c r="K11503" s="128"/>
      <c r="X11503" s="234"/>
      <c r="Y11503" s="234"/>
      <c r="Z11503" s="234"/>
      <c r="AA11503" s="235"/>
      <c r="AB11503" s="234"/>
    </row>
    <row r="11504" ht="14.5" customHeight="1" spans="11:28" x14ac:dyDescent="0.25">
      <c r="K11504" s="128"/>
      <c r="X11504" s="234"/>
      <c r="Y11504" s="234"/>
      <c r="Z11504" s="234"/>
      <c r="AA11504" s="235"/>
      <c r="AB11504" s="234"/>
    </row>
    <row r="11505" ht="14.5" customHeight="1" spans="11:28" x14ac:dyDescent="0.25">
      <c r="K11505" s="128"/>
      <c r="X11505" s="234"/>
      <c r="Y11505" s="234"/>
      <c r="Z11505" s="234"/>
      <c r="AA11505" s="235"/>
      <c r="AB11505" s="234"/>
    </row>
    <row r="11506" ht="14.5" customHeight="1" spans="11:28" x14ac:dyDescent="0.25">
      <c r="K11506" s="128"/>
      <c r="X11506" s="234"/>
      <c r="Y11506" s="234"/>
      <c r="Z11506" s="234"/>
      <c r="AA11506" s="235"/>
      <c r="AB11506" s="234"/>
    </row>
    <row r="11507" ht="14.5" customHeight="1" spans="11:28" x14ac:dyDescent="0.25">
      <c r="K11507" s="128"/>
      <c r="X11507" s="234"/>
      <c r="Y11507" s="234"/>
      <c r="Z11507" s="234"/>
      <c r="AA11507" s="235"/>
      <c r="AB11507" s="234"/>
    </row>
    <row r="11508" ht="14.5" customHeight="1" spans="11:28" x14ac:dyDescent="0.25">
      <c r="K11508" s="128"/>
      <c r="X11508" s="234"/>
      <c r="Y11508" s="234"/>
      <c r="Z11508" s="234"/>
      <c r="AA11508" s="235"/>
      <c r="AB11508" s="234"/>
    </row>
    <row r="11509" ht="14.5" customHeight="1" spans="11:28" x14ac:dyDescent="0.25">
      <c r="K11509" s="128"/>
      <c r="X11509" s="234"/>
      <c r="Y11509" s="234"/>
      <c r="Z11509" s="234"/>
      <c r="AA11509" s="235"/>
      <c r="AB11509" s="234"/>
    </row>
    <row r="11510" ht="14.5" customHeight="1" spans="11:28" x14ac:dyDescent="0.25">
      <c r="K11510" s="128"/>
      <c r="X11510" s="234"/>
      <c r="Y11510" s="234"/>
      <c r="Z11510" s="234"/>
      <c r="AA11510" s="235"/>
      <c r="AB11510" s="234"/>
    </row>
    <row r="11511" ht="14.5" customHeight="1" spans="11:28" x14ac:dyDescent="0.25">
      <c r="K11511" s="128"/>
      <c r="X11511" s="234"/>
      <c r="Y11511" s="234"/>
      <c r="Z11511" s="234"/>
      <c r="AA11511" s="235"/>
      <c r="AB11511" s="234"/>
    </row>
    <row r="11512" ht="14.5" customHeight="1" spans="11:28" x14ac:dyDescent="0.25">
      <c r="K11512" s="128"/>
      <c r="X11512" s="234"/>
      <c r="Y11512" s="234"/>
      <c r="Z11512" s="234"/>
      <c r="AA11512" s="235"/>
      <c r="AB11512" s="234"/>
    </row>
    <row r="11513" ht="14.5" customHeight="1" spans="11:28" x14ac:dyDescent="0.25">
      <c r="K11513" s="128"/>
      <c r="X11513" s="234"/>
      <c r="Y11513" s="234"/>
      <c r="Z11513" s="234"/>
      <c r="AA11513" s="235"/>
      <c r="AB11513" s="234"/>
    </row>
    <row r="11514" ht="14.5" customHeight="1" spans="11:28" x14ac:dyDescent="0.25">
      <c r="K11514" s="128"/>
      <c r="X11514" s="234"/>
      <c r="Y11514" s="234"/>
      <c r="Z11514" s="234"/>
      <c r="AA11514" s="235"/>
      <c r="AB11514" s="234"/>
    </row>
    <row r="11515" ht="14.5" customHeight="1" spans="11:28" x14ac:dyDescent="0.25">
      <c r="K11515" s="128"/>
      <c r="X11515" s="234"/>
      <c r="Y11515" s="234"/>
      <c r="Z11515" s="234"/>
      <c r="AA11515" s="235"/>
      <c r="AB11515" s="234"/>
    </row>
    <row r="11516" ht="14.5" customHeight="1" spans="11:28" x14ac:dyDescent="0.25">
      <c r="K11516" s="128"/>
      <c r="X11516" s="234"/>
      <c r="Y11516" s="234"/>
      <c r="Z11516" s="234"/>
      <c r="AA11516" s="235"/>
      <c r="AB11516" s="234"/>
    </row>
    <row r="11517" ht="14.5" customHeight="1" spans="11:28" x14ac:dyDescent="0.25">
      <c r="K11517" s="128"/>
      <c r="X11517" s="234"/>
      <c r="Y11517" s="234"/>
      <c r="Z11517" s="234"/>
      <c r="AA11517" s="235"/>
      <c r="AB11517" s="234"/>
    </row>
    <row r="11518" ht="14.5" customHeight="1" spans="11:28" x14ac:dyDescent="0.25">
      <c r="K11518" s="128"/>
      <c r="X11518" s="234"/>
      <c r="Y11518" s="234"/>
      <c r="Z11518" s="234"/>
      <c r="AA11518" s="235"/>
      <c r="AB11518" s="234"/>
    </row>
    <row r="11519" ht="14.5" customHeight="1" spans="11:28" x14ac:dyDescent="0.25">
      <c r="K11519" s="128"/>
      <c r="X11519" s="234"/>
      <c r="Y11519" s="234"/>
      <c r="Z11519" s="234"/>
      <c r="AA11519" s="235"/>
      <c r="AB11519" s="234"/>
    </row>
    <row r="11520" ht="14.5" customHeight="1" spans="11:28" x14ac:dyDescent="0.25">
      <c r="K11520" s="128"/>
      <c r="X11520" s="234"/>
      <c r="Y11520" s="234"/>
      <c r="Z11520" s="234"/>
      <c r="AA11520" s="235"/>
      <c r="AB11520" s="234"/>
    </row>
    <row r="11521" ht="14.5" customHeight="1" spans="11:28" x14ac:dyDescent="0.25">
      <c r="K11521" s="128"/>
      <c r="X11521" s="234"/>
      <c r="Y11521" s="234"/>
      <c r="Z11521" s="234"/>
      <c r="AA11521" s="235"/>
      <c r="AB11521" s="234"/>
    </row>
    <row r="11522" ht="14.5" customHeight="1" spans="11:28" x14ac:dyDescent="0.25">
      <c r="K11522" s="128"/>
      <c r="X11522" s="234"/>
      <c r="Y11522" s="234"/>
      <c r="Z11522" s="234"/>
      <c r="AA11522" s="235"/>
      <c r="AB11522" s="234"/>
    </row>
    <row r="11523" ht="14.5" customHeight="1" spans="11:28" x14ac:dyDescent="0.25">
      <c r="K11523" s="128"/>
      <c r="X11523" s="234"/>
      <c r="Y11523" s="234"/>
      <c r="Z11523" s="234"/>
      <c r="AA11523" s="235"/>
      <c r="AB11523" s="234"/>
    </row>
    <row r="11524" ht="14.5" customHeight="1" spans="11:28" x14ac:dyDescent="0.25">
      <c r="K11524" s="128"/>
      <c r="X11524" s="234"/>
      <c r="Y11524" s="234"/>
      <c r="Z11524" s="234"/>
      <c r="AA11524" s="235"/>
      <c r="AB11524" s="234"/>
    </row>
    <row r="11525" ht="14.5" customHeight="1" spans="11:28" x14ac:dyDescent="0.25">
      <c r="K11525" s="128"/>
      <c r="X11525" s="234"/>
      <c r="Y11525" s="234"/>
      <c r="Z11525" s="234"/>
      <c r="AA11525" s="235"/>
      <c r="AB11525" s="234"/>
    </row>
    <row r="11526" ht="14.5" customHeight="1" spans="11:28" x14ac:dyDescent="0.25">
      <c r="K11526" s="128"/>
      <c r="X11526" s="234"/>
      <c r="Y11526" s="234"/>
      <c r="Z11526" s="234"/>
      <c r="AA11526" s="235"/>
      <c r="AB11526" s="234"/>
    </row>
    <row r="11527" ht="14.5" customHeight="1" spans="11:28" x14ac:dyDescent="0.25">
      <c r="K11527" s="128"/>
      <c r="X11527" s="234"/>
      <c r="Y11527" s="234"/>
      <c r="Z11527" s="234"/>
      <c r="AA11527" s="235"/>
      <c r="AB11527" s="234"/>
    </row>
    <row r="11528" ht="14.5" customHeight="1" spans="11:28" x14ac:dyDescent="0.25">
      <c r="K11528" s="128"/>
      <c r="X11528" s="234"/>
      <c r="Y11528" s="234"/>
      <c r="Z11528" s="234"/>
      <c r="AA11528" s="235"/>
      <c r="AB11528" s="234"/>
    </row>
    <row r="11529" ht="14.5" customHeight="1" spans="11:28" x14ac:dyDescent="0.25">
      <c r="K11529" s="128"/>
      <c r="X11529" s="234"/>
      <c r="Y11529" s="234"/>
      <c r="Z11529" s="234"/>
      <c r="AA11529" s="235"/>
      <c r="AB11529" s="234"/>
    </row>
    <row r="11530" ht="14.5" customHeight="1" spans="11:28" x14ac:dyDescent="0.25">
      <c r="K11530" s="128"/>
      <c r="X11530" s="234"/>
      <c r="Y11530" s="234"/>
      <c r="Z11530" s="234"/>
      <c r="AA11530" s="235"/>
      <c r="AB11530" s="234"/>
    </row>
    <row r="11531" ht="14.5" customHeight="1" spans="11:28" x14ac:dyDescent="0.25">
      <c r="K11531" s="128"/>
      <c r="X11531" s="234"/>
      <c r="Y11531" s="234"/>
      <c r="Z11531" s="234"/>
      <c r="AA11531" s="235"/>
      <c r="AB11531" s="234"/>
    </row>
    <row r="11532" ht="14.5" customHeight="1" spans="11:28" x14ac:dyDescent="0.25">
      <c r="K11532" s="128"/>
      <c r="X11532" s="234"/>
      <c r="Y11532" s="234"/>
      <c r="Z11532" s="234"/>
      <c r="AA11532" s="235"/>
      <c r="AB11532" s="234"/>
    </row>
    <row r="11533" ht="14.5" customHeight="1" spans="11:28" x14ac:dyDescent="0.25">
      <c r="K11533" s="128"/>
      <c r="X11533" s="234"/>
      <c r="Y11533" s="234"/>
      <c r="Z11533" s="234"/>
      <c r="AA11533" s="235"/>
      <c r="AB11533" s="234"/>
    </row>
    <row r="11534" ht="14.5" customHeight="1" spans="11:28" x14ac:dyDescent="0.25">
      <c r="K11534" s="128"/>
      <c r="X11534" s="234"/>
      <c r="Y11534" s="234"/>
      <c r="Z11534" s="234"/>
      <c r="AA11534" s="235"/>
      <c r="AB11534" s="234"/>
    </row>
    <row r="11535" ht="14.5" customHeight="1" spans="11:28" x14ac:dyDescent="0.25">
      <c r="K11535" s="128"/>
      <c r="X11535" s="234"/>
      <c r="Y11535" s="234"/>
      <c r="Z11535" s="234"/>
      <c r="AA11535" s="235"/>
      <c r="AB11535" s="234"/>
    </row>
    <row r="11536" ht="14.5" customHeight="1" spans="11:28" x14ac:dyDescent="0.25">
      <c r="K11536" s="128"/>
      <c r="X11536" s="234"/>
      <c r="Y11536" s="234"/>
      <c r="Z11536" s="234"/>
      <c r="AA11536" s="235"/>
      <c r="AB11536" s="234"/>
    </row>
    <row r="11537" ht="14.5" customHeight="1" spans="11:28" x14ac:dyDescent="0.25">
      <c r="K11537" s="128"/>
      <c r="X11537" s="234"/>
      <c r="Y11537" s="234"/>
      <c r="Z11537" s="234"/>
      <c r="AA11537" s="235"/>
      <c r="AB11537" s="234"/>
    </row>
    <row r="11538" ht="14.5" customHeight="1" spans="11:28" x14ac:dyDescent="0.25">
      <c r="K11538" s="128"/>
      <c r="X11538" s="234"/>
      <c r="Y11538" s="234"/>
      <c r="Z11538" s="234"/>
      <c r="AA11538" s="235"/>
      <c r="AB11538" s="234"/>
    </row>
    <row r="11539" ht="14.5" customHeight="1" spans="11:28" x14ac:dyDescent="0.25">
      <c r="K11539" s="128"/>
      <c r="X11539" s="234"/>
      <c r="Y11539" s="234"/>
      <c r="Z11539" s="234"/>
      <c r="AA11539" s="235"/>
      <c r="AB11539" s="234"/>
    </row>
    <row r="11540" ht="14.5" customHeight="1" spans="11:28" x14ac:dyDescent="0.25">
      <c r="K11540" s="128"/>
      <c r="X11540" s="234"/>
      <c r="Y11540" s="234"/>
      <c r="Z11540" s="234"/>
      <c r="AA11540" s="235"/>
      <c r="AB11540" s="234"/>
    </row>
    <row r="11541" ht="14.5" customHeight="1" spans="11:28" x14ac:dyDescent="0.25">
      <c r="K11541" s="128"/>
      <c r="X11541" s="234"/>
      <c r="Y11541" s="234"/>
      <c r="Z11541" s="234"/>
      <c r="AA11541" s="235"/>
      <c r="AB11541" s="234"/>
    </row>
    <row r="11542" ht="14.5" customHeight="1" spans="11:28" x14ac:dyDescent="0.25">
      <c r="K11542" s="128"/>
      <c r="X11542" s="234"/>
      <c r="Y11542" s="234"/>
      <c r="Z11542" s="234"/>
      <c r="AA11542" s="235"/>
      <c r="AB11542" s="234"/>
    </row>
    <row r="11543" ht="14.5" customHeight="1" spans="11:28" x14ac:dyDescent="0.25">
      <c r="K11543" s="128"/>
      <c r="X11543" s="234"/>
      <c r="Y11543" s="234"/>
      <c r="Z11543" s="234"/>
      <c r="AA11543" s="235"/>
      <c r="AB11543" s="234"/>
    </row>
    <row r="11544" ht="14.5" customHeight="1" spans="11:28" x14ac:dyDescent="0.25">
      <c r="K11544" s="128"/>
      <c r="X11544" s="234"/>
      <c r="Y11544" s="234"/>
      <c r="Z11544" s="234"/>
      <c r="AA11544" s="235"/>
      <c r="AB11544" s="234"/>
    </row>
    <row r="11545" ht="14.5" customHeight="1" spans="11:28" x14ac:dyDescent="0.25">
      <c r="K11545" s="128"/>
      <c r="X11545" s="234"/>
      <c r="Y11545" s="234"/>
      <c r="Z11545" s="234"/>
      <c r="AA11545" s="235"/>
      <c r="AB11545" s="234"/>
    </row>
    <row r="11546" ht="14.5" customHeight="1" spans="11:28" x14ac:dyDescent="0.25">
      <c r="K11546" s="128"/>
      <c r="X11546" s="234"/>
      <c r="Y11546" s="234"/>
      <c r="Z11546" s="234"/>
      <c r="AA11546" s="235"/>
      <c r="AB11546" s="234"/>
    </row>
    <row r="11547" ht="14.5" customHeight="1" spans="11:28" x14ac:dyDescent="0.25">
      <c r="K11547" s="128"/>
      <c r="X11547" s="234"/>
      <c r="Y11547" s="234"/>
      <c r="Z11547" s="234"/>
      <c r="AA11547" s="235"/>
      <c r="AB11547" s="234"/>
    </row>
    <row r="11548" ht="14.5" customHeight="1" spans="11:28" x14ac:dyDescent="0.25">
      <c r="K11548" s="128"/>
      <c r="X11548" s="234"/>
      <c r="Y11548" s="234"/>
      <c r="Z11548" s="234"/>
      <c r="AA11548" s="235"/>
      <c r="AB11548" s="234"/>
    </row>
    <row r="11549" ht="14.5" customHeight="1" spans="11:28" x14ac:dyDescent="0.25">
      <c r="K11549" s="128"/>
      <c r="X11549" s="234"/>
      <c r="Y11549" s="234"/>
      <c r="Z11549" s="234"/>
      <c r="AA11549" s="235"/>
      <c r="AB11549" s="234"/>
    </row>
    <row r="11550" ht="14.5" customHeight="1" spans="11:28" x14ac:dyDescent="0.25">
      <c r="K11550" s="128"/>
      <c r="X11550" s="234"/>
      <c r="Y11550" s="234"/>
      <c r="Z11550" s="234"/>
      <c r="AA11550" s="235"/>
      <c r="AB11550" s="234"/>
    </row>
    <row r="11551" ht="14.5" customHeight="1" spans="11:28" x14ac:dyDescent="0.25">
      <c r="K11551" s="128"/>
      <c r="X11551" s="234"/>
      <c r="Y11551" s="234"/>
      <c r="Z11551" s="234"/>
      <c r="AA11551" s="235"/>
      <c r="AB11551" s="234"/>
    </row>
    <row r="11552" ht="14.5" customHeight="1" spans="11:28" x14ac:dyDescent="0.25">
      <c r="K11552" s="128"/>
      <c r="X11552" s="234"/>
      <c r="Y11552" s="234"/>
      <c r="Z11552" s="234"/>
      <c r="AA11552" s="235"/>
      <c r="AB11552" s="234"/>
    </row>
    <row r="11553" ht="14.5" customHeight="1" spans="11:28" x14ac:dyDescent="0.25">
      <c r="K11553" s="128"/>
      <c r="X11553" s="234"/>
      <c r="Y11553" s="234"/>
      <c r="Z11553" s="234"/>
      <c r="AA11553" s="235"/>
      <c r="AB11553" s="234"/>
    </row>
    <row r="11554" ht="14.5" customHeight="1" spans="11:28" x14ac:dyDescent="0.25">
      <c r="K11554" s="128"/>
      <c r="X11554" s="234"/>
      <c r="Y11554" s="234"/>
      <c r="Z11554" s="234"/>
      <c r="AA11554" s="235"/>
      <c r="AB11554" s="234"/>
    </row>
    <row r="11555" ht="14.5" customHeight="1" spans="11:28" x14ac:dyDescent="0.25">
      <c r="K11555" s="128"/>
      <c r="X11555" s="234"/>
      <c r="Y11555" s="234"/>
      <c r="Z11555" s="234"/>
      <c r="AA11555" s="235"/>
      <c r="AB11555" s="234"/>
    </row>
    <row r="11556" ht="14.5" customHeight="1" spans="11:28" x14ac:dyDescent="0.25">
      <c r="K11556" s="128"/>
      <c r="X11556" s="234"/>
      <c r="Y11556" s="234"/>
      <c r="Z11556" s="234"/>
      <c r="AA11556" s="235"/>
      <c r="AB11556" s="234"/>
    </row>
    <row r="11557" ht="14.5" customHeight="1" spans="11:28" x14ac:dyDescent="0.25">
      <c r="K11557" s="128"/>
      <c r="X11557" s="234"/>
      <c r="Y11557" s="234"/>
      <c r="Z11557" s="234"/>
      <c r="AA11557" s="235"/>
      <c r="AB11557" s="234"/>
    </row>
    <row r="11558" ht="14.5" customHeight="1" spans="11:28" x14ac:dyDescent="0.25">
      <c r="K11558" s="128"/>
      <c r="X11558" s="234"/>
      <c r="Y11558" s="234"/>
      <c r="Z11558" s="234"/>
      <c r="AA11558" s="235"/>
      <c r="AB11558" s="234"/>
    </row>
    <row r="11559" ht="14.5" customHeight="1" spans="11:28" x14ac:dyDescent="0.25">
      <c r="K11559" s="128"/>
      <c r="X11559" s="234"/>
      <c r="Y11559" s="234"/>
      <c r="Z11559" s="234"/>
      <c r="AA11559" s="235"/>
      <c r="AB11559" s="234"/>
    </row>
    <row r="11560" ht="14.5" customHeight="1" spans="11:28" x14ac:dyDescent="0.25">
      <c r="K11560" s="128"/>
      <c r="X11560" s="234"/>
      <c r="Y11560" s="234"/>
      <c r="Z11560" s="234"/>
      <c r="AA11560" s="235"/>
      <c r="AB11560" s="234"/>
    </row>
    <row r="11561" ht="14.5" customHeight="1" spans="11:28" x14ac:dyDescent="0.25">
      <c r="K11561" s="128"/>
      <c r="X11561" s="234"/>
      <c r="Y11561" s="234"/>
      <c r="Z11561" s="234"/>
      <c r="AA11561" s="235"/>
      <c r="AB11561" s="234"/>
    </row>
    <row r="11562" ht="14.5" customHeight="1" spans="11:28" x14ac:dyDescent="0.25">
      <c r="K11562" s="128"/>
      <c r="X11562" s="234"/>
      <c r="Y11562" s="234"/>
      <c r="Z11562" s="234"/>
      <c r="AA11562" s="235"/>
      <c r="AB11562" s="234"/>
    </row>
    <row r="11563" ht="14.5" customHeight="1" spans="11:28" x14ac:dyDescent="0.25">
      <c r="K11563" s="128"/>
      <c r="X11563" s="234"/>
      <c r="Y11563" s="234"/>
      <c r="Z11563" s="234"/>
      <c r="AA11563" s="235"/>
      <c r="AB11563" s="234"/>
    </row>
    <row r="11564" ht="14.5" customHeight="1" spans="11:28" x14ac:dyDescent="0.25">
      <c r="K11564" s="128"/>
      <c r="X11564" s="234"/>
      <c r="Y11564" s="234"/>
      <c r="Z11564" s="234"/>
      <c r="AA11564" s="235"/>
      <c r="AB11564" s="234"/>
    </row>
    <row r="11565" ht="14.5" customHeight="1" spans="11:28" x14ac:dyDescent="0.25">
      <c r="K11565" s="128"/>
      <c r="X11565" s="234"/>
      <c r="Y11565" s="234"/>
      <c r="Z11565" s="234"/>
      <c r="AA11565" s="235"/>
      <c r="AB11565" s="234"/>
    </row>
    <row r="11566" ht="14.5" customHeight="1" spans="11:28" x14ac:dyDescent="0.25">
      <c r="K11566" s="128"/>
      <c r="X11566" s="234"/>
      <c r="Y11566" s="234"/>
      <c r="Z11566" s="234"/>
      <c r="AA11566" s="235"/>
      <c r="AB11566" s="234"/>
    </row>
    <row r="11567" ht="14.5" customHeight="1" spans="11:28" x14ac:dyDescent="0.25">
      <c r="K11567" s="128"/>
      <c r="X11567" s="234"/>
      <c r="Y11567" s="234"/>
      <c r="Z11567" s="234"/>
      <c r="AA11567" s="235"/>
      <c r="AB11567" s="234"/>
    </row>
    <row r="11568" ht="14.5" customHeight="1" spans="11:28" x14ac:dyDescent="0.25">
      <c r="K11568" s="128"/>
      <c r="X11568" s="234"/>
      <c r="Y11568" s="234"/>
      <c r="Z11568" s="234"/>
      <c r="AA11568" s="235"/>
      <c r="AB11568" s="234"/>
    </row>
    <row r="11569" ht="14.5" customHeight="1" spans="11:28" x14ac:dyDescent="0.25">
      <c r="K11569" s="128"/>
      <c r="X11569" s="234"/>
      <c r="Y11569" s="234"/>
      <c r="Z11569" s="234"/>
      <c r="AA11569" s="235"/>
      <c r="AB11569" s="234"/>
    </row>
    <row r="11570" ht="14.5" customHeight="1" spans="11:28" x14ac:dyDescent="0.25">
      <c r="K11570" s="128"/>
      <c r="X11570" s="234"/>
      <c r="Y11570" s="234"/>
      <c r="Z11570" s="234"/>
      <c r="AA11570" s="235"/>
      <c r="AB11570" s="234"/>
    </row>
    <row r="11571" ht="14.5" customHeight="1" spans="11:28" x14ac:dyDescent="0.25">
      <c r="K11571" s="128"/>
      <c r="X11571" s="234"/>
      <c r="Y11571" s="234"/>
      <c r="Z11571" s="234"/>
      <c r="AA11571" s="235"/>
      <c r="AB11571" s="234"/>
    </row>
    <row r="11572" ht="14.5" customHeight="1" spans="11:28" x14ac:dyDescent="0.25">
      <c r="K11572" s="128"/>
      <c r="X11572" s="234"/>
      <c r="Y11572" s="234"/>
      <c r="Z11572" s="234"/>
      <c r="AA11572" s="235"/>
      <c r="AB11572" s="234"/>
    </row>
    <row r="11573" ht="14.5" customHeight="1" spans="11:28" x14ac:dyDescent="0.25">
      <c r="K11573" s="128"/>
      <c r="X11573" s="234"/>
      <c r="Y11573" s="234"/>
      <c r="Z11573" s="234"/>
      <c r="AA11573" s="235"/>
      <c r="AB11573" s="234"/>
    </row>
    <row r="11574" ht="14.5" customHeight="1" spans="11:28" x14ac:dyDescent="0.25">
      <c r="K11574" s="128"/>
      <c r="X11574" s="234"/>
      <c r="Y11574" s="234"/>
      <c r="Z11574" s="234"/>
      <c r="AA11574" s="235"/>
      <c r="AB11574" s="234"/>
    </row>
    <row r="11575" ht="14.5" customHeight="1" spans="11:28" x14ac:dyDescent="0.25">
      <c r="K11575" s="128"/>
      <c r="X11575" s="234"/>
      <c r="Y11575" s="234"/>
      <c r="Z11575" s="234"/>
      <c r="AA11575" s="235"/>
      <c r="AB11575" s="234"/>
    </row>
    <row r="11576" ht="14.5" customHeight="1" spans="11:28" x14ac:dyDescent="0.25">
      <c r="K11576" s="128"/>
      <c r="X11576" s="234"/>
      <c r="Y11576" s="234"/>
      <c r="Z11576" s="234"/>
      <c r="AA11576" s="235"/>
      <c r="AB11576" s="234"/>
    </row>
    <row r="11577" ht="14.5" customHeight="1" spans="11:28" x14ac:dyDescent="0.25">
      <c r="K11577" s="128"/>
      <c r="X11577" s="234"/>
      <c r="Y11577" s="234"/>
      <c r="Z11577" s="234"/>
      <c r="AA11577" s="235"/>
      <c r="AB11577" s="234"/>
    </row>
    <row r="11578" ht="14.5" customHeight="1" spans="11:28" x14ac:dyDescent="0.25">
      <c r="K11578" s="128"/>
      <c r="X11578" s="234"/>
      <c r="Y11578" s="234"/>
      <c r="Z11578" s="234"/>
      <c r="AA11578" s="235"/>
      <c r="AB11578" s="234"/>
    </row>
    <row r="11579" ht="14.5" customHeight="1" spans="11:28" x14ac:dyDescent="0.25">
      <c r="K11579" s="128"/>
      <c r="X11579" s="234"/>
      <c r="Y11579" s="234"/>
      <c r="Z11579" s="234"/>
      <c r="AA11579" s="235"/>
      <c r="AB11579" s="234"/>
    </row>
    <row r="11580" ht="14.5" customHeight="1" spans="11:28" x14ac:dyDescent="0.25">
      <c r="K11580" s="128"/>
      <c r="X11580" s="234"/>
      <c r="Y11580" s="234"/>
      <c r="Z11580" s="234"/>
      <c r="AA11580" s="235"/>
      <c r="AB11580" s="234"/>
    </row>
    <row r="11581" ht="14.5" customHeight="1" spans="11:28" x14ac:dyDescent="0.25">
      <c r="K11581" s="128"/>
      <c r="X11581" s="234"/>
      <c r="Y11581" s="234"/>
      <c r="Z11581" s="234"/>
      <c r="AA11581" s="235"/>
      <c r="AB11581" s="234"/>
    </row>
    <row r="11582" ht="14.5" customHeight="1" spans="11:28" x14ac:dyDescent="0.25">
      <c r="K11582" s="128"/>
      <c r="X11582" s="234"/>
      <c r="Y11582" s="234"/>
      <c r="Z11582" s="234"/>
      <c r="AA11582" s="235"/>
      <c r="AB11582" s="234"/>
    </row>
    <row r="11583" ht="14.5" customHeight="1" spans="11:28" x14ac:dyDescent="0.25">
      <c r="K11583" s="128"/>
      <c r="X11583" s="234"/>
      <c r="Y11583" s="234"/>
      <c r="Z11583" s="234"/>
      <c r="AA11583" s="235"/>
      <c r="AB11583" s="234"/>
    </row>
    <row r="11584" ht="14.5" customHeight="1" spans="11:28" x14ac:dyDescent="0.25">
      <c r="K11584" s="128"/>
      <c r="X11584" s="234"/>
      <c r="Y11584" s="234"/>
      <c r="Z11584" s="234"/>
      <c r="AA11584" s="235"/>
      <c r="AB11584" s="234"/>
    </row>
    <row r="11585" ht="14.5" customHeight="1" spans="11:28" x14ac:dyDescent="0.25">
      <c r="K11585" s="128"/>
      <c r="X11585" s="234"/>
      <c r="Y11585" s="234"/>
      <c r="Z11585" s="234"/>
      <c r="AA11585" s="235"/>
      <c r="AB11585" s="234"/>
    </row>
    <row r="11586" ht="14.5" customHeight="1" spans="11:28" x14ac:dyDescent="0.25">
      <c r="K11586" s="128"/>
      <c r="X11586" s="234"/>
      <c r="Y11586" s="234"/>
      <c r="Z11586" s="234"/>
      <c r="AA11586" s="235"/>
      <c r="AB11586" s="234"/>
    </row>
    <row r="11587" ht="14.5" customHeight="1" spans="11:28" x14ac:dyDescent="0.25">
      <c r="K11587" s="128"/>
      <c r="X11587" s="234"/>
      <c r="Y11587" s="234"/>
      <c r="Z11587" s="234"/>
      <c r="AA11587" s="235"/>
      <c r="AB11587" s="234"/>
    </row>
    <row r="11588" ht="14.5" customHeight="1" spans="11:28" x14ac:dyDescent="0.25">
      <c r="K11588" s="128"/>
      <c r="X11588" s="234"/>
      <c r="Y11588" s="234"/>
      <c r="Z11588" s="234"/>
      <c r="AA11588" s="235"/>
      <c r="AB11588" s="234"/>
    </row>
    <row r="11589" ht="14.5" customHeight="1" spans="11:28" x14ac:dyDescent="0.25">
      <c r="K11589" s="128"/>
      <c r="X11589" s="234"/>
      <c r="Y11589" s="234"/>
      <c r="Z11589" s="234"/>
      <c r="AA11589" s="235"/>
      <c r="AB11589" s="234"/>
    </row>
    <row r="11590" ht="14.5" customHeight="1" spans="11:28" x14ac:dyDescent="0.25">
      <c r="K11590" s="128"/>
      <c r="X11590" s="234"/>
      <c r="Y11590" s="234"/>
      <c r="Z11590" s="234"/>
      <c r="AA11590" s="235"/>
      <c r="AB11590" s="234"/>
    </row>
    <row r="11591" ht="14.5" customHeight="1" spans="11:28" x14ac:dyDescent="0.25">
      <c r="K11591" s="128"/>
      <c r="X11591" s="234"/>
      <c r="Y11591" s="234"/>
      <c r="Z11591" s="234"/>
      <c r="AA11591" s="235"/>
      <c r="AB11591" s="234"/>
    </row>
    <row r="11592" ht="14.5" customHeight="1" spans="11:28" x14ac:dyDescent="0.25">
      <c r="K11592" s="128"/>
      <c r="X11592" s="234"/>
      <c r="Y11592" s="234"/>
      <c r="Z11592" s="234"/>
      <c r="AA11592" s="235"/>
      <c r="AB11592" s="234"/>
    </row>
    <row r="11593" ht="14.5" customHeight="1" spans="11:28" x14ac:dyDescent="0.25">
      <c r="K11593" s="128"/>
      <c r="X11593" s="234"/>
      <c r="Y11593" s="234"/>
      <c r="Z11593" s="234"/>
      <c r="AA11593" s="235"/>
      <c r="AB11593" s="234"/>
    </row>
    <row r="11594" ht="14.5" customHeight="1" spans="11:28" x14ac:dyDescent="0.25">
      <c r="K11594" s="128"/>
      <c r="X11594" s="234"/>
      <c r="Y11594" s="234"/>
      <c r="Z11594" s="234"/>
      <c r="AA11594" s="235"/>
      <c r="AB11594" s="234"/>
    </row>
    <row r="11595" ht="14.5" customHeight="1" spans="11:28" x14ac:dyDescent="0.25">
      <c r="K11595" s="128"/>
      <c r="X11595" s="234"/>
      <c r="Y11595" s="234"/>
      <c r="Z11595" s="234"/>
      <c r="AA11595" s="235"/>
      <c r="AB11595" s="234"/>
    </row>
    <row r="11596" ht="14.5" customHeight="1" spans="11:28" x14ac:dyDescent="0.25">
      <c r="K11596" s="128"/>
      <c r="X11596" s="234"/>
      <c r="Y11596" s="234"/>
      <c r="Z11596" s="234"/>
      <c r="AA11596" s="235"/>
      <c r="AB11596" s="234"/>
    </row>
    <row r="11597" ht="14.5" customHeight="1" spans="11:28" x14ac:dyDescent="0.25">
      <c r="K11597" s="128"/>
      <c r="X11597" s="234"/>
      <c r="Y11597" s="234"/>
      <c r="Z11597" s="234"/>
      <c r="AA11597" s="235"/>
      <c r="AB11597" s="234"/>
    </row>
    <row r="11598" ht="14.5" customHeight="1" spans="11:28" x14ac:dyDescent="0.25">
      <c r="K11598" s="128"/>
      <c r="X11598" s="234"/>
      <c r="Y11598" s="234"/>
      <c r="Z11598" s="234"/>
      <c r="AA11598" s="235"/>
      <c r="AB11598" s="234"/>
    </row>
    <row r="11599" ht="14.5" customHeight="1" spans="11:28" x14ac:dyDescent="0.25">
      <c r="K11599" s="128"/>
      <c r="X11599" s="234"/>
      <c r="Y11599" s="234"/>
      <c r="Z11599" s="234"/>
      <c r="AA11599" s="235"/>
      <c r="AB11599" s="234"/>
    </row>
    <row r="11600" ht="14.5" customHeight="1" spans="11:28" x14ac:dyDescent="0.25">
      <c r="K11600" s="128"/>
      <c r="X11600" s="234"/>
      <c r="Y11600" s="234"/>
      <c r="Z11600" s="234"/>
      <c r="AA11600" s="235"/>
      <c r="AB11600" s="234"/>
    </row>
    <row r="11601" ht="14.5" customHeight="1" spans="11:28" x14ac:dyDescent="0.25">
      <c r="K11601" s="128"/>
      <c r="X11601" s="234"/>
      <c r="Y11601" s="234"/>
      <c r="Z11601" s="234"/>
      <c r="AA11601" s="235"/>
      <c r="AB11601" s="234"/>
    </row>
    <row r="11602" ht="14.5" customHeight="1" spans="11:28" x14ac:dyDescent="0.25">
      <c r="K11602" s="128"/>
      <c r="X11602" s="234"/>
      <c r="Y11602" s="234"/>
      <c r="Z11602" s="234"/>
      <c r="AA11602" s="235"/>
      <c r="AB11602" s="234"/>
    </row>
    <row r="11603" ht="14.5" customHeight="1" spans="11:28" x14ac:dyDescent="0.25">
      <c r="K11603" s="128"/>
      <c r="X11603" s="234"/>
      <c r="Y11603" s="234"/>
      <c r="Z11603" s="234"/>
      <c r="AA11603" s="235"/>
      <c r="AB11603" s="234"/>
    </row>
    <row r="11604" ht="14.5" customHeight="1" spans="11:28" x14ac:dyDescent="0.25">
      <c r="K11604" s="128"/>
      <c r="X11604" s="234"/>
      <c r="Y11604" s="234"/>
      <c r="Z11604" s="234"/>
      <c r="AA11604" s="235"/>
      <c r="AB11604" s="234"/>
    </row>
    <row r="11605" ht="14.5" customHeight="1" spans="11:28" x14ac:dyDescent="0.25">
      <c r="K11605" s="128"/>
      <c r="X11605" s="234"/>
      <c r="Y11605" s="234"/>
      <c r="Z11605" s="234"/>
      <c r="AA11605" s="235"/>
      <c r="AB11605" s="234"/>
    </row>
    <row r="11606" ht="14.5" customHeight="1" spans="11:28" x14ac:dyDescent="0.25">
      <c r="K11606" s="128"/>
      <c r="X11606" s="234"/>
      <c r="Y11606" s="234"/>
      <c r="Z11606" s="234"/>
      <c r="AA11606" s="235"/>
      <c r="AB11606" s="234"/>
    </row>
    <row r="11607" ht="14.5" customHeight="1" spans="11:28" x14ac:dyDescent="0.25">
      <c r="K11607" s="128"/>
      <c r="X11607" s="234"/>
      <c r="Y11607" s="234"/>
      <c r="Z11607" s="234"/>
      <c r="AA11607" s="235"/>
      <c r="AB11607" s="234"/>
    </row>
    <row r="11608" ht="14.5" customHeight="1" spans="11:28" x14ac:dyDescent="0.25">
      <c r="K11608" s="128"/>
      <c r="X11608" s="234"/>
      <c r="Y11608" s="234"/>
      <c r="Z11608" s="234"/>
      <c r="AA11608" s="235"/>
      <c r="AB11608" s="234"/>
    </row>
    <row r="11609" ht="14.5" customHeight="1" spans="11:28" x14ac:dyDescent="0.25">
      <c r="K11609" s="128"/>
      <c r="X11609" s="234"/>
      <c r="Y11609" s="234"/>
      <c r="Z11609" s="234"/>
      <c r="AA11609" s="235"/>
      <c r="AB11609" s="234"/>
    </row>
    <row r="11610" ht="14.5" customHeight="1" spans="11:28" x14ac:dyDescent="0.25">
      <c r="K11610" s="128"/>
      <c r="X11610" s="234"/>
      <c r="Y11610" s="234"/>
      <c r="Z11610" s="234"/>
      <c r="AA11610" s="235"/>
      <c r="AB11610" s="234"/>
    </row>
    <row r="11611" ht="14.5" customHeight="1" spans="11:28" x14ac:dyDescent="0.25">
      <c r="K11611" s="128"/>
      <c r="X11611" s="234"/>
      <c r="Y11611" s="234"/>
      <c r="Z11611" s="234"/>
      <c r="AA11611" s="235"/>
      <c r="AB11611" s="234"/>
    </row>
    <row r="11612" ht="14.5" customHeight="1" spans="11:28" x14ac:dyDescent="0.25">
      <c r="K11612" s="128"/>
      <c r="X11612" s="234"/>
      <c r="Y11612" s="234"/>
      <c r="Z11612" s="234"/>
      <c r="AA11612" s="235"/>
      <c r="AB11612" s="234"/>
    </row>
    <row r="11613" ht="14.5" customHeight="1" spans="11:28" x14ac:dyDescent="0.25">
      <c r="K11613" s="128"/>
      <c r="X11613" s="234"/>
      <c r="Y11613" s="234"/>
      <c r="Z11613" s="234"/>
      <c r="AA11613" s="235"/>
      <c r="AB11613" s="234"/>
    </row>
    <row r="11614" ht="14.5" customHeight="1" spans="11:28" x14ac:dyDescent="0.25">
      <c r="K11614" s="128"/>
      <c r="X11614" s="234"/>
      <c r="Y11614" s="234"/>
      <c r="Z11614" s="234"/>
      <c r="AA11614" s="235"/>
      <c r="AB11614" s="234"/>
    </row>
    <row r="11615" ht="14.5" customHeight="1" spans="11:28" x14ac:dyDescent="0.25">
      <c r="K11615" s="128"/>
      <c r="X11615" s="234"/>
      <c r="Y11615" s="234"/>
      <c r="Z11615" s="234"/>
      <c r="AA11615" s="235"/>
      <c r="AB11615" s="234"/>
    </row>
    <row r="11616" ht="14.5" customHeight="1" spans="11:28" x14ac:dyDescent="0.25">
      <c r="K11616" s="128"/>
      <c r="X11616" s="234"/>
      <c r="Y11616" s="234"/>
      <c r="Z11616" s="234"/>
      <c r="AA11616" s="235"/>
      <c r="AB11616" s="234"/>
    </row>
    <row r="11617" ht="14.5" customHeight="1" spans="11:28" x14ac:dyDescent="0.25">
      <c r="K11617" s="128"/>
      <c r="X11617" s="234"/>
      <c r="Y11617" s="234"/>
      <c r="Z11617" s="234"/>
      <c r="AA11617" s="235"/>
      <c r="AB11617" s="234"/>
    </row>
    <row r="11618" ht="14.5" customHeight="1" spans="11:28" x14ac:dyDescent="0.25">
      <c r="K11618" s="128"/>
      <c r="X11618" s="234"/>
      <c r="Y11618" s="234"/>
      <c r="Z11618" s="234"/>
      <c r="AA11618" s="235"/>
      <c r="AB11618" s="234"/>
    </row>
    <row r="11619" ht="14.5" customHeight="1" spans="11:28" x14ac:dyDescent="0.25">
      <c r="K11619" s="128"/>
      <c r="X11619" s="234"/>
      <c r="Y11619" s="234"/>
      <c r="Z11619" s="234"/>
      <c r="AA11619" s="235"/>
      <c r="AB11619" s="234"/>
    </row>
    <row r="11620" ht="14.5" customHeight="1" spans="11:28" x14ac:dyDescent="0.25">
      <c r="K11620" s="128"/>
      <c r="X11620" s="234"/>
      <c r="Y11620" s="234"/>
      <c r="Z11620" s="234"/>
      <c r="AA11620" s="235"/>
      <c r="AB11620" s="234"/>
    </row>
    <row r="11621" ht="14.5" customHeight="1" spans="11:28" x14ac:dyDescent="0.25">
      <c r="K11621" s="128"/>
      <c r="X11621" s="234"/>
      <c r="Y11621" s="234"/>
      <c r="Z11621" s="234"/>
      <c r="AA11621" s="235"/>
      <c r="AB11621" s="234"/>
    </row>
    <row r="11622" ht="14.5" customHeight="1" spans="11:28" x14ac:dyDescent="0.25">
      <c r="K11622" s="128"/>
      <c r="X11622" s="234"/>
      <c r="Y11622" s="234"/>
      <c r="Z11622" s="234"/>
      <c r="AA11622" s="235"/>
      <c r="AB11622" s="234"/>
    </row>
    <row r="11623" ht="14.5" customHeight="1" spans="11:28" x14ac:dyDescent="0.25">
      <c r="K11623" s="128"/>
      <c r="X11623" s="234"/>
      <c r="Y11623" s="234"/>
      <c r="Z11623" s="234"/>
      <c r="AA11623" s="235"/>
      <c r="AB11623" s="234"/>
    </row>
    <row r="11624" ht="14.5" customHeight="1" spans="11:28" x14ac:dyDescent="0.25">
      <c r="K11624" s="128"/>
      <c r="X11624" s="234"/>
      <c r="Y11624" s="234"/>
      <c r="Z11624" s="234"/>
      <c r="AA11624" s="235"/>
      <c r="AB11624" s="234"/>
    </row>
    <row r="11625" ht="14.5" customHeight="1" spans="11:28" x14ac:dyDescent="0.25">
      <c r="K11625" s="128"/>
      <c r="X11625" s="234"/>
      <c r="Y11625" s="234"/>
      <c r="Z11625" s="234"/>
      <c r="AA11625" s="235"/>
      <c r="AB11625" s="234"/>
    </row>
    <row r="11626" ht="14.5" customHeight="1" spans="11:28" x14ac:dyDescent="0.25">
      <c r="K11626" s="128"/>
      <c r="X11626" s="234"/>
      <c r="Y11626" s="234"/>
      <c r="Z11626" s="234"/>
      <c r="AA11626" s="235"/>
      <c r="AB11626" s="234"/>
    </row>
    <row r="11627" ht="14.5" customHeight="1" spans="11:28" x14ac:dyDescent="0.25">
      <c r="K11627" s="128"/>
      <c r="X11627" s="234"/>
      <c r="Y11627" s="234"/>
      <c r="Z11627" s="234"/>
      <c r="AA11627" s="235"/>
      <c r="AB11627" s="234"/>
    </row>
    <row r="11628" ht="14.5" customHeight="1" spans="11:28" x14ac:dyDescent="0.25">
      <c r="K11628" s="128"/>
      <c r="X11628" s="234"/>
      <c r="Y11628" s="234"/>
      <c r="Z11628" s="234"/>
      <c r="AA11628" s="235"/>
      <c r="AB11628" s="234"/>
    </row>
    <row r="11629" ht="14.5" customHeight="1" spans="11:28" x14ac:dyDescent="0.25">
      <c r="K11629" s="128"/>
      <c r="X11629" s="234"/>
      <c r="Y11629" s="234"/>
      <c r="Z11629" s="234"/>
      <c r="AA11629" s="235"/>
      <c r="AB11629" s="234"/>
    </row>
    <row r="11630" ht="14.5" customHeight="1" spans="11:28" x14ac:dyDescent="0.25">
      <c r="K11630" s="128"/>
      <c r="X11630" s="234"/>
      <c r="Y11630" s="234"/>
      <c r="Z11630" s="234"/>
      <c r="AA11630" s="235"/>
      <c r="AB11630" s="234"/>
    </row>
    <row r="11631" ht="14.5" customHeight="1" spans="11:28" x14ac:dyDescent="0.25">
      <c r="K11631" s="128"/>
      <c r="X11631" s="234"/>
      <c r="Y11631" s="234"/>
      <c r="Z11631" s="234"/>
      <c r="AA11631" s="235"/>
      <c r="AB11631" s="234"/>
    </row>
    <row r="11632" ht="14.5" customHeight="1" spans="11:28" x14ac:dyDescent="0.25">
      <c r="K11632" s="128"/>
      <c r="X11632" s="234"/>
      <c r="Y11632" s="234"/>
      <c r="Z11632" s="234"/>
      <c r="AA11632" s="235"/>
      <c r="AB11632" s="234"/>
    </row>
    <row r="11633" ht="14.5" customHeight="1" spans="11:28" x14ac:dyDescent="0.25">
      <c r="K11633" s="128"/>
      <c r="X11633" s="234"/>
      <c r="Y11633" s="234"/>
      <c r="Z11633" s="234"/>
      <c r="AA11633" s="235"/>
      <c r="AB11633" s="234"/>
    </row>
    <row r="11634" ht="14.5" customHeight="1" spans="11:28" x14ac:dyDescent="0.25">
      <c r="K11634" s="128"/>
      <c r="X11634" s="234"/>
      <c r="Y11634" s="234"/>
      <c r="Z11634" s="234"/>
      <c r="AA11634" s="235"/>
      <c r="AB11634" s="234"/>
    </row>
    <row r="11635" ht="14.5" customHeight="1" spans="11:28" x14ac:dyDescent="0.25">
      <c r="K11635" s="128"/>
      <c r="X11635" s="234"/>
      <c r="Y11635" s="234"/>
      <c r="Z11635" s="234"/>
      <c r="AA11635" s="235"/>
      <c r="AB11635" s="234"/>
    </row>
    <row r="11636" ht="14.5" customHeight="1" spans="11:28" x14ac:dyDescent="0.25">
      <c r="K11636" s="128"/>
      <c r="X11636" s="234"/>
      <c r="Y11636" s="234"/>
      <c r="Z11636" s="234"/>
      <c r="AA11636" s="235"/>
      <c r="AB11636" s="234"/>
    </row>
    <row r="11637" ht="14.5" customHeight="1" spans="11:28" x14ac:dyDescent="0.25">
      <c r="K11637" s="128"/>
      <c r="X11637" s="234"/>
      <c r="Y11637" s="234"/>
      <c r="Z11637" s="234"/>
      <c r="AA11637" s="235"/>
      <c r="AB11637" s="234"/>
    </row>
    <row r="11638" ht="14.5" customHeight="1" spans="11:28" x14ac:dyDescent="0.25">
      <c r="K11638" s="128"/>
      <c r="X11638" s="234"/>
      <c r="Y11638" s="234"/>
      <c r="Z11638" s="234"/>
      <c r="AA11638" s="235"/>
      <c r="AB11638" s="234"/>
    </row>
    <row r="11639" ht="14.5" customHeight="1" spans="11:28" x14ac:dyDescent="0.25">
      <c r="K11639" s="128"/>
      <c r="X11639" s="234"/>
      <c r="Y11639" s="234"/>
      <c r="Z11639" s="234"/>
      <c r="AA11639" s="235"/>
      <c r="AB11639" s="234"/>
    </row>
    <row r="11640" ht="14.5" customHeight="1" spans="11:28" x14ac:dyDescent="0.25">
      <c r="K11640" s="128"/>
      <c r="X11640" s="234"/>
      <c r="Y11640" s="234"/>
      <c r="Z11640" s="234"/>
      <c r="AA11640" s="235"/>
      <c r="AB11640" s="234"/>
    </row>
    <row r="11641" ht="14.5" customHeight="1" spans="11:28" x14ac:dyDescent="0.25">
      <c r="K11641" s="128"/>
      <c r="X11641" s="234"/>
      <c r="Y11641" s="234"/>
      <c r="Z11641" s="234"/>
      <c r="AA11641" s="235"/>
      <c r="AB11641" s="234"/>
    </row>
    <row r="11642" ht="14.5" customHeight="1" spans="11:28" x14ac:dyDescent="0.25">
      <c r="K11642" s="128"/>
      <c r="X11642" s="234"/>
      <c r="Y11642" s="234"/>
      <c r="Z11642" s="234"/>
      <c r="AA11642" s="235"/>
      <c r="AB11642" s="234"/>
    </row>
    <row r="11643" ht="14.5" customHeight="1" spans="11:28" x14ac:dyDescent="0.25">
      <c r="K11643" s="128"/>
      <c r="X11643" s="234"/>
      <c r="Y11643" s="234"/>
      <c r="Z11643" s="234"/>
      <c r="AA11643" s="235"/>
      <c r="AB11643" s="234"/>
    </row>
    <row r="11644" ht="14.5" customHeight="1" spans="11:28" x14ac:dyDescent="0.25">
      <c r="K11644" s="128"/>
      <c r="X11644" s="234"/>
      <c r="Y11644" s="234"/>
      <c r="Z11644" s="234"/>
      <c r="AA11644" s="235"/>
      <c r="AB11644" s="234"/>
    </row>
    <row r="11645" ht="14.5" customHeight="1" spans="11:28" x14ac:dyDescent="0.25">
      <c r="K11645" s="128"/>
      <c r="X11645" s="234"/>
      <c r="Y11645" s="234"/>
      <c r="Z11645" s="234"/>
      <c r="AA11645" s="235"/>
      <c r="AB11645" s="234"/>
    </row>
    <row r="11646" ht="14.5" customHeight="1" spans="11:28" x14ac:dyDescent="0.25">
      <c r="K11646" s="128"/>
      <c r="X11646" s="234"/>
      <c r="Y11646" s="234"/>
      <c r="Z11646" s="234"/>
      <c r="AA11646" s="235"/>
      <c r="AB11646" s="234"/>
    </row>
    <row r="11647" ht="14.5" customHeight="1" spans="11:28" x14ac:dyDescent="0.25">
      <c r="K11647" s="128"/>
      <c r="X11647" s="234"/>
      <c r="Y11647" s="234"/>
      <c r="Z11647" s="234"/>
      <c r="AA11647" s="235"/>
      <c r="AB11647" s="234"/>
    </row>
    <row r="11648" ht="14.5" customHeight="1" spans="11:28" x14ac:dyDescent="0.25">
      <c r="K11648" s="128"/>
      <c r="X11648" s="234"/>
      <c r="Y11648" s="234"/>
      <c r="Z11648" s="234"/>
      <c r="AA11648" s="235"/>
      <c r="AB11648" s="234"/>
    </row>
    <row r="11649" ht="14.5" customHeight="1" spans="11:28" x14ac:dyDescent="0.25">
      <c r="K11649" s="128"/>
      <c r="X11649" s="234"/>
      <c r="Y11649" s="234"/>
      <c r="Z11649" s="234"/>
      <c r="AA11649" s="235"/>
      <c r="AB11649" s="234"/>
    </row>
    <row r="11650" ht="14.5" customHeight="1" spans="11:28" x14ac:dyDescent="0.25">
      <c r="K11650" s="128"/>
      <c r="X11650" s="234"/>
      <c r="Y11650" s="234"/>
      <c r="Z11650" s="234"/>
      <c r="AA11650" s="235"/>
      <c r="AB11650" s="234"/>
    </row>
    <row r="11651" ht="14.5" customHeight="1" spans="11:28" x14ac:dyDescent="0.25">
      <c r="K11651" s="128"/>
      <c r="X11651" s="234"/>
      <c r="Y11651" s="234"/>
      <c r="Z11651" s="234"/>
      <c r="AA11651" s="235"/>
      <c r="AB11651" s="234"/>
    </row>
    <row r="11652" ht="14.5" customHeight="1" spans="11:28" x14ac:dyDescent="0.25">
      <c r="K11652" s="128"/>
      <c r="X11652" s="234"/>
      <c r="Y11652" s="234"/>
      <c r="Z11652" s="234"/>
      <c r="AA11652" s="235"/>
      <c r="AB11652" s="234"/>
    </row>
    <row r="11653" ht="14.5" customHeight="1" spans="11:28" x14ac:dyDescent="0.25">
      <c r="K11653" s="128"/>
      <c r="X11653" s="234"/>
      <c r="Y11653" s="234"/>
      <c r="Z11653" s="234"/>
      <c r="AA11653" s="235"/>
      <c r="AB11653" s="234"/>
    </row>
    <row r="11654" ht="14.5" customHeight="1" spans="11:28" x14ac:dyDescent="0.25">
      <c r="K11654" s="128"/>
      <c r="X11654" s="234"/>
      <c r="Y11654" s="234"/>
      <c r="Z11654" s="234"/>
      <c r="AA11654" s="235"/>
      <c r="AB11654" s="234"/>
    </row>
    <row r="11655" ht="14.5" customHeight="1" spans="11:28" x14ac:dyDescent="0.25">
      <c r="K11655" s="128"/>
      <c r="X11655" s="234"/>
      <c r="Y11655" s="234"/>
      <c r="Z11655" s="234"/>
      <c r="AA11655" s="235"/>
      <c r="AB11655" s="234"/>
    </row>
    <row r="11656" ht="14.5" customHeight="1" spans="11:28" x14ac:dyDescent="0.25">
      <c r="K11656" s="128"/>
      <c r="X11656" s="234"/>
      <c r="Y11656" s="234"/>
      <c r="Z11656" s="234"/>
      <c r="AA11656" s="235"/>
      <c r="AB11656" s="234"/>
    </row>
    <row r="11657" ht="14.5" customHeight="1" spans="11:28" x14ac:dyDescent="0.25">
      <c r="K11657" s="128"/>
      <c r="X11657" s="234"/>
      <c r="Y11657" s="234"/>
      <c r="Z11657" s="234"/>
      <c r="AA11657" s="235"/>
      <c r="AB11657" s="234"/>
    </row>
    <row r="11658" ht="14.5" customHeight="1" spans="11:28" x14ac:dyDescent="0.25">
      <c r="K11658" s="128"/>
      <c r="X11658" s="234"/>
      <c r="Y11658" s="234"/>
      <c r="Z11658" s="234"/>
      <c r="AA11658" s="235"/>
      <c r="AB11658" s="234"/>
    </row>
    <row r="11659" ht="14.5" customHeight="1" spans="11:28" x14ac:dyDescent="0.25">
      <c r="K11659" s="128"/>
      <c r="X11659" s="234"/>
      <c r="Y11659" s="234"/>
      <c r="Z11659" s="234"/>
      <c r="AA11659" s="235"/>
      <c r="AB11659" s="234"/>
    </row>
    <row r="11660" ht="14.5" customHeight="1" spans="11:28" x14ac:dyDescent="0.25">
      <c r="K11660" s="128"/>
      <c r="X11660" s="234"/>
      <c r="Y11660" s="234"/>
      <c r="Z11660" s="234"/>
      <c r="AA11660" s="235"/>
      <c r="AB11660" s="234"/>
    </row>
    <row r="11661" ht="14.5" customHeight="1" spans="11:28" x14ac:dyDescent="0.25">
      <c r="K11661" s="128"/>
      <c r="X11661" s="234"/>
      <c r="Y11661" s="234"/>
      <c r="Z11661" s="234"/>
      <c r="AA11661" s="235"/>
      <c r="AB11661" s="234"/>
    </row>
    <row r="11662" ht="14.5" customHeight="1" spans="11:28" x14ac:dyDescent="0.25">
      <c r="K11662" s="128"/>
      <c r="X11662" s="234"/>
      <c r="Y11662" s="234"/>
      <c r="Z11662" s="234"/>
      <c r="AA11662" s="235"/>
      <c r="AB11662" s="234"/>
    </row>
    <row r="11663" ht="14.5" customHeight="1" spans="11:28" x14ac:dyDescent="0.25">
      <c r="K11663" s="128"/>
      <c r="X11663" s="234"/>
      <c r="Y11663" s="234"/>
      <c r="Z11663" s="234"/>
      <c r="AA11663" s="235"/>
      <c r="AB11663" s="234"/>
    </row>
    <row r="11664" ht="14.5" customHeight="1" spans="11:28" x14ac:dyDescent="0.25">
      <c r="K11664" s="128"/>
      <c r="X11664" s="234"/>
      <c r="Y11664" s="234"/>
      <c r="Z11664" s="234"/>
      <c r="AA11664" s="235"/>
      <c r="AB11664" s="234"/>
    </row>
    <row r="11665" ht="14.5" customHeight="1" spans="11:28" x14ac:dyDescent="0.25">
      <c r="K11665" s="128"/>
      <c r="X11665" s="234"/>
      <c r="Y11665" s="234"/>
      <c r="Z11665" s="234"/>
      <c r="AA11665" s="235"/>
      <c r="AB11665" s="234"/>
    </row>
    <row r="11666" ht="14.5" customHeight="1" spans="11:28" x14ac:dyDescent="0.25">
      <c r="K11666" s="128"/>
      <c r="X11666" s="234"/>
      <c r="Y11666" s="234"/>
      <c r="Z11666" s="234"/>
      <c r="AA11666" s="235"/>
      <c r="AB11666" s="234"/>
    </row>
    <row r="11667" ht="14.5" customHeight="1" spans="11:28" x14ac:dyDescent="0.25">
      <c r="K11667" s="128"/>
      <c r="X11667" s="234"/>
      <c r="Y11667" s="234"/>
      <c r="Z11667" s="234"/>
      <c r="AA11667" s="235"/>
      <c r="AB11667" s="234"/>
    </row>
    <row r="11668" ht="14.5" customHeight="1" spans="11:28" x14ac:dyDescent="0.25">
      <c r="K11668" s="128"/>
      <c r="X11668" s="234"/>
      <c r="Y11668" s="234"/>
      <c r="Z11668" s="234"/>
      <c r="AA11668" s="235"/>
      <c r="AB11668" s="234"/>
    </row>
    <row r="11669" ht="14.5" customHeight="1" spans="11:28" x14ac:dyDescent="0.25">
      <c r="K11669" s="128"/>
      <c r="X11669" s="234"/>
      <c r="Y11669" s="234"/>
      <c r="Z11669" s="234"/>
      <c r="AA11669" s="235"/>
      <c r="AB11669" s="234"/>
    </row>
    <row r="11670" ht="14.5" customHeight="1" spans="11:28" x14ac:dyDescent="0.25">
      <c r="K11670" s="128"/>
      <c r="X11670" s="234"/>
      <c r="Y11670" s="234"/>
      <c r="Z11670" s="234"/>
      <c r="AA11670" s="235"/>
      <c r="AB11670" s="234"/>
    </row>
    <row r="11671" ht="14.5" customHeight="1" spans="11:28" x14ac:dyDescent="0.25">
      <c r="K11671" s="128"/>
      <c r="X11671" s="234"/>
      <c r="Y11671" s="234"/>
      <c r="Z11671" s="234"/>
      <c r="AA11671" s="235"/>
      <c r="AB11671" s="234"/>
    </row>
    <row r="11672" ht="14.5" customHeight="1" spans="11:28" x14ac:dyDescent="0.25">
      <c r="K11672" s="128"/>
      <c r="X11672" s="234"/>
      <c r="Y11672" s="234"/>
      <c r="Z11672" s="234"/>
      <c r="AA11672" s="235"/>
      <c r="AB11672" s="234"/>
    </row>
    <row r="11673" ht="14.5" customHeight="1" spans="11:28" x14ac:dyDescent="0.25">
      <c r="K11673" s="128"/>
      <c r="X11673" s="234"/>
      <c r="Y11673" s="234"/>
      <c r="Z11673" s="234"/>
      <c r="AA11673" s="235"/>
      <c r="AB11673" s="234"/>
    </row>
    <row r="11674" ht="14.5" customHeight="1" spans="11:28" x14ac:dyDescent="0.25">
      <c r="K11674" s="128"/>
      <c r="X11674" s="234"/>
      <c r="Y11674" s="234"/>
      <c r="Z11674" s="234"/>
      <c r="AA11674" s="235"/>
      <c r="AB11674" s="234"/>
    </row>
    <row r="11675" ht="14.5" customHeight="1" spans="11:28" x14ac:dyDescent="0.25">
      <c r="K11675" s="128"/>
      <c r="X11675" s="234"/>
      <c r="Y11675" s="234"/>
      <c r="Z11675" s="234"/>
      <c r="AA11675" s="235"/>
      <c r="AB11675" s="234"/>
    </row>
    <row r="11676" ht="14.5" customHeight="1" spans="11:28" x14ac:dyDescent="0.25">
      <c r="K11676" s="128"/>
      <c r="X11676" s="234"/>
      <c r="Y11676" s="234"/>
      <c r="Z11676" s="234"/>
      <c r="AA11676" s="235"/>
      <c r="AB11676" s="234"/>
    </row>
    <row r="11677" ht="14.5" customHeight="1" spans="11:28" x14ac:dyDescent="0.25">
      <c r="K11677" s="128"/>
      <c r="X11677" s="234"/>
      <c r="Y11677" s="234"/>
      <c r="Z11677" s="234"/>
      <c r="AA11677" s="235"/>
      <c r="AB11677" s="234"/>
    </row>
    <row r="11678" ht="14.5" customHeight="1" spans="11:28" x14ac:dyDescent="0.25">
      <c r="K11678" s="128"/>
      <c r="X11678" s="234"/>
      <c r="Y11678" s="234"/>
      <c r="Z11678" s="234"/>
      <c r="AA11678" s="235"/>
      <c r="AB11678" s="234"/>
    </row>
    <row r="11679" ht="14.5" customHeight="1" spans="11:28" x14ac:dyDescent="0.25">
      <c r="K11679" s="128"/>
      <c r="X11679" s="234"/>
      <c r="Y11679" s="234"/>
      <c r="Z11679" s="234"/>
      <c r="AA11679" s="235"/>
      <c r="AB11679" s="234"/>
    </row>
    <row r="11680" ht="14.5" customHeight="1" spans="11:28" x14ac:dyDescent="0.25">
      <c r="K11680" s="128"/>
      <c r="X11680" s="234"/>
      <c r="Y11680" s="234"/>
      <c r="Z11680" s="234"/>
      <c r="AA11680" s="235"/>
      <c r="AB11680" s="234"/>
    </row>
    <row r="11681" ht="14.5" customHeight="1" spans="11:28" x14ac:dyDescent="0.25">
      <c r="K11681" s="128"/>
      <c r="X11681" s="234"/>
      <c r="Y11681" s="234"/>
      <c r="Z11681" s="234"/>
      <c r="AA11681" s="235"/>
      <c r="AB11681" s="234"/>
    </row>
    <row r="11682" ht="14.5" customHeight="1" spans="11:28" x14ac:dyDescent="0.25">
      <c r="K11682" s="128"/>
      <c r="X11682" s="234"/>
      <c r="Y11682" s="234"/>
      <c r="Z11682" s="234"/>
      <c r="AA11682" s="235"/>
      <c r="AB11682" s="234"/>
    </row>
    <row r="11683" ht="14.5" customHeight="1" spans="11:28" x14ac:dyDescent="0.25">
      <c r="K11683" s="128"/>
      <c r="X11683" s="234"/>
      <c r="Y11683" s="234"/>
      <c r="Z11683" s="234"/>
      <c r="AA11683" s="235"/>
      <c r="AB11683" s="234"/>
    </row>
    <row r="11684" ht="14.5" customHeight="1" spans="11:28" x14ac:dyDescent="0.25">
      <c r="K11684" s="128"/>
      <c r="X11684" s="234"/>
      <c r="Y11684" s="234"/>
      <c r="Z11684" s="234"/>
      <c r="AA11684" s="235"/>
      <c r="AB11684" s="234"/>
    </row>
    <row r="11685" ht="14.5" customHeight="1" spans="11:28" x14ac:dyDescent="0.25">
      <c r="K11685" s="128"/>
      <c r="X11685" s="234"/>
      <c r="Y11685" s="234"/>
      <c r="Z11685" s="234"/>
      <c r="AA11685" s="235"/>
      <c r="AB11685" s="234"/>
    </row>
    <row r="11686" ht="14.5" customHeight="1" spans="11:28" x14ac:dyDescent="0.25">
      <c r="K11686" s="128"/>
      <c r="X11686" s="234"/>
      <c r="Y11686" s="234"/>
      <c r="Z11686" s="234"/>
      <c r="AA11686" s="235"/>
      <c r="AB11686" s="234"/>
    </row>
    <row r="11687" ht="14.5" customHeight="1" spans="11:28" x14ac:dyDescent="0.25">
      <c r="K11687" s="128"/>
      <c r="X11687" s="234"/>
      <c r="Y11687" s="234"/>
      <c r="Z11687" s="234"/>
      <c r="AA11687" s="235"/>
      <c r="AB11687" s="234"/>
    </row>
    <row r="11688" ht="14.5" customHeight="1" spans="11:28" x14ac:dyDescent="0.25">
      <c r="K11688" s="128"/>
      <c r="X11688" s="234"/>
      <c r="Y11688" s="234"/>
      <c r="Z11688" s="234"/>
      <c r="AA11688" s="235"/>
      <c r="AB11688" s="234"/>
    </row>
    <row r="11689" ht="14.5" customHeight="1" spans="11:28" x14ac:dyDescent="0.25">
      <c r="K11689" s="128"/>
      <c r="X11689" s="234"/>
      <c r="Y11689" s="234"/>
      <c r="Z11689" s="234"/>
      <c r="AA11689" s="235"/>
      <c r="AB11689" s="234"/>
    </row>
    <row r="11690" ht="14.5" customHeight="1" spans="11:28" x14ac:dyDescent="0.25">
      <c r="K11690" s="128"/>
      <c r="X11690" s="234"/>
      <c r="Y11690" s="234"/>
      <c r="Z11690" s="234"/>
      <c r="AA11690" s="235"/>
      <c r="AB11690" s="234"/>
    </row>
    <row r="11691" ht="14.5" customHeight="1" spans="11:28" x14ac:dyDescent="0.25">
      <c r="K11691" s="128"/>
      <c r="X11691" s="234"/>
      <c r="Y11691" s="234"/>
      <c r="Z11691" s="234"/>
      <c r="AA11691" s="235"/>
      <c r="AB11691" s="234"/>
    </row>
    <row r="11692" ht="14.5" customHeight="1" spans="11:28" x14ac:dyDescent="0.25">
      <c r="K11692" s="128"/>
      <c r="X11692" s="234"/>
      <c r="Y11692" s="234"/>
      <c r="Z11692" s="234"/>
      <c r="AA11692" s="235"/>
      <c r="AB11692" s="234"/>
    </row>
    <row r="11693" ht="14.5" customHeight="1" spans="11:28" x14ac:dyDescent="0.25">
      <c r="K11693" s="128"/>
      <c r="X11693" s="234"/>
      <c r="Y11693" s="234"/>
      <c r="Z11693" s="234"/>
      <c r="AA11693" s="235"/>
      <c r="AB11693" s="234"/>
    </row>
    <row r="11694" ht="14.5" customHeight="1" spans="11:28" x14ac:dyDescent="0.25">
      <c r="K11694" s="128"/>
      <c r="X11694" s="234"/>
      <c r="Y11694" s="234"/>
      <c r="Z11694" s="234"/>
      <c r="AA11694" s="235"/>
      <c r="AB11694" s="234"/>
    </row>
    <row r="11695" ht="14.5" customHeight="1" spans="11:28" x14ac:dyDescent="0.25">
      <c r="K11695" s="128"/>
      <c r="X11695" s="234"/>
      <c r="Y11695" s="234"/>
      <c r="Z11695" s="234"/>
      <c r="AA11695" s="235"/>
      <c r="AB11695" s="234"/>
    </row>
    <row r="11696" ht="14.5" customHeight="1" spans="11:28" x14ac:dyDescent="0.25">
      <c r="K11696" s="128"/>
      <c r="X11696" s="234"/>
      <c r="Y11696" s="234"/>
      <c r="Z11696" s="234"/>
      <c r="AA11696" s="235"/>
      <c r="AB11696" s="234"/>
    </row>
    <row r="11697" ht="14.5" customHeight="1" spans="11:28" x14ac:dyDescent="0.25">
      <c r="K11697" s="128"/>
      <c r="X11697" s="234"/>
      <c r="Y11697" s="234"/>
      <c r="Z11697" s="234"/>
      <c r="AA11697" s="235"/>
      <c r="AB11697" s="234"/>
    </row>
    <row r="11698" ht="14.5" customHeight="1" spans="11:28" x14ac:dyDescent="0.25">
      <c r="K11698" s="128"/>
      <c r="X11698" s="234"/>
      <c r="Y11698" s="234"/>
      <c r="Z11698" s="234"/>
      <c r="AA11698" s="235"/>
      <c r="AB11698" s="234"/>
    </row>
    <row r="11699" ht="14.5" customHeight="1" spans="11:28" x14ac:dyDescent="0.25">
      <c r="K11699" s="128"/>
      <c r="X11699" s="234"/>
      <c r="Y11699" s="234"/>
      <c r="Z11699" s="234"/>
      <c r="AA11699" s="235"/>
      <c r="AB11699" s="234"/>
    </row>
    <row r="11700" ht="14.5" customHeight="1" spans="11:28" x14ac:dyDescent="0.25">
      <c r="K11700" s="128"/>
      <c r="X11700" s="234"/>
      <c r="Y11700" s="234"/>
      <c r="Z11700" s="234"/>
      <c r="AA11700" s="235"/>
      <c r="AB11700" s="234"/>
    </row>
    <row r="11701" ht="14.5" customHeight="1" spans="11:28" x14ac:dyDescent="0.25">
      <c r="K11701" s="128"/>
      <c r="X11701" s="234"/>
      <c r="Y11701" s="234"/>
      <c r="Z11701" s="234"/>
      <c r="AA11701" s="235"/>
      <c r="AB11701" s="234"/>
    </row>
    <row r="11702" ht="14.5" customHeight="1" spans="11:28" x14ac:dyDescent="0.25">
      <c r="K11702" s="128"/>
      <c r="X11702" s="234"/>
      <c r="Y11702" s="234"/>
      <c r="Z11702" s="234"/>
      <c r="AA11702" s="235"/>
      <c r="AB11702" s="234"/>
    </row>
    <row r="11703" ht="14.5" customHeight="1" spans="11:28" x14ac:dyDescent="0.25">
      <c r="K11703" s="128"/>
      <c r="X11703" s="234"/>
      <c r="Y11703" s="234"/>
      <c r="Z11703" s="234"/>
      <c r="AA11703" s="235"/>
      <c r="AB11703" s="234"/>
    </row>
    <row r="11704" ht="14.5" customHeight="1" spans="11:28" x14ac:dyDescent="0.25">
      <c r="K11704" s="128"/>
      <c r="X11704" s="234"/>
      <c r="Y11704" s="234"/>
      <c r="Z11704" s="234"/>
      <c r="AA11704" s="235"/>
      <c r="AB11704" s="234"/>
    </row>
    <row r="11705" ht="14.5" customHeight="1" spans="11:28" x14ac:dyDescent="0.25">
      <c r="K11705" s="128"/>
      <c r="X11705" s="234"/>
      <c r="Y11705" s="234"/>
      <c r="Z11705" s="234"/>
      <c r="AA11705" s="235"/>
      <c r="AB11705" s="234"/>
    </row>
    <row r="11706" ht="14.5" customHeight="1" spans="11:28" x14ac:dyDescent="0.25">
      <c r="K11706" s="128"/>
      <c r="X11706" s="234"/>
      <c r="Y11706" s="234"/>
      <c r="Z11706" s="234"/>
      <c r="AA11706" s="235"/>
      <c r="AB11706" s="234"/>
    </row>
    <row r="11707" ht="14.5" customHeight="1" spans="11:28" x14ac:dyDescent="0.25">
      <c r="K11707" s="128"/>
      <c r="X11707" s="234"/>
      <c r="Y11707" s="234"/>
      <c r="Z11707" s="234"/>
      <c r="AA11707" s="235"/>
      <c r="AB11707" s="234"/>
    </row>
    <row r="11708" ht="14.5" customHeight="1" spans="11:28" x14ac:dyDescent="0.25">
      <c r="K11708" s="128"/>
      <c r="X11708" s="234"/>
      <c r="Y11708" s="234"/>
      <c r="Z11708" s="234"/>
      <c r="AA11708" s="235"/>
      <c r="AB11708" s="234"/>
    </row>
    <row r="11709" ht="14.5" customHeight="1" spans="11:28" x14ac:dyDescent="0.25">
      <c r="K11709" s="128"/>
      <c r="X11709" s="234"/>
      <c r="Y11709" s="234"/>
      <c r="Z11709" s="234"/>
      <c r="AA11709" s="235"/>
      <c r="AB11709" s="234"/>
    </row>
    <row r="11710" ht="14.5" customHeight="1" spans="11:28" x14ac:dyDescent="0.25">
      <c r="K11710" s="128"/>
      <c r="X11710" s="234"/>
      <c r="Y11710" s="234"/>
      <c r="Z11710" s="234"/>
      <c r="AA11710" s="235"/>
      <c r="AB11710" s="234"/>
    </row>
    <row r="11711" ht="14.5" customHeight="1" spans="11:28" x14ac:dyDescent="0.25">
      <c r="K11711" s="128"/>
      <c r="X11711" s="234"/>
      <c r="Y11711" s="234"/>
      <c r="Z11711" s="234"/>
      <c r="AA11711" s="235"/>
      <c r="AB11711" s="234"/>
    </row>
    <row r="11712" ht="14.5" customHeight="1" spans="11:28" x14ac:dyDescent="0.25">
      <c r="K11712" s="128"/>
      <c r="X11712" s="234"/>
      <c r="Y11712" s="234"/>
      <c r="Z11712" s="234"/>
      <c r="AA11712" s="235"/>
      <c r="AB11712" s="234"/>
    </row>
    <row r="11713" ht="14.5" customHeight="1" spans="11:28" x14ac:dyDescent="0.25">
      <c r="K11713" s="128"/>
      <c r="X11713" s="234"/>
      <c r="Y11713" s="234"/>
      <c r="Z11713" s="234"/>
      <c r="AA11713" s="235"/>
      <c r="AB11713" s="234"/>
    </row>
    <row r="11714" ht="14.5" customHeight="1" spans="11:28" x14ac:dyDescent="0.25">
      <c r="K11714" s="128"/>
      <c r="X11714" s="234"/>
      <c r="Y11714" s="234"/>
      <c r="Z11714" s="234"/>
      <c r="AA11714" s="235"/>
      <c r="AB11714" s="234"/>
    </row>
    <row r="11715" ht="14.5" customHeight="1" spans="11:28" x14ac:dyDescent="0.25">
      <c r="K11715" s="128"/>
      <c r="X11715" s="234"/>
      <c r="Y11715" s="234"/>
      <c r="Z11715" s="234"/>
      <c r="AA11715" s="235"/>
      <c r="AB11715" s="234"/>
    </row>
    <row r="11716" ht="14.5" customHeight="1" spans="11:28" x14ac:dyDescent="0.25">
      <c r="K11716" s="128"/>
      <c r="X11716" s="234"/>
      <c r="Y11716" s="234"/>
      <c r="Z11716" s="234"/>
      <c r="AA11716" s="235"/>
      <c r="AB11716" s="234"/>
    </row>
    <row r="11717" ht="14.5" customHeight="1" spans="11:28" x14ac:dyDescent="0.25">
      <c r="K11717" s="128"/>
      <c r="X11717" s="234"/>
      <c r="Y11717" s="234"/>
      <c r="Z11717" s="234"/>
      <c r="AA11717" s="235"/>
      <c r="AB11717" s="234"/>
    </row>
    <row r="11718" ht="14.5" customHeight="1" spans="11:28" x14ac:dyDescent="0.25">
      <c r="K11718" s="128"/>
      <c r="X11718" s="234"/>
      <c r="Y11718" s="234"/>
      <c r="Z11718" s="234"/>
      <c r="AA11718" s="235"/>
      <c r="AB11718" s="234"/>
    </row>
    <row r="11719" ht="14.5" customHeight="1" spans="11:28" x14ac:dyDescent="0.25">
      <c r="K11719" s="128"/>
      <c r="X11719" s="234"/>
      <c r="Y11719" s="234"/>
      <c r="Z11719" s="234"/>
      <c r="AA11719" s="235"/>
      <c r="AB11719" s="234"/>
    </row>
    <row r="11720" ht="14.5" customHeight="1" spans="11:28" x14ac:dyDescent="0.25">
      <c r="K11720" s="128"/>
      <c r="X11720" s="234"/>
      <c r="Y11720" s="234"/>
      <c r="Z11720" s="234"/>
      <c r="AA11720" s="235"/>
      <c r="AB11720" s="234"/>
    </row>
    <row r="11721" ht="14.5" customHeight="1" spans="11:28" x14ac:dyDescent="0.25">
      <c r="K11721" s="128"/>
      <c r="X11721" s="234"/>
      <c r="Y11721" s="234"/>
      <c r="Z11721" s="234"/>
      <c r="AA11721" s="235"/>
      <c r="AB11721" s="234"/>
    </row>
    <row r="11722" ht="14.5" customHeight="1" spans="11:28" x14ac:dyDescent="0.25">
      <c r="K11722" s="128"/>
      <c r="X11722" s="234"/>
      <c r="Y11722" s="234"/>
      <c r="Z11722" s="234"/>
      <c r="AA11722" s="235"/>
      <c r="AB11722" s="234"/>
    </row>
    <row r="11723" ht="14.5" customHeight="1" spans="11:28" x14ac:dyDescent="0.25">
      <c r="K11723" s="128"/>
      <c r="X11723" s="234"/>
      <c r="Y11723" s="234"/>
      <c r="Z11723" s="234"/>
      <c r="AA11723" s="235"/>
      <c r="AB11723" s="234"/>
    </row>
    <row r="11724" ht="14.5" customHeight="1" spans="11:28" x14ac:dyDescent="0.25">
      <c r="K11724" s="128"/>
      <c r="X11724" s="234"/>
      <c r="Y11724" s="234"/>
      <c r="Z11724" s="234"/>
      <c r="AA11724" s="235"/>
      <c r="AB11724" s="234"/>
    </row>
    <row r="11725" ht="14.5" customHeight="1" spans="11:28" x14ac:dyDescent="0.25">
      <c r="K11725" s="128"/>
      <c r="X11725" s="234"/>
      <c r="Y11725" s="234"/>
      <c r="Z11725" s="234"/>
      <c r="AA11725" s="235"/>
      <c r="AB11725" s="234"/>
    </row>
    <row r="11726" ht="14.5" customHeight="1" spans="11:28" x14ac:dyDescent="0.25">
      <c r="K11726" s="128"/>
      <c r="X11726" s="234"/>
      <c r="Y11726" s="234"/>
      <c r="Z11726" s="234"/>
      <c r="AA11726" s="235"/>
      <c r="AB11726" s="234"/>
    </row>
    <row r="11727" ht="14.5" customHeight="1" spans="11:28" x14ac:dyDescent="0.25">
      <c r="K11727" s="128"/>
      <c r="X11727" s="234"/>
      <c r="Y11727" s="234"/>
      <c r="Z11727" s="234"/>
      <c r="AA11727" s="235"/>
      <c r="AB11727" s="234"/>
    </row>
    <row r="11728" ht="14.5" customHeight="1" spans="11:28" x14ac:dyDescent="0.25">
      <c r="K11728" s="128"/>
      <c r="X11728" s="234"/>
      <c r="Y11728" s="234"/>
      <c r="Z11728" s="234"/>
      <c r="AA11728" s="235"/>
      <c r="AB11728" s="234"/>
    </row>
    <row r="11729" ht="14.5" customHeight="1" spans="11:28" x14ac:dyDescent="0.25">
      <c r="K11729" s="128"/>
      <c r="X11729" s="234"/>
      <c r="Y11729" s="234"/>
      <c r="Z11729" s="234"/>
      <c r="AA11729" s="235"/>
      <c r="AB11729" s="234"/>
    </row>
    <row r="11730" ht="14.5" customHeight="1" spans="11:28" x14ac:dyDescent="0.25">
      <c r="K11730" s="128"/>
      <c r="X11730" s="234"/>
      <c r="Y11730" s="234"/>
      <c r="Z11730" s="234"/>
      <c r="AA11730" s="235"/>
      <c r="AB11730" s="234"/>
    </row>
    <row r="11731" ht="14.5" customHeight="1" spans="11:28" x14ac:dyDescent="0.25">
      <c r="K11731" s="128"/>
      <c r="X11731" s="234"/>
      <c r="Y11731" s="234"/>
      <c r="Z11731" s="234"/>
      <c r="AA11731" s="235"/>
      <c r="AB11731" s="234"/>
    </row>
    <row r="11732" ht="14.5" customHeight="1" spans="11:28" x14ac:dyDescent="0.25">
      <c r="K11732" s="128"/>
      <c r="X11732" s="234"/>
      <c r="Y11732" s="234"/>
      <c r="Z11732" s="234"/>
      <c r="AA11732" s="235"/>
      <c r="AB11732" s="234"/>
    </row>
    <row r="11733" ht="14.5" customHeight="1" spans="11:28" x14ac:dyDescent="0.25">
      <c r="K11733" s="128"/>
      <c r="X11733" s="234"/>
      <c r="Y11733" s="234"/>
      <c r="Z11733" s="234"/>
      <c r="AA11733" s="235"/>
      <c r="AB11733" s="234"/>
    </row>
    <row r="11734" ht="14.5" customHeight="1" spans="11:28" x14ac:dyDescent="0.25">
      <c r="K11734" s="128"/>
      <c r="X11734" s="234"/>
      <c r="Y11734" s="234"/>
      <c r="Z11734" s="234"/>
      <c r="AA11734" s="235"/>
      <c r="AB11734" s="234"/>
    </row>
    <row r="11735" ht="14.5" customHeight="1" spans="11:28" x14ac:dyDescent="0.25">
      <c r="K11735" s="128"/>
      <c r="X11735" s="234"/>
      <c r="Y11735" s="234"/>
      <c r="Z11735" s="234"/>
      <c r="AA11735" s="235"/>
      <c r="AB11735" s="234"/>
    </row>
    <row r="11736" ht="14.5" customHeight="1" spans="11:28" x14ac:dyDescent="0.25">
      <c r="K11736" s="128"/>
      <c r="X11736" s="234"/>
      <c r="Y11736" s="234"/>
      <c r="Z11736" s="234"/>
      <c r="AA11736" s="235"/>
      <c r="AB11736" s="234"/>
    </row>
    <row r="11737" ht="14.5" customHeight="1" spans="11:28" x14ac:dyDescent="0.25">
      <c r="K11737" s="128"/>
      <c r="X11737" s="234"/>
      <c r="Y11737" s="234"/>
      <c r="Z11737" s="234"/>
      <c r="AA11737" s="235"/>
      <c r="AB11737" s="234"/>
    </row>
    <row r="11738" ht="14.5" customHeight="1" spans="11:28" x14ac:dyDescent="0.25">
      <c r="K11738" s="128"/>
      <c r="X11738" s="234"/>
      <c r="Y11738" s="234"/>
      <c r="Z11738" s="234"/>
      <c r="AA11738" s="235"/>
      <c r="AB11738" s="234"/>
    </row>
    <row r="11739" ht="14.5" customHeight="1" spans="11:28" x14ac:dyDescent="0.25">
      <c r="K11739" s="128"/>
      <c r="X11739" s="234"/>
      <c r="Y11739" s="234"/>
      <c r="Z11739" s="234"/>
      <c r="AA11739" s="235"/>
      <c r="AB11739" s="234"/>
    </row>
    <row r="11740" ht="14.5" customHeight="1" spans="11:28" x14ac:dyDescent="0.25">
      <c r="K11740" s="128"/>
      <c r="X11740" s="234"/>
      <c r="Y11740" s="234"/>
      <c r="Z11740" s="234"/>
      <c r="AA11740" s="235"/>
      <c r="AB11740" s="234"/>
    </row>
    <row r="11741" ht="14.5" customHeight="1" spans="11:28" x14ac:dyDescent="0.25">
      <c r="K11741" s="128"/>
      <c r="X11741" s="234"/>
      <c r="Y11741" s="234"/>
      <c r="Z11741" s="234"/>
      <c r="AA11741" s="235"/>
      <c r="AB11741" s="234"/>
    </row>
    <row r="11742" ht="14.5" customHeight="1" spans="11:28" x14ac:dyDescent="0.25">
      <c r="K11742" s="128"/>
      <c r="X11742" s="234"/>
      <c r="Y11742" s="234"/>
      <c r="Z11742" s="234"/>
      <c r="AA11742" s="235"/>
      <c r="AB11742" s="234"/>
    </row>
    <row r="11743" ht="14.5" customHeight="1" spans="11:28" x14ac:dyDescent="0.25">
      <c r="K11743" s="128"/>
      <c r="X11743" s="234"/>
      <c r="Y11743" s="234"/>
      <c r="Z11743" s="234"/>
      <c r="AA11743" s="235"/>
      <c r="AB11743" s="234"/>
    </row>
    <row r="11744" ht="14.5" customHeight="1" spans="11:28" x14ac:dyDescent="0.25">
      <c r="K11744" s="128"/>
      <c r="X11744" s="234"/>
      <c r="Y11744" s="234"/>
      <c r="Z11744" s="234"/>
      <c r="AA11744" s="235"/>
      <c r="AB11744" s="234"/>
    </row>
    <row r="11745" ht="14.5" customHeight="1" spans="11:28" x14ac:dyDescent="0.25">
      <c r="K11745" s="128"/>
      <c r="X11745" s="234"/>
      <c r="Y11745" s="234"/>
      <c r="Z11745" s="234"/>
      <c r="AA11745" s="235"/>
      <c r="AB11745" s="234"/>
    </row>
    <row r="11746" ht="14.5" customHeight="1" spans="11:28" x14ac:dyDescent="0.25">
      <c r="K11746" s="128"/>
      <c r="X11746" s="234"/>
      <c r="Y11746" s="234"/>
      <c r="Z11746" s="234"/>
      <c r="AA11746" s="235"/>
      <c r="AB11746" s="234"/>
    </row>
    <row r="11747" ht="14.5" customHeight="1" spans="11:28" x14ac:dyDescent="0.25">
      <c r="K11747" s="128"/>
      <c r="X11747" s="234"/>
      <c r="Y11747" s="234"/>
      <c r="Z11747" s="234"/>
      <c r="AA11747" s="235"/>
      <c r="AB11747" s="234"/>
    </row>
    <row r="11748" ht="14.5" customHeight="1" spans="11:28" x14ac:dyDescent="0.25">
      <c r="K11748" s="128"/>
      <c r="X11748" s="234"/>
      <c r="Y11748" s="234"/>
      <c r="Z11748" s="234"/>
      <c r="AA11748" s="235"/>
      <c r="AB11748" s="234"/>
    </row>
    <row r="11749" ht="14.5" customHeight="1" spans="11:28" x14ac:dyDescent="0.25">
      <c r="K11749" s="128"/>
      <c r="X11749" s="234"/>
      <c r="Y11749" s="234"/>
      <c r="Z11749" s="234"/>
      <c r="AA11749" s="235"/>
      <c r="AB11749" s="234"/>
    </row>
    <row r="11750" ht="14.5" customHeight="1" spans="11:28" x14ac:dyDescent="0.25">
      <c r="K11750" s="128"/>
      <c r="X11750" s="234"/>
      <c r="Y11750" s="234"/>
      <c r="Z11750" s="234"/>
      <c r="AA11750" s="235"/>
      <c r="AB11750" s="234"/>
    </row>
    <row r="11751" ht="14.5" customHeight="1" spans="11:28" x14ac:dyDescent="0.25">
      <c r="K11751" s="128"/>
      <c r="X11751" s="234"/>
      <c r="Y11751" s="234"/>
      <c r="Z11751" s="234"/>
      <c r="AA11751" s="235"/>
      <c r="AB11751" s="234"/>
    </row>
    <row r="11752" ht="14.5" customHeight="1" spans="11:28" x14ac:dyDescent="0.25">
      <c r="K11752" s="128"/>
      <c r="X11752" s="234"/>
      <c r="Y11752" s="234"/>
      <c r="Z11752" s="234"/>
      <c r="AA11752" s="235"/>
      <c r="AB11752" s="234"/>
    </row>
    <row r="11753" ht="14.5" customHeight="1" spans="11:28" x14ac:dyDescent="0.25">
      <c r="K11753" s="128"/>
      <c r="X11753" s="234"/>
      <c r="Y11753" s="234"/>
      <c r="Z11753" s="234"/>
      <c r="AA11753" s="235"/>
      <c r="AB11753" s="234"/>
    </row>
    <row r="11754" ht="14.5" customHeight="1" spans="11:28" x14ac:dyDescent="0.25">
      <c r="K11754" s="128"/>
      <c r="X11754" s="234"/>
      <c r="Y11754" s="234"/>
      <c r="Z11754" s="234"/>
      <c r="AA11754" s="235"/>
      <c r="AB11754" s="234"/>
    </row>
    <row r="11755" ht="14.5" customHeight="1" spans="11:28" x14ac:dyDescent="0.25">
      <c r="K11755" s="128"/>
      <c r="X11755" s="234"/>
      <c r="Y11755" s="234"/>
      <c r="Z11755" s="234"/>
      <c r="AA11755" s="235"/>
      <c r="AB11755" s="234"/>
    </row>
    <row r="11756" ht="14.5" customHeight="1" spans="11:28" x14ac:dyDescent="0.25">
      <c r="K11756" s="128"/>
      <c r="X11756" s="234"/>
      <c r="Y11756" s="234"/>
      <c r="Z11756" s="234"/>
      <c r="AA11756" s="235"/>
      <c r="AB11756" s="234"/>
    </row>
    <row r="11757" ht="14.5" customHeight="1" spans="11:28" x14ac:dyDescent="0.25">
      <c r="K11757" s="128"/>
      <c r="X11757" s="234"/>
      <c r="Y11757" s="234"/>
      <c r="Z11757" s="234"/>
      <c r="AA11757" s="235"/>
      <c r="AB11757" s="234"/>
    </row>
    <row r="11758" ht="14.5" customHeight="1" spans="11:28" x14ac:dyDescent="0.25">
      <c r="K11758" s="128"/>
      <c r="X11758" s="234"/>
      <c r="Y11758" s="234"/>
      <c r="Z11758" s="234"/>
      <c r="AA11758" s="235"/>
      <c r="AB11758" s="234"/>
    </row>
    <row r="11759" ht="14.5" customHeight="1" spans="11:28" x14ac:dyDescent="0.25">
      <c r="K11759" s="128"/>
      <c r="X11759" s="234"/>
      <c r="Y11759" s="234"/>
      <c r="Z11759" s="234"/>
      <c r="AA11759" s="235"/>
      <c r="AB11759" s="234"/>
    </row>
    <row r="11760" ht="14.5" customHeight="1" spans="11:28" x14ac:dyDescent="0.25">
      <c r="K11760" s="128"/>
      <c r="X11760" s="234"/>
      <c r="Y11760" s="234"/>
      <c r="Z11760" s="234"/>
      <c r="AA11760" s="235"/>
      <c r="AB11760" s="234"/>
    </row>
    <row r="11761" ht="14.5" customHeight="1" spans="11:28" x14ac:dyDescent="0.25">
      <c r="K11761" s="128"/>
      <c r="X11761" s="234"/>
      <c r="Y11761" s="234"/>
      <c r="Z11761" s="234"/>
      <c r="AA11761" s="235"/>
      <c r="AB11761" s="234"/>
    </row>
    <row r="11762" ht="14.5" customHeight="1" spans="11:28" x14ac:dyDescent="0.25">
      <c r="K11762" s="128"/>
      <c r="X11762" s="234"/>
      <c r="Y11762" s="234"/>
      <c r="Z11762" s="234"/>
      <c r="AA11762" s="235"/>
      <c r="AB11762" s="234"/>
    </row>
    <row r="11763" ht="14.5" customHeight="1" spans="11:28" x14ac:dyDescent="0.25">
      <c r="K11763" s="128"/>
      <c r="X11763" s="234"/>
      <c r="Y11763" s="234"/>
      <c r="Z11763" s="234"/>
      <c r="AA11763" s="235"/>
      <c r="AB11763" s="234"/>
    </row>
    <row r="11764" ht="14.5" customHeight="1" spans="11:28" x14ac:dyDescent="0.25">
      <c r="K11764" s="128"/>
      <c r="X11764" s="234"/>
      <c r="Y11764" s="234"/>
      <c r="Z11764" s="234"/>
      <c r="AA11764" s="235"/>
      <c r="AB11764" s="234"/>
    </row>
    <row r="11765" ht="14.5" customHeight="1" spans="11:28" x14ac:dyDescent="0.25">
      <c r="K11765" s="128"/>
      <c r="X11765" s="234"/>
      <c r="Y11765" s="234"/>
      <c r="Z11765" s="234"/>
      <c r="AA11765" s="235"/>
      <c r="AB11765" s="234"/>
    </row>
    <row r="11766" ht="14.5" customHeight="1" spans="11:28" x14ac:dyDescent="0.25">
      <c r="K11766" s="128"/>
      <c r="X11766" s="234"/>
      <c r="Y11766" s="234"/>
      <c r="Z11766" s="234"/>
      <c r="AA11766" s="235"/>
      <c r="AB11766" s="234"/>
    </row>
    <row r="11767" ht="14.5" customHeight="1" spans="11:28" x14ac:dyDescent="0.25">
      <c r="K11767" s="128"/>
      <c r="X11767" s="234"/>
      <c r="Y11767" s="234"/>
      <c r="Z11767" s="234"/>
      <c r="AA11767" s="235"/>
      <c r="AB11767" s="234"/>
    </row>
    <row r="11768" ht="14.5" customHeight="1" spans="11:28" x14ac:dyDescent="0.25">
      <c r="K11768" s="128"/>
      <c r="X11768" s="234"/>
      <c r="Y11768" s="234"/>
      <c r="Z11768" s="234"/>
      <c r="AA11768" s="235"/>
      <c r="AB11768" s="234"/>
    </row>
    <row r="11769" ht="14.5" customHeight="1" spans="11:28" x14ac:dyDescent="0.25">
      <c r="K11769" s="128"/>
      <c r="X11769" s="234"/>
      <c r="Y11769" s="234"/>
      <c r="Z11769" s="234"/>
      <c r="AA11769" s="235"/>
      <c r="AB11769" s="234"/>
    </row>
    <row r="11770" ht="14.5" customHeight="1" spans="11:28" x14ac:dyDescent="0.25">
      <c r="K11770" s="128"/>
      <c r="X11770" s="234"/>
      <c r="Y11770" s="234"/>
      <c r="Z11770" s="234"/>
      <c r="AA11770" s="235"/>
      <c r="AB11770" s="234"/>
    </row>
    <row r="11771" ht="14.5" customHeight="1" spans="11:28" x14ac:dyDescent="0.25">
      <c r="K11771" s="128"/>
      <c r="X11771" s="234"/>
      <c r="Y11771" s="234"/>
      <c r="Z11771" s="234"/>
      <c r="AA11771" s="235"/>
      <c r="AB11771" s="234"/>
    </row>
    <row r="11772" ht="14.5" customHeight="1" spans="11:28" x14ac:dyDescent="0.25">
      <c r="K11772" s="128"/>
      <c r="X11772" s="234"/>
      <c r="Y11772" s="234"/>
      <c r="Z11772" s="234"/>
      <c r="AA11772" s="235"/>
      <c r="AB11772" s="234"/>
    </row>
    <row r="11773" ht="14.5" customHeight="1" spans="11:28" x14ac:dyDescent="0.25">
      <c r="K11773" s="128"/>
      <c r="X11773" s="234"/>
      <c r="Y11773" s="234"/>
      <c r="Z11773" s="234"/>
      <c r="AA11773" s="235"/>
      <c r="AB11773" s="234"/>
    </row>
    <row r="11774" ht="14.5" customHeight="1" spans="11:28" x14ac:dyDescent="0.25">
      <c r="K11774" s="128"/>
      <c r="X11774" s="234"/>
      <c r="Y11774" s="234"/>
      <c r="Z11774" s="234"/>
      <c r="AA11774" s="235"/>
      <c r="AB11774" s="234"/>
    </row>
    <row r="11775" ht="14.5" customHeight="1" spans="11:28" x14ac:dyDescent="0.25">
      <c r="K11775" s="128"/>
      <c r="X11775" s="234"/>
      <c r="Y11775" s="234"/>
      <c r="Z11775" s="234"/>
      <c r="AA11775" s="235"/>
      <c r="AB11775" s="234"/>
    </row>
    <row r="11776" ht="14.5" customHeight="1" spans="11:28" x14ac:dyDescent="0.25">
      <c r="K11776" s="128"/>
      <c r="X11776" s="234"/>
      <c r="Y11776" s="234"/>
      <c r="Z11776" s="234"/>
      <c r="AA11776" s="235"/>
      <c r="AB11776" s="234"/>
    </row>
    <row r="11777" ht="14.5" customHeight="1" spans="11:28" x14ac:dyDescent="0.25">
      <c r="K11777" s="128"/>
      <c r="X11777" s="234"/>
      <c r="Y11777" s="234"/>
      <c r="Z11777" s="234"/>
      <c r="AA11777" s="235"/>
      <c r="AB11777" s="234"/>
    </row>
    <row r="11778" ht="14.5" customHeight="1" spans="11:28" x14ac:dyDescent="0.25">
      <c r="K11778" s="128"/>
      <c r="X11778" s="234"/>
      <c r="Y11778" s="234"/>
      <c r="Z11778" s="234"/>
      <c r="AA11778" s="235"/>
      <c r="AB11778" s="234"/>
    </row>
    <row r="11779" ht="14.5" customHeight="1" spans="11:28" x14ac:dyDescent="0.25">
      <c r="K11779" s="128"/>
      <c r="X11779" s="234"/>
      <c r="Y11779" s="234"/>
      <c r="Z11779" s="234"/>
      <c r="AA11779" s="235"/>
      <c r="AB11779" s="234"/>
    </row>
    <row r="11780" ht="14.5" customHeight="1" spans="11:28" x14ac:dyDescent="0.25">
      <c r="K11780" s="128"/>
      <c r="X11780" s="234"/>
      <c r="Y11780" s="234"/>
      <c r="Z11780" s="234"/>
      <c r="AA11780" s="235"/>
      <c r="AB11780" s="234"/>
    </row>
    <row r="11781" ht="14.5" customHeight="1" spans="11:28" x14ac:dyDescent="0.25">
      <c r="K11781" s="128"/>
      <c r="X11781" s="234"/>
      <c r="Y11781" s="234"/>
      <c r="Z11781" s="234"/>
      <c r="AA11781" s="235"/>
      <c r="AB11781" s="234"/>
    </row>
    <row r="11782" ht="14.5" customHeight="1" spans="11:28" x14ac:dyDescent="0.25">
      <c r="K11782" s="128"/>
      <c r="X11782" s="234"/>
      <c r="Y11782" s="234"/>
      <c r="Z11782" s="234"/>
      <c r="AA11782" s="235"/>
      <c r="AB11782" s="234"/>
    </row>
    <row r="11783" ht="14.5" customHeight="1" spans="11:28" x14ac:dyDescent="0.25">
      <c r="K11783" s="128"/>
      <c r="X11783" s="234"/>
      <c r="Y11783" s="234"/>
      <c r="Z11783" s="234"/>
      <c r="AA11783" s="235"/>
      <c r="AB11783" s="234"/>
    </row>
    <row r="11784" ht="14.5" customHeight="1" spans="11:28" x14ac:dyDescent="0.25">
      <c r="K11784" s="128"/>
      <c r="X11784" s="234"/>
      <c r="Y11784" s="234"/>
      <c r="Z11784" s="234"/>
      <c r="AA11784" s="235"/>
      <c r="AB11784" s="234"/>
    </row>
    <row r="11785" ht="14.5" customHeight="1" spans="11:28" x14ac:dyDescent="0.25">
      <c r="K11785" s="128"/>
      <c r="X11785" s="234"/>
      <c r="Y11785" s="234"/>
      <c r="Z11785" s="234"/>
      <c r="AA11785" s="235"/>
      <c r="AB11785" s="234"/>
    </row>
    <row r="11786" ht="14.5" customHeight="1" spans="11:28" x14ac:dyDescent="0.25">
      <c r="K11786" s="128"/>
      <c r="X11786" s="234"/>
      <c r="Y11786" s="234"/>
      <c r="Z11786" s="234"/>
      <c r="AA11786" s="235"/>
      <c r="AB11786" s="234"/>
    </row>
    <row r="11787" ht="14.5" customHeight="1" spans="11:28" x14ac:dyDescent="0.25">
      <c r="K11787" s="128"/>
      <c r="X11787" s="234"/>
      <c r="Y11787" s="234"/>
      <c r="Z11787" s="234"/>
      <c r="AA11787" s="235"/>
      <c r="AB11787" s="234"/>
    </row>
    <row r="11788" ht="14.5" customHeight="1" spans="11:28" x14ac:dyDescent="0.25">
      <c r="K11788" s="128"/>
      <c r="X11788" s="234"/>
      <c r="Y11788" s="234"/>
      <c r="Z11788" s="234"/>
      <c r="AA11788" s="235"/>
      <c r="AB11788" s="234"/>
    </row>
    <row r="11789" ht="14.5" customHeight="1" spans="11:28" x14ac:dyDescent="0.25">
      <c r="K11789" s="128"/>
      <c r="X11789" s="234"/>
      <c r="Y11789" s="234"/>
      <c r="Z11789" s="234"/>
      <c r="AA11789" s="235"/>
      <c r="AB11789" s="234"/>
    </row>
    <row r="11790" ht="14.5" customHeight="1" spans="11:28" x14ac:dyDescent="0.25">
      <c r="K11790" s="128"/>
      <c r="X11790" s="234"/>
      <c r="Y11790" s="234"/>
      <c r="Z11790" s="234"/>
      <c r="AA11790" s="235"/>
      <c r="AB11790" s="234"/>
    </row>
    <row r="11791" ht="14.5" customHeight="1" spans="11:28" x14ac:dyDescent="0.25">
      <c r="K11791" s="128"/>
      <c r="X11791" s="234"/>
      <c r="Y11791" s="234"/>
      <c r="Z11791" s="234"/>
      <c r="AA11791" s="235"/>
      <c r="AB11791" s="234"/>
    </row>
    <row r="11792" ht="14.5" customHeight="1" spans="11:28" x14ac:dyDescent="0.25">
      <c r="K11792" s="128"/>
      <c r="X11792" s="234"/>
      <c r="Y11792" s="234"/>
      <c r="Z11792" s="234"/>
      <c r="AA11792" s="235"/>
      <c r="AB11792" s="234"/>
    </row>
    <row r="11793" ht="14.5" customHeight="1" spans="11:28" x14ac:dyDescent="0.25">
      <c r="K11793" s="128"/>
      <c r="X11793" s="234"/>
      <c r="Y11793" s="234"/>
      <c r="Z11793" s="234"/>
      <c r="AA11793" s="235"/>
      <c r="AB11793" s="234"/>
    </row>
    <row r="11794" ht="14.5" customHeight="1" spans="11:28" x14ac:dyDescent="0.25">
      <c r="K11794" s="128"/>
      <c r="X11794" s="234"/>
      <c r="Y11794" s="234"/>
      <c r="Z11794" s="234"/>
      <c r="AA11794" s="235"/>
      <c r="AB11794" s="234"/>
    </row>
    <row r="11795" ht="14.5" customHeight="1" spans="11:28" x14ac:dyDescent="0.25">
      <c r="K11795" s="128"/>
      <c r="X11795" s="234"/>
      <c r="Y11795" s="234"/>
      <c r="Z11795" s="234"/>
      <c r="AA11795" s="235"/>
      <c r="AB11795" s="234"/>
    </row>
    <row r="11796" ht="14.5" customHeight="1" spans="11:28" x14ac:dyDescent="0.25">
      <c r="K11796" s="128"/>
      <c r="X11796" s="234"/>
      <c r="Y11796" s="234"/>
      <c r="Z11796" s="234"/>
      <c r="AA11796" s="235"/>
      <c r="AB11796" s="234"/>
    </row>
    <row r="11797" ht="14.5" customHeight="1" spans="11:28" x14ac:dyDescent="0.25">
      <c r="K11797" s="128"/>
      <c r="X11797" s="234"/>
      <c r="Y11797" s="234"/>
      <c r="Z11797" s="234"/>
      <c r="AA11797" s="235"/>
      <c r="AB11797" s="234"/>
    </row>
    <row r="11798" ht="14.5" customHeight="1" spans="11:28" x14ac:dyDescent="0.25">
      <c r="K11798" s="128"/>
      <c r="X11798" s="234"/>
      <c r="Y11798" s="234"/>
      <c r="Z11798" s="234"/>
      <c r="AA11798" s="235"/>
      <c r="AB11798" s="234"/>
    </row>
    <row r="11799" ht="14.5" customHeight="1" spans="11:28" x14ac:dyDescent="0.25">
      <c r="K11799" s="128"/>
      <c r="X11799" s="234"/>
      <c r="Y11799" s="234"/>
      <c r="Z11799" s="234"/>
      <c r="AA11799" s="235"/>
      <c r="AB11799" s="234"/>
    </row>
    <row r="11800" ht="14.5" customHeight="1" spans="11:28" x14ac:dyDescent="0.25">
      <c r="K11800" s="128"/>
      <c r="X11800" s="234"/>
      <c r="Y11800" s="234"/>
      <c r="Z11800" s="234"/>
      <c r="AA11800" s="235"/>
      <c r="AB11800" s="234"/>
    </row>
    <row r="11801" ht="14.5" customHeight="1" spans="11:28" x14ac:dyDescent="0.25">
      <c r="K11801" s="128"/>
      <c r="X11801" s="234"/>
      <c r="Y11801" s="234"/>
      <c r="Z11801" s="234"/>
      <c r="AA11801" s="235"/>
      <c r="AB11801" s="234"/>
    </row>
    <row r="11802" ht="14.5" customHeight="1" spans="11:28" x14ac:dyDescent="0.25">
      <c r="K11802" s="128"/>
      <c r="X11802" s="234"/>
      <c r="Y11802" s="234"/>
      <c r="Z11802" s="234"/>
      <c r="AA11802" s="235"/>
      <c r="AB11802" s="234"/>
    </row>
    <row r="11803" ht="14.5" customHeight="1" spans="11:28" x14ac:dyDescent="0.25">
      <c r="K11803" s="128"/>
      <c r="X11803" s="234"/>
      <c r="Y11803" s="234"/>
      <c r="Z11803" s="234"/>
      <c r="AA11803" s="235"/>
      <c r="AB11803" s="234"/>
    </row>
    <row r="11804" ht="14.5" customHeight="1" spans="11:28" x14ac:dyDescent="0.25">
      <c r="K11804" s="128"/>
      <c r="X11804" s="234"/>
      <c r="Y11804" s="234"/>
      <c r="Z11804" s="234"/>
      <c r="AA11804" s="235"/>
      <c r="AB11804" s="234"/>
    </row>
    <row r="11805" ht="14.5" customHeight="1" spans="11:28" x14ac:dyDescent="0.25">
      <c r="K11805" s="128"/>
      <c r="X11805" s="234"/>
      <c r="Y11805" s="234"/>
      <c r="Z11805" s="234"/>
      <c r="AA11805" s="235"/>
      <c r="AB11805" s="234"/>
    </row>
    <row r="11806" ht="14.5" customHeight="1" spans="11:28" x14ac:dyDescent="0.25">
      <c r="K11806" s="128"/>
      <c r="X11806" s="234"/>
      <c r="Y11806" s="234"/>
      <c r="Z11806" s="234"/>
      <c r="AA11806" s="235"/>
      <c r="AB11806" s="234"/>
    </row>
    <row r="11807" ht="14.5" customHeight="1" spans="11:28" x14ac:dyDescent="0.25">
      <c r="K11807" s="128"/>
      <c r="X11807" s="234"/>
      <c r="Y11807" s="234"/>
      <c r="Z11807" s="234"/>
      <c r="AA11807" s="235"/>
      <c r="AB11807" s="234"/>
    </row>
    <row r="11808" ht="14.5" customHeight="1" spans="11:28" x14ac:dyDescent="0.25">
      <c r="K11808" s="128"/>
      <c r="X11808" s="234"/>
      <c r="Y11808" s="234"/>
      <c r="Z11808" s="234"/>
      <c r="AA11808" s="235"/>
      <c r="AB11808" s="234"/>
    </row>
    <row r="11809" ht="14.5" customHeight="1" spans="11:28" x14ac:dyDescent="0.25">
      <c r="K11809" s="128"/>
      <c r="X11809" s="234"/>
      <c r="Y11809" s="234"/>
      <c r="Z11809" s="234"/>
      <c r="AA11809" s="235"/>
      <c r="AB11809" s="234"/>
    </row>
    <row r="11810" ht="14.5" customHeight="1" spans="11:28" x14ac:dyDescent="0.25">
      <c r="K11810" s="128"/>
      <c r="X11810" s="234"/>
      <c r="Y11810" s="234"/>
      <c r="Z11810" s="234"/>
      <c r="AA11810" s="235"/>
      <c r="AB11810" s="234"/>
    </row>
    <row r="11811" ht="14.5" customHeight="1" spans="11:28" x14ac:dyDescent="0.25">
      <c r="K11811" s="128"/>
      <c r="X11811" s="234"/>
      <c r="Y11811" s="234"/>
      <c r="Z11811" s="234"/>
      <c r="AA11811" s="235"/>
      <c r="AB11811" s="234"/>
    </row>
    <row r="11812" ht="14.5" customHeight="1" spans="11:28" x14ac:dyDescent="0.25">
      <c r="K11812" s="128"/>
      <c r="X11812" s="234"/>
      <c r="Y11812" s="234"/>
      <c r="Z11812" s="234"/>
      <c r="AA11812" s="235"/>
      <c r="AB11812" s="234"/>
    </row>
    <row r="11813" ht="14.5" customHeight="1" spans="11:28" x14ac:dyDescent="0.25">
      <c r="K11813" s="128"/>
      <c r="X11813" s="234"/>
      <c r="Y11813" s="234"/>
      <c r="Z11813" s="234"/>
      <c r="AA11813" s="235"/>
      <c r="AB11813" s="234"/>
    </row>
    <row r="11814" ht="14.5" customHeight="1" spans="11:28" x14ac:dyDescent="0.25">
      <c r="K11814" s="128"/>
      <c r="X11814" s="234"/>
      <c r="Y11814" s="234"/>
      <c r="Z11814" s="234"/>
      <c r="AA11814" s="235"/>
      <c r="AB11814" s="234"/>
    </row>
    <row r="11815" ht="14.5" customHeight="1" spans="11:28" x14ac:dyDescent="0.25">
      <c r="K11815" s="128"/>
      <c r="X11815" s="234"/>
      <c r="Y11815" s="234"/>
      <c r="Z11815" s="234"/>
      <c r="AA11815" s="235"/>
      <c r="AB11815" s="234"/>
    </row>
    <row r="11816" ht="14.5" customHeight="1" spans="11:28" x14ac:dyDescent="0.25">
      <c r="K11816" s="128"/>
      <c r="X11816" s="234"/>
      <c r="Y11816" s="234"/>
      <c r="Z11816" s="234"/>
      <c r="AA11816" s="235"/>
      <c r="AB11816" s="234"/>
    </row>
    <row r="11817" ht="14.5" customHeight="1" spans="11:28" x14ac:dyDescent="0.25">
      <c r="K11817" s="128"/>
      <c r="X11817" s="234"/>
      <c r="Y11817" s="234"/>
      <c r="Z11817" s="234"/>
      <c r="AA11817" s="235"/>
      <c r="AB11817" s="234"/>
    </row>
    <row r="11818" ht="14.5" customHeight="1" spans="11:28" x14ac:dyDescent="0.25">
      <c r="K11818" s="128"/>
      <c r="X11818" s="234"/>
      <c r="Y11818" s="234"/>
      <c r="Z11818" s="234"/>
      <c r="AA11818" s="235"/>
      <c r="AB11818" s="234"/>
    </row>
    <row r="11819" ht="14.5" customHeight="1" spans="11:28" x14ac:dyDescent="0.25">
      <c r="K11819" s="128"/>
      <c r="X11819" s="234"/>
      <c r="Y11819" s="234"/>
      <c r="Z11819" s="234"/>
      <c r="AA11819" s="235"/>
      <c r="AB11819" s="234"/>
    </row>
    <row r="11820" ht="14.5" customHeight="1" spans="11:28" x14ac:dyDescent="0.25">
      <c r="K11820" s="128"/>
      <c r="X11820" s="234"/>
      <c r="Y11820" s="234"/>
      <c r="Z11820" s="234"/>
      <c r="AA11820" s="235"/>
      <c r="AB11820" s="234"/>
    </row>
    <row r="11821" ht="14.5" customHeight="1" spans="11:28" x14ac:dyDescent="0.25">
      <c r="K11821" s="128"/>
      <c r="X11821" s="234"/>
      <c r="Y11821" s="234"/>
      <c r="Z11821" s="234"/>
      <c r="AA11821" s="235"/>
      <c r="AB11821" s="234"/>
    </row>
    <row r="11822" ht="14.5" customHeight="1" spans="11:28" x14ac:dyDescent="0.25">
      <c r="K11822" s="128"/>
      <c r="X11822" s="234"/>
      <c r="Y11822" s="234"/>
      <c r="Z11822" s="234"/>
      <c r="AA11822" s="235"/>
      <c r="AB11822" s="234"/>
    </row>
    <row r="11823" ht="14.5" customHeight="1" spans="11:28" x14ac:dyDescent="0.25">
      <c r="K11823" s="128"/>
      <c r="X11823" s="234"/>
      <c r="Y11823" s="234"/>
      <c r="Z11823" s="234"/>
      <c r="AA11823" s="235"/>
      <c r="AB11823" s="234"/>
    </row>
    <row r="11824" ht="14.5" customHeight="1" spans="11:28" x14ac:dyDescent="0.25">
      <c r="K11824" s="128"/>
      <c r="X11824" s="234"/>
      <c r="Y11824" s="234"/>
      <c r="Z11824" s="234"/>
      <c r="AA11824" s="235"/>
      <c r="AB11824" s="234"/>
    </row>
    <row r="11825" ht="14.5" customHeight="1" spans="11:28" x14ac:dyDescent="0.25">
      <c r="K11825" s="128"/>
      <c r="X11825" s="234"/>
      <c r="Y11825" s="234"/>
      <c r="Z11825" s="234"/>
      <c r="AA11825" s="235"/>
      <c r="AB11825" s="234"/>
    </row>
    <row r="11826" ht="14.5" customHeight="1" spans="11:28" x14ac:dyDescent="0.25">
      <c r="K11826" s="128"/>
      <c r="X11826" s="234"/>
      <c r="Y11826" s="234"/>
      <c r="Z11826" s="234"/>
      <c r="AA11826" s="235"/>
      <c r="AB11826" s="234"/>
    </row>
    <row r="11827" ht="14.5" customHeight="1" spans="11:28" x14ac:dyDescent="0.25">
      <c r="K11827" s="128"/>
      <c r="X11827" s="234"/>
      <c r="Y11827" s="234"/>
      <c r="Z11827" s="234"/>
      <c r="AA11827" s="235"/>
      <c r="AB11827" s="234"/>
    </row>
    <row r="11828" ht="14.5" customHeight="1" spans="11:28" x14ac:dyDescent="0.25">
      <c r="K11828" s="128"/>
      <c r="X11828" s="234"/>
      <c r="Y11828" s="234"/>
      <c r="Z11828" s="234"/>
      <c r="AA11828" s="235"/>
      <c r="AB11828" s="234"/>
    </row>
    <row r="11829" ht="14.5" customHeight="1" spans="11:28" x14ac:dyDescent="0.25">
      <c r="K11829" s="128"/>
      <c r="X11829" s="234"/>
      <c r="Y11829" s="234"/>
      <c r="Z11829" s="234"/>
      <c r="AA11829" s="235"/>
      <c r="AB11829" s="234"/>
    </row>
    <row r="11830" ht="14.5" customHeight="1" spans="11:28" x14ac:dyDescent="0.25">
      <c r="K11830" s="128"/>
      <c r="X11830" s="234"/>
      <c r="Y11830" s="234"/>
      <c r="Z11830" s="234"/>
      <c r="AA11830" s="235"/>
      <c r="AB11830" s="234"/>
    </row>
    <row r="11831" ht="14.5" customHeight="1" spans="11:28" x14ac:dyDescent="0.25">
      <c r="K11831" s="128"/>
      <c r="X11831" s="234"/>
      <c r="Y11831" s="234"/>
      <c r="Z11831" s="234"/>
      <c r="AA11831" s="235"/>
      <c r="AB11831" s="234"/>
    </row>
    <row r="11832" ht="14.5" customHeight="1" spans="11:28" x14ac:dyDescent="0.25">
      <c r="K11832" s="128"/>
      <c r="X11832" s="234"/>
      <c r="Y11832" s="234"/>
      <c r="Z11832" s="234"/>
      <c r="AA11832" s="235"/>
      <c r="AB11832" s="234"/>
    </row>
    <row r="11833" ht="14.5" customHeight="1" spans="11:28" x14ac:dyDescent="0.25">
      <c r="K11833" s="128"/>
      <c r="X11833" s="234"/>
      <c r="Y11833" s="234"/>
      <c r="Z11833" s="234"/>
      <c r="AA11833" s="235"/>
      <c r="AB11833" s="234"/>
    </row>
    <row r="11834" ht="14.5" customHeight="1" spans="11:28" x14ac:dyDescent="0.25">
      <c r="K11834" s="128"/>
      <c r="X11834" s="234"/>
      <c r="Y11834" s="234"/>
      <c r="Z11834" s="234"/>
      <c r="AA11834" s="235"/>
      <c r="AB11834" s="234"/>
    </row>
    <row r="11835" ht="14.5" customHeight="1" spans="11:28" x14ac:dyDescent="0.25">
      <c r="K11835" s="128"/>
      <c r="X11835" s="234"/>
      <c r="Y11835" s="234"/>
      <c r="Z11835" s="234"/>
      <c r="AA11835" s="235"/>
      <c r="AB11835" s="234"/>
    </row>
    <row r="11836" ht="14.5" customHeight="1" spans="11:28" x14ac:dyDescent="0.25">
      <c r="K11836" s="128"/>
      <c r="X11836" s="234"/>
      <c r="Y11836" s="234"/>
      <c r="Z11836" s="234"/>
      <c r="AA11836" s="235"/>
      <c r="AB11836" s="234"/>
    </row>
    <row r="11837" ht="14.5" customHeight="1" spans="11:28" x14ac:dyDescent="0.25">
      <c r="K11837" s="128"/>
      <c r="X11837" s="234"/>
      <c r="Y11837" s="234"/>
      <c r="Z11837" s="234"/>
      <c r="AA11837" s="235"/>
      <c r="AB11837" s="234"/>
    </row>
    <row r="11838" ht="14.5" customHeight="1" spans="11:28" x14ac:dyDescent="0.25">
      <c r="K11838" s="128"/>
      <c r="X11838" s="234"/>
      <c r="Y11838" s="234"/>
      <c r="Z11838" s="234"/>
      <c r="AA11838" s="235"/>
      <c r="AB11838" s="234"/>
    </row>
    <row r="11839" ht="14.5" customHeight="1" spans="11:28" x14ac:dyDescent="0.25">
      <c r="K11839" s="128"/>
      <c r="X11839" s="234"/>
      <c r="Y11839" s="234"/>
      <c r="Z11839" s="234"/>
      <c r="AA11839" s="235"/>
      <c r="AB11839" s="234"/>
    </row>
    <row r="11840" ht="14.5" customHeight="1" spans="11:28" x14ac:dyDescent="0.25">
      <c r="K11840" s="128"/>
      <c r="X11840" s="234"/>
      <c r="Y11840" s="234"/>
      <c r="Z11840" s="234"/>
      <c r="AA11840" s="235"/>
      <c r="AB11840" s="234"/>
    </row>
    <row r="11841" ht="14.5" customHeight="1" spans="11:28" x14ac:dyDescent="0.25">
      <c r="K11841" s="128"/>
      <c r="X11841" s="234"/>
      <c r="Y11841" s="234"/>
      <c r="Z11841" s="234"/>
      <c r="AA11841" s="235"/>
      <c r="AB11841" s="234"/>
    </row>
    <row r="11842" ht="14.5" customHeight="1" spans="11:28" x14ac:dyDescent="0.25">
      <c r="K11842" s="128"/>
      <c r="X11842" s="234"/>
      <c r="Y11842" s="234"/>
      <c r="Z11842" s="234"/>
      <c r="AA11842" s="235"/>
      <c r="AB11842" s="234"/>
    </row>
    <row r="11843" ht="14.5" customHeight="1" spans="11:28" x14ac:dyDescent="0.25">
      <c r="K11843" s="128"/>
      <c r="X11843" s="234"/>
      <c r="Y11843" s="234"/>
      <c r="Z11843" s="234"/>
      <c r="AA11843" s="235"/>
      <c r="AB11843" s="234"/>
    </row>
    <row r="11844" ht="14.5" customHeight="1" spans="11:28" x14ac:dyDescent="0.25">
      <c r="K11844" s="128"/>
      <c r="X11844" s="234"/>
      <c r="Y11844" s="234"/>
      <c r="Z11844" s="234"/>
      <c r="AA11844" s="235"/>
      <c r="AB11844" s="234"/>
    </row>
    <row r="11845" ht="14.5" customHeight="1" spans="11:28" x14ac:dyDescent="0.25">
      <c r="K11845" s="128"/>
      <c r="X11845" s="234"/>
      <c r="Y11845" s="234"/>
      <c r="Z11845" s="234"/>
      <c r="AA11845" s="235"/>
      <c r="AB11845" s="234"/>
    </row>
    <row r="11846" ht="14.5" customHeight="1" spans="11:28" x14ac:dyDescent="0.25">
      <c r="K11846" s="128"/>
      <c r="X11846" s="234"/>
      <c r="Y11846" s="234"/>
      <c r="Z11846" s="234"/>
      <c r="AA11846" s="235"/>
      <c r="AB11846" s="234"/>
    </row>
    <row r="11847" ht="14.5" customHeight="1" spans="11:28" x14ac:dyDescent="0.25">
      <c r="K11847" s="128"/>
      <c r="X11847" s="234"/>
      <c r="Y11847" s="234"/>
      <c r="Z11847" s="234"/>
      <c r="AA11847" s="235"/>
      <c r="AB11847" s="234"/>
    </row>
    <row r="11848" ht="14.5" customHeight="1" spans="11:28" x14ac:dyDescent="0.25">
      <c r="K11848" s="128"/>
      <c r="X11848" s="234"/>
      <c r="Y11848" s="234"/>
      <c r="Z11848" s="234"/>
      <c r="AA11848" s="235"/>
      <c r="AB11848" s="234"/>
    </row>
    <row r="11849" ht="14.5" customHeight="1" spans="11:28" x14ac:dyDescent="0.25">
      <c r="K11849" s="128"/>
      <c r="X11849" s="234"/>
      <c r="Y11849" s="234"/>
      <c r="Z11849" s="234"/>
      <c r="AA11849" s="235"/>
      <c r="AB11849" s="234"/>
    </row>
    <row r="11850" ht="14.5" customHeight="1" spans="11:28" x14ac:dyDescent="0.25">
      <c r="K11850" s="128"/>
      <c r="X11850" s="234"/>
      <c r="Y11850" s="234"/>
      <c r="Z11850" s="234"/>
      <c r="AA11850" s="235"/>
      <c r="AB11850" s="234"/>
    </row>
    <row r="11851" ht="14.5" customHeight="1" spans="11:28" x14ac:dyDescent="0.25">
      <c r="K11851" s="128"/>
      <c r="X11851" s="234"/>
      <c r="Y11851" s="234"/>
      <c r="Z11851" s="234"/>
      <c r="AA11851" s="235"/>
      <c r="AB11851" s="234"/>
    </row>
    <row r="11852" ht="14.5" customHeight="1" spans="11:28" x14ac:dyDescent="0.25">
      <c r="K11852" s="128"/>
      <c r="X11852" s="234"/>
      <c r="Y11852" s="234"/>
      <c r="Z11852" s="234"/>
      <c r="AA11852" s="235"/>
      <c r="AB11852" s="234"/>
    </row>
    <row r="11853" ht="14.5" customHeight="1" spans="11:28" x14ac:dyDescent="0.25">
      <c r="K11853" s="128"/>
      <c r="X11853" s="234"/>
      <c r="Y11853" s="234"/>
      <c r="Z11853" s="234"/>
      <c r="AA11853" s="235"/>
      <c r="AB11853" s="234"/>
    </row>
    <row r="11854" ht="14.5" customHeight="1" spans="11:28" x14ac:dyDescent="0.25">
      <c r="K11854" s="128"/>
      <c r="X11854" s="234"/>
      <c r="Y11854" s="234"/>
      <c r="Z11854" s="234"/>
      <c r="AA11854" s="235"/>
      <c r="AB11854" s="234"/>
    </row>
    <row r="11855" ht="14.5" customHeight="1" spans="11:28" x14ac:dyDescent="0.25">
      <c r="K11855" s="128"/>
      <c r="X11855" s="234"/>
      <c r="Y11855" s="234"/>
      <c r="Z11855" s="234"/>
      <c r="AA11855" s="235"/>
      <c r="AB11855" s="234"/>
    </row>
    <row r="11856" ht="14.5" customHeight="1" spans="11:28" x14ac:dyDescent="0.25">
      <c r="K11856" s="128"/>
      <c r="X11856" s="234"/>
      <c r="Y11856" s="234"/>
      <c r="Z11856" s="234"/>
      <c r="AA11856" s="235"/>
      <c r="AB11856" s="234"/>
    </row>
    <row r="11857" ht="14.5" customHeight="1" spans="11:28" x14ac:dyDescent="0.25">
      <c r="K11857" s="128"/>
      <c r="X11857" s="234"/>
      <c r="Y11857" s="234"/>
      <c r="Z11857" s="234"/>
      <c r="AA11857" s="235"/>
      <c r="AB11857" s="234"/>
    </row>
    <row r="11858" ht="14.5" customHeight="1" spans="11:28" x14ac:dyDescent="0.25">
      <c r="K11858" s="128"/>
      <c r="X11858" s="234"/>
      <c r="Y11858" s="234"/>
      <c r="Z11858" s="234"/>
      <c r="AA11858" s="235"/>
      <c r="AB11858" s="234"/>
    </row>
    <row r="11859" ht="14.5" customHeight="1" spans="11:28" x14ac:dyDescent="0.25">
      <c r="K11859" s="128"/>
      <c r="X11859" s="234"/>
      <c r="Y11859" s="234"/>
      <c r="Z11859" s="234"/>
      <c r="AA11859" s="235"/>
      <c r="AB11859" s="234"/>
    </row>
    <row r="11860" ht="14.5" customHeight="1" spans="11:28" x14ac:dyDescent="0.25">
      <c r="K11860" s="128"/>
      <c r="X11860" s="234"/>
      <c r="Y11860" s="234"/>
      <c r="Z11860" s="234"/>
      <c r="AA11860" s="235"/>
      <c r="AB11860" s="234"/>
    </row>
    <row r="11861" ht="14.5" customHeight="1" spans="11:28" x14ac:dyDescent="0.25">
      <c r="K11861" s="128"/>
      <c r="X11861" s="234"/>
      <c r="Y11861" s="234"/>
      <c r="Z11861" s="234"/>
      <c r="AA11861" s="235"/>
      <c r="AB11861" s="234"/>
    </row>
    <row r="11862" ht="14.5" customHeight="1" spans="11:28" x14ac:dyDescent="0.25">
      <c r="K11862" s="128"/>
      <c r="X11862" s="234"/>
      <c r="Y11862" s="234"/>
      <c r="Z11862" s="234"/>
      <c r="AA11862" s="235"/>
      <c r="AB11862" s="234"/>
    </row>
    <row r="11863" ht="14.5" customHeight="1" spans="11:28" x14ac:dyDescent="0.25">
      <c r="K11863" s="128"/>
      <c r="X11863" s="234"/>
      <c r="Y11863" s="234"/>
      <c r="Z11863" s="234"/>
      <c r="AA11863" s="235"/>
      <c r="AB11863" s="234"/>
    </row>
    <row r="11864" ht="14.5" customHeight="1" spans="11:28" x14ac:dyDescent="0.25">
      <c r="K11864" s="128"/>
      <c r="X11864" s="234"/>
      <c r="Y11864" s="234"/>
      <c r="Z11864" s="234"/>
      <c r="AA11864" s="235"/>
      <c r="AB11864" s="234"/>
    </row>
    <row r="11865" ht="14.5" customHeight="1" spans="11:28" x14ac:dyDescent="0.25">
      <c r="K11865" s="128"/>
      <c r="X11865" s="234"/>
      <c r="Y11865" s="234"/>
      <c r="Z11865" s="234"/>
      <c r="AA11865" s="235"/>
      <c r="AB11865" s="234"/>
    </row>
    <row r="11866" ht="14.5" customHeight="1" spans="11:28" x14ac:dyDescent="0.25">
      <c r="K11866" s="128"/>
      <c r="X11866" s="234"/>
      <c r="Y11866" s="234"/>
      <c r="Z11866" s="234"/>
      <c r="AA11866" s="235"/>
      <c r="AB11866" s="234"/>
    </row>
    <row r="11867" ht="14.5" customHeight="1" spans="11:28" x14ac:dyDescent="0.25">
      <c r="K11867" s="128"/>
      <c r="X11867" s="234"/>
      <c r="Y11867" s="234"/>
      <c r="Z11867" s="234"/>
      <c r="AA11867" s="235"/>
      <c r="AB11867" s="234"/>
    </row>
    <row r="11868" ht="14.5" customHeight="1" spans="11:28" x14ac:dyDescent="0.25">
      <c r="K11868" s="128"/>
      <c r="X11868" s="234"/>
      <c r="Y11868" s="234"/>
      <c r="Z11868" s="234"/>
      <c r="AA11868" s="235"/>
      <c r="AB11868" s="234"/>
    </row>
    <row r="11869" ht="14.5" customHeight="1" spans="11:28" x14ac:dyDescent="0.25">
      <c r="K11869" s="128"/>
      <c r="X11869" s="234"/>
      <c r="Y11869" s="234"/>
      <c r="Z11869" s="234"/>
      <c r="AA11869" s="235"/>
      <c r="AB11869" s="234"/>
    </row>
    <row r="11870" ht="14.5" customHeight="1" spans="11:28" x14ac:dyDescent="0.25">
      <c r="K11870" s="128"/>
      <c r="X11870" s="234"/>
      <c r="Y11870" s="234"/>
      <c r="Z11870" s="234"/>
      <c r="AA11870" s="235"/>
      <c r="AB11870" s="234"/>
    </row>
    <row r="11871" ht="14.5" customHeight="1" spans="11:28" x14ac:dyDescent="0.25">
      <c r="K11871" s="128"/>
      <c r="X11871" s="234"/>
      <c r="Y11871" s="234"/>
      <c r="Z11871" s="234"/>
      <c r="AA11871" s="235"/>
      <c r="AB11871" s="234"/>
    </row>
    <row r="11872" ht="14.5" customHeight="1" spans="11:28" x14ac:dyDescent="0.25">
      <c r="K11872" s="128"/>
      <c r="X11872" s="234"/>
      <c r="Y11872" s="234"/>
      <c r="Z11872" s="234"/>
      <c r="AA11872" s="235"/>
      <c r="AB11872" s="234"/>
    </row>
    <row r="11873" ht="14.5" customHeight="1" spans="11:28" x14ac:dyDescent="0.25">
      <c r="K11873" s="128"/>
      <c r="X11873" s="234"/>
      <c r="Y11873" s="234"/>
      <c r="Z11873" s="234"/>
      <c r="AA11873" s="235"/>
      <c r="AB11873" s="234"/>
    </row>
    <row r="11874" ht="14.5" customHeight="1" spans="11:28" x14ac:dyDescent="0.25">
      <c r="K11874" s="128"/>
      <c r="X11874" s="234"/>
      <c r="Y11874" s="234"/>
      <c r="Z11874" s="234"/>
      <c r="AA11874" s="235"/>
      <c r="AB11874" s="234"/>
    </row>
    <row r="11875" ht="14.5" customHeight="1" spans="11:28" x14ac:dyDescent="0.25">
      <c r="K11875" s="128"/>
      <c r="X11875" s="234"/>
      <c r="Y11875" s="234"/>
      <c r="Z11875" s="234"/>
      <c r="AA11875" s="235"/>
      <c r="AB11875" s="234"/>
    </row>
    <row r="11876" ht="14.5" customHeight="1" spans="11:28" x14ac:dyDescent="0.25">
      <c r="K11876" s="128"/>
      <c r="X11876" s="234"/>
      <c r="Y11876" s="234"/>
      <c r="Z11876" s="234"/>
      <c r="AA11876" s="235"/>
      <c r="AB11876" s="234"/>
    </row>
    <row r="11877" ht="14.5" customHeight="1" spans="11:28" x14ac:dyDescent="0.25">
      <c r="K11877" s="128"/>
      <c r="X11877" s="234"/>
      <c r="Y11877" s="234"/>
      <c r="Z11877" s="234"/>
      <c r="AA11877" s="235"/>
      <c r="AB11877" s="234"/>
    </row>
    <row r="11878" ht="14.5" customHeight="1" spans="11:28" x14ac:dyDescent="0.25">
      <c r="K11878" s="128"/>
      <c r="X11878" s="234"/>
      <c r="Y11878" s="234"/>
      <c r="Z11878" s="234"/>
      <c r="AA11878" s="235"/>
      <c r="AB11878" s="234"/>
    </row>
    <row r="11879" ht="14.5" customHeight="1" spans="11:28" x14ac:dyDescent="0.25">
      <c r="K11879" s="128"/>
      <c r="X11879" s="234"/>
      <c r="Y11879" s="234"/>
      <c r="Z11879" s="234"/>
      <c r="AA11879" s="235"/>
      <c r="AB11879" s="234"/>
    </row>
    <row r="11880" ht="14.5" customHeight="1" spans="11:28" x14ac:dyDescent="0.25">
      <c r="K11880" s="128"/>
      <c r="X11880" s="234"/>
      <c r="Y11880" s="234"/>
      <c r="Z11880" s="234"/>
      <c r="AA11880" s="235"/>
      <c r="AB11880" s="234"/>
    </row>
    <row r="11881" ht="14.5" customHeight="1" spans="11:28" x14ac:dyDescent="0.25">
      <c r="K11881" s="128"/>
      <c r="X11881" s="234"/>
      <c r="Y11881" s="234"/>
      <c r="Z11881" s="234"/>
      <c r="AA11881" s="235"/>
      <c r="AB11881" s="234"/>
    </row>
    <row r="11882" ht="14.5" customHeight="1" spans="11:28" x14ac:dyDescent="0.25">
      <c r="K11882" s="128"/>
      <c r="X11882" s="234"/>
      <c r="Y11882" s="234"/>
      <c r="Z11882" s="234"/>
      <c r="AA11882" s="235"/>
      <c r="AB11882" s="234"/>
    </row>
    <row r="11883" ht="14.5" customHeight="1" spans="11:28" x14ac:dyDescent="0.25">
      <c r="K11883" s="128"/>
      <c r="X11883" s="234"/>
      <c r="Y11883" s="234"/>
      <c r="Z11883" s="234"/>
      <c r="AA11883" s="235"/>
      <c r="AB11883" s="234"/>
    </row>
    <row r="11884" ht="14.5" customHeight="1" spans="11:28" x14ac:dyDescent="0.25">
      <c r="K11884" s="128"/>
      <c r="X11884" s="234"/>
      <c r="Y11884" s="234"/>
      <c r="Z11884" s="234"/>
      <c r="AA11884" s="235"/>
      <c r="AB11884" s="234"/>
    </row>
    <row r="11885" ht="14.5" customHeight="1" spans="11:28" x14ac:dyDescent="0.25">
      <c r="K11885" s="128"/>
      <c r="X11885" s="234"/>
      <c r="Y11885" s="234"/>
      <c r="Z11885" s="234"/>
      <c r="AA11885" s="235"/>
      <c r="AB11885" s="234"/>
    </row>
    <row r="11886" ht="14.5" customHeight="1" spans="11:28" x14ac:dyDescent="0.25">
      <c r="K11886" s="128"/>
      <c r="X11886" s="234"/>
      <c r="Y11886" s="234"/>
      <c r="Z11886" s="234"/>
      <c r="AA11886" s="235"/>
      <c r="AB11886" s="234"/>
    </row>
    <row r="11887" ht="14.5" customHeight="1" spans="11:28" x14ac:dyDescent="0.25">
      <c r="K11887" s="128"/>
      <c r="X11887" s="234"/>
      <c r="Y11887" s="234"/>
      <c r="Z11887" s="234"/>
      <c r="AA11887" s="235"/>
      <c r="AB11887" s="234"/>
    </row>
    <row r="11888" ht="14.5" customHeight="1" spans="11:28" x14ac:dyDescent="0.25">
      <c r="K11888" s="128"/>
      <c r="X11888" s="234"/>
      <c r="Y11888" s="234"/>
      <c r="Z11888" s="234"/>
      <c r="AA11888" s="235"/>
      <c r="AB11888" s="234"/>
    </row>
    <row r="11889" ht="14.5" customHeight="1" spans="11:28" x14ac:dyDescent="0.25">
      <c r="K11889" s="128"/>
      <c r="X11889" s="234"/>
      <c r="Y11889" s="234"/>
      <c r="Z11889" s="234"/>
      <c r="AA11889" s="235"/>
      <c r="AB11889" s="234"/>
    </row>
    <row r="11890" ht="14.5" customHeight="1" spans="11:28" x14ac:dyDescent="0.25">
      <c r="K11890" s="128"/>
      <c r="X11890" s="234"/>
      <c r="Y11890" s="234"/>
      <c r="Z11890" s="234"/>
      <c r="AA11890" s="235"/>
      <c r="AB11890" s="234"/>
    </row>
    <row r="11891" ht="14.5" customHeight="1" spans="11:28" x14ac:dyDescent="0.25">
      <c r="K11891" s="128"/>
      <c r="X11891" s="234"/>
      <c r="Y11891" s="234"/>
      <c r="Z11891" s="234"/>
      <c r="AA11891" s="235"/>
      <c r="AB11891" s="234"/>
    </row>
    <row r="11892" ht="14.5" customHeight="1" spans="11:28" x14ac:dyDescent="0.25">
      <c r="K11892" s="128"/>
      <c r="X11892" s="234"/>
      <c r="Y11892" s="234"/>
      <c r="Z11892" s="234"/>
      <c r="AA11892" s="235"/>
      <c r="AB11892" s="234"/>
    </row>
    <row r="11893" ht="14.5" customHeight="1" spans="11:28" x14ac:dyDescent="0.25">
      <c r="K11893" s="128"/>
      <c r="X11893" s="234"/>
      <c r="Y11893" s="234"/>
      <c r="Z11893" s="234"/>
      <c r="AA11893" s="235"/>
      <c r="AB11893" s="234"/>
    </row>
    <row r="11894" ht="14.5" customHeight="1" spans="11:28" x14ac:dyDescent="0.25">
      <c r="K11894" s="128"/>
      <c r="X11894" s="234"/>
      <c r="Y11894" s="234"/>
      <c r="Z11894" s="234"/>
      <c r="AA11894" s="235"/>
      <c r="AB11894" s="234"/>
    </row>
    <row r="11895" ht="14.5" customHeight="1" spans="11:28" x14ac:dyDescent="0.25">
      <c r="K11895" s="128"/>
      <c r="X11895" s="234"/>
      <c r="Y11895" s="234"/>
      <c r="Z11895" s="234"/>
      <c r="AA11895" s="235"/>
      <c r="AB11895" s="234"/>
    </row>
    <row r="11896" ht="14.5" customHeight="1" spans="11:28" x14ac:dyDescent="0.25">
      <c r="K11896" s="128"/>
      <c r="X11896" s="234"/>
      <c r="Y11896" s="234"/>
      <c r="Z11896" s="234"/>
      <c r="AA11896" s="235"/>
      <c r="AB11896" s="234"/>
    </row>
    <row r="11897" ht="14.5" customHeight="1" spans="11:28" x14ac:dyDescent="0.25">
      <c r="K11897" s="128"/>
      <c r="X11897" s="234"/>
      <c r="Y11897" s="234"/>
      <c r="Z11897" s="234"/>
      <c r="AA11897" s="235"/>
      <c r="AB11897" s="234"/>
    </row>
    <row r="11898" ht="14.5" customHeight="1" spans="11:28" x14ac:dyDescent="0.25">
      <c r="K11898" s="128"/>
      <c r="X11898" s="234"/>
      <c r="Y11898" s="234"/>
      <c r="Z11898" s="234"/>
      <c r="AA11898" s="235"/>
      <c r="AB11898" s="234"/>
    </row>
    <row r="11899" ht="14.5" customHeight="1" spans="11:28" x14ac:dyDescent="0.25">
      <c r="K11899" s="128"/>
      <c r="X11899" s="234"/>
      <c r="Y11899" s="234"/>
      <c r="Z11899" s="234"/>
      <c r="AA11899" s="235"/>
      <c r="AB11899" s="234"/>
    </row>
    <row r="11900" ht="14.5" customHeight="1" spans="11:28" x14ac:dyDescent="0.25">
      <c r="K11900" s="128"/>
      <c r="X11900" s="234"/>
      <c r="Y11900" s="234"/>
      <c r="Z11900" s="234"/>
      <c r="AA11900" s="235"/>
      <c r="AB11900" s="234"/>
    </row>
    <row r="11901" ht="14.5" customHeight="1" spans="11:28" x14ac:dyDescent="0.25">
      <c r="K11901" s="128"/>
      <c r="X11901" s="234"/>
      <c r="Y11901" s="234"/>
      <c r="Z11901" s="234"/>
      <c r="AA11901" s="235"/>
      <c r="AB11901" s="234"/>
    </row>
    <row r="11902" ht="14.5" customHeight="1" spans="11:28" x14ac:dyDescent="0.25">
      <c r="K11902" s="128"/>
      <c r="X11902" s="234"/>
      <c r="Y11902" s="234"/>
      <c r="Z11902" s="234"/>
      <c r="AA11902" s="235"/>
      <c r="AB11902" s="234"/>
    </row>
    <row r="11903" ht="14.5" customHeight="1" spans="11:28" x14ac:dyDescent="0.25">
      <c r="K11903" s="128"/>
      <c r="X11903" s="234"/>
      <c r="Y11903" s="234"/>
      <c r="Z11903" s="234"/>
      <c r="AA11903" s="235"/>
      <c r="AB11903" s="234"/>
    </row>
    <row r="11904" ht="14.5" customHeight="1" spans="11:28" x14ac:dyDescent="0.25">
      <c r="K11904" s="128"/>
      <c r="X11904" s="234"/>
      <c r="Y11904" s="234"/>
      <c r="Z11904" s="234"/>
      <c r="AA11904" s="235"/>
      <c r="AB11904" s="234"/>
    </row>
    <row r="11905" ht="14.5" customHeight="1" spans="11:28" x14ac:dyDescent="0.25">
      <c r="K11905" s="128"/>
      <c r="X11905" s="234"/>
      <c r="Y11905" s="234"/>
      <c r="Z11905" s="234"/>
      <c r="AA11905" s="235"/>
      <c r="AB11905" s="234"/>
    </row>
    <row r="11906" ht="14.5" customHeight="1" spans="11:28" x14ac:dyDescent="0.25">
      <c r="K11906" s="128"/>
      <c r="X11906" s="234"/>
      <c r="Y11906" s="234"/>
      <c r="Z11906" s="234"/>
      <c r="AA11906" s="235"/>
      <c r="AB11906" s="234"/>
    </row>
    <row r="11907" ht="14.5" customHeight="1" spans="11:28" x14ac:dyDescent="0.25">
      <c r="K11907" s="128"/>
      <c r="X11907" s="234"/>
      <c r="Y11907" s="234"/>
      <c r="Z11907" s="234"/>
      <c r="AA11907" s="235"/>
      <c r="AB11907" s="234"/>
    </row>
    <row r="11908" ht="14.5" customHeight="1" spans="11:28" x14ac:dyDescent="0.25">
      <c r="K11908" s="128"/>
      <c r="X11908" s="234"/>
      <c r="Y11908" s="234"/>
      <c r="Z11908" s="234"/>
      <c r="AA11908" s="235"/>
      <c r="AB11908" s="234"/>
    </row>
    <row r="11909" ht="14.5" customHeight="1" spans="11:28" x14ac:dyDescent="0.25">
      <c r="K11909" s="128"/>
      <c r="X11909" s="234"/>
      <c r="Y11909" s="234"/>
      <c r="Z11909" s="234"/>
      <c r="AA11909" s="235"/>
      <c r="AB11909" s="234"/>
    </row>
    <row r="11910" ht="14.5" customHeight="1" spans="11:28" x14ac:dyDescent="0.25">
      <c r="K11910" s="128"/>
      <c r="X11910" s="234"/>
      <c r="Y11910" s="234"/>
      <c r="Z11910" s="234"/>
      <c r="AA11910" s="235"/>
      <c r="AB11910" s="234"/>
    </row>
    <row r="11911" ht="14.5" customHeight="1" spans="11:28" x14ac:dyDescent="0.25">
      <c r="K11911" s="128"/>
      <c r="X11911" s="234"/>
      <c r="Y11911" s="234"/>
      <c r="Z11911" s="234"/>
      <c r="AA11911" s="235"/>
      <c r="AB11911" s="234"/>
    </row>
    <row r="11912" ht="14.5" customHeight="1" spans="11:28" x14ac:dyDescent="0.25">
      <c r="K11912" s="128"/>
      <c r="X11912" s="234"/>
      <c r="Y11912" s="234"/>
      <c r="Z11912" s="234"/>
      <c r="AA11912" s="235"/>
      <c r="AB11912" s="234"/>
    </row>
    <row r="11913" ht="14.5" customHeight="1" spans="11:28" x14ac:dyDescent="0.25">
      <c r="K11913" s="128"/>
      <c r="X11913" s="234"/>
      <c r="Y11913" s="234"/>
      <c r="Z11913" s="234"/>
      <c r="AA11913" s="235"/>
      <c r="AB11913" s="234"/>
    </row>
    <row r="11914" ht="14.5" customHeight="1" spans="11:28" x14ac:dyDescent="0.25">
      <c r="K11914" s="128"/>
      <c r="X11914" s="234"/>
      <c r="Y11914" s="234"/>
      <c r="Z11914" s="234"/>
      <c r="AA11914" s="235"/>
      <c r="AB11914" s="234"/>
    </row>
    <row r="11915" ht="14.5" customHeight="1" spans="11:28" x14ac:dyDescent="0.25">
      <c r="K11915" s="128"/>
      <c r="X11915" s="234"/>
      <c r="Y11915" s="234"/>
      <c r="Z11915" s="234"/>
      <c r="AA11915" s="235"/>
      <c r="AB11915" s="234"/>
    </row>
    <row r="11916" ht="14.5" customHeight="1" spans="11:28" x14ac:dyDescent="0.25">
      <c r="K11916" s="128"/>
      <c r="X11916" s="234"/>
      <c r="Y11916" s="234"/>
      <c r="Z11916" s="234"/>
      <c r="AA11916" s="235"/>
      <c r="AB11916" s="234"/>
    </row>
    <row r="11917" ht="14.5" customHeight="1" spans="11:28" x14ac:dyDescent="0.25">
      <c r="K11917" s="128"/>
      <c r="X11917" s="234"/>
      <c r="Y11917" s="234"/>
      <c r="Z11917" s="234"/>
      <c r="AA11917" s="235"/>
      <c r="AB11917" s="234"/>
    </row>
    <row r="11918" ht="14.5" customHeight="1" spans="11:28" x14ac:dyDescent="0.25">
      <c r="K11918" s="128"/>
      <c r="X11918" s="234"/>
      <c r="Y11918" s="234"/>
      <c r="Z11918" s="234"/>
      <c r="AA11918" s="235"/>
      <c r="AB11918" s="234"/>
    </row>
    <row r="11919" ht="14.5" customHeight="1" spans="11:28" x14ac:dyDescent="0.25">
      <c r="K11919" s="128"/>
      <c r="X11919" s="234"/>
      <c r="Y11919" s="234"/>
      <c r="Z11919" s="234"/>
      <c r="AA11919" s="235"/>
      <c r="AB11919" s="234"/>
    </row>
    <row r="11920" ht="14.5" customHeight="1" spans="11:28" x14ac:dyDescent="0.25">
      <c r="K11920" s="128"/>
      <c r="X11920" s="234"/>
      <c r="Y11920" s="234"/>
      <c r="Z11920" s="234"/>
      <c r="AA11920" s="235"/>
      <c r="AB11920" s="234"/>
    </row>
    <row r="11921" ht="14.5" customHeight="1" spans="11:28" x14ac:dyDescent="0.25">
      <c r="K11921" s="128"/>
      <c r="X11921" s="234"/>
      <c r="Y11921" s="234"/>
      <c r="Z11921" s="234"/>
      <c r="AA11921" s="235"/>
      <c r="AB11921" s="234"/>
    </row>
    <row r="11922" ht="14.5" customHeight="1" spans="11:28" x14ac:dyDescent="0.25">
      <c r="K11922" s="128"/>
      <c r="X11922" s="234"/>
      <c r="Y11922" s="234"/>
      <c r="Z11922" s="234"/>
      <c r="AA11922" s="235"/>
      <c r="AB11922" s="234"/>
    </row>
    <row r="11923" ht="14.5" customHeight="1" spans="11:28" x14ac:dyDescent="0.25">
      <c r="K11923" s="128"/>
      <c r="X11923" s="234"/>
      <c r="Y11923" s="234"/>
      <c r="Z11923" s="234"/>
      <c r="AA11923" s="235"/>
      <c r="AB11923" s="234"/>
    </row>
    <row r="11924" ht="14.5" customHeight="1" spans="11:28" x14ac:dyDescent="0.25">
      <c r="K11924" s="128"/>
      <c r="X11924" s="234"/>
      <c r="Y11924" s="234"/>
      <c r="Z11924" s="234"/>
      <c r="AA11924" s="235"/>
      <c r="AB11924" s="234"/>
    </row>
    <row r="11925" ht="14.5" customHeight="1" spans="11:28" x14ac:dyDescent="0.25">
      <c r="K11925" s="128"/>
      <c r="X11925" s="234"/>
      <c r="Y11925" s="234"/>
      <c r="Z11925" s="234"/>
      <c r="AA11925" s="235"/>
      <c r="AB11925" s="234"/>
    </row>
    <row r="11926" ht="14.5" customHeight="1" spans="11:28" x14ac:dyDescent="0.25">
      <c r="K11926" s="128"/>
      <c r="X11926" s="234"/>
      <c r="Y11926" s="234"/>
      <c r="Z11926" s="234"/>
      <c r="AA11926" s="235"/>
      <c r="AB11926" s="234"/>
    </row>
    <row r="11927" ht="14.5" customHeight="1" spans="11:28" x14ac:dyDescent="0.25">
      <c r="K11927" s="128"/>
      <c r="X11927" s="234"/>
      <c r="Y11927" s="234"/>
      <c r="Z11927" s="234"/>
      <c r="AA11927" s="235"/>
      <c r="AB11927" s="234"/>
    </row>
    <row r="11928" ht="14.5" customHeight="1" spans="11:28" x14ac:dyDescent="0.25">
      <c r="K11928" s="128"/>
      <c r="X11928" s="234"/>
      <c r="Y11928" s="234"/>
      <c r="Z11928" s="234"/>
      <c r="AA11928" s="235"/>
      <c r="AB11928" s="234"/>
    </row>
    <row r="11929" ht="14.5" customHeight="1" spans="11:28" x14ac:dyDescent="0.25">
      <c r="K11929" s="128"/>
      <c r="X11929" s="234"/>
      <c r="Y11929" s="234"/>
      <c r="Z11929" s="234"/>
      <c r="AA11929" s="235"/>
      <c r="AB11929" s="234"/>
    </row>
    <row r="11930" ht="14.5" customHeight="1" spans="11:28" x14ac:dyDescent="0.25">
      <c r="K11930" s="128"/>
      <c r="X11930" s="234"/>
      <c r="Y11930" s="234"/>
      <c r="Z11930" s="234"/>
      <c r="AA11930" s="235"/>
      <c r="AB11930" s="234"/>
    </row>
    <row r="11931" ht="14.5" customHeight="1" spans="11:28" x14ac:dyDescent="0.25">
      <c r="K11931" s="128"/>
      <c r="X11931" s="234"/>
      <c r="Y11931" s="234"/>
      <c r="Z11931" s="234"/>
      <c r="AA11931" s="235"/>
      <c r="AB11931" s="234"/>
    </row>
    <row r="11932" ht="14.5" customHeight="1" spans="11:28" x14ac:dyDescent="0.25">
      <c r="K11932" s="128"/>
      <c r="X11932" s="234"/>
      <c r="Y11932" s="234"/>
      <c r="Z11932" s="234"/>
      <c r="AA11932" s="235"/>
      <c r="AB11932" s="234"/>
    </row>
    <row r="11933" ht="14.5" customHeight="1" spans="11:28" x14ac:dyDescent="0.25">
      <c r="K11933" s="128"/>
      <c r="X11933" s="234"/>
      <c r="Y11933" s="234"/>
      <c r="Z11933" s="234"/>
      <c r="AA11933" s="235"/>
      <c r="AB11933" s="234"/>
    </row>
    <row r="11934" ht="14.5" customHeight="1" spans="11:28" x14ac:dyDescent="0.25">
      <c r="K11934" s="128"/>
      <c r="X11934" s="234"/>
      <c r="Y11934" s="234"/>
      <c r="Z11934" s="234"/>
      <c r="AA11934" s="235"/>
      <c r="AB11934" s="234"/>
    </row>
    <row r="11935" ht="14.5" customHeight="1" spans="11:28" x14ac:dyDescent="0.25">
      <c r="K11935" s="128"/>
      <c r="X11935" s="234"/>
      <c r="Y11935" s="234"/>
      <c r="Z11935" s="234"/>
      <c r="AA11935" s="235"/>
      <c r="AB11935" s="234"/>
    </row>
    <row r="11936" ht="14.5" customHeight="1" spans="11:28" x14ac:dyDescent="0.25">
      <c r="K11936" s="128"/>
      <c r="X11936" s="234"/>
      <c r="Y11936" s="234"/>
      <c r="Z11936" s="234"/>
      <c r="AA11936" s="235"/>
      <c r="AB11936" s="234"/>
    </row>
    <row r="11937" ht="14.5" customHeight="1" spans="11:28" x14ac:dyDescent="0.25">
      <c r="K11937" s="128"/>
      <c r="X11937" s="234"/>
      <c r="Y11937" s="234"/>
      <c r="Z11937" s="234"/>
      <c r="AA11937" s="235"/>
      <c r="AB11937" s="234"/>
    </row>
    <row r="11938" ht="14.5" customHeight="1" spans="11:28" x14ac:dyDescent="0.25">
      <c r="K11938" s="128"/>
      <c r="X11938" s="234"/>
      <c r="Y11938" s="234"/>
      <c r="Z11938" s="234"/>
      <c r="AA11938" s="235"/>
      <c r="AB11938" s="234"/>
    </row>
    <row r="11939" ht="14.5" customHeight="1" spans="11:28" x14ac:dyDescent="0.25">
      <c r="K11939" s="128"/>
      <c r="X11939" s="234"/>
      <c r="Y11939" s="234"/>
      <c r="Z11939" s="234"/>
      <c r="AA11939" s="235"/>
      <c r="AB11939" s="234"/>
    </row>
    <row r="11940" ht="14.5" customHeight="1" spans="11:28" x14ac:dyDescent="0.25">
      <c r="K11940" s="128"/>
      <c r="X11940" s="234"/>
      <c r="Y11940" s="234"/>
      <c r="Z11940" s="234"/>
      <c r="AA11940" s="235"/>
      <c r="AB11940" s="234"/>
    </row>
    <row r="11941" ht="14.5" customHeight="1" spans="11:28" x14ac:dyDescent="0.25">
      <c r="K11941" s="128"/>
      <c r="X11941" s="234"/>
      <c r="Y11941" s="234"/>
      <c r="Z11941" s="234"/>
      <c r="AA11941" s="235"/>
      <c r="AB11941" s="234"/>
    </row>
    <row r="11942" ht="14.5" customHeight="1" spans="11:28" x14ac:dyDescent="0.25">
      <c r="K11942" s="128"/>
      <c r="X11942" s="234"/>
      <c r="Y11942" s="234"/>
      <c r="Z11942" s="234"/>
      <c r="AA11942" s="235"/>
      <c r="AB11942" s="234"/>
    </row>
    <row r="11943" ht="14.5" customHeight="1" spans="11:28" x14ac:dyDescent="0.25">
      <c r="K11943" s="128"/>
      <c r="X11943" s="234"/>
      <c r="Y11943" s="234"/>
      <c r="Z11943" s="234"/>
      <c r="AA11943" s="235"/>
      <c r="AB11943" s="234"/>
    </row>
    <row r="11944" ht="14.5" customHeight="1" spans="11:28" x14ac:dyDescent="0.25">
      <c r="K11944" s="128"/>
      <c r="X11944" s="234"/>
      <c r="Y11944" s="234"/>
      <c r="Z11944" s="234"/>
      <c r="AA11944" s="235"/>
      <c r="AB11944" s="234"/>
    </row>
    <row r="11945" ht="14.5" customHeight="1" spans="11:28" x14ac:dyDescent="0.25">
      <c r="K11945" s="128"/>
      <c r="X11945" s="234"/>
      <c r="Y11945" s="234"/>
      <c r="Z11945" s="234"/>
      <c r="AA11945" s="235"/>
      <c r="AB11945" s="234"/>
    </row>
    <row r="11946" ht="14.5" customHeight="1" spans="11:28" x14ac:dyDescent="0.25">
      <c r="K11946" s="128"/>
      <c r="X11946" s="234"/>
      <c r="Y11946" s="234"/>
      <c r="Z11946" s="234"/>
      <c r="AA11946" s="235"/>
      <c r="AB11946" s="234"/>
    </row>
    <row r="11947" ht="14.5" customHeight="1" spans="11:28" x14ac:dyDescent="0.25">
      <c r="K11947" s="128"/>
      <c r="X11947" s="234"/>
      <c r="Y11947" s="234"/>
      <c r="Z11947" s="234"/>
      <c r="AA11947" s="235"/>
      <c r="AB11947" s="234"/>
    </row>
    <row r="11948" ht="14.5" customHeight="1" spans="11:28" x14ac:dyDescent="0.25">
      <c r="K11948" s="128"/>
      <c r="X11948" s="234"/>
      <c r="Y11948" s="234"/>
      <c r="Z11948" s="234"/>
      <c r="AA11948" s="235"/>
      <c r="AB11948" s="234"/>
    </row>
    <row r="11949" ht="14.5" customHeight="1" spans="11:28" x14ac:dyDescent="0.25">
      <c r="K11949" s="128"/>
      <c r="X11949" s="234"/>
      <c r="Y11949" s="234"/>
      <c r="Z11949" s="234"/>
      <c r="AA11949" s="235"/>
      <c r="AB11949" s="234"/>
    </row>
    <row r="11950" ht="14.5" customHeight="1" spans="11:28" x14ac:dyDescent="0.25">
      <c r="K11950" s="128"/>
      <c r="X11950" s="234"/>
      <c r="Y11950" s="234"/>
      <c r="Z11950" s="234"/>
      <c r="AA11950" s="235"/>
      <c r="AB11950" s="234"/>
    </row>
    <row r="11951" ht="14.5" customHeight="1" spans="11:28" x14ac:dyDescent="0.25">
      <c r="K11951" s="128"/>
      <c r="X11951" s="234"/>
      <c r="Y11951" s="234"/>
      <c r="Z11951" s="234"/>
      <c r="AA11951" s="235"/>
      <c r="AB11951" s="234"/>
    </row>
    <row r="11952" ht="14.5" customHeight="1" spans="11:28" x14ac:dyDescent="0.25">
      <c r="K11952" s="128"/>
      <c r="X11952" s="234"/>
      <c r="Y11952" s="234"/>
      <c r="Z11952" s="234"/>
      <c r="AA11952" s="235"/>
      <c r="AB11952" s="234"/>
    </row>
    <row r="11953" ht="14.5" customHeight="1" spans="11:28" x14ac:dyDescent="0.25">
      <c r="K11953" s="128"/>
      <c r="X11953" s="234"/>
      <c r="Y11953" s="234"/>
      <c r="Z11953" s="234"/>
      <c r="AA11953" s="235"/>
      <c r="AB11953" s="234"/>
    </row>
    <row r="11954" ht="14.5" customHeight="1" spans="11:28" x14ac:dyDescent="0.25">
      <c r="K11954" s="128"/>
      <c r="X11954" s="234"/>
      <c r="Y11954" s="234"/>
      <c r="Z11954" s="234"/>
      <c r="AA11954" s="235"/>
      <c r="AB11954" s="234"/>
    </row>
    <row r="11955" ht="14.5" customHeight="1" spans="11:28" x14ac:dyDescent="0.25">
      <c r="K11955" s="128"/>
      <c r="X11955" s="234"/>
      <c r="Y11955" s="234"/>
      <c r="Z11955" s="234"/>
      <c r="AA11955" s="235"/>
      <c r="AB11955" s="234"/>
    </row>
    <row r="11956" ht="14.5" customHeight="1" spans="11:28" x14ac:dyDescent="0.25">
      <c r="K11956" s="128"/>
      <c r="X11956" s="234"/>
      <c r="Y11956" s="234"/>
      <c r="Z11956" s="234"/>
      <c r="AA11956" s="235"/>
      <c r="AB11956" s="234"/>
    </row>
    <row r="11957" ht="14.5" customHeight="1" spans="11:28" x14ac:dyDescent="0.25">
      <c r="K11957" s="128"/>
      <c r="X11957" s="234"/>
      <c r="Y11957" s="234"/>
      <c r="Z11957" s="234"/>
      <c r="AA11957" s="235"/>
      <c r="AB11957" s="234"/>
    </row>
    <row r="11958" ht="14.5" customHeight="1" spans="11:28" x14ac:dyDescent="0.25">
      <c r="K11958" s="128"/>
      <c r="X11958" s="234"/>
      <c r="Y11958" s="234"/>
      <c r="Z11958" s="234"/>
      <c r="AA11958" s="235"/>
      <c r="AB11958" s="234"/>
    </row>
    <row r="11959" ht="14.5" customHeight="1" spans="11:28" x14ac:dyDescent="0.25">
      <c r="K11959" s="128"/>
      <c r="X11959" s="234"/>
      <c r="Y11959" s="234"/>
      <c r="Z11959" s="234"/>
      <c r="AA11959" s="235"/>
      <c r="AB11959" s="234"/>
    </row>
    <row r="11960" ht="14.5" customHeight="1" spans="11:28" x14ac:dyDescent="0.25">
      <c r="K11960" s="128"/>
      <c r="X11960" s="234"/>
      <c r="Y11960" s="234"/>
      <c r="Z11960" s="234"/>
      <c r="AA11960" s="235"/>
      <c r="AB11960" s="234"/>
    </row>
    <row r="11961" ht="14.5" customHeight="1" spans="11:28" x14ac:dyDescent="0.25">
      <c r="K11961" s="128"/>
      <c r="X11961" s="234"/>
      <c r="Y11961" s="234"/>
      <c r="Z11961" s="234"/>
      <c r="AA11961" s="235"/>
      <c r="AB11961" s="234"/>
    </row>
    <row r="11962" ht="14.5" customHeight="1" spans="11:28" x14ac:dyDescent="0.25">
      <c r="K11962" s="128"/>
      <c r="X11962" s="234"/>
      <c r="Y11962" s="234"/>
      <c r="Z11962" s="234"/>
      <c r="AA11962" s="235"/>
      <c r="AB11962" s="234"/>
    </row>
    <row r="11963" ht="14.5" customHeight="1" spans="11:28" x14ac:dyDescent="0.25">
      <c r="K11963" s="128"/>
      <c r="X11963" s="234"/>
      <c r="Y11963" s="234"/>
      <c r="Z11963" s="234"/>
      <c r="AA11963" s="235"/>
      <c r="AB11963" s="234"/>
    </row>
    <row r="11964" ht="14.5" customHeight="1" spans="11:28" x14ac:dyDescent="0.25">
      <c r="K11964" s="128"/>
      <c r="X11964" s="234"/>
      <c r="Y11964" s="234"/>
      <c r="Z11964" s="234"/>
      <c r="AA11964" s="235"/>
      <c r="AB11964" s="234"/>
    </row>
    <row r="11965" ht="14.5" customHeight="1" spans="11:28" x14ac:dyDescent="0.25">
      <c r="K11965" s="128"/>
      <c r="X11965" s="234"/>
      <c r="Y11965" s="234"/>
      <c r="Z11965" s="234"/>
      <c r="AA11965" s="235"/>
      <c r="AB11965" s="234"/>
    </row>
    <row r="11966" ht="14.5" customHeight="1" spans="11:28" x14ac:dyDescent="0.25">
      <c r="K11966" s="128"/>
      <c r="X11966" s="234"/>
      <c r="Y11966" s="234"/>
      <c r="Z11966" s="234"/>
      <c r="AA11966" s="235"/>
      <c r="AB11966" s="234"/>
    </row>
    <row r="11967" ht="14.5" customHeight="1" spans="11:28" x14ac:dyDescent="0.25">
      <c r="K11967" s="128"/>
      <c r="X11967" s="234"/>
      <c r="Y11967" s="234"/>
      <c r="Z11967" s="234"/>
      <c r="AA11967" s="235"/>
      <c r="AB11967" s="234"/>
    </row>
    <row r="11968" ht="14.5" customHeight="1" spans="11:28" x14ac:dyDescent="0.25">
      <c r="K11968" s="128"/>
      <c r="X11968" s="234"/>
      <c r="Y11968" s="234"/>
      <c r="Z11968" s="234"/>
      <c r="AA11968" s="235"/>
      <c r="AB11968" s="234"/>
    </row>
    <row r="11969" ht="14.5" customHeight="1" spans="11:28" x14ac:dyDescent="0.25">
      <c r="K11969" s="128"/>
      <c r="X11969" s="234"/>
      <c r="Y11969" s="234"/>
      <c r="Z11969" s="234"/>
      <c r="AA11969" s="235"/>
      <c r="AB11969" s="234"/>
    </row>
    <row r="11970" ht="14.5" customHeight="1" spans="11:28" x14ac:dyDescent="0.25">
      <c r="K11970" s="128"/>
      <c r="X11970" s="234"/>
      <c r="Y11970" s="234"/>
      <c r="Z11970" s="234"/>
      <c r="AA11970" s="235"/>
      <c r="AB11970" s="234"/>
    </row>
    <row r="11971" ht="14.5" customHeight="1" spans="11:28" x14ac:dyDescent="0.25">
      <c r="K11971" s="128"/>
      <c r="X11971" s="234"/>
      <c r="Y11971" s="234"/>
      <c r="Z11971" s="234"/>
      <c r="AA11971" s="235"/>
      <c r="AB11971" s="234"/>
    </row>
    <row r="11972" ht="14.5" customHeight="1" spans="11:28" x14ac:dyDescent="0.25">
      <c r="K11972" s="128"/>
      <c r="X11972" s="234"/>
      <c r="Y11972" s="234"/>
      <c r="Z11972" s="234"/>
      <c r="AA11972" s="235"/>
      <c r="AB11972" s="234"/>
    </row>
    <row r="11973" ht="14.5" customHeight="1" spans="11:28" x14ac:dyDescent="0.25">
      <c r="K11973" s="128"/>
      <c r="X11973" s="234"/>
      <c r="Y11973" s="234"/>
      <c r="Z11973" s="234"/>
      <c r="AA11973" s="235"/>
      <c r="AB11973" s="234"/>
    </row>
    <row r="11974" ht="14.5" customHeight="1" spans="11:28" x14ac:dyDescent="0.25">
      <c r="K11974" s="128"/>
      <c r="X11974" s="234"/>
      <c r="Y11974" s="234"/>
      <c r="Z11974" s="234"/>
      <c r="AA11974" s="235"/>
      <c r="AB11974" s="234"/>
    </row>
    <row r="11975" ht="14.5" customHeight="1" spans="11:28" x14ac:dyDescent="0.25">
      <c r="K11975" s="128"/>
      <c r="X11975" s="234"/>
      <c r="Y11975" s="234"/>
      <c r="Z11975" s="234"/>
      <c r="AA11975" s="235"/>
      <c r="AB11975" s="234"/>
    </row>
    <row r="11976" ht="14.5" customHeight="1" spans="11:28" x14ac:dyDescent="0.25">
      <c r="K11976" s="128"/>
      <c r="X11976" s="234"/>
      <c r="Y11976" s="234"/>
      <c r="Z11976" s="234"/>
      <c r="AA11976" s="235"/>
      <c r="AB11976" s="234"/>
    </row>
    <row r="11977" ht="14.5" customHeight="1" spans="11:28" x14ac:dyDescent="0.25">
      <c r="K11977" s="128"/>
      <c r="X11977" s="234"/>
      <c r="Y11977" s="234"/>
      <c r="Z11977" s="234"/>
      <c r="AA11977" s="235"/>
      <c r="AB11977" s="234"/>
    </row>
    <row r="11978" ht="14.5" customHeight="1" spans="11:28" x14ac:dyDescent="0.25">
      <c r="K11978" s="128"/>
      <c r="X11978" s="234"/>
      <c r="Y11978" s="234"/>
      <c r="Z11978" s="234"/>
      <c r="AA11978" s="235"/>
      <c r="AB11978" s="234"/>
    </row>
    <row r="11979" ht="14.5" customHeight="1" spans="11:28" x14ac:dyDescent="0.25">
      <c r="K11979" s="128"/>
      <c r="X11979" s="234"/>
      <c r="Y11979" s="234"/>
      <c r="Z11979" s="234"/>
      <c r="AA11979" s="235"/>
      <c r="AB11979" s="234"/>
    </row>
    <row r="11980" ht="14.5" customHeight="1" spans="11:28" x14ac:dyDescent="0.25">
      <c r="K11980" s="128"/>
      <c r="X11980" s="234"/>
      <c r="Y11980" s="234"/>
      <c r="Z11980" s="234"/>
      <c r="AA11980" s="235"/>
      <c r="AB11980" s="234"/>
    </row>
    <row r="11981" ht="14.5" customHeight="1" spans="11:28" x14ac:dyDescent="0.25">
      <c r="K11981" s="128"/>
      <c r="X11981" s="234"/>
      <c r="Y11981" s="234"/>
      <c r="Z11981" s="234"/>
      <c r="AA11981" s="235"/>
      <c r="AB11981" s="234"/>
    </row>
    <row r="11982" ht="14.5" customHeight="1" spans="11:28" x14ac:dyDescent="0.25">
      <c r="K11982" s="128"/>
      <c r="X11982" s="234"/>
      <c r="Y11982" s="234"/>
      <c r="Z11982" s="234"/>
      <c r="AA11982" s="235"/>
      <c r="AB11982" s="234"/>
    </row>
    <row r="11983" ht="14.5" customHeight="1" spans="11:28" x14ac:dyDescent="0.25">
      <c r="K11983" s="128"/>
      <c r="X11983" s="234"/>
      <c r="Y11983" s="234"/>
      <c r="Z11983" s="234"/>
      <c r="AA11983" s="235"/>
      <c r="AB11983" s="234"/>
    </row>
    <row r="11984" ht="14.5" customHeight="1" spans="11:28" x14ac:dyDescent="0.25">
      <c r="K11984" s="128"/>
      <c r="X11984" s="234"/>
      <c r="Y11984" s="234"/>
      <c r="Z11984" s="234"/>
      <c r="AA11984" s="235"/>
      <c r="AB11984" s="234"/>
    </row>
    <row r="11985" ht="14.5" customHeight="1" spans="11:28" x14ac:dyDescent="0.25">
      <c r="K11985" s="128"/>
      <c r="X11985" s="234"/>
      <c r="Y11985" s="234"/>
      <c r="Z11985" s="234"/>
      <c r="AA11985" s="235"/>
      <c r="AB11985" s="234"/>
    </row>
    <row r="11986" ht="14.5" customHeight="1" spans="11:28" x14ac:dyDescent="0.25">
      <c r="K11986" s="128"/>
      <c r="X11986" s="234"/>
      <c r="Y11986" s="234"/>
      <c r="Z11986" s="234"/>
      <c r="AA11986" s="235"/>
      <c r="AB11986" s="234"/>
    </row>
    <row r="11987" ht="14.5" customHeight="1" spans="11:28" x14ac:dyDescent="0.25">
      <c r="K11987" s="128"/>
      <c r="X11987" s="234"/>
      <c r="Y11987" s="234"/>
      <c r="Z11987" s="234"/>
      <c r="AA11987" s="235"/>
      <c r="AB11987" s="234"/>
    </row>
    <row r="11988" ht="14.5" customHeight="1" spans="11:28" x14ac:dyDescent="0.25">
      <c r="K11988" s="128"/>
      <c r="X11988" s="234"/>
      <c r="Y11988" s="234"/>
      <c r="Z11988" s="234"/>
      <c r="AA11988" s="235"/>
      <c r="AB11988" s="234"/>
    </row>
    <row r="11989" ht="14.5" customHeight="1" spans="11:28" x14ac:dyDescent="0.25">
      <c r="K11989" s="128"/>
      <c r="X11989" s="234"/>
      <c r="Y11989" s="234"/>
      <c r="Z11989" s="234"/>
      <c r="AA11989" s="235"/>
      <c r="AB11989" s="234"/>
    </row>
    <row r="11990" ht="14.5" customHeight="1" spans="11:28" x14ac:dyDescent="0.25">
      <c r="K11990" s="128"/>
      <c r="X11990" s="234"/>
      <c r="Y11990" s="234"/>
      <c r="Z11990" s="234"/>
      <c r="AA11990" s="235"/>
      <c r="AB11990" s="234"/>
    </row>
    <row r="11991" ht="14.5" customHeight="1" spans="11:28" x14ac:dyDescent="0.25">
      <c r="K11991" s="128"/>
      <c r="X11991" s="234"/>
      <c r="Y11991" s="234"/>
      <c r="Z11991" s="234"/>
      <c r="AA11991" s="235"/>
      <c r="AB11991" s="234"/>
    </row>
    <row r="11992" ht="14.5" customHeight="1" spans="11:28" x14ac:dyDescent="0.25">
      <c r="K11992" s="128"/>
      <c r="X11992" s="234"/>
      <c r="Y11992" s="234"/>
      <c r="Z11992" s="234"/>
      <c r="AA11992" s="235"/>
      <c r="AB11992" s="234"/>
    </row>
    <row r="11993" ht="14.5" customHeight="1" spans="11:28" x14ac:dyDescent="0.25">
      <c r="K11993" s="128"/>
      <c r="X11993" s="234"/>
      <c r="Y11993" s="234"/>
      <c r="Z11993" s="234"/>
      <c r="AA11993" s="235"/>
      <c r="AB11993" s="234"/>
    </row>
    <row r="11994" ht="14.5" customHeight="1" spans="11:28" x14ac:dyDescent="0.25">
      <c r="K11994" s="128"/>
      <c r="X11994" s="234"/>
      <c r="Y11994" s="234"/>
      <c r="Z11994" s="234"/>
      <c r="AA11994" s="235"/>
      <c r="AB11994" s="234"/>
    </row>
    <row r="11995" ht="14.5" customHeight="1" spans="11:28" x14ac:dyDescent="0.25">
      <c r="K11995" s="128"/>
      <c r="X11995" s="234"/>
      <c r="Y11995" s="234"/>
      <c r="Z11995" s="234"/>
      <c r="AA11995" s="235"/>
      <c r="AB11995" s="234"/>
    </row>
    <row r="11996" ht="14.5" customHeight="1" spans="11:28" x14ac:dyDescent="0.25">
      <c r="K11996" s="128"/>
      <c r="X11996" s="234"/>
      <c r="Y11996" s="234"/>
      <c r="Z11996" s="234"/>
      <c r="AA11996" s="235"/>
      <c r="AB11996" s="234"/>
    </row>
    <row r="11997" ht="14.5" customHeight="1" spans="11:28" x14ac:dyDescent="0.25">
      <c r="K11997" s="128"/>
      <c r="X11997" s="234"/>
      <c r="Y11997" s="234"/>
      <c r="Z11997" s="234"/>
      <c r="AA11997" s="235"/>
      <c r="AB11997" s="234"/>
    </row>
    <row r="11998" ht="14.5" customHeight="1" spans="11:28" x14ac:dyDescent="0.25">
      <c r="K11998" s="128"/>
      <c r="X11998" s="234"/>
      <c r="Y11998" s="234"/>
      <c r="Z11998" s="234"/>
      <c r="AA11998" s="235"/>
      <c r="AB11998" s="234"/>
    </row>
    <row r="11999" ht="14.5" customHeight="1" spans="11:28" x14ac:dyDescent="0.25">
      <c r="K11999" s="128"/>
      <c r="X11999" s="234"/>
      <c r="Y11999" s="234"/>
      <c r="Z11999" s="234"/>
      <c r="AA11999" s="235"/>
      <c r="AB11999" s="234"/>
    </row>
    <row r="12000" ht="14.5" customHeight="1" spans="11:28" x14ac:dyDescent="0.25">
      <c r="K12000" s="128"/>
      <c r="X12000" s="234"/>
      <c r="Y12000" s="234"/>
      <c r="Z12000" s="234"/>
      <c r="AA12000" s="235"/>
      <c r="AB12000" s="234"/>
    </row>
    <row r="12001" ht="14.5" customHeight="1" spans="11:28" x14ac:dyDescent="0.25">
      <c r="K12001" s="128"/>
      <c r="X12001" s="234"/>
      <c r="Y12001" s="234"/>
      <c r="Z12001" s="234"/>
      <c r="AA12001" s="235"/>
      <c r="AB12001" s="234"/>
    </row>
    <row r="12002" ht="14.5" customHeight="1" spans="11:28" x14ac:dyDescent="0.25">
      <c r="K12002" s="128"/>
      <c r="X12002" s="234"/>
      <c r="Y12002" s="234"/>
      <c r="Z12002" s="234"/>
      <c r="AA12002" s="235"/>
      <c r="AB12002" s="234"/>
    </row>
    <row r="12003" ht="14.5" customHeight="1" spans="11:28" x14ac:dyDescent="0.25">
      <c r="K12003" s="128"/>
      <c r="X12003" s="234"/>
      <c r="Y12003" s="234"/>
      <c r="Z12003" s="234"/>
      <c r="AA12003" s="235"/>
      <c r="AB12003" s="234"/>
    </row>
    <row r="12004" ht="14.5" customHeight="1" spans="11:28" x14ac:dyDescent="0.25">
      <c r="K12004" s="128"/>
      <c r="X12004" s="234"/>
      <c r="Y12004" s="234"/>
      <c r="Z12004" s="234"/>
      <c r="AA12004" s="235"/>
      <c r="AB12004" s="234"/>
    </row>
    <row r="12005" ht="14.5" customHeight="1" spans="11:28" x14ac:dyDescent="0.25">
      <c r="K12005" s="128"/>
      <c r="X12005" s="234"/>
      <c r="Y12005" s="234"/>
      <c r="Z12005" s="234"/>
      <c r="AA12005" s="235"/>
      <c r="AB12005" s="234"/>
    </row>
    <row r="12006" ht="14.5" customHeight="1" spans="11:28" x14ac:dyDescent="0.25">
      <c r="K12006" s="128"/>
      <c r="X12006" s="234"/>
      <c r="Y12006" s="234"/>
      <c r="Z12006" s="234"/>
      <c r="AA12006" s="235"/>
      <c r="AB12006" s="234"/>
    </row>
    <row r="12007" ht="14.5" customHeight="1" spans="11:28" x14ac:dyDescent="0.25">
      <c r="K12007" s="128"/>
      <c r="X12007" s="234"/>
      <c r="Y12007" s="234"/>
      <c r="Z12007" s="234"/>
      <c r="AA12007" s="235"/>
      <c r="AB12007" s="234"/>
    </row>
    <row r="12008" ht="14.5" customHeight="1" spans="11:28" x14ac:dyDescent="0.25">
      <c r="K12008" s="128"/>
      <c r="X12008" s="234"/>
      <c r="Y12008" s="234"/>
      <c r="Z12008" s="234"/>
      <c r="AA12008" s="235"/>
      <c r="AB12008" s="234"/>
    </row>
    <row r="12009" ht="14.5" customHeight="1" spans="11:28" x14ac:dyDescent="0.25">
      <c r="K12009" s="128"/>
      <c r="X12009" s="234"/>
      <c r="Y12009" s="234"/>
      <c r="Z12009" s="234"/>
      <c r="AA12009" s="235"/>
      <c r="AB12009" s="234"/>
    </row>
    <row r="12010" ht="14.5" customHeight="1" spans="11:28" x14ac:dyDescent="0.25">
      <c r="K12010" s="128"/>
      <c r="X12010" s="234"/>
      <c r="Y12010" s="234"/>
      <c r="Z12010" s="234"/>
      <c r="AA12010" s="235"/>
      <c r="AB12010" s="234"/>
    </row>
    <row r="12011" ht="14.5" customHeight="1" spans="11:28" x14ac:dyDescent="0.25">
      <c r="K12011" s="128"/>
      <c r="X12011" s="234"/>
      <c r="Y12011" s="234"/>
      <c r="Z12011" s="234"/>
      <c r="AA12011" s="235"/>
      <c r="AB12011" s="234"/>
    </row>
    <row r="12012" ht="14.5" customHeight="1" spans="11:28" x14ac:dyDescent="0.25">
      <c r="K12012" s="128"/>
      <c r="X12012" s="234"/>
      <c r="Y12012" s="234"/>
      <c r="Z12012" s="234"/>
      <c r="AA12012" s="235"/>
      <c r="AB12012" s="234"/>
    </row>
    <row r="12013" ht="14.5" customHeight="1" spans="11:28" x14ac:dyDescent="0.25">
      <c r="K12013" s="128"/>
      <c r="X12013" s="234"/>
      <c r="Y12013" s="234"/>
      <c r="Z12013" s="234"/>
      <c r="AA12013" s="235"/>
      <c r="AB12013" s="234"/>
    </row>
    <row r="12014" ht="14.5" customHeight="1" spans="11:28" x14ac:dyDescent="0.25">
      <c r="K12014" s="128"/>
      <c r="X12014" s="234"/>
      <c r="Y12014" s="234"/>
      <c r="Z12014" s="234"/>
      <c r="AA12014" s="235"/>
      <c r="AB12014" s="234"/>
    </row>
    <row r="12015" ht="14.5" customHeight="1" spans="11:28" x14ac:dyDescent="0.25">
      <c r="K12015" s="128"/>
      <c r="X12015" s="234"/>
      <c r="Y12015" s="234"/>
      <c r="Z12015" s="234"/>
      <c r="AA12015" s="235"/>
      <c r="AB12015" s="234"/>
    </row>
    <row r="12016" ht="14.5" customHeight="1" spans="11:28" x14ac:dyDescent="0.25">
      <c r="K12016" s="128"/>
      <c r="X12016" s="234"/>
      <c r="Y12016" s="234"/>
      <c r="Z12016" s="234"/>
      <c r="AA12016" s="235"/>
      <c r="AB12016" s="234"/>
    </row>
    <row r="12017" ht="14.5" customHeight="1" spans="11:28" x14ac:dyDescent="0.25">
      <c r="K12017" s="128"/>
      <c r="X12017" s="234"/>
      <c r="Y12017" s="234"/>
      <c r="Z12017" s="234"/>
      <c r="AA12017" s="235"/>
      <c r="AB12017" s="234"/>
    </row>
    <row r="12018" ht="14.5" customHeight="1" spans="11:28" x14ac:dyDescent="0.25">
      <c r="K12018" s="128"/>
      <c r="X12018" s="234"/>
      <c r="Y12018" s="234"/>
      <c r="Z12018" s="234"/>
      <c r="AA12018" s="235"/>
      <c r="AB12018" s="234"/>
    </row>
    <row r="12019" ht="14.5" customHeight="1" spans="11:28" x14ac:dyDescent="0.25">
      <c r="K12019" s="128"/>
      <c r="X12019" s="234"/>
      <c r="Y12019" s="234"/>
      <c r="Z12019" s="234"/>
      <c r="AA12019" s="235"/>
      <c r="AB12019" s="234"/>
    </row>
    <row r="12020" ht="14.5" customHeight="1" spans="11:28" x14ac:dyDescent="0.25">
      <c r="K12020" s="128"/>
      <c r="X12020" s="234"/>
      <c r="Y12020" s="234"/>
      <c r="Z12020" s="234"/>
      <c r="AA12020" s="235"/>
      <c r="AB12020" s="234"/>
    </row>
    <row r="12021" ht="14.5" customHeight="1" spans="11:28" x14ac:dyDescent="0.25">
      <c r="K12021" s="128"/>
      <c r="X12021" s="234"/>
      <c r="Y12021" s="234"/>
      <c r="Z12021" s="234"/>
      <c r="AA12021" s="235"/>
      <c r="AB12021" s="234"/>
    </row>
    <row r="12022" ht="14.5" customHeight="1" spans="11:28" x14ac:dyDescent="0.25">
      <c r="K12022" s="128"/>
      <c r="X12022" s="234"/>
      <c r="Y12022" s="234"/>
      <c r="Z12022" s="234"/>
      <c r="AA12022" s="235"/>
      <c r="AB12022" s="234"/>
    </row>
    <row r="12023" ht="14.5" customHeight="1" spans="11:28" x14ac:dyDescent="0.25">
      <c r="K12023" s="128"/>
      <c r="X12023" s="234"/>
      <c r="Y12023" s="234"/>
      <c r="Z12023" s="234"/>
      <c r="AA12023" s="235"/>
      <c r="AB12023" s="234"/>
    </row>
    <row r="12024" ht="14.5" customHeight="1" spans="11:28" x14ac:dyDescent="0.25">
      <c r="K12024" s="128"/>
      <c r="X12024" s="234"/>
      <c r="Y12024" s="234"/>
      <c r="Z12024" s="234"/>
      <c r="AA12024" s="235"/>
      <c r="AB12024" s="234"/>
    </row>
    <row r="12025" ht="14.5" customHeight="1" spans="11:28" x14ac:dyDescent="0.25">
      <c r="K12025" s="128"/>
      <c r="X12025" s="234"/>
      <c r="Y12025" s="234"/>
      <c r="Z12025" s="234"/>
      <c r="AA12025" s="235"/>
      <c r="AB12025" s="234"/>
    </row>
    <row r="12026" ht="14.5" customHeight="1" spans="11:28" x14ac:dyDescent="0.25">
      <c r="K12026" s="128"/>
      <c r="X12026" s="234"/>
      <c r="Y12026" s="234"/>
      <c r="Z12026" s="234"/>
      <c r="AA12026" s="235"/>
      <c r="AB12026" s="234"/>
    </row>
    <row r="12027" ht="14.5" customHeight="1" spans="11:28" x14ac:dyDescent="0.25">
      <c r="K12027" s="128"/>
      <c r="X12027" s="234"/>
      <c r="Y12027" s="234"/>
      <c r="Z12027" s="234"/>
      <c r="AA12027" s="235"/>
      <c r="AB12027" s="234"/>
    </row>
    <row r="12028" ht="14.5" customHeight="1" spans="11:28" x14ac:dyDescent="0.25">
      <c r="K12028" s="128"/>
      <c r="X12028" s="234"/>
      <c r="Y12028" s="234"/>
      <c r="Z12028" s="234"/>
      <c r="AA12028" s="235"/>
      <c r="AB12028" s="234"/>
    </row>
    <row r="12029" ht="14.5" customHeight="1" spans="11:28" x14ac:dyDescent="0.25">
      <c r="K12029" s="128"/>
      <c r="X12029" s="234"/>
      <c r="Y12029" s="234"/>
      <c r="Z12029" s="234"/>
      <c r="AA12029" s="235"/>
      <c r="AB12029" s="234"/>
    </row>
    <row r="12030" ht="14.5" customHeight="1" spans="11:28" x14ac:dyDescent="0.25">
      <c r="K12030" s="128"/>
      <c r="X12030" s="234"/>
      <c r="Y12030" s="234"/>
      <c r="Z12030" s="234"/>
      <c r="AA12030" s="235"/>
      <c r="AB12030" s="234"/>
    </row>
    <row r="12031" ht="14.5" customHeight="1" spans="11:28" x14ac:dyDescent="0.25">
      <c r="K12031" s="128"/>
      <c r="X12031" s="234"/>
      <c r="Y12031" s="234"/>
      <c r="Z12031" s="234"/>
      <c r="AA12031" s="235"/>
      <c r="AB12031" s="234"/>
    </row>
    <row r="12032" ht="14.5" customHeight="1" spans="11:28" x14ac:dyDescent="0.25">
      <c r="K12032" s="128"/>
      <c r="X12032" s="234"/>
      <c r="Y12032" s="234"/>
      <c r="Z12032" s="234"/>
      <c r="AA12032" s="235"/>
      <c r="AB12032" s="234"/>
    </row>
    <row r="12033" ht="14.5" customHeight="1" spans="11:28" x14ac:dyDescent="0.25">
      <c r="K12033" s="128"/>
      <c r="X12033" s="234"/>
      <c r="Y12033" s="234"/>
      <c r="Z12033" s="234"/>
      <c r="AA12033" s="235"/>
      <c r="AB12033" s="234"/>
    </row>
    <row r="12034" ht="14.5" customHeight="1" spans="11:28" x14ac:dyDescent="0.25">
      <c r="K12034" s="128"/>
      <c r="X12034" s="234"/>
      <c r="Y12034" s="234"/>
      <c r="Z12034" s="234"/>
      <c r="AA12034" s="235"/>
      <c r="AB12034" s="234"/>
    </row>
    <row r="12035" ht="14.5" customHeight="1" spans="11:28" x14ac:dyDescent="0.25">
      <c r="K12035" s="128"/>
      <c r="X12035" s="234"/>
      <c r="Y12035" s="234"/>
      <c r="Z12035" s="234"/>
      <c r="AA12035" s="235"/>
      <c r="AB12035" s="234"/>
    </row>
    <row r="12036" ht="14.5" customHeight="1" spans="11:28" x14ac:dyDescent="0.25">
      <c r="K12036" s="128"/>
      <c r="X12036" s="234"/>
      <c r="Y12036" s="234"/>
      <c r="Z12036" s="234"/>
      <c r="AA12036" s="235"/>
      <c r="AB12036" s="234"/>
    </row>
    <row r="12037" ht="14.5" customHeight="1" spans="11:28" x14ac:dyDescent="0.25">
      <c r="K12037" s="128"/>
      <c r="X12037" s="234"/>
      <c r="Y12037" s="234"/>
      <c r="Z12037" s="234"/>
      <c r="AA12037" s="235"/>
      <c r="AB12037" s="234"/>
    </row>
    <row r="12038" ht="14.5" customHeight="1" spans="11:28" x14ac:dyDescent="0.25">
      <c r="K12038" s="128"/>
      <c r="X12038" s="234"/>
      <c r="Y12038" s="234"/>
      <c r="Z12038" s="234"/>
      <c r="AA12038" s="235"/>
      <c r="AB12038" s="234"/>
    </row>
    <row r="12039" ht="14.5" customHeight="1" spans="11:28" x14ac:dyDescent="0.25">
      <c r="K12039" s="128"/>
      <c r="X12039" s="234"/>
      <c r="Y12039" s="234"/>
      <c r="Z12039" s="234"/>
      <c r="AA12039" s="235"/>
      <c r="AB12039" s="234"/>
    </row>
    <row r="12040" ht="14.5" customHeight="1" spans="11:28" x14ac:dyDescent="0.25">
      <c r="K12040" s="128"/>
      <c r="X12040" s="234"/>
      <c r="Y12040" s="234"/>
      <c r="Z12040" s="234"/>
      <c r="AA12040" s="235"/>
      <c r="AB12040" s="234"/>
    </row>
    <row r="12041" ht="14.5" customHeight="1" spans="11:28" x14ac:dyDescent="0.25">
      <c r="K12041" s="128"/>
      <c r="X12041" s="234"/>
      <c r="Y12041" s="234"/>
      <c r="Z12041" s="234"/>
      <c r="AA12041" s="235"/>
      <c r="AB12041" s="234"/>
    </row>
    <row r="12042" ht="14.5" customHeight="1" spans="11:28" x14ac:dyDescent="0.25">
      <c r="K12042" s="128"/>
      <c r="X12042" s="234"/>
      <c r="Y12042" s="234"/>
      <c r="Z12042" s="234"/>
      <c r="AA12042" s="235"/>
      <c r="AB12042" s="234"/>
    </row>
    <row r="12043" ht="14.5" customHeight="1" spans="11:28" x14ac:dyDescent="0.25">
      <c r="K12043" s="128"/>
      <c r="X12043" s="234"/>
      <c r="Y12043" s="234"/>
      <c r="Z12043" s="234"/>
      <c r="AA12043" s="235"/>
      <c r="AB12043" s="234"/>
    </row>
    <row r="12044" ht="14.5" customHeight="1" spans="11:28" x14ac:dyDescent="0.25">
      <c r="K12044" s="128"/>
      <c r="X12044" s="234"/>
      <c r="Y12044" s="234"/>
      <c r="Z12044" s="234"/>
      <c r="AA12044" s="235"/>
      <c r="AB12044" s="234"/>
    </row>
    <row r="12045" ht="14.5" customHeight="1" spans="11:28" x14ac:dyDescent="0.25">
      <c r="K12045" s="128"/>
      <c r="X12045" s="234"/>
      <c r="Y12045" s="234"/>
      <c r="Z12045" s="234"/>
      <c r="AA12045" s="235"/>
      <c r="AB12045" s="234"/>
    </row>
    <row r="12046" ht="14.5" customHeight="1" spans="11:28" x14ac:dyDescent="0.25">
      <c r="K12046" s="128"/>
      <c r="X12046" s="234"/>
      <c r="Y12046" s="234"/>
      <c r="Z12046" s="234"/>
      <c r="AA12046" s="235"/>
      <c r="AB12046" s="234"/>
    </row>
    <row r="12047" ht="14.5" customHeight="1" spans="11:28" x14ac:dyDescent="0.25">
      <c r="K12047" s="128"/>
      <c r="X12047" s="234"/>
      <c r="Y12047" s="234"/>
      <c r="Z12047" s="234"/>
      <c r="AA12047" s="235"/>
      <c r="AB12047" s="234"/>
    </row>
    <row r="12048" ht="14.5" customHeight="1" spans="11:28" x14ac:dyDescent="0.25">
      <c r="K12048" s="128"/>
      <c r="X12048" s="234"/>
      <c r="Y12048" s="234"/>
      <c r="Z12048" s="234"/>
      <c r="AA12048" s="235"/>
      <c r="AB12048" s="234"/>
    </row>
    <row r="12049" ht="14.5" customHeight="1" spans="11:28" x14ac:dyDescent="0.25">
      <c r="K12049" s="128"/>
      <c r="X12049" s="234"/>
      <c r="Y12049" s="234"/>
      <c r="Z12049" s="234"/>
      <c r="AA12049" s="235"/>
      <c r="AB12049" s="234"/>
    </row>
    <row r="12050" ht="14.5" customHeight="1" spans="11:28" x14ac:dyDescent="0.25">
      <c r="K12050" s="128"/>
      <c r="X12050" s="234"/>
      <c r="Y12050" s="234"/>
      <c r="Z12050" s="234"/>
      <c r="AA12050" s="235"/>
      <c r="AB12050" s="234"/>
    </row>
    <row r="12051" ht="14.5" customHeight="1" spans="11:28" x14ac:dyDescent="0.25">
      <c r="K12051" s="128"/>
      <c r="X12051" s="234"/>
      <c r="Y12051" s="234"/>
      <c r="Z12051" s="234"/>
      <c r="AA12051" s="235"/>
      <c r="AB12051" s="234"/>
    </row>
    <row r="12052" ht="14.5" customHeight="1" spans="11:28" x14ac:dyDescent="0.25">
      <c r="K12052" s="128"/>
      <c r="X12052" s="234"/>
      <c r="Y12052" s="234"/>
      <c r="Z12052" s="234"/>
      <c r="AA12052" s="235"/>
      <c r="AB12052" s="234"/>
    </row>
    <row r="12053" ht="14.5" customHeight="1" spans="11:28" x14ac:dyDescent="0.25">
      <c r="K12053" s="128"/>
      <c r="X12053" s="234"/>
      <c r="Y12053" s="234"/>
      <c r="Z12053" s="234"/>
      <c r="AA12053" s="235"/>
      <c r="AB12053" s="234"/>
    </row>
    <row r="12054" ht="14.5" customHeight="1" spans="11:28" x14ac:dyDescent="0.25">
      <c r="K12054" s="128"/>
      <c r="X12054" s="234"/>
      <c r="Y12054" s="234"/>
      <c r="Z12054" s="234"/>
      <c r="AA12054" s="235"/>
      <c r="AB12054" s="234"/>
    </row>
    <row r="12055" ht="14.5" customHeight="1" spans="11:28" x14ac:dyDescent="0.25">
      <c r="K12055" s="128"/>
      <c r="X12055" s="234"/>
      <c r="Y12055" s="234"/>
      <c r="Z12055" s="234"/>
      <c r="AA12055" s="235"/>
      <c r="AB12055" s="234"/>
    </row>
    <row r="12056" ht="14.5" customHeight="1" spans="11:28" x14ac:dyDescent="0.25">
      <c r="K12056" s="128"/>
      <c r="X12056" s="234"/>
      <c r="Y12056" s="234"/>
      <c r="Z12056" s="234"/>
      <c r="AA12056" s="235"/>
      <c r="AB12056" s="234"/>
    </row>
    <row r="12057" ht="14.5" customHeight="1" spans="11:28" x14ac:dyDescent="0.25">
      <c r="K12057" s="128"/>
      <c r="X12057" s="234"/>
      <c r="Y12057" s="234"/>
      <c r="Z12057" s="234"/>
      <c r="AA12057" s="235"/>
      <c r="AB12057" s="234"/>
    </row>
    <row r="12058" ht="14.5" customHeight="1" spans="11:28" x14ac:dyDescent="0.25">
      <c r="K12058" s="128"/>
      <c r="X12058" s="234"/>
      <c r="Y12058" s="234"/>
      <c r="Z12058" s="234"/>
      <c r="AA12058" s="235"/>
      <c r="AB12058" s="234"/>
    </row>
    <row r="12059" ht="14.5" customHeight="1" spans="11:28" x14ac:dyDescent="0.25">
      <c r="K12059" s="128"/>
      <c r="X12059" s="234"/>
      <c r="Y12059" s="234"/>
      <c r="Z12059" s="234"/>
      <c r="AA12059" s="235"/>
      <c r="AB12059" s="234"/>
    </row>
    <row r="12060" ht="14.5" customHeight="1" spans="11:28" x14ac:dyDescent="0.25">
      <c r="K12060" s="128"/>
      <c r="X12060" s="234"/>
      <c r="Y12060" s="234"/>
      <c r="Z12060" s="234"/>
      <c r="AA12060" s="235"/>
      <c r="AB12060" s="234"/>
    </row>
    <row r="12061" ht="14.5" customHeight="1" spans="11:28" x14ac:dyDescent="0.25">
      <c r="K12061" s="128"/>
      <c r="X12061" s="234"/>
      <c r="Y12061" s="234"/>
      <c r="Z12061" s="234"/>
      <c r="AA12061" s="235"/>
      <c r="AB12061" s="234"/>
    </row>
    <row r="12062" ht="14.5" customHeight="1" spans="11:28" x14ac:dyDescent="0.25">
      <c r="K12062" s="128"/>
      <c r="X12062" s="234"/>
      <c r="Y12062" s="234"/>
      <c r="Z12062" s="234"/>
      <c r="AA12062" s="235"/>
      <c r="AB12062" s="234"/>
    </row>
    <row r="12063" ht="14.5" customHeight="1" spans="11:28" x14ac:dyDescent="0.25">
      <c r="K12063" s="128"/>
      <c r="X12063" s="234"/>
      <c r="Y12063" s="234"/>
      <c r="Z12063" s="234"/>
      <c r="AA12063" s="235"/>
      <c r="AB12063" s="234"/>
    </row>
    <row r="12064" ht="14.5" customHeight="1" spans="11:28" x14ac:dyDescent="0.25">
      <c r="K12064" s="128"/>
      <c r="X12064" s="234"/>
      <c r="Y12064" s="234"/>
      <c r="Z12064" s="234"/>
      <c r="AA12064" s="235"/>
      <c r="AB12064" s="234"/>
    </row>
    <row r="12065" ht="14.5" customHeight="1" spans="11:28" x14ac:dyDescent="0.25">
      <c r="K12065" s="128"/>
      <c r="X12065" s="234"/>
      <c r="Y12065" s="234"/>
      <c r="Z12065" s="234"/>
      <c r="AA12065" s="235"/>
      <c r="AB12065" s="234"/>
    </row>
    <row r="12066" ht="14.5" customHeight="1" spans="11:28" x14ac:dyDescent="0.25">
      <c r="K12066" s="128"/>
      <c r="X12066" s="234"/>
      <c r="Y12066" s="234"/>
      <c r="Z12066" s="234"/>
      <c r="AA12066" s="235"/>
      <c r="AB12066" s="234"/>
    </row>
    <row r="12067" ht="14.5" customHeight="1" spans="11:28" x14ac:dyDescent="0.25">
      <c r="K12067" s="128"/>
      <c r="X12067" s="234"/>
      <c r="Y12067" s="234"/>
      <c r="Z12067" s="234"/>
      <c r="AA12067" s="235"/>
      <c r="AB12067" s="234"/>
    </row>
    <row r="12068" ht="14.5" customHeight="1" spans="11:28" x14ac:dyDescent="0.25">
      <c r="K12068" s="128"/>
      <c r="X12068" s="234"/>
      <c r="Y12068" s="234"/>
      <c r="Z12068" s="234"/>
      <c r="AA12068" s="235"/>
      <c r="AB12068" s="234"/>
    </row>
    <row r="12069" ht="14.5" customHeight="1" spans="11:28" x14ac:dyDescent="0.25">
      <c r="K12069" s="128"/>
      <c r="X12069" s="234"/>
      <c r="Y12069" s="234"/>
      <c r="Z12069" s="234"/>
      <c r="AA12069" s="235"/>
      <c r="AB12069" s="234"/>
    </row>
    <row r="12070" ht="14.5" customHeight="1" spans="11:28" x14ac:dyDescent="0.25">
      <c r="K12070" s="128"/>
      <c r="X12070" s="234"/>
      <c r="Y12070" s="234"/>
      <c r="Z12070" s="234"/>
      <c r="AA12070" s="235"/>
      <c r="AB12070" s="234"/>
    </row>
    <row r="12071" ht="14.5" customHeight="1" spans="11:28" x14ac:dyDescent="0.25">
      <c r="K12071" s="128"/>
      <c r="X12071" s="234"/>
      <c r="Y12071" s="234"/>
      <c r="Z12071" s="234"/>
      <c r="AA12071" s="235"/>
      <c r="AB12071" s="234"/>
    </row>
    <row r="12072" ht="14.5" customHeight="1" spans="11:28" x14ac:dyDescent="0.25">
      <c r="K12072" s="128"/>
      <c r="X12072" s="234"/>
      <c r="Y12072" s="234"/>
      <c r="Z12072" s="234"/>
      <c r="AA12072" s="235"/>
      <c r="AB12072" s="234"/>
    </row>
    <row r="12073" ht="14.5" customHeight="1" spans="11:28" x14ac:dyDescent="0.25">
      <c r="K12073" s="128"/>
      <c r="X12073" s="234"/>
      <c r="Y12073" s="234"/>
      <c r="Z12073" s="234"/>
      <c r="AA12073" s="235"/>
      <c r="AB12073" s="234"/>
    </row>
    <row r="12074" ht="14.5" customHeight="1" spans="11:28" x14ac:dyDescent="0.25">
      <c r="K12074" s="128"/>
      <c r="X12074" s="234"/>
      <c r="Y12074" s="234"/>
      <c r="Z12074" s="234"/>
      <c r="AA12074" s="235"/>
      <c r="AB12074" s="234"/>
    </row>
    <row r="12075" ht="14.5" customHeight="1" spans="11:28" x14ac:dyDescent="0.25">
      <c r="K12075" s="128"/>
      <c r="X12075" s="234"/>
      <c r="Y12075" s="234"/>
      <c r="Z12075" s="234"/>
      <c r="AA12075" s="235"/>
      <c r="AB12075" s="234"/>
    </row>
    <row r="12076" ht="14.5" customHeight="1" spans="11:28" x14ac:dyDescent="0.25">
      <c r="K12076" s="128"/>
      <c r="X12076" s="234"/>
      <c r="Y12076" s="234"/>
      <c r="Z12076" s="234"/>
      <c r="AA12076" s="235"/>
      <c r="AB12076" s="234"/>
    </row>
    <row r="12077" ht="14.5" customHeight="1" spans="11:28" x14ac:dyDescent="0.25">
      <c r="K12077" s="128"/>
      <c r="X12077" s="234"/>
      <c r="Y12077" s="234"/>
      <c r="Z12077" s="234"/>
      <c r="AA12077" s="235"/>
      <c r="AB12077" s="234"/>
    </row>
    <row r="12078" ht="14.5" customHeight="1" spans="11:28" x14ac:dyDescent="0.25">
      <c r="K12078" s="128"/>
      <c r="X12078" s="234"/>
      <c r="Y12078" s="234"/>
      <c r="Z12078" s="234"/>
      <c r="AA12078" s="235"/>
      <c r="AB12078" s="234"/>
    </row>
    <row r="12079" ht="14.5" customHeight="1" spans="11:28" x14ac:dyDescent="0.25">
      <c r="K12079" s="128"/>
      <c r="X12079" s="234"/>
      <c r="Y12079" s="234"/>
      <c r="Z12079" s="234"/>
      <c r="AA12079" s="235"/>
      <c r="AB12079" s="234"/>
    </row>
    <row r="12080" ht="14.5" customHeight="1" spans="11:28" x14ac:dyDescent="0.25">
      <c r="K12080" s="128"/>
      <c r="X12080" s="234"/>
      <c r="Y12080" s="234"/>
      <c r="Z12080" s="234"/>
      <c r="AA12080" s="235"/>
      <c r="AB12080" s="234"/>
    </row>
    <row r="12081" ht="14.5" customHeight="1" spans="11:28" x14ac:dyDescent="0.25">
      <c r="K12081" s="128"/>
      <c r="X12081" s="234"/>
      <c r="Y12081" s="234"/>
      <c r="Z12081" s="234"/>
      <c r="AA12081" s="235"/>
      <c r="AB12081" s="234"/>
    </row>
    <row r="12082" ht="14.5" customHeight="1" spans="11:28" x14ac:dyDescent="0.25">
      <c r="K12082" s="128"/>
      <c r="X12082" s="234"/>
      <c r="Y12082" s="234"/>
      <c r="Z12082" s="234"/>
      <c r="AA12082" s="235"/>
      <c r="AB12082" s="234"/>
    </row>
    <row r="12083" ht="14.5" customHeight="1" spans="11:28" x14ac:dyDescent="0.25">
      <c r="K12083" s="128"/>
      <c r="X12083" s="234"/>
      <c r="Y12083" s="234"/>
      <c r="Z12083" s="234"/>
      <c r="AA12083" s="235"/>
      <c r="AB12083" s="234"/>
    </row>
    <row r="12084" ht="14.5" customHeight="1" spans="11:28" x14ac:dyDescent="0.25">
      <c r="K12084" s="128"/>
      <c r="X12084" s="234"/>
      <c r="Y12084" s="234"/>
      <c r="Z12084" s="234"/>
      <c r="AA12084" s="235"/>
      <c r="AB12084" s="234"/>
    </row>
    <row r="12085" ht="14.5" customHeight="1" spans="11:28" x14ac:dyDescent="0.25">
      <c r="K12085" s="128"/>
      <c r="X12085" s="234"/>
      <c r="Y12085" s="234"/>
      <c r="Z12085" s="234"/>
      <c r="AA12085" s="235"/>
      <c r="AB12085" s="234"/>
    </row>
    <row r="12086" ht="14.5" customHeight="1" spans="11:28" x14ac:dyDescent="0.25">
      <c r="K12086" s="128"/>
      <c r="X12086" s="234"/>
      <c r="Y12086" s="234"/>
      <c r="Z12086" s="234"/>
      <c r="AA12086" s="235"/>
      <c r="AB12086" s="234"/>
    </row>
    <row r="12087" ht="14.5" customHeight="1" spans="11:28" x14ac:dyDescent="0.25">
      <c r="K12087" s="128"/>
      <c r="X12087" s="234"/>
      <c r="Y12087" s="234"/>
      <c r="Z12087" s="234"/>
      <c r="AA12087" s="235"/>
      <c r="AB12087" s="234"/>
    </row>
    <row r="12088" ht="14.5" customHeight="1" spans="11:28" x14ac:dyDescent="0.25">
      <c r="K12088" s="128"/>
      <c r="X12088" s="234"/>
      <c r="Y12088" s="234"/>
      <c r="Z12088" s="234"/>
      <c r="AA12088" s="235"/>
      <c r="AB12088" s="234"/>
    </row>
    <row r="12089" ht="14.5" customHeight="1" spans="11:28" x14ac:dyDescent="0.25">
      <c r="K12089" s="128"/>
      <c r="X12089" s="234"/>
      <c r="Y12089" s="234"/>
      <c r="Z12089" s="234"/>
      <c r="AA12089" s="235"/>
      <c r="AB12089" s="234"/>
    </row>
    <row r="12090" ht="14.5" customHeight="1" spans="11:28" x14ac:dyDescent="0.25">
      <c r="K12090" s="128"/>
      <c r="X12090" s="234"/>
      <c r="Y12090" s="234"/>
      <c r="Z12090" s="234"/>
      <c r="AA12090" s="235"/>
      <c r="AB12090" s="234"/>
    </row>
    <row r="12091" ht="14.5" customHeight="1" spans="11:28" x14ac:dyDescent="0.25">
      <c r="K12091" s="128"/>
      <c r="X12091" s="234"/>
      <c r="Y12091" s="234"/>
      <c r="Z12091" s="234"/>
      <c r="AA12091" s="235"/>
      <c r="AB12091" s="234"/>
    </row>
    <row r="12092" ht="14.5" customHeight="1" spans="11:28" x14ac:dyDescent="0.25">
      <c r="K12092" s="128"/>
      <c r="X12092" s="234"/>
      <c r="Y12092" s="234"/>
      <c r="Z12092" s="234"/>
      <c r="AA12092" s="235"/>
      <c r="AB12092" s="234"/>
    </row>
    <row r="12093" ht="14.5" customHeight="1" spans="11:28" x14ac:dyDescent="0.25">
      <c r="K12093" s="128"/>
      <c r="X12093" s="234"/>
      <c r="Y12093" s="234"/>
      <c r="Z12093" s="234"/>
      <c r="AA12093" s="235"/>
      <c r="AB12093" s="234"/>
    </row>
    <row r="12094" ht="14.5" customHeight="1" spans="11:28" x14ac:dyDescent="0.25">
      <c r="K12094" s="128"/>
      <c r="X12094" s="234"/>
      <c r="Y12094" s="234"/>
      <c r="Z12094" s="234"/>
      <c r="AA12094" s="235"/>
      <c r="AB12094" s="234"/>
    </row>
    <row r="12095" ht="14.5" customHeight="1" spans="11:28" x14ac:dyDescent="0.25">
      <c r="K12095" s="128"/>
      <c r="X12095" s="234"/>
      <c r="Y12095" s="234"/>
      <c r="Z12095" s="234"/>
      <c r="AA12095" s="235"/>
      <c r="AB12095" s="234"/>
    </row>
    <row r="12096" ht="14.5" customHeight="1" spans="11:28" x14ac:dyDescent="0.25">
      <c r="K12096" s="128"/>
      <c r="X12096" s="234"/>
      <c r="Y12096" s="234"/>
      <c r="Z12096" s="234"/>
      <c r="AA12096" s="235"/>
      <c r="AB12096" s="234"/>
    </row>
    <row r="12097" ht="14.5" customHeight="1" spans="11:28" x14ac:dyDescent="0.25">
      <c r="K12097" s="128"/>
      <c r="X12097" s="234"/>
      <c r="Y12097" s="234"/>
      <c r="Z12097" s="234"/>
      <c r="AA12097" s="235"/>
      <c r="AB12097" s="234"/>
    </row>
    <row r="12098" ht="14.5" customHeight="1" spans="11:28" x14ac:dyDescent="0.25">
      <c r="K12098" s="128"/>
      <c r="X12098" s="234"/>
      <c r="Y12098" s="234"/>
      <c r="Z12098" s="234"/>
      <c r="AA12098" s="235"/>
      <c r="AB12098" s="234"/>
    </row>
    <row r="12099" ht="14.5" customHeight="1" spans="11:28" x14ac:dyDescent="0.25">
      <c r="K12099" s="128"/>
      <c r="X12099" s="234"/>
      <c r="Y12099" s="234"/>
      <c r="Z12099" s="234"/>
      <c r="AA12099" s="235"/>
      <c r="AB12099" s="234"/>
    </row>
    <row r="12100" ht="14.5" customHeight="1" spans="11:28" x14ac:dyDescent="0.25">
      <c r="K12100" s="128"/>
      <c r="X12100" s="234"/>
      <c r="Y12100" s="234"/>
      <c r="Z12100" s="234"/>
      <c r="AA12100" s="235"/>
      <c r="AB12100" s="234"/>
    </row>
    <row r="12101" ht="14.5" customHeight="1" spans="11:28" x14ac:dyDescent="0.25">
      <c r="K12101" s="128"/>
      <c r="X12101" s="234"/>
      <c r="Y12101" s="234"/>
      <c r="Z12101" s="234"/>
      <c r="AA12101" s="235"/>
      <c r="AB12101" s="234"/>
    </row>
    <row r="12102" ht="14.5" customHeight="1" spans="11:28" x14ac:dyDescent="0.25">
      <c r="K12102" s="128"/>
      <c r="X12102" s="234"/>
      <c r="Y12102" s="234"/>
      <c r="Z12102" s="234"/>
      <c r="AA12102" s="235"/>
      <c r="AB12102" s="234"/>
    </row>
    <row r="12103" ht="14.5" customHeight="1" spans="11:28" x14ac:dyDescent="0.25">
      <c r="K12103" s="128"/>
      <c r="X12103" s="234"/>
      <c r="Y12103" s="234"/>
      <c r="Z12103" s="234"/>
      <c r="AA12103" s="235"/>
      <c r="AB12103" s="234"/>
    </row>
    <row r="12104" ht="14.5" customHeight="1" spans="11:28" x14ac:dyDescent="0.25">
      <c r="K12104" s="128"/>
      <c r="X12104" s="234"/>
      <c r="Y12104" s="234"/>
      <c r="Z12104" s="234"/>
      <c r="AA12104" s="235"/>
      <c r="AB12104" s="234"/>
    </row>
    <row r="12105" ht="14.5" customHeight="1" spans="11:28" x14ac:dyDescent="0.25">
      <c r="K12105" s="128"/>
      <c r="X12105" s="234"/>
      <c r="Y12105" s="234"/>
      <c r="Z12105" s="234"/>
      <c r="AA12105" s="235"/>
      <c r="AB12105" s="234"/>
    </row>
    <row r="12106" ht="14.5" customHeight="1" spans="11:28" x14ac:dyDescent="0.25">
      <c r="K12106" s="128"/>
      <c r="X12106" s="234"/>
      <c r="Y12106" s="234"/>
      <c r="Z12106" s="234"/>
      <c r="AA12106" s="235"/>
      <c r="AB12106" s="234"/>
    </row>
    <row r="12107" ht="14.5" customHeight="1" spans="11:28" x14ac:dyDescent="0.25">
      <c r="K12107" s="128"/>
      <c r="X12107" s="234"/>
      <c r="Y12107" s="234"/>
      <c r="Z12107" s="234"/>
      <c r="AA12107" s="235"/>
      <c r="AB12107" s="234"/>
    </row>
    <row r="12108" ht="14.5" customHeight="1" spans="11:28" x14ac:dyDescent="0.25">
      <c r="K12108" s="128"/>
      <c r="X12108" s="234"/>
      <c r="Y12108" s="234"/>
      <c r="Z12108" s="234"/>
      <c r="AA12108" s="235"/>
      <c r="AB12108" s="234"/>
    </row>
    <row r="12109" ht="14.5" customHeight="1" spans="11:28" x14ac:dyDescent="0.25">
      <c r="K12109" s="128"/>
      <c r="X12109" s="234"/>
      <c r="Y12109" s="234"/>
      <c r="Z12109" s="234"/>
      <c r="AA12109" s="235"/>
      <c r="AB12109" s="234"/>
    </row>
    <row r="12110" ht="14.5" customHeight="1" spans="11:28" x14ac:dyDescent="0.25">
      <c r="K12110" s="128"/>
      <c r="X12110" s="234"/>
      <c r="Y12110" s="234"/>
      <c r="Z12110" s="234"/>
      <c r="AA12110" s="235"/>
      <c r="AB12110" s="234"/>
    </row>
    <row r="12111" ht="14.5" customHeight="1" spans="11:28" x14ac:dyDescent="0.25">
      <c r="K12111" s="128"/>
      <c r="X12111" s="234"/>
      <c r="Y12111" s="234"/>
      <c r="Z12111" s="234"/>
      <c r="AA12111" s="235"/>
      <c r="AB12111" s="234"/>
    </row>
    <row r="12112" ht="14.5" customHeight="1" spans="11:28" x14ac:dyDescent="0.25">
      <c r="K12112" s="128"/>
      <c r="X12112" s="234"/>
      <c r="Y12112" s="234"/>
      <c r="Z12112" s="234"/>
      <c r="AA12112" s="235"/>
      <c r="AB12112" s="234"/>
    </row>
    <row r="12113" ht="14.5" customHeight="1" spans="11:28" x14ac:dyDescent="0.25">
      <c r="K12113" s="128"/>
      <c r="X12113" s="234"/>
      <c r="Y12113" s="234"/>
      <c r="Z12113" s="234"/>
      <c r="AA12113" s="235"/>
      <c r="AB12113" s="234"/>
    </row>
    <row r="12114" ht="14.5" customHeight="1" spans="11:28" x14ac:dyDescent="0.25">
      <c r="K12114" s="128"/>
      <c r="X12114" s="234"/>
      <c r="Y12114" s="234"/>
      <c r="Z12114" s="234"/>
      <c r="AA12114" s="235"/>
      <c r="AB12114" s="234"/>
    </row>
    <row r="12115" ht="14.5" customHeight="1" spans="11:28" x14ac:dyDescent="0.25">
      <c r="K12115" s="128"/>
      <c r="X12115" s="234"/>
      <c r="Y12115" s="234"/>
      <c r="Z12115" s="234"/>
      <c r="AA12115" s="235"/>
      <c r="AB12115" s="234"/>
    </row>
    <row r="12116" ht="14.5" customHeight="1" spans="11:28" x14ac:dyDescent="0.25">
      <c r="K12116" s="128"/>
      <c r="X12116" s="234"/>
      <c r="Y12116" s="234"/>
      <c r="Z12116" s="234"/>
      <c r="AA12116" s="235"/>
      <c r="AB12116" s="234"/>
    </row>
    <row r="12117" ht="14.5" customHeight="1" spans="11:28" x14ac:dyDescent="0.25">
      <c r="K12117" s="128"/>
      <c r="X12117" s="234"/>
      <c r="Y12117" s="234"/>
      <c r="Z12117" s="234"/>
      <c r="AA12117" s="235"/>
      <c r="AB12117" s="234"/>
    </row>
    <row r="12118" ht="14.5" customHeight="1" spans="11:28" x14ac:dyDescent="0.25">
      <c r="K12118" s="128"/>
      <c r="X12118" s="234"/>
      <c r="Y12118" s="234"/>
      <c r="Z12118" s="234"/>
      <c r="AA12118" s="235"/>
      <c r="AB12118" s="234"/>
    </row>
    <row r="12119" ht="14.5" customHeight="1" spans="11:28" x14ac:dyDescent="0.25">
      <c r="K12119" s="128"/>
      <c r="X12119" s="234"/>
      <c r="Y12119" s="234"/>
      <c r="Z12119" s="234"/>
      <c r="AA12119" s="235"/>
      <c r="AB12119" s="234"/>
    </row>
    <row r="12120" ht="14.5" customHeight="1" spans="11:28" x14ac:dyDescent="0.25">
      <c r="K12120" s="128"/>
      <c r="X12120" s="234"/>
      <c r="Y12120" s="234"/>
      <c r="Z12120" s="234"/>
      <c r="AA12120" s="235"/>
      <c r="AB12120" s="234"/>
    </row>
    <row r="12121" ht="14.5" customHeight="1" spans="11:28" x14ac:dyDescent="0.25">
      <c r="K12121" s="128"/>
      <c r="X12121" s="234"/>
      <c r="Y12121" s="234"/>
      <c r="Z12121" s="234"/>
      <c r="AA12121" s="235"/>
      <c r="AB12121" s="234"/>
    </row>
    <row r="12122" ht="14.5" customHeight="1" spans="11:28" x14ac:dyDescent="0.25">
      <c r="K12122" s="128"/>
      <c r="X12122" s="234"/>
      <c r="Y12122" s="234"/>
      <c r="Z12122" s="234"/>
      <c r="AA12122" s="235"/>
      <c r="AB12122" s="234"/>
    </row>
    <row r="12123" ht="14.5" customHeight="1" spans="11:28" x14ac:dyDescent="0.25">
      <c r="K12123" s="128"/>
      <c r="X12123" s="234"/>
      <c r="Y12123" s="234"/>
      <c r="Z12123" s="234"/>
      <c r="AA12123" s="235"/>
      <c r="AB12123" s="234"/>
    </row>
    <row r="12124" ht="14.5" customHeight="1" spans="11:28" x14ac:dyDescent="0.25">
      <c r="K12124" s="128"/>
      <c r="X12124" s="234"/>
      <c r="Y12124" s="234"/>
      <c r="Z12124" s="234"/>
      <c r="AA12124" s="235"/>
      <c r="AB12124" s="234"/>
    </row>
    <row r="12125" ht="14.5" customHeight="1" spans="11:28" x14ac:dyDescent="0.25">
      <c r="K12125" s="128"/>
      <c r="X12125" s="234"/>
      <c r="Y12125" s="234"/>
      <c r="Z12125" s="234"/>
      <c r="AA12125" s="235"/>
      <c r="AB12125" s="234"/>
    </row>
    <row r="12126" ht="14.5" customHeight="1" spans="11:28" x14ac:dyDescent="0.25">
      <c r="K12126" s="128"/>
      <c r="X12126" s="234"/>
      <c r="Y12126" s="234"/>
      <c r="Z12126" s="234"/>
      <c r="AA12126" s="235"/>
      <c r="AB12126" s="234"/>
    </row>
    <row r="12127" ht="14.5" customHeight="1" spans="11:28" x14ac:dyDescent="0.25">
      <c r="K12127" s="128"/>
      <c r="X12127" s="234"/>
      <c r="Y12127" s="234"/>
      <c r="Z12127" s="234"/>
      <c r="AA12127" s="235"/>
      <c r="AB12127" s="234"/>
    </row>
    <row r="12128" ht="14.5" customHeight="1" spans="11:28" x14ac:dyDescent="0.25">
      <c r="K12128" s="128"/>
      <c r="X12128" s="234"/>
      <c r="Y12128" s="234"/>
      <c r="Z12128" s="234"/>
      <c r="AA12128" s="235"/>
      <c r="AB12128" s="234"/>
    </row>
    <row r="12129" ht="14.5" customHeight="1" spans="11:28" x14ac:dyDescent="0.25">
      <c r="K12129" s="128"/>
      <c r="X12129" s="234"/>
      <c r="Y12129" s="234"/>
      <c r="Z12129" s="234"/>
      <c r="AA12129" s="235"/>
      <c r="AB12129" s="234"/>
    </row>
    <row r="12130" ht="14.5" customHeight="1" spans="11:28" x14ac:dyDescent="0.25">
      <c r="K12130" s="128"/>
      <c r="X12130" s="234"/>
      <c r="Y12130" s="234"/>
      <c r="Z12130" s="234"/>
      <c r="AA12130" s="235"/>
      <c r="AB12130" s="234"/>
    </row>
    <row r="12131" ht="14.5" customHeight="1" spans="11:28" x14ac:dyDescent="0.25">
      <c r="K12131" s="128"/>
      <c r="X12131" s="234"/>
      <c r="Y12131" s="234"/>
      <c r="Z12131" s="234"/>
      <c r="AA12131" s="235"/>
      <c r="AB12131" s="234"/>
    </row>
    <row r="12132" ht="14.5" customHeight="1" spans="11:28" x14ac:dyDescent="0.25">
      <c r="K12132" s="128"/>
      <c r="X12132" s="234"/>
      <c r="Y12132" s="234"/>
      <c r="Z12132" s="234"/>
      <c r="AA12132" s="235"/>
      <c r="AB12132" s="234"/>
    </row>
    <row r="12133" ht="14.5" customHeight="1" spans="11:28" x14ac:dyDescent="0.25">
      <c r="K12133" s="128"/>
      <c r="X12133" s="234"/>
      <c r="Y12133" s="234"/>
      <c r="Z12133" s="234"/>
      <c r="AA12133" s="235"/>
      <c r="AB12133" s="234"/>
    </row>
    <row r="12134" ht="14.5" customHeight="1" spans="11:28" x14ac:dyDescent="0.25">
      <c r="K12134" s="128"/>
      <c r="X12134" s="234"/>
      <c r="Y12134" s="234"/>
      <c r="Z12134" s="234"/>
      <c r="AA12134" s="235"/>
      <c r="AB12134" s="234"/>
    </row>
    <row r="12135" ht="14.5" customHeight="1" spans="11:28" x14ac:dyDescent="0.25">
      <c r="K12135" s="128"/>
      <c r="X12135" s="234"/>
      <c r="Y12135" s="234"/>
      <c r="Z12135" s="234"/>
      <c r="AA12135" s="235"/>
      <c r="AB12135" s="234"/>
    </row>
    <row r="12136" ht="14.5" customHeight="1" spans="11:28" x14ac:dyDescent="0.25">
      <c r="K12136" s="128"/>
      <c r="X12136" s="234"/>
      <c r="Y12136" s="234"/>
      <c r="Z12136" s="234"/>
      <c r="AA12136" s="235"/>
      <c r="AB12136" s="234"/>
    </row>
    <row r="12137" ht="14.5" customHeight="1" spans="11:28" x14ac:dyDescent="0.25">
      <c r="K12137" s="128"/>
      <c r="X12137" s="234"/>
      <c r="Y12137" s="234"/>
      <c r="Z12137" s="234"/>
      <c r="AA12137" s="235"/>
      <c r="AB12137" s="234"/>
    </row>
    <row r="12138" ht="14.5" customHeight="1" spans="11:28" x14ac:dyDescent="0.25">
      <c r="K12138" s="128"/>
      <c r="X12138" s="234"/>
      <c r="Y12138" s="234"/>
      <c r="Z12138" s="234"/>
      <c r="AA12138" s="235"/>
      <c r="AB12138" s="234"/>
    </row>
    <row r="12139" ht="14.5" customHeight="1" spans="11:28" x14ac:dyDescent="0.25">
      <c r="K12139" s="128"/>
      <c r="X12139" s="234"/>
      <c r="Y12139" s="234"/>
      <c r="Z12139" s="234"/>
      <c r="AA12139" s="235"/>
      <c r="AB12139" s="234"/>
    </row>
    <row r="12140" ht="14.5" customHeight="1" spans="11:28" x14ac:dyDescent="0.25">
      <c r="K12140" s="128"/>
      <c r="X12140" s="234"/>
      <c r="Y12140" s="234"/>
      <c r="Z12140" s="234"/>
      <c r="AA12140" s="235"/>
      <c r="AB12140" s="234"/>
    </row>
    <row r="12141" ht="14.5" customHeight="1" spans="11:28" x14ac:dyDescent="0.25">
      <c r="K12141" s="128"/>
      <c r="X12141" s="234"/>
      <c r="Y12141" s="234"/>
      <c r="Z12141" s="234"/>
      <c r="AA12141" s="235"/>
      <c r="AB12141" s="234"/>
    </row>
    <row r="12142" ht="14.5" customHeight="1" spans="11:28" x14ac:dyDescent="0.25">
      <c r="K12142" s="128"/>
      <c r="X12142" s="234"/>
      <c r="Y12142" s="234"/>
      <c r="Z12142" s="234"/>
      <c r="AA12142" s="235"/>
      <c r="AB12142" s="234"/>
    </row>
    <row r="12143" ht="14.5" customHeight="1" spans="11:28" x14ac:dyDescent="0.25">
      <c r="K12143" s="128"/>
      <c r="X12143" s="234"/>
      <c r="Y12143" s="234"/>
      <c r="Z12143" s="234"/>
      <c r="AA12143" s="235"/>
      <c r="AB12143" s="234"/>
    </row>
    <row r="12144" ht="14.5" customHeight="1" spans="11:28" x14ac:dyDescent="0.25">
      <c r="K12144" s="128"/>
      <c r="X12144" s="234"/>
      <c r="Y12144" s="234"/>
      <c r="Z12144" s="234"/>
      <c r="AA12144" s="235"/>
      <c r="AB12144" s="234"/>
    </row>
    <row r="12145" ht="14.5" customHeight="1" spans="11:28" x14ac:dyDescent="0.25">
      <c r="K12145" s="128"/>
      <c r="X12145" s="234"/>
      <c r="Y12145" s="234"/>
      <c r="Z12145" s="234"/>
      <c r="AA12145" s="235"/>
      <c r="AB12145" s="234"/>
    </row>
    <row r="12146" ht="14.5" customHeight="1" spans="11:28" x14ac:dyDescent="0.25">
      <c r="K12146" s="128"/>
      <c r="X12146" s="234"/>
      <c r="Y12146" s="234"/>
      <c r="Z12146" s="234"/>
      <c r="AA12146" s="235"/>
      <c r="AB12146" s="234"/>
    </row>
    <row r="12147" ht="14.5" customHeight="1" spans="11:28" x14ac:dyDescent="0.25">
      <c r="K12147" s="128"/>
      <c r="X12147" s="234"/>
      <c r="Y12147" s="234"/>
      <c r="Z12147" s="234"/>
      <c r="AA12147" s="235"/>
      <c r="AB12147" s="234"/>
    </row>
    <row r="12148" ht="14.5" customHeight="1" spans="11:28" x14ac:dyDescent="0.25">
      <c r="K12148" s="128"/>
      <c r="X12148" s="234"/>
      <c r="Y12148" s="234"/>
      <c r="Z12148" s="234"/>
      <c r="AA12148" s="235"/>
      <c r="AB12148" s="234"/>
    </row>
    <row r="12149" ht="14.5" customHeight="1" spans="11:28" x14ac:dyDescent="0.25">
      <c r="K12149" s="128"/>
      <c r="X12149" s="234"/>
      <c r="Y12149" s="234"/>
      <c r="Z12149" s="234"/>
      <c r="AA12149" s="235"/>
      <c r="AB12149" s="234"/>
    </row>
    <row r="12150" ht="14.5" customHeight="1" spans="11:28" x14ac:dyDescent="0.25">
      <c r="K12150" s="128"/>
      <c r="X12150" s="234"/>
      <c r="Y12150" s="234"/>
      <c r="Z12150" s="234"/>
      <c r="AA12150" s="235"/>
      <c r="AB12150" s="234"/>
    </row>
    <row r="12151" ht="14.5" customHeight="1" spans="11:28" x14ac:dyDescent="0.25">
      <c r="K12151" s="128"/>
      <c r="X12151" s="234"/>
      <c r="Y12151" s="234"/>
      <c r="Z12151" s="234"/>
      <c r="AA12151" s="235"/>
      <c r="AB12151" s="234"/>
    </row>
    <row r="12152" ht="14.5" customHeight="1" spans="11:28" x14ac:dyDescent="0.25">
      <c r="K12152" s="128"/>
      <c r="X12152" s="234"/>
      <c r="Y12152" s="234"/>
      <c r="Z12152" s="234"/>
      <c r="AA12152" s="235"/>
      <c r="AB12152" s="234"/>
    </row>
    <row r="12153" ht="14.5" customHeight="1" spans="11:28" x14ac:dyDescent="0.25">
      <c r="K12153" s="128"/>
      <c r="X12153" s="234"/>
      <c r="Y12153" s="234"/>
      <c r="Z12153" s="234"/>
      <c r="AA12153" s="235"/>
      <c r="AB12153" s="234"/>
    </row>
    <row r="12154" ht="14.5" customHeight="1" spans="11:28" x14ac:dyDescent="0.25">
      <c r="K12154" s="128"/>
      <c r="X12154" s="234"/>
      <c r="Y12154" s="234"/>
      <c r="Z12154" s="234"/>
      <c r="AA12154" s="235"/>
      <c r="AB12154" s="234"/>
    </row>
    <row r="12155" ht="14.5" customHeight="1" spans="11:28" x14ac:dyDescent="0.25">
      <c r="K12155" s="128"/>
      <c r="X12155" s="234"/>
      <c r="Y12155" s="234"/>
      <c r="Z12155" s="234"/>
      <c r="AA12155" s="235"/>
      <c r="AB12155" s="234"/>
    </row>
    <row r="12156" ht="14.5" customHeight="1" spans="11:28" x14ac:dyDescent="0.25">
      <c r="K12156" s="128"/>
      <c r="X12156" s="234"/>
      <c r="Y12156" s="234"/>
      <c r="Z12156" s="234"/>
      <c r="AA12156" s="235"/>
      <c r="AB12156" s="234"/>
    </row>
    <row r="12157" ht="14.5" customHeight="1" spans="11:28" x14ac:dyDescent="0.25">
      <c r="K12157" s="128"/>
      <c r="X12157" s="234"/>
      <c r="Y12157" s="234"/>
      <c r="Z12157" s="234"/>
      <c r="AA12157" s="235"/>
      <c r="AB12157" s="234"/>
    </row>
    <row r="12158" ht="14.5" customHeight="1" spans="11:28" x14ac:dyDescent="0.25">
      <c r="K12158" s="128"/>
      <c r="X12158" s="234"/>
      <c r="Y12158" s="234"/>
      <c r="Z12158" s="234"/>
      <c r="AA12158" s="235"/>
      <c r="AB12158" s="234"/>
    </row>
    <row r="12159" ht="14.5" customHeight="1" spans="11:28" x14ac:dyDescent="0.25">
      <c r="K12159" s="128"/>
      <c r="X12159" s="234"/>
      <c r="Y12159" s="234"/>
      <c r="Z12159" s="234"/>
      <c r="AA12159" s="235"/>
      <c r="AB12159" s="234"/>
    </row>
    <row r="12160" ht="14.5" customHeight="1" spans="11:28" x14ac:dyDescent="0.25">
      <c r="K12160" s="128"/>
      <c r="X12160" s="234"/>
      <c r="Y12160" s="234"/>
      <c r="Z12160" s="234"/>
      <c r="AA12160" s="235"/>
      <c r="AB12160" s="234"/>
    </row>
    <row r="12161" ht="14.5" customHeight="1" spans="11:28" x14ac:dyDescent="0.25">
      <c r="K12161" s="128"/>
      <c r="X12161" s="234"/>
      <c r="Y12161" s="234"/>
      <c r="Z12161" s="234"/>
      <c r="AA12161" s="235"/>
      <c r="AB12161" s="234"/>
    </row>
    <row r="12162" ht="14.5" customHeight="1" spans="11:28" x14ac:dyDescent="0.25">
      <c r="K12162" s="128"/>
      <c r="X12162" s="234"/>
      <c r="Y12162" s="234"/>
      <c r="Z12162" s="234"/>
      <c r="AA12162" s="235"/>
      <c r="AB12162" s="234"/>
    </row>
    <row r="12163" ht="14.5" customHeight="1" spans="11:28" x14ac:dyDescent="0.25">
      <c r="K12163" s="128"/>
      <c r="X12163" s="234"/>
      <c r="Y12163" s="234"/>
      <c r="Z12163" s="234"/>
      <c r="AA12163" s="235"/>
      <c r="AB12163" s="234"/>
    </row>
    <row r="12164" ht="14.5" customHeight="1" spans="11:28" x14ac:dyDescent="0.25">
      <c r="K12164" s="128"/>
      <c r="X12164" s="234"/>
      <c r="Y12164" s="234"/>
      <c r="Z12164" s="234"/>
      <c r="AA12164" s="235"/>
      <c r="AB12164" s="234"/>
    </row>
    <row r="12165" ht="14.5" customHeight="1" spans="11:28" x14ac:dyDescent="0.25">
      <c r="K12165" s="128"/>
      <c r="X12165" s="234"/>
      <c r="Y12165" s="234"/>
      <c r="Z12165" s="234"/>
      <c r="AA12165" s="235"/>
      <c r="AB12165" s="234"/>
    </row>
    <row r="12166" ht="14.5" customHeight="1" spans="11:28" x14ac:dyDescent="0.25">
      <c r="K12166" s="128"/>
      <c r="X12166" s="234"/>
      <c r="Y12166" s="234"/>
      <c r="Z12166" s="234"/>
      <c r="AA12166" s="235"/>
      <c r="AB12166" s="234"/>
    </row>
    <row r="12167" ht="14.5" customHeight="1" spans="11:28" x14ac:dyDescent="0.25">
      <c r="K12167" s="128"/>
      <c r="X12167" s="234"/>
      <c r="Y12167" s="234"/>
      <c r="Z12167" s="234"/>
      <c r="AA12167" s="235"/>
      <c r="AB12167" s="234"/>
    </row>
    <row r="12168" ht="14.5" customHeight="1" spans="11:28" x14ac:dyDescent="0.25">
      <c r="K12168" s="128"/>
      <c r="X12168" s="234"/>
      <c r="Y12168" s="234"/>
      <c r="Z12168" s="234"/>
      <c r="AA12168" s="235"/>
      <c r="AB12168" s="234"/>
    </row>
    <row r="12169" ht="14.5" customHeight="1" spans="11:28" x14ac:dyDescent="0.25">
      <c r="K12169" s="128"/>
      <c r="X12169" s="234"/>
      <c r="Y12169" s="234"/>
      <c r="Z12169" s="234"/>
      <c r="AA12169" s="235"/>
      <c r="AB12169" s="234"/>
    </row>
    <row r="12170" ht="14.5" customHeight="1" spans="11:28" x14ac:dyDescent="0.25">
      <c r="K12170" s="128"/>
      <c r="X12170" s="234"/>
      <c r="Y12170" s="234"/>
      <c r="Z12170" s="234"/>
      <c r="AA12170" s="235"/>
      <c r="AB12170" s="234"/>
    </row>
    <row r="12171" ht="14.5" customHeight="1" spans="11:28" x14ac:dyDescent="0.25">
      <c r="K12171" s="128"/>
      <c r="X12171" s="234"/>
      <c r="Y12171" s="234"/>
      <c r="Z12171" s="234"/>
      <c r="AA12171" s="235"/>
      <c r="AB12171" s="234"/>
    </row>
    <row r="12172" ht="14.5" customHeight="1" spans="11:28" x14ac:dyDescent="0.25">
      <c r="K12172" s="128"/>
      <c r="X12172" s="234"/>
      <c r="Y12172" s="234"/>
      <c r="Z12172" s="234"/>
      <c r="AA12172" s="235"/>
      <c r="AB12172" s="234"/>
    </row>
    <row r="12173" ht="14.5" customHeight="1" spans="11:28" x14ac:dyDescent="0.25">
      <c r="K12173" s="128"/>
      <c r="X12173" s="234"/>
      <c r="Y12173" s="234"/>
      <c r="Z12173" s="234"/>
      <c r="AA12173" s="235"/>
      <c r="AB12173" s="234"/>
    </row>
    <row r="12174" ht="14.5" customHeight="1" spans="11:28" x14ac:dyDescent="0.25">
      <c r="K12174" s="128"/>
      <c r="X12174" s="234"/>
      <c r="Y12174" s="234"/>
      <c r="Z12174" s="234"/>
      <c r="AA12174" s="235"/>
      <c r="AB12174" s="234"/>
    </row>
    <row r="12175" ht="14.5" customHeight="1" spans="11:28" x14ac:dyDescent="0.25">
      <c r="K12175" s="128"/>
      <c r="X12175" s="234"/>
      <c r="Y12175" s="234"/>
      <c r="Z12175" s="234"/>
      <c r="AA12175" s="235"/>
      <c r="AB12175" s="234"/>
    </row>
    <row r="12176" ht="14.5" customHeight="1" spans="11:28" x14ac:dyDescent="0.25">
      <c r="K12176" s="128"/>
      <c r="X12176" s="234"/>
      <c r="Y12176" s="234"/>
      <c r="Z12176" s="234"/>
      <c r="AA12176" s="235"/>
      <c r="AB12176" s="234"/>
    </row>
    <row r="12177" ht="14.5" customHeight="1" spans="11:28" x14ac:dyDescent="0.25">
      <c r="K12177" s="128"/>
      <c r="X12177" s="234"/>
      <c r="Y12177" s="234"/>
      <c r="Z12177" s="234"/>
      <c r="AA12177" s="235"/>
      <c r="AB12177" s="234"/>
    </row>
    <row r="12178" ht="14.5" customHeight="1" spans="11:28" x14ac:dyDescent="0.25">
      <c r="K12178" s="128"/>
      <c r="X12178" s="234"/>
      <c r="Y12178" s="234"/>
      <c r="Z12178" s="234"/>
      <c r="AA12178" s="235"/>
      <c r="AB12178" s="234"/>
    </row>
    <row r="12179" ht="14.5" customHeight="1" spans="11:28" x14ac:dyDescent="0.25">
      <c r="K12179" s="128"/>
      <c r="X12179" s="234"/>
      <c r="Y12179" s="234"/>
      <c r="Z12179" s="234"/>
      <c r="AA12179" s="235"/>
      <c r="AB12179" s="234"/>
    </row>
    <row r="12180" ht="14.5" customHeight="1" spans="11:28" x14ac:dyDescent="0.25">
      <c r="K12180" s="128"/>
      <c r="X12180" s="234"/>
      <c r="Y12180" s="234"/>
      <c r="Z12180" s="234"/>
      <c r="AA12180" s="235"/>
      <c r="AB12180" s="234"/>
    </row>
    <row r="12181" ht="14.5" customHeight="1" spans="11:28" x14ac:dyDescent="0.25">
      <c r="K12181" s="128"/>
      <c r="X12181" s="234"/>
      <c r="Y12181" s="234"/>
      <c r="Z12181" s="234"/>
      <c r="AA12181" s="235"/>
      <c r="AB12181" s="234"/>
    </row>
    <row r="12182" ht="14.5" customHeight="1" spans="11:28" x14ac:dyDescent="0.25">
      <c r="K12182" s="128"/>
      <c r="X12182" s="234"/>
      <c r="Y12182" s="234"/>
      <c r="Z12182" s="234"/>
      <c r="AA12182" s="235"/>
      <c r="AB12182" s="234"/>
    </row>
    <row r="12183" ht="14.5" customHeight="1" spans="11:28" x14ac:dyDescent="0.25">
      <c r="K12183" s="128"/>
      <c r="X12183" s="234"/>
      <c r="Y12183" s="234"/>
      <c r="Z12183" s="234"/>
      <c r="AA12183" s="235"/>
      <c r="AB12183" s="234"/>
    </row>
    <row r="12184" ht="14.5" customHeight="1" spans="11:28" x14ac:dyDescent="0.25">
      <c r="K12184" s="128"/>
      <c r="X12184" s="234"/>
      <c r="Y12184" s="234"/>
      <c r="Z12184" s="234"/>
      <c r="AA12184" s="235"/>
      <c r="AB12184" s="234"/>
    </row>
    <row r="12185" ht="14.5" customHeight="1" spans="11:28" x14ac:dyDescent="0.25">
      <c r="K12185" s="128"/>
      <c r="X12185" s="234"/>
      <c r="Y12185" s="234"/>
      <c r="Z12185" s="234"/>
      <c r="AA12185" s="235"/>
      <c r="AB12185" s="234"/>
    </row>
    <row r="12186" ht="14.5" customHeight="1" spans="11:28" x14ac:dyDescent="0.25">
      <c r="K12186" s="128"/>
      <c r="X12186" s="234"/>
      <c r="Y12186" s="234"/>
      <c r="Z12186" s="234"/>
      <c r="AA12186" s="235"/>
      <c r="AB12186" s="234"/>
    </row>
    <row r="12187" ht="14.5" customHeight="1" spans="11:28" x14ac:dyDescent="0.25">
      <c r="K12187" s="128"/>
      <c r="X12187" s="234"/>
      <c r="Y12187" s="234"/>
      <c r="Z12187" s="234"/>
      <c r="AA12187" s="235"/>
      <c r="AB12187" s="234"/>
    </row>
    <row r="12188" ht="14.5" customHeight="1" spans="11:28" x14ac:dyDescent="0.25">
      <c r="K12188" s="128"/>
      <c r="X12188" s="234"/>
      <c r="Y12188" s="234"/>
      <c r="Z12188" s="234"/>
      <c r="AA12188" s="235"/>
      <c r="AB12188" s="234"/>
    </row>
    <row r="12189" ht="14.5" customHeight="1" spans="11:28" x14ac:dyDescent="0.25">
      <c r="K12189" s="128"/>
      <c r="X12189" s="234"/>
      <c r="Y12189" s="234"/>
      <c r="Z12189" s="234"/>
      <c r="AA12189" s="235"/>
      <c r="AB12189" s="234"/>
    </row>
    <row r="12190" ht="14.5" customHeight="1" spans="11:28" x14ac:dyDescent="0.25">
      <c r="K12190" s="128"/>
      <c r="X12190" s="234"/>
      <c r="Y12190" s="234"/>
      <c r="Z12190" s="234"/>
      <c r="AA12190" s="235"/>
      <c r="AB12190" s="234"/>
    </row>
    <row r="12191" ht="14.5" customHeight="1" spans="11:28" x14ac:dyDescent="0.25">
      <c r="K12191" s="128"/>
      <c r="X12191" s="234"/>
      <c r="Y12191" s="234"/>
      <c r="Z12191" s="234"/>
      <c r="AA12191" s="235"/>
      <c r="AB12191" s="234"/>
    </row>
    <row r="12192" ht="14.5" customHeight="1" spans="11:28" x14ac:dyDescent="0.25">
      <c r="K12192" s="128"/>
      <c r="X12192" s="234"/>
      <c r="Y12192" s="234"/>
      <c r="Z12192" s="234"/>
      <c r="AA12192" s="235"/>
      <c r="AB12192" s="234"/>
    </row>
    <row r="12193" ht="14.5" customHeight="1" spans="11:28" x14ac:dyDescent="0.25">
      <c r="K12193" s="128"/>
      <c r="X12193" s="234"/>
      <c r="Y12193" s="234"/>
      <c r="Z12193" s="234"/>
      <c r="AA12193" s="235"/>
      <c r="AB12193" s="234"/>
    </row>
    <row r="12194" ht="14.5" customHeight="1" spans="11:28" x14ac:dyDescent="0.25">
      <c r="K12194" s="128"/>
      <c r="X12194" s="234"/>
      <c r="Y12194" s="234"/>
      <c r="Z12194" s="234"/>
      <c r="AA12194" s="235"/>
      <c r="AB12194" s="234"/>
    </row>
    <row r="12195" ht="14.5" customHeight="1" spans="11:28" x14ac:dyDescent="0.25">
      <c r="K12195" s="128"/>
      <c r="X12195" s="234"/>
      <c r="Y12195" s="234"/>
      <c r="Z12195" s="234"/>
      <c r="AA12195" s="235"/>
      <c r="AB12195" s="234"/>
    </row>
    <row r="12196" ht="14.5" customHeight="1" spans="11:28" x14ac:dyDescent="0.25">
      <c r="K12196" s="128"/>
      <c r="X12196" s="234"/>
      <c r="Y12196" s="234"/>
      <c r="Z12196" s="234"/>
      <c r="AA12196" s="235"/>
      <c r="AB12196" s="234"/>
    </row>
    <row r="12197" ht="14.5" customHeight="1" spans="11:28" x14ac:dyDescent="0.25">
      <c r="K12197" s="128"/>
      <c r="X12197" s="234"/>
      <c r="Y12197" s="234"/>
      <c r="Z12197" s="234"/>
      <c r="AA12197" s="235"/>
      <c r="AB12197" s="234"/>
    </row>
    <row r="12198" ht="14.5" customHeight="1" spans="11:28" x14ac:dyDescent="0.25">
      <c r="K12198" s="128"/>
      <c r="X12198" s="234"/>
      <c r="Y12198" s="234"/>
      <c r="Z12198" s="234"/>
      <c r="AA12198" s="235"/>
      <c r="AB12198" s="234"/>
    </row>
    <row r="12199" ht="14.5" customHeight="1" spans="11:28" x14ac:dyDescent="0.25">
      <c r="K12199" s="128"/>
      <c r="X12199" s="234"/>
      <c r="Y12199" s="234"/>
      <c r="Z12199" s="234"/>
      <c r="AA12199" s="235"/>
      <c r="AB12199" s="234"/>
    </row>
    <row r="12200" ht="14.5" customHeight="1" spans="11:28" x14ac:dyDescent="0.25">
      <c r="K12200" s="128"/>
      <c r="X12200" s="234"/>
      <c r="Y12200" s="234"/>
      <c r="Z12200" s="234"/>
      <c r="AA12200" s="235"/>
      <c r="AB12200" s="234"/>
    </row>
    <row r="12201" ht="14.5" customHeight="1" spans="11:28" x14ac:dyDescent="0.25">
      <c r="K12201" s="128"/>
      <c r="X12201" s="234"/>
      <c r="Y12201" s="234"/>
      <c r="Z12201" s="234"/>
      <c r="AA12201" s="235"/>
      <c r="AB12201" s="234"/>
    </row>
    <row r="12202" ht="14.5" customHeight="1" spans="11:28" x14ac:dyDescent="0.25">
      <c r="K12202" s="128"/>
      <c r="X12202" s="234"/>
      <c r="Y12202" s="234"/>
      <c r="Z12202" s="234"/>
      <c r="AA12202" s="235"/>
      <c r="AB12202" s="234"/>
    </row>
    <row r="12203" ht="14.5" customHeight="1" spans="11:28" x14ac:dyDescent="0.25">
      <c r="K12203" s="128"/>
      <c r="X12203" s="234"/>
      <c r="Y12203" s="234"/>
      <c r="Z12203" s="234"/>
      <c r="AA12203" s="235"/>
      <c r="AB12203" s="234"/>
    </row>
    <row r="12204" ht="14.5" customHeight="1" spans="11:28" x14ac:dyDescent="0.25">
      <c r="K12204" s="128"/>
      <c r="X12204" s="234"/>
      <c r="Y12204" s="234"/>
      <c r="Z12204" s="234"/>
      <c r="AA12204" s="235"/>
      <c r="AB12204" s="234"/>
    </row>
    <row r="12205" ht="14.5" customHeight="1" spans="11:28" x14ac:dyDescent="0.25">
      <c r="K12205" s="128"/>
      <c r="X12205" s="234"/>
      <c r="Y12205" s="234"/>
      <c r="Z12205" s="234"/>
      <c r="AA12205" s="235"/>
      <c r="AB12205" s="234"/>
    </row>
    <row r="12206" ht="14.5" customHeight="1" spans="11:28" x14ac:dyDescent="0.25">
      <c r="K12206" s="128"/>
      <c r="X12206" s="234"/>
      <c r="Y12206" s="234"/>
      <c r="Z12206" s="234"/>
      <c r="AA12206" s="235"/>
      <c r="AB12206" s="234"/>
    </row>
    <row r="12207" ht="14.5" customHeight="1" spans="11:28" x14ac:dyDescent="0.25">
      <c r="K12207" s="128"/>
      <c r="X12207" s="234"/>
      <c r="Y12207" s="234"/>
      <c r="Z12207" s="234"/>
      <c r="AA12207" s="235"/>
      <c r="AB12207" s="234"/>
    </row>
    <row r="12208" ht="14.5" customHeight="1" spans="11:28" x14ac:dyDescent="0.25">
      <c r="K12208" s="128"/>
      <c r="X12208" s="234"/>
      <c r="Y12208" s="234"/>
      <c r="Z12208" s="234"/>
      <c r="AA12208" s="235"/>
      <c r="AB12208" s="234"/>
    </row>
    <row r="12209" ht="14.5" customHeight="1" spans="11:28" x14ac:dyDescent="0.25">
      <c r="K12209" s="128"/>
      <c r="X12209" s="234"/>
      <c r="Y12209" s="234"/>
      <c r="Z12209" s="234"/>
      <c r="AA12209" s="235"/>
      <c r="AB12209" s="234"/>
    </row>
    <row r="12210" ht="14.5" customHeight="1" spans="11:28" x14ac:dyDescent="0.25">
      <c r="K12210" s="128"/>
      <c r="X12210" s="234"/>
      <c r="Y12210" s="234"/>
      <c r="Z12210" s="234"/>
      <c r="AA12210" s="235"/>
      <c r="AB12210" s="234"/>
    </row>
    <row r="12211" ht="14.5" customHeight="1" spans="11:28" x14ac:dyDescent="0.25">
      <c r="K12211" s="128"/>
      <c r="X12211" s="234"/>
      <c r="Y12211" s="234"/>
      <c r="Z12211" s="234"/>
      <c r="AA12211" s="235"/>
      <c r="AB12211" s="234"/>
    </row>
    <row r="12212" ht="14.5" customHeight="1" spans="11:28" x14ac:dyDescent="0.25">
      <c r="K12212" s="128"/>
      <c r="X12212" s="234"/>
      <c r="Y12212" s="234"/>
      <c r="Z12212" s="234"/>
      <c r="AA12212" s="235"/>
      <c r="AB12212" s="234"/>
    </row>
    <row r="12213" ht="14.5" customHeight="1" spans="11:28" x14ac:dyDescent="0.25">
      <c r="K12213" s="128"/>
      <c r="X12213" s="234"/>
      <c r="Y12213" s="234"/>
      <c r="Z12213" s="234"/>
      <c r="AA12213" s="235"/>
      <c r="AB12213" s="234"/>
    </row>
    <row r="12214" ht="14.5" customHeight="1" spans="11:28" x14ac:dyDescent="0.25">
      <c r="K12214" s="128"/>
      <c r="X12214" s="234"/>
      <c r="Y12214" s="234"/>
      <c r="Z12214" s="234"/>
      <c r="AA12214" s="235"/>
      <c r="AB12214" s="234"/>
    </row>
    <row r="12215" ht="14.5" customHeight="1" spans="11:28" x14ac:dyDescent="0.25">
      <c r="K12215" s="128"/>
      <c r="X12215" s="234"/>
      <c r="Y12215" s="234"/>
      <c r="Z12215" s="234"/>
      <c r="AA12215" s="235"/>
      <c r="AB12215" s="234"/>
    </row>
    <row r="12216" ht="14.5" customHeight="1" spans="11:28" x14ac:dyDescent="0.25">
      <c r="K12216" s="128"/>
      <c r="X12216" s="234"/>
      <c r="Y12216" s="234"/>
      <c r="Z12216" s="234"/>
      <c r="AA12216" s="235"/>
      <c r="AB12216" s="234"/>
    </row>
    <row r="12217" ht="14.5" customHeight="1" spans="11:28" x14ac:dyDescent="0.25">
      <c r="K12217" s="128"/>
      <c r="X12217" s="234"/>
      <c r="Y12217" s="234"/>
      <c r="Z12217" s="234"/>
      <c r="AA12217" s="235"/>
      <c r="AB12217" s="234"/>
    </row>
    <row r="12218" ht="14.5" customHeight="1" spans="11:28" x14ac:dyDescent="0.25">
      <c r="K12218" s="128"/>
      <c r="X12218" s="234"/>
      <c r="Y12218" s="234"/>
      <c r="Z12218" s="234"/>
      <c r="AA12218" s="235"/>
      <c r="AB12218" s="234"/>
    </row>
    <row r="12219" ht="14.5" customHeight="1" spans="11:28" x14ac:dyDescent="0.25">
      <c r="K12219" s="128"/>
      <c r="X12219" s="234"/>
      <c r="Y12219" s="234"/>
      <c r="Z12219" s="234"/>
      <c r="AA12219" s="235"/>
      <c r="AB12219" s="234"/>
    </row>
    <row r="12220" ht="14.5" customHeight="1" spans="11:28" x14ac:dyDescent="0.25">
      <c r="K12220" s="128"/>
      <c r="X12220" s="234"/>
      <c r="Y12220" s="234"/>
      <c r="Z12220" s="234"/>
      <c r="AA12220" s="235"/>
      <c r="AB12220" s="234"/>
    </row>
    <row r="12221" ht="14.5" customHeight="1" spans="11:28" x14ac:dyDescent="0.25">
      <c r="K12221" s="128"/>
      <c r="X12221" s="234"/>
      <c r="Y12221" s="234"/>
      <c r="Z12221" s="234"/>
      <c r="AA12221" s="235"/>
      <c r="AB12221" s="234"/>
    </row>
    <row r="12222" ht="14.5" customHeight="1" spans="11:28" x14ac:dyDescent="0.25">
      <c r="K12222" s="128"/>
      <c r="X12222" s="234"/>
      <c r="Y12222" s="234"/>
      <c r="Z12222" s="234"/>
      <c r="AA12222" s="235"/>
      <c r="AB12222" s="234"/>
    </row>
    <row r="12223" ht="14.5" customHeight="1" spans="11:28" x14ac:dyDescent="0.25">
      <c r="K12223" s="128"/>
      <c r="X12223" s="234"/>
      <c r="Y12223" s="234"/>
      <c r="Z12223" s="234"/>
      <c r="AA12223" s="235"/>
      <c r="AB12223" s="234"/>
    </row>
    <row r="12224" ht="14.5" customHeight="1" spans="11:28" x14ac:dyDescent="0.25">
      <c r="K12224" s="128"/>
      <c r="X12224" s="234"/>
      <c r="Y12224" s="234"/>
      <c r="Z12224" s="234"/>
      <c r="AA12224" s="235"/>
      <c r="AB12224" s="234"/>
    </row>
    <row r="12225" ht="14.5" customHeight="1" spans="11:28" x14ac:dyDescent="0.25">
      <c r="K12225" s="128"/>
      <c r="X12225" s="234"/>
      <c r="Y12225" s="234"/>
      <c r="Z12225" s="234"/>
      <c r="AA12225" s="235"/>
      <c r="AB12225" s="234"/>
    </row>
    <row r="12226" ht="14.5" customHeight="1" spans="11:28" x14ac:dyDescent="0.25">
      <c r="K12226" s="128"/>
      <c r="X12226" s="234"/>
      <c r="Y12226" s="234"/>
      <c r="Z12226" s="234"/>
      <c r="AA12226" s="235"/>
      <c r="AB12226" s="234"/>
    </row>
    <row r="12227" ht="14.5" customHeight="1" spans="11:28" x14ac:dyDescent="0.25">
      <c r="K12227" s="128"/>
      <c r="X12227" s="234"/>
      <c r="Y12227" s="234"/>
      <c r="Z12227" s="234"/>
      <c r="AA12227" s="235"/>
      <c r="AB12227" s="234"/>
    </row>
    <row r="12228" ht="14.5" customHeight="1" spans="11:28" x14ac:dyDescent="0.25">
      <c r="K12228" s="128"/>
      <c r="X12228" s="234"/>
      <c r="Y12228" s="234"/>
      <c r="Z12228" s="234"/>
      <c r="AA12228" s="235"/>
      <c r="AB12228" s="234"/>
    </row>
    <row r="12229" ht="14.5" customHeight="1" spans="11:28" x14ac:dyDescent="0.25">
      <c r="K12229" s="128"/>
      <c r="X12229" s="234"/>
      <c r="Y12229" s="234"/>
      <c r="Z12229" s="234"/>
      <c r="AA12229" s="235"/>
      <c r="AB12229" s="234"/>
    </row>
    <row r="12230" ht="14.5" customHeight="1" spans="11:28" x14ac:dyDescent="0.25">
      <c r="K12230" s="128"/>
      <c r="X12230" s="234"/>
      <c r="Y12230" s="234"/>
      <c r="Z12230" s="234"/>
      <c r="AA12230" s="235"/>
      <c r="AB12230" s="234"/>
    </row>
    <row r="12231" ht="14.5" customHeight="1" spans="11:28" x14ac:dyDescent="0.25">
      <c r="K12231" s="128"/>
      <c r="X12231" s="234"/>
      <c r="Y12231" s="234"/>
      <c r="Z12231" s="234"/>
      <c r="AA12231" s="235"/>
      <c r="AB12231" s="234"/>
    </row>
    <row r="12232" ht="14.5" customHeight="1" spans="11:28" x14ac:dyDescent="0.25">
      <c r="K12232" s="128"/>
      <c r="X12232" s="234"/>
      <c r="Y12232" s="234"/>
      <c r="Z12232" s="234"/>
      <c r="AA12232" s="235"/>
      <c r="AB12232" s="234"/>
    </row>
    <row r="12233" ht="14.5" customHeight="1" spans="11:28" x14ac:dyDescent="0.25">
      <c r="K12233" s="128"/>
      <c r="X12233" s="234"/>
      <c r="Y12233" s="234"/>
      <c r="Z12233" s="234"/>
      <c r="AA12233" s="235"/>
      <c r="AB12233" s="234"/>
    </row>
    <row r="12234" ht="14.5" customHeight="1" spans="11:28" x14ac:dyDescent="0.25">
      <c r="K12234" s="128"/>
      <c r="X12234" s="234"/>
      <c r="Y12234" s="234"/>
      <c r="Z12234" s="234"/>
      <c r="AA12234" s="235"/>
      <c r="AB12234" s="234"/>
    </row>
    <row r="12235" ht="14.5" customHeight="1" spans="11:28" x14ac:dyDescent="0.25">
      <c r="K12235" s="128"/>
      <c r="X12235" s="234"/>
      <c r="Y12235" s="234"/>
      <c r="Z12235" s="234"/>
      <c r="AA12235" s="235"/>
      <c r="AB12235" s="234"/>
    </row>
    <row r="12236" ht="14.5" customHeight="1" spans="11:28" x14ac:dyDescent="0.25">
      <c r="K12236" s="128"/>
      <c r="X12236" s="234"/>
      <c r="Y12236" s="234"/>
      <c r="Z12236" s="234"/>
      <c r="AA12236" s="235"/>
      <c r="AB12236" s="234"/>
    </row>
    <row r="12237" ht="14.5" customHeight="1" spans="11:28" x14ac:dyDescent="0.25">
      <c r="K12237" s="128"/>
      <c r="X12237" s="234"/>
      <c r="Y12237" s="234"/>
      <c r="Z12237" s="234"/>
      <c r="AA12237" s="235"/>
      <c r="AB12237" s="234"/>
    </row>
    <row r="12238" ht="14.5" customHeight="1" spans="11:28" x14ac:dyDescent="0.25">
      <c r="K12238" s="128"/>
      <c r="X12238" s="234"/>
      <c r="Y12238" s="234"/>
      <c r="Z12238" s="234"/>
      <c r="AA12238" s="235"/>
      <c r="AB12238" s="234"/>
    </row>
    <row r="12239" ht="14.5" customHeight="1" spans="11:28" x14ac:dyDescent="0.25">
      <c r="K12239" s="128"/>
      <c r="X12239" s="234"/>
      <c r="Y12239" s="234"/>
      <c r="Z12239" s="234"/>
      <c r="AA12239" s="235"/>
      <c r="AB12239" s="234"/>
    </row>
    <row r="12240" ht="14.5" customHeight="1" spans="11:28" x14ac:dyDescent="0.25">
      <c r="K12240" s="128"/>
      <c r="X12240" s="234"/>
      <c r="Y12240" s="234"/>
      <c r="Z12240" s="234"/>
      <c r="AA12240" s="235"/>
      <c r="AB12240" s="234"/>
    </row>
    <row r="12241" ht="14.5" customHeight="1" spans="11:28" x14ac:dyDescent="0.25">
      <c r="K12241" s="128"/>
      <c r="X12241" s="234"/>
      <c r="Y12241" s="234"/>
      <c r="Z12241" s="234"/>
      <c r="AA12241" s="235"/>
      <c r="AB12241" s="234"/>
    </row>
    <row r="12242" ht="14.5" customHeight="1" spans="11:28" x14ac:dyDescent="0.25">
      <c r="K12242" s="128"/>
      <c r="X12242" s="234"/>
      <c r="Y12242" s="234"/>
      <c r="Z12242" s="234"/>
      <c r="AA12242" s="235"/>
      <c r="AB12242" s="234"/>
    </row>
    <row r="12243" ht="14.5" customHeight="1" spans="11:28" x14ac:dyDescent="0.25">
      <c r="K12243" s="128"/>
      <c r="X12243" s="234"/>
      <c r="Y12243" s="234"/>
      <c r="Z12243" s="234"/>
      <c r="AA12243" s="235"/>
      <c r="AB12243" s="234"/>
    </row>
    <row r="12244" ht="14.5" customHeight="1" spans="11:28" x14ac:dyDescent="0.25">
      <c r="K12244" s="128"/>
      <c r="X12244" s="234"/>
      <c r="Y12244" s="234"/>
      <c r="Z12244" s="234"/>
      <c r="AA12244" s="235"/>
      <c r="AB12244" s="234"/>
    </row>
    <row r="12245" ht="14.5" customHeight="1" spans="11:28" x14ac:dyDescent="0.25">
      <c r="K12245" s="128"/>
      <c r="X12245" s="234"/>
      <c r="Y12245" s="234"/>
      <c r="Z12245" s="234"/>
      <c r="AA12245" s="235"/>
      <c r="AB12245" s="234"/>
    </row>
    <row r="12246" ht="14.5" customHeight="1" spans="11:28" x14ac:dyDescent="0.25">
      <c r="K12246" s="128"/>
      <c r="X12246" s="234"/>
      <c r="Y12246" s="234"/>
      <c r="Z12246" s="234"/>
      <c r="AA12246" s="235"/>
      <c r="AB12246" s="234"/>
    </row>
    <row r="12247" ht="14.5" customHeight="1" spans="11:28" x14ac:dyDescent="0.25">
      <c r="K12247" s="128"/>
      <c r="X12247" s="234"/>
      <c r="Y12247" s="234"/>
      <c r="Z12247" s="234"/>
      <c r="AA12247" s="235"/>
      <c r="AB12247" s="234"/>
    </row>
    <row r="12248" ht="14.5" customHeight="1" spans="11:28" x14ac:dyDescent="0.25">
      <c r="K12248" s="128"/>
      <c r="X12248" s="234"/>
      <c r="Y12248" s="234"/>
      <c r="Z12248" s="234"/>
      <c r="AA12248" s="235"/>
      <c r="AB12248" s="234"/>
    </row>
    <row r="12249" ht="14.5" customHeight="1" spans="11:28" x14ac:dyDescent="0.25">
      <c r="K12249" s="128"/>
      <c r="X12249" s="234"/>
      <c r="Y12249" s="234"/>
      <c r="Z12249" s="234"/>
      <c r="AA12249" s="235"/>
      <c r="AB12249" s="234"/>
    </row>
    <row r="12250" ht="14.5" customHeight="1" spans="11:28" x14ac:dyDescent="0.25">
      <c r="K12250" s="128"/>
      <c r="X12250" s="234"/>
      <c r="Y12250" s="234"/>
      <c r="Z12250" s="234"/>
      <c r="AA12250" s="235"/>
      <c r="AB12250" s="234"/>
    </row>
    <row r="12251" ht="14.5" customHeight="1" spans="11:28" x14ac:dyDescent="0.25">
      <c r="K12251" s="128"/>
      <c r="X12251" s="234"/>
      <c r="Y12251" s="234"/>
      <c r="Z12251" s="234"/>
      <c r="AA12251" s="235"/>
      <c r="AB12251" s="234"/>
    </row>
    <row r="12252" ht="14.5" customHeight="1" spans="11:28" x14ac:dyDescent="0.25">
      <c r="K12252" s="128"/>
      <c r="X12252" s="234"/>
      <c r="Y12252" s="234"/>
      <c r="Z12252" s="234"/>
      <c r="AA12252" s="235"/>
      <c r="AB12252" s="234"/>
    </row>
    <row r="12253" ht="14.5" customHeight="1" spans="11:28" x14ac:dyDescent="0.25">
      <c r="K12253" s="128"/>
      <c r="X12253" s="234"/>
      <c r="Y12253" s="234"/>
      <c r="Z12253" s="234"/>
      <c r="AA12253" s="235"/>
      <c r="AB12253" s="234"/>
    </row>
    <row r="12254" ht="14.5" customHeight="1" spans="11:28" x14ac:dyDescent="0.25">
      <c r="K12254" s="128"/>
      <c r="X12254" s="234"/>
      <c r="Y12254" s="234"/>
      <c r="Z12254" s="234"/>
      <c r="AA12254" s="235"/>
      <c r="AB12254" s="234"/>
    </row>
    <row r="12255" ht="14.5" customHeight="1" spans="11:28" x14ac:dyDescent="0.25">
      <c r="K12255" s="128"/>
      <c r="X12255" s="234"/>
      <c r="Y12255" s="234"/>
      <c r="Z12255" s="234"/>
      <c r="AA12255" s="235"/>
      <c r="AB12255" s="234"/>
    </row>
    <row r="12256" ht="14.5" customHeight="1" spans="11:28" x14ac:dyDescent="0.25">
      <c r="K12256" s="128"/>
      <c r="X12256" s="234"/>
      <c r="Y12256" s="234"/>
      <c r="Z12256" s="234"/>
      <c r="AA12256" s="235"/>
      <c r="AB12256" s="234"/>
    </row>
    <row r="12257" ht="14.5" customHeight="1" spans="11:28" x14ac:dyDescent="0.25">
      <c r="K12257" s="128"/>
      <c r="X12257" s="234"/>
      <c r="Y12257" s="234"/>
      <c r="Z12257" s="234"/>
      <c r="AA12257" s="235"/>
      <c r="AB12257" s="234"/>
    </row>
    <row r="12258" ht="14.5" customHeight="1" spans="11:28" x14ac:dyDescent="0.25">
      <c r="K12258" s="128"/>
      <c r="X12258" s="234"/>
      <c r="Y12258" s="234"/>
      <c r="Z12258" s="234"/>
      <c r="AA12258" s="235"/>
      <c r="AB12258" s="234"/>
    </row>
    <row r="12259" ht="14.5" customHeight="1" spans="11:28" x14ac:dyDescent="0.25">
      <c r="K12259" s="128"/>
      <c r="X12259" s="234"/>
      <c r="Y12259" s="234"/>
      <c r="Z12259" s="234"/>
      <c r="AA12259" s="235"/>
      <c r="AB12259" s="234"/>
    </row>
    <row r="12260" ht="14.5" customHeight="1" spans="11:28" x14ac:dyDescent="0.25">
      <c r="K12260" s="128"/>
      <c r="X12260" s="234"/>
      <c r="Y12260" s="234"/>
      <c r="Z12260" s="234"/>
      <c r="AA12260" s="235"/>
      <c r="AB12260" s="234"/>
    </row>
    <row r="12261" ht="14.5" customHeight="1" spans="11:28" x14ac:dyDescent="0.25">
      <c r="K12261" s="128"/>
      <c r="X12261" s="234"/>
      <c r="Y12261" s="234"/>
      <c r="Z12261" s="234"/>
      <c r="AA12261" s="235"/>
      <c r="AB12261" s="234"/>
    </row>
    <row r="12262" ht="14.5" customHeight="1" spans="11:28" x14ac:dyDescent="0.25">
      <c r="K12262" s="128"/>
      <c r="X12262" s="234"/>
      <c r="Y12262" s="234"/>
      <c r="Z12262" s="234"/>
      <c r="AA12262" s="235"/>
      <c r="AB12262" s="234"/>
    </row>
    <row r="12263" ht="14.5" customHeight="1" spans="11:28" x14ac:dyDescent="0.25">
      <c r="K12263" s="128"/>
      <c r="X12263" s="234"/>
      <c r="Y12263" s="234"/>
      <c r="Z12263" s="234"/>
      <c r="AA12263" s="235"/>
      <c r="AB12263" s="234"/>
    </row>
    <row r="12264" ht="14.5" customHeight="1" spans="11:28" x14ac:dyDescent="0.25">
      <c r="K12264" s="128"/>
      <c r="X12264" s="234"/>
      <c r="Y12264" s="234"/>
      <c r="Z12264" s="234"/>
      <c r="AA12264" s="235"/>
      <c r="AB12264" s="234"/>
    </row>
    <row r="12265" ht="14.5" customHeight="1" spans="11:28" x14ac:dyDescent="0.25">
      <c r="K12265" s="128"/>
      <c r="X12265" s="234"/>
      <c r="Y12265" s="234"/>
      <c r="Z12265" s="234"/>
      <c r="AA12265" s="235"/>
      <c r="AB12265" s="234"/>
    </row>
    <row r="12266" ht="14.5" customHeight="1" spans="11:28" x14ac:dyDescent="0.25">
      <c r="K12266" s="128"/>
      <c r="X12266" s="234"/>
      <c r="Y12266" s="234"/>
      <c r="Z12266" s="234"/>
      <c r="AA12266" s="235"/>
      <c r="AB12266" s="234"/>
    </row>
    <row r="12267" ht="14.5" customHeight="1" spans="11:28" x14ac:dyDescent="0.25">
      <c r="K12267" s="128"/>
      <c r="X12267" s="234"/>
      <c r="Y12267" s="234"/>
      <c r="Z12267" s="234"/>
      <c r="AA12267" s="235"/>
      <c r="AB12267" s="234"/>
    </row>
    <row r="12268" ht="14.5" customHeight="1" spans="11:28" x14ac:dyDescent="0.25">
      <c r="K12268" s="128"/>
      <c r="X12268" s="234"/>
      <c r="Y12268" s="234"/>
      <c r="Z12268" s="234"/>
      <c r="AA12268" s="235"/>
      <c r="AB12268" s="234"/>
    </row>
    <row r="12269" ht="14.5" customHeight="1" spans="11:28" x14ac:dyDescent="0.25">
      <c r="K12269" s="128"/>
      <c r="X12269" s="234"/>
      <c r="Y12269" s="234"/>
      <c r="Z12269" s="234"/>
      <c r="AA12269" s="235"/>
      <c r="AB12269" s="234"/>
    </row>
    <row r="12270" ht="14.5" customHeight="1" spans="11:28" x14ac:dyDescent="0.25">
      <c r="K12270" s="128"/>
      <c r="X12270" s="234"/>
      <c r="Y12270" s="234"/>
      <c r="Z12270" s="234"/>
      <c r="AA12270" s="235"/>
      <c r="AB12270" s="234"/>
    </row>
    <row r="12271" ht="14.5" customHeight="1" spans="11:28" x14ac:dyDescent="0.25">
      <c r="K12271" s="128"/>
      <c r="X12271" s="234"/>
      <c r="Y12271" s="234"/>
      <c r="Z12271" s="234"/>
      <c r="AA12271" s="235"/>
      <c r="AB12271" s="234"/>
    </row>
    <row r="12272" ht="14.5" customHeight="1" spans="11:28" x14ac:dyDescent="0.25">
      <c r="K12272" s="128"/>
      <c r="X12272" s="234"/>
      <c r="Y12272" s="234"/>
      <c r="Z12272" s="234"/>
      <c r="AA12272" s="235"/>
      <c r="AB12272" s="234"/>
    </row>
    <row r="12273" ht="14.5" customHeight="1" spans="11:28" x14ac:dyDescent="0.25">
      <c r="K12273" s="128"/>
      <c r="X12273" s="234"/>
      <c r="Y12273" s="234"/>
      <c r="Z12273" s="234"/>
      <c r="AA12273" s="235"/>
      <c r="AB12273" s="234"/>
    </row>
    <row r="12274" ht="14.5" customHeight="1" spans="11:28" x14ac:dyDescent="0.25">
      <c r="K12274" s="128"/>
      <c r="X12274" s="234"/>
      <c r="Y12274" s="234"/>
      <c r="Z12274" s="234"/>
      <c r="AA12274" s="235"/>
      <c r="AB12274" s="234"/>
    </row>
    <row r="12275" ht="14.5" customHeight="1" spans="11:28" x14ac:dyDescent="0.25">
      <c r="K12275" s="128"/>
      <c r="X12275" s="234"/>
      <c r="Y12275" s="234"/>
      <c r="Z12275" s="234"/>
      <c r="AA12275" s="235"/>
      <c r="AB12275" s="234"/>
    </row>
    <row r="12276" ht="14.5" customHeight="1" spans="11:28" x14ac:dyDescent="0.25">
      <c r="K12276" s="128"/>
      <c r="X12276" s="234"/>
      <c r="Y12276" s="234"/>
      <c r="Z12276" s="234"/>
      <c r="AA12276" s="235"/>
      <c r="AB12276" s="234"/>
    </row>
    <row r="12277" ht="14.5" customHeight="1" spans="11:28" x14ac:dyDescent="0.25">
      <c r="K12277" s="128"/>
      <c r="X12277" s="234"/>
      <c r="Y12277" s="234"/>
      <c r="Z12277" s="234"/>
      <c r="AA12277" s="235"/>
      <c r="AB12277" s="234"/>
    </row>
    <row r="12278" ht="14.5" customHeight="1" spans="11:28" x14ac:dyDescent="0.25">
      <c r="K12278" s="128"/>
      <c r="X12278" s="234"/>
      <c r="Y12278" s="234"/>
      <c r="Z12278" s="234"/>
      <c r="AA12278" s="235"/>
      <c r="AB12278" s="234"/>
    </row>
    <row r="12279" ht="14.5" customHeight="1" spans="11:28" x14ac:dyDescent="0.25">
      <c r="K12279" s="128"/>
      <c r="X12279" s="234"/>
      <c r="Y12279" s="234"/>
      <c r="Z12279" s="234"/>
      <c r="AA12279" s="235"/>
      <c r="AB12279" s="234"/>
    </row>
    <row r="12280" ht="14.5" customHeight="1" spans="11:28" x14ac:dyDescent="0.25">
      <c r="K12280" s="128"/>
      <c r="X12280" s="234"/>
      <c r="Y12280" s="234"/>
      <c r="Z12280" s="234"/>
      <c r="AA12280" s="235"/>
      <c r="AB12280" s="234"/>
    </row>
    <row r="12281" ht="14.5" customHeight="1" spans="11:28" x14ac:dyDescent="0.25">
      <c r="K12281" s="128"/>
      <c r="X12281" s="234"/>
      <c r="Y12281" s="234"/>
      <c r="Z12281" s="234"/>
      <c r="AA12281" s="235"/>
      <c r="AB12281" s="234"/>
    </row>
    <row r="12282" ht="14.5" customHeight="1" spans="11:28" x14ac:dyDescent="0.25">
      <c r="K12282" s="128"/>
      <c r="X12282" s="234"/>
      <c r="Y12282" s="234"/>
      <c r="Z12282" s="234"/>
      <c r="AA12282" s="235"/>
      <c r="AB12282" s="234"/>
    </row>
    <row r="12283" ht="14.5" customHeight="1" spans="11:28" x14ac:dyDescent="0.25">
      <c r="K12283" s="128"/>
      <c r="X12283" s="234"/>
      <c r="Y12283" s="234"/>
      <c r="Z12283" s="234"/>
      <c r="AA12283" s="235"/>
      <c r="AB12283" s="234"/>
    </row>
    <row r="12284" ht="14.5" customHeight="1" spans="11:28" x14ac:dyDescent="0.25">
      <c r="K12284" s="128"/>
      <c r="X12284" s="234"/>
      <c r="Y12284" s="234"/>
      <c r="Z12284" s="234"/>
      <c r="AA12284" s="235"/>
      <c r="AB12284" s="234"/>
    </row>
    <row r="12285" ht="14.5" customHeight="1" spans="11:28" x14ac:dyDescent="0.25">
      <c r="K12285" s="128"/>
      <c r="X12285" s="234"/>
      <c r="Y12285" s="234"/>
      <c r="Z12285" s="234"/>
      <c r="AA12285" s="235"/>
      <c r="AB12285" s="234"/>
    </row>
    <row r="12286" ht="14.5" customHeight="1" spans="11:28" x14ac:dyDescent="0.25">
      <c r="K12286" s="128"/>
      <c r="X12286" s="234"/>
      <c r="Y12286" s="234"/>
      <c r="Z12286" s="234"/>
      <c r="AA12286" s="235"/>
      <c r="AB12286" s="234"/>
    </row>
    <row r="12287" ht="14.5" customHeight="1" spans="11:28" x14ac:dyDescent="0.25">
      <c r="K12287" s="128"/>
      <c r="X12287" s="234"/>
      <c r="Y12287" s="234"/>
      <c r="Z12287" s="234"/>
      <c r="AA12287" s="235"/>
      <c r="AB12287" s="234"/>
    </row>
    <row r="12288" ht="14.5" customHeight="1" spans="11:28" x14ac:dyDescent="0.25">
      <c r="K12288" s="128"/>
      <c r="X12288" s="234"/>
      <c r="Y12288" s="234"/>
      <c r="Z12288" s="234"/>
      <c r="AA12288" s="235"/>
      <c r="AB12288" s="234"/>
    </row>
    <row r="12289" ht="14.5" customHeight="1" spans="11:28" x14ac:dyDescent="0.25">
      <c r="K12289" s="128"/>
      <c r="X12289" s="234"/>
      <c r="Y12289" s="234"/>
      <c r="Z12289" s="234"/>
      <c r="AA12289" s="235"/>
      <c r="AB12289" s="234"/>
    </row>
    <row r="12290" ht="14.5" customHeight="1" spans="11:28" x14ac:dyDescent="0.25">
      <c r="K12290" s="128"/>
      <c r="X12290" s="234"/>
      <c r="Y12290" s="234"/>
      <c r="Z12290" s="234"/>
      <c r="AA12290" s="235"/>
      <c r="AB12290" s="234"/>
    </row>
    <row r="12291" ht="14.5" customHeight="1" spans="11:28" x14ac:dyDescent="0.25">
      <c r="K12291" s="128"/>
      <c r="X12291" s="234"/>
      <c r="Y12291" s="234"/>
      <c r="Z12291" s="234"/>
      <c r="AA12291" s="235"/>
      <c r="AB12291" s="234"/>
    </row>
    <row r="12292" ht="14.5" customHeight="1" spans="11:28" x14ac:dyDescent="0.25">
      <c r="K12292" s="128"/>
      <c r="X12292" s="234"/>
      <c r="Y12292" s="234"/>
      <c r="Z12292" s="234"/>
      <c r="AA12292" s="235"/>
      <c r="AB12292" s="234"/>
    </row>
    <row r="12293" ht="14.5" customHeight="1" spans="11:28" x14ac:dyDescent="0.25">
      <c r="K12293" s="128"/>
      <c r="X12293" s="234"/>
      <c r="Y12293" s="234"/>
      <c r="Z12293" s="234"/>
      <c r="AA12293" s="235"/>
      <c r="AB12293" s="234"/>
    </row>
    <row r="12294" ht="14.5" customHeight="1" spans="11:28" x14ac:dyDescent="0.25">
      <c r="K12294" s="128"/>
      <c r="X12294" s="234"/>
      <c r="Y12294" s="234"/>
      <c r="Z12294" s="234"/>
      <c r="AA12294" s="235"/>
      <c r="AB12294" s="234"/>
    </row>
    <row r="12295" ht="14.5" customHeight="1" spans="11:28" x14ac:dyDescent="0.25">
      <c r="K12295" s="128"/>
      <c r="X12295" s="234"/>
      <c r="Y12295" s="234"/>
      <c r="Z12295" s="234"/>
      <c r="AA12295" s="235"/>
      <c r="AB12295" s="234"/>
    </row>
    <row r="12296" ht="14.5" customHeight="1" spans="11:28" x14ac:dyDescent="0.25">
      <c r="K12296" s="128"/>
      <c r="X12296" s="234"/>
      <c r="Y12296" s="234"/>
      <c r="Z12296" s="234"/>
      <c r="AA12296" s="235"/>
      <c r="AB12296" s="234"/>
    </row>
    <row r="12297" ht="14.5" customHeight="1" spans="11:28" x14ac:dyDescent="0.25">
      <c r="K12297" s="128"/>
      <c r="X12297" s="234"/>
      <c r="Y12297" s="234"/>
      <c r="Z12297" s="234"/>
      <c r="AA12297" s="235"/>
      <c r="AB12297" s="234"/>
    </row>
    <row r="12298" ht="14.5" customHeight="1" spans="11:28" x14ac:dyDescent="0.25">
      <c r="K12298" s="128"/>
      <c r="X12298" s="234"/>
      <c r="Y12298" s="234"/>
      <c r="Z12298" s="234"/>
      <c r="AA12298" s="235"/>
      <c r="AB12298" s="234"/>
    </row>
    <row r="12299" ht="14.5" customHeight="1" spans="11:28" x14ac:dyDescent="0.25">
      <c r="K12299" s="128"/>
      <c r="X12299" s="234"/>
      <c r="Y12299" s="234"/>
      <c r="Z12299" s="234"/>
      <c r="AA12299" s="235"/>
      <c r="AB12299" s="234"/>
    </row>
    <row r="12300" ht="14.5" customHeight="1" spans="11:28" x14ac:dyDescent="0.25">
      <c r="K12300" s="128"/>
      <c r="X12300" s="234"/>
      <c r="Y12300" s="234"/>
      <c r="Z12300" s="234"/>
      <c r="AA12300" s="235"/>
      <c r="AB12300" s="234"/>
    </row>
    <row r="12301" ht="14.5" customHeight="1" spans="11:28" x14ac:dyDescent="0.25">
      <c r="K12301" s="128"/>
      <c r="X12301" s="234"/>
      <c r="Y12301" s="234"/>
      <c r="Z12301" s="234"/>
      <c r="AA12301" s="235"/>
      <c r="AB12301" s="234"/>
    </row>
    <row r="12302" ht="14.5" customHeight="1" spans="11:28" x14ac:dyDescent="0.25">
      <c r="K12302" s="128"/>
      <c r="X12302" s="234"/>
      <c r="Y12302" s="234"/>
      <c r="Z12302" s="234"/>
      <c r="AA12302" s="235"/>
      <c r="AB12302" s="234"/>
    </row>
    <row r="12303" ht="14.5" customHeight="1" spans="11:28" x14ac:dyDescent="0.25">
      <c r="K12303" s="128"/>
      <c r="X12303" s="234"/>
      <c r="Y12303" s="234"/>
      <c r="Z12303" s="234"/>
      <c r="AA12303" s="235"/>
      <c r="AB12303" s="234"/>
    </row>
    <row r="12304" ht="14.5" customHeight="1" spans="11:28" x14ac:dyDescent="0.25">
      <c r="K12304" s="128"/>
      <c r="X12304" s="234"/>
      <c r="Y12304" s="234"/>
      <c r="Z12304" s="234"/>
      <c r="AA12304" s="235"/>
      <c r="AB12304" s="234"/>
    </row>
    <row r="12305" ht="14.5" customHeight="1" spans="11:28" x14ac:dyDescent="0.25">
      <c r="K12305" s="128"/>
      <c r="X12305" s="234"/>
      <c r="Y12305" s="234"/>
      <c r="Z12305" s="234"/>
      <c r="AA12305" s="235"/>
      <c r="AB12305" s="234"/>
    </row>
    <row r="12306" ht="14.5" customHeight="1" spans="11:28" x14ac:dyDescent="0.25">
      <c r="K12306" s="128"/>
      <c r="X12306" s="234"/>
      <c r="Y12306" s="234"/>
      <c r="Z12306" s="234"/>
      <c r="AA12306" s="235"/>
      <c r="AB12306" s="234"/>
    </row>
    <row r="12307" ht="14.5" customHeight="1" spans="11:28" x14ac:dyDescent="0.25">
      <c r="K12307" s="128"/>
      <c r="X12307" s="234"/>
      <c r="Y12307" s="234"/>
      <c r="Z12307" s="234"/>
      <c r="AA12307" s="235"/>
      <c r="AB12307" s="234"/>
    </row>
    <row r="12308" ht="14.5" customHeight="1" spans="11:28" x14ac:dyDescent="0.25">
      <c r="K12308" s="128"/>
      <c r="X12308" s="234"/>
      <c r="Y12308" s="234"/>
      <c r="Z12308" s="234"/>
      <c r="AA12308" s="235"/>
      <c r="AB12308" s="234"/>
    </row>
    <row r="12309" ht="14.5" customHeight="1" spans="11:28" x14ac:dyDescent="0.25">
      <c r="K12309" s="128"/>
      <c r="X12309" s="234"/>
      <c r="Y12309" s="234"/>
      <c r="Z12309" s="234"/>
      <c r="AA12309" s="235"/>
      <c r="AB12309" s="234"/>
    </row>
    <row r="12310" ht="14.5" customHeight="1" spans="11:28" x14ac:dyDescent="0.25">
      <c r="K12310" s="128"/>
      <c r="X12310" s="234"/>
      <c r="Y12310" s="234"/>
      <c r="Z12310" s="234"/>
      <c r="AA12310" s="235"/>
      <c r="AB12310" s="234"/>
    </row>
    <row r="12311" ht="14.5" customHeight="1" spans="11:28" x14ac:dyDescent="0.25">
      <c r="K12311" s="128"/>
      <c r="X12311" s="234"/>
      <c r="Y12311" s="234"/>
      <c r="Z12311" s="234"/>
      <c r="AA12311" s="235"/>
      <c r="AB12311" s="234"/>
    </row>
    <row r="12312" ht="14.5" customHeight="1" spans="11:28" x14ac:dyDescent="0.25">
      <c r="K12312" s="128"/>
      <c r="X12312" s="234"/>
      <c r="Y12312" s="234"/>
      <c r="Z12312" s="234"/>
      <c r="AA12312" s="235"/>
      <c r="AB12312" s="234"/>
    </row>
    <row r="12313" ht="14.5" customHeight="1" spans="11:28" x14ac:dyDescent="0.25">
      <c r="K12313" s="128"/>
      <c r="X12313" s="234"/>
      <c r="Y12313" s="234"/>
      <c r="Z12313" s="234"/>
      <c r="AA12313" s="235"/>
      <c r="AB12313" s="234"/>
    </row>
    <row r="12314" ht="14.5" customHeight="1" spans="11:28" x14ac:dyDescent="0.25">
      <c r="K12314" s="128"/>
      <c r="X12314" s="234"/>
      <c r="Y12314" s="234"/>
      <c r="Z12314" s="234"/>
      <c r="AA12314" s="235"/>
      <c r="AB12314" s="234"/>
    </row>
    <row r="12315" ht="14.5" customHeight="1" spans="11:28" x14ac:dyDescent="0.25">
      <c r="K12315" s="128"/>
      <c r="X12315" s="234"/>
      <c r="Y12315" s="234"/>
      <c r="Z12315" s="234"/>
      <c r="AA12315" s="235"/>
      <c r="AB12315" s="234"/>
    </row>
    <row r="12316" ht="14.5" customHeight="1" spans="11:28" x14ac:dyDescent="0.25">
      <c r="K12316" s="128"/>
      <c r="X12316" s="234"/>
      <c r="Y12316" s="234"/>
      <c r="Z12316" s="234"/>
      <c r="AA12316" s="235"/>
      <c r="AB12316" s="234"/>
    </row>
    <row r="12317" ht="14.5" customHeight="1" spans="11:28" x14ac:dyDescent="0.25">
      <c r="K12317" s="128"/>
      <c r="X12317" s="234"/>
      <c r="Y12317" s="234"/>
      <c r="Z12317" s="234"/>
      <c r="AA12317" s="235"/>
      <c r="AB12317" s="234"/>
    </row>
    <row r="12318" ht="14.5" customHeight="1" spans="11:28" x14ac:dyDescent="0.25">
      <c r="K12318" s="128"/>
      <c r="X12318" s="234"/>
      <c r="Y12318" s="234"/>
      <c r="Z12318" s="234"/>
      <c r="AA12318" s="235"/>
      <c r="AB12318" s="234"/>
    </row>
    <row r="12319" ht="14.5" customHeight="1" spans="11:28" x14ac:dyDescent="0.25">
      <c r="K12319" s="128"/>
      <c r="X12319" s="234"/>
      <c r="Y12319" s="234"/>
      <c r="Z12319" s="234"/>
      <c r="AA12319" s="235"/>
      <c r="AB12319" s="234"/>
    </row>
    <row r="12320" ht="14.5" customHeight="1" spans="11:28" x14ac:dyDescent="0.25">
      <c r="K12320" s="128"/>
      <c r="X12320" s="234"/>
      <c r="Y12320" s="234"/>
      <c r="Z12320" s="234"/>
      <c r="AA12320" s="235"/>
      <c r="AB12320" s="234"/>
    </row>
    <row r="12321" ht="14.5" customHeight="1" spans="11:28" x14ac:dyDescent="0.25">
      <c r="K12321" s="128"/>
      <c r="X12321" s="234"/>
      <c r="Y12321" s="234"/>
      <c r="Z12321" s="234"/>
      <c r="AA12321" s="235"/>
      <c r="AB12321" s="234"/>
    </row>
    <row r="12322" ht="14.5" customHeight="1" spans="11:28" x14ac:dyDescent="0.25">
      <c r="K12322" s="128"/>
      <c r="X12322" s="234"/>
      <c r="Y12322" s="234"/>
      <c r="Z12322" s="234"/>
      <c r="AA12322" s="235"/>
      <c r="AB12322" s="234"/>
    </row>
    <row r="12323" ht="14.5" customHeight="1" spans="11:28" x14ac:dyDescent="0.25">
      <c r="K12323" s="128"/>
      <c r="X12323" s="234"/>
      <c r="Y12323" s="234"/>
      <c r="Z12323" s="234"/>
      <c r="AA12323" s="235"/>
      <c r="AB12323" s="234"/>
    </row>
    <row r="12324" ht="14.5" customHeight="1" spans="11:28" x14ac:dyDescent="0.25">
      <c r="K12324" s="128"/>
      <c r="X12324" s="234"/>
      <c r="Y12324" s="234"/>
      <c r="Z12324" s="234"/>
      <c r="AA12324" s="235"/>
      <c r="AB12324" s="234"/>
    </row>
    <row r="12325" ht="14.5" customHeight="1" spans="11:28" x14ac:dyDescent="0.25">
      <c r="K12325" s="128"/>
      <c r="X12325" s="234"/>
      <c r="Y12325" s="234"/>
      <c r="Z12325" s="234"/>
      <c r="AA12325" s="235"/>
      <c r="AB12325" s="234"/>
    </row>
    <row r="12326" ht="14.5" customHeight="1" spans="11:28" x14ac:dyDescent="0.25">
      <c r="K12326" s="128"/>
      <c r="X12326" s="234"/>
      <c r="Y12326" s="234"/>
      <c r="Z12326" s="234"/>
      <c r="AA12326" s="235"/>
      <c r="AB12326" s="234"/>
    </row>
    <row r="12327" ht="14.5" customHeight="1" spans="11:28" x14ac:dyDescent="0.25">
      <c r="K12327" s="128"/>
      <c r="X12327" s="234"/>
      <c r="Y12327" s="234"/>
      <c r="Z12327" s="234"/>
      <c r="AA12327" s="235"/>
      <c r="AB12327" s="234"/>
    </row>
    <row r="12328" ht="14.5" customHeight="1" spans="11:28" x14ac:dyDescent="0.25">
      <c r="K12328" s="128"/>
      <c r="X12328" s="234"/>
      <c r="Y12328" s="234"/>
      <c r="Z12328" s="234"/>
      <c r="AA12328" s="235"/>
      <c r="AB12328" s="234"/>
    </row>
    <row r="12329" ht="14.5" customHeight="1" spans="11:28" x14ac:dyDescent="0.25">
      <c r="K12329" s="128"/>
      <c r="X12329" s="234"/>
      <c r="Y12329" s="234"/>
      <c r="Z12329" s="234"/>
      <c r="AA12329" s="235"/>
      <c r="AB12329" s="234"/>
    </row>
    <row r="12330" ht="14.5" customHeight="1" spans="11:28" x14ac:dyDescent="0.25">
      <c r="K12330" s="128"/>
      <c r="X12330" s="234"/>
      <c r="Y12330" s="234"/>
      <c r="Z12330" s="234"/>
      <c r="AA12330" s="235"/>
      <c r="AB12330" s="234"/>
    </row>
    <row r="12331" ht="14.5" customHeight="1" spans="11:28" x14ac:dyDescent="0.25">
      <c r="K12331" s="128"/>
      <c r="X12331" s="234"/>
      <c r="Y12331" s="234"/>
      <c r="Z12331" s="234"/>
      <c r="AA12331" s="235"/>
      <c r="AB12331" s="234"/>
    </row>
    <row r="12332" ht="14.5" customHeight="1" spans="11:28" x14ac:dyDescent="0.25">
      <c r="K12332" s="128"/>
      <c r="X12332" s="234"/>
      <c r="Y12332" s="234"/>
      <c r="Z12332" s="234"/>
      <c r="AA12332" s="235"/>
      <c r="AB12332" s="234"/>
    </row>
    <row r="12333" ht="14.5" customHeight="1" spans="11:28" x14ac:dyDescent="0.25">
      <c r="K12333" s="128"/>
      <c r="X12333" s="234"/>
      <c r="Y12333" s="234"/>
      <c r="Z12333" s="234"/>
      <c r="AA12333" s="235"/>
      <c r="AB12333" s="234"/>
    </row>
    <row r="12334" ht="14.5" customHeight="1" spans="11:28" x14ac:dyDescent="0.25">
      <c r="K12334" s="128"/>
      <c r="X12334" s="234"/>
      <c r="Y12334" s="234"/>
      <c r="Z12334" s="234"/>
      <c r="AA12334" s="235"/>
      <c r="AB12334" s="234"/>
    </row>
    <row r="12335" ht="14.5" customHeight="1" spans="11:28" x14ac:dyDescent="0.25">
      <c r="K12335" s="128"/>
      <c r="X12335" s="234"/>
      <c r="Y12335" s="234"/>
      <c r="Z12335" s="234"/>
      <c r="AA12335" s="235"/>
      <c r="AB12335" s="234"/>
    </row>
    <row r="12336" ht="14.5" customHeight="1" spans="11:28" x14ac:dyDescent="0.25">
      <c r="K12336" s="128"/>
      <c r="X12336" s="234"/>
      <c r="Y12336" s="234"/>
      <c r="Z12336" s="234"/>
      <c r="AA12336" s="235"/>
      <c r="AB12336" s="234"/>
    </row>
    <row r="12337" ht="14.5" customHeight="1" spans="11:28" x14ac:dyDescent="0.25">
      <c r="K12337" s="128"/>
      <c r="X12337" s="234"/>
      <c r="Y12337" s="234"/>
      <c r="Z12337" s="234"/>
      <c r="AA12337" s="235"/>
      <c r="AB12337" s="234"/>
    </row>
    <row r="12338" ht="14.5" customHeight="1" spans="11:28" x14ac:dyDescent="0.25">
      <c r="K12338" s="128"/>
      <c r="X12338" s="234"/>
      <c r="Y12338" s="234"/>
      <c r="Z12338" s="234"/>
      <c r="AA12338" s="235"/>
      <c r="AB12338" s="234"/>
    </row>
    <row r="12339" ht="14.5" customHeight="1" spans="11:28" x14ac:dyDescent="0.25">
      <c r="K12339" s="128"/>
      <c r="X12339" s="234"/>
      <c r="Y12339" s="234"/>
      <c r="Z12339" s="234"/>
      <c r="AA12339" s="235"/>
      <c r="AB12339" s="234"/>
    </row>
    <row r="12340" ht="14.5" customHeight="1" spans="11:28" x14ac:dyDescent="0.25">
      <c r="K12340" s="128"/>
      <c r="X12340" s="234"/>
      <c r="Y12340" s="234"/>
      <c r="Z12340" s="234"/>
      <c r="AA12340" s="235"/>
      <c r="AB12340" s="234"/>
    </row>
    <row r="12341" ht="14.5" customHeight="1" spans="11:28" x14ac:dyDescent="0.25">
      <c r="K12341" s="128"/>
      <c r="X12341" s="234"/>
      <c r="Y12341" s="234"/>
      <c r="Z12341" s="234"/>
      <c r="AA12341" s="235"/>
      <c r="AB12341" s="234"/>
    </row>
    <row r="12342" ht="14.5" customHeight="1" spans="11:28" x14ac:dyDescent="0.25">
      <c r="K12342" s="128"/>
      <c r="X12342" s="234"/>
      <c r="Y12342" s="234"/>
      <c r="Z12342" s="234"/>
      <c r="AA12342" s="235"/>
      <c r="AB12342" s="234"/>
    </row>
    <row r="12343" ht="14.5" customHeight="1" spans="11:28" x14ac:dyDescent="0.25">
      <c r="K12343" s="128"/>
      <c r="X12343" s="234"/>
      <c r="Y12343" s="234"/>
      <c r="Z12343" s="234"/>
      <c r="AA12343" s="235"/>
      <c r="AB12343" s="234"/>
    </row>
    <row r="12344" ht="14.5" customHeight="1" spans="11:28" x14ac:dyDescent="0.25">
      <c r="K12344" s="128"/>
      <c r="X12344" s="234"/>
      <c r="Y12344" s="234"/>
      <c r="Z12344" s="234"/>
      <c r="AA12344" s="235"/>
      <c r="AB12344" s="234"/>
    </row>
    <row r="12345" ht="14.5" customHeight="1" spans="11:28" x14ac:dyDescent="0.25">
      <c r="K12345" s="128"/>
      <c r="X12345" s="234"/>
      <c r="Y12345" s="234"/>
      <c r="Z12345" s="234"/>
      <c r="AA12345" s="235"/>
      <c r="AB12345" s="234"/>
    </row>
    <row r="12346" ht="14.5" customHeight="1" spans="11:28" x14ac:dyDescent="0.25">
      <c r="K12346" s="128"/>
      <c r="X12346" s="234"/>
      <c r="Y12346" s="234"/>
      <c r="Z12346" s="234"/>
      <c r="AA12346" s="235"/>
      <c r="AB12346" s="234"/>
    </row>
    <row r="12347" ht="14.5" customHeight="1" spans="11:28" x14ac:dyDescent="0.25">
      <c r="K12347" s="128"/>
      <c r="X12347" s="234"/>
      <c r="Y12347" s="234"/>
      <c r="Z12347" s="234"/>
      <c r="AA12347" s="235"/>
      <c r="AB12347" s="234"/>
    </row>
    <row r="12348" ht="14.5" customHeight="1" spans="11:28" x14ac:dyDescent="0.25">
      <c r="K12348" s="128"/>
      <c r="X12348" s="234"/>
      <c r="Y12348" s="234"/>
      <c r="Z12348" s="234"/>
      <c r="AA12348" s="235"/>
      <c r="AB12348" s="234"/>
    </row>
    <row r="12349" ht="14.5" customHeight="1" spans="11:28" x14ac:dyDescent="0.25">
      <c r="K12349" s="128"/>
      <c r="X12349" s="234"/>
      <c r="Y12349" s="234"/>
      <c r="Z12349" s="234"/>
      <c r="AA12349" s="235"/>
      <c r="AB12349" s="234"/>
    </row>
    <row r="12350" ht="14.5" customHeight="1" spans="11:28" x14ac:dyDescent="0.25">
      <c r="K12350" s="128"/>
      <c r="X12350" s="234"/>
      <c r="Y12350" s="234"/>
      <c r="Z12350" s="234"/>
      <c r="AA12350" s="235"/>
      <c r="AB12350" s="234"/>
    </row>
    <row r="12351" ht="14.5" customHeight="1" spans="11:28" x14ac:dyDescent="0.25">
      <c r="K12351" s="128"/>
      <c r="X12351" s="234"/>
      <c r="Y12351" s="234"/>
      <c r="Z12351" s="234"/>
      <c r="AA12351" s="235"/>
      <c r="AB12351" s="234"/>
    </row>
    <row r="12352" ht="14.5" customHeight="1" spans="11:28" x14ac:dyDescent="0.25">
      <c r="K12352" s="128"/>
      <c r="X12352" s="234"/>
      <c r="Y12352" s="234"/>
      <c r="Z12352" s="234"/>
      <c r="AA12352" s="235"/>
      <c r="AB12352" s="234"/>
    </row>
    <row r="12353" ht="14.5" customHeight="1" spans="11:28" x14ac:dyDescent="0.25">
      <c r="K12353" s="128"/>
      <c r="X12353" s="234"/>
      <c r="Y12353" s="234"/>
      <c r="Z12353" s="234"/>
      <c r="AA12353" s="235"/>
      <c r="AB12353" s="234"/>
    </row>
    <row r="12354" ht="14.5" customHeight="1" spans="11:28" x14ac:dyDescent="0.25">
      <c r="K12354" s="128"/>
      <c r="X12354" s="234"/>
      <c r="Y12354" s="234"/>
      <c r="Z12354" s="234"/>
      <c r="AA12354" s="235"/>
      <c r="AB12354" s="234"/>
    </row>
    <row r="12355" ht="14.5" customHeight="1" spans="11:28" x14ac:dyDescent="0.25">
      <c r="K12355" s="128"/>
      <c r="X12355" s="234"/>
      <c r="Y12355" s="234"/>
      <c r="Z12355" s="234"/>
      <c r="AA12355" s="235"/>
      <c r="AB12355" s="234"/>
    </row>
    <row r="12356" ht="14.5" customHeight="1" spans="11:28" x14ac:dyDescent="0.25">
      <c r="K12356" s="128"/>
      <c r="X12356" s="234"/>
      <c r="Y12356" s="234"/>
      <c r="Z12356" s="234"/>
      <c r="AA12356" s="235"/>
      <c r="AB12356" s="234"/>
    </row>
    <row r="12357" ht="14.5" customHeight="1" spans="11:28" x14ac:dyDescent="0.25">
      <c r="K12357" s="128"/>
      <c r="X12357" s="234"/>
      <c r="Y12357" s="234"/>
      <c r="Z12357" s="234"/>
      <c r="AA12357" s="235"/>
      <c r="AB12357" s="234"/>
    </row>
    <row r="12358" ht="14.5" customHeight="1" spans="11:28" x14ac:dyDescent="0.25">
      <c r="K12358" s="128"/>
      <c r="X12358" s="234"/>
      <c r="Y12358" s="234"/>
      <c r="Z12358" s="234"/>
      <c r="AA12358" s="235"/>
      <c r="AB12358" s="234"/>
    </row>
    <row r="12359" ht="14.5" customHeight="1" spans="11:28" x14ac:dyDescent="0.25">
      <c r="K12359" s="128"/>
      <c r="X12359" s="234"/>
      <c r="Y12359" s="234"/>
      <c r="Z12359" s="234"/>
      <c r="AA12359" s="235"/>
      <c r="AB12359" s="234"/>
    </row>
    <row r="12360" ht="14.5" customHeight="1" spans="11:28" x14ac:dyDescent="0.25">
      <c r="K12360" s="128"/>
      <c r="X12360" s="234"/>
      <c r="Y12360" s="234"/>
      <c r="Z12360" s="234"/>
      <c r="AA12360" s="235"/>
      <c r="AB12360" s="234"/>
    </row>
    <row r="12361" ht="14.5" customHeight="1" spans="11:28" x14ac:dyDescent="0.25">
      <c r="K12361" s="128"/>
      <c r="X12361" s="234"/>
      <c r="Y12361" s="234"/>
      <c r="Z12361" s="234"/>
      <c r="AA12361" s="235"/>
      <c r="AB12361" s="234"/>
    </row>
    <row r="12362" ht="14.5" customHeight="1" spans="11:28" x14ac:dyDescent="0.25">
      <c r="K12362" s="128"/>
      <c r="X12362" s="234"/>
      <c r="Y12362" s="234"/>
      <c r="Z12362" s="234"/>
      <c r="AA12362" s="235"/>
      <c r="AB12362" s="234"/>
    </row>
    <row r="12363" ht="14.5" customHeight="1" spans="11:28" x14ac:dyDescent="0.25">
      <c r="K12363" s="128"/>
      <c r="X12363" s="234"/>
      <c r="Y12363" s="234"/>
      <c r="Z12363" s="234"/>
      <c r="AA12363" s="235"/>
      <c r="AB12363" s="234"/>
    </row>
    <row r="12364" ht="14.5" customHeight="1" spans="11:28" x14ac:dyDescent="0.25">
      <c r="K12364" s="128"/>
      <c r="X12364" s="234"/>
      <c r="Y12364" s="234"/>
      <c r="Z12364" s="234"/>
      <c r="AA12364" s="235"/>
      <c r="AB12364" s="234"/>
    </row>
    <row r="12365" ht="14.5" customHeight="1" spans="11:28" x14ac:dyDescent="0.25">
      <c r="K12365" s="128"/>
      <c r="X12365" s="234"/>
      <c r="Y12365" s="234"/>
      <c r="Z12365" s="234"/>
      <c r="AA12365" s="235"/>
      <c r="AB12365" s="234"/>
    </row>
    <row r="12366" ht="14.5" customHeight="1" spans="11:28" x14ac:dyDescent="0.25">
      <c r="K12366" s="128"/>
      <c r="X12366" s="234"/>
      <c r="Y12366" s="234"/>
      <c r="Z12366" s="234"/>
      <c r="AA12366" s="235"/>
      <c r="AB12366" s="234"/>
    </row>
    <row r="12367" ht="14.5" customHeight="1" spans="11:28" x14ac:dyDescent="0.25">
      <c r="K12367" s="128"/>
      <c r="X12367" s="234"/>
      <c r="Y12367" s="234"/>
      <c r="Z12367" s="234"/>
      <c r="AA12367" s="235"/>
      <c r="AB12367" s="234"/>
    </row>
    <row r="12368" ht="14.5" customHeight="1" spans="11:28" x14ac:dyDescent="0.25">
      <c r="K12368" s="128"/>
      <c r="X12368" s="234"/>
      <c r="Y12368" s="234"/>
      <c r="Z12368" s="234"/>
      <c r="AA12368" s="235"/>
      <c r="AB12368" s="234"/>
    </row>
    <row r="12369" ht="14.5" customHeight="1" spans="11:28" x14ac:dyDescent="0.25">
      <c r="K12369" s="128"/>
      <c r="X12369" s="234"/>
      <c r="Y12369" s="234"/>
      <c r="Z12369" s="234"/>
      <c r="AA12369" s="235"/>
      <c r="AB12369" s="234"/>
    </row>
    <row r="12370" ht="14.5" customHeight="1" spans="11:28" x14ac:dyDescent="0.25">
      <c r="K12370" s="128"/>
      <c r="X12370" s="234"/>
      <c r="Y12370" s="234"/>
      <c r="Z12370" s="234"/>
      <c r="AA12370" s="235"/>
      <c r="AB12370" s="234"/>
    </row>
    <row r="12371" ht="14.5" customHeight="1" spans="11:28" x14ac:dyDescent="0.25">
      <c r="K12371" s="128"/>
      <c r="X12371" s="234"/>
      <c r="Y12371" s="234"/>
      <c r="Z12371" s="234"/>
      <c r="AA12371" s="235"/>
      <c r="AB12371" s="234"/>
    </row>
    <row r="12372" ht="14.5" customHeight="1" spans="11:28" x14ac:dyDescent="0.25">
      <c r="K12372" s="128"/>
      <c r="X12372" s="234"/>
      <c r="Y12372" s="234"/>
      <c r="Z12372" s="234"/>
      <c r="AA12372" s="235"/>
      <c r="AB12372" s="234"/>
    </row>
    <row r="12373" ht="14.5" customHeight="1" spans="11:28" x14ac:dyDescent="0.25">
      <c r="K12373" s="128"/>
      <c r="X12373" s="234"/>
      <c r="Y12373" s="234"/>
      <c r="Z12373" s="234"/>
      <c r="AA12373" s="235"/>
      <c r="AB12373" s="234"/>
    </row>
    <row r="12374" ht="14.5" customHeight="1" spans="11:28" x14ac:dyDescent="0.25">
      <c r="K12374" s="128"/>
      <c r="X12374" s="234"/>
      <c r="Y12374" s="234"/>
      <c r="Z12374" s="234"/>
      <c r="AA12374" s="235"/>
      <c r="AB12374" s="234"/>
    </row>
    <row r="12375" ht="14.5" customHeight="1" spans="11:28" x14ac:dyDescent="0.25">
      <c r="K12375" s="128"/>
      <c r="X12375" s="234"/>
      <c r="Y12375" s="234"/>
      <c r="Z12375" s="234"/>
      <c r="AA12375" s="235"/>
      <c r="AB12375" s="234"/>
    </row>
    <row r="12376" ht="14.5" customHeight="1" spans="11:28" x14ac:dyDescent="0.25">
      <c r="K12376" s="128"/>
      <c r="X12376" s="234"/>
      <c r="Y12376" s="234"/>
      <c r="Z12376" s="234"/>
      <c r="AA12376" s="235"/>
      <c r="AB12376" s="234"/>
    </row>
    <row r="12377" ht="14.5" customHeight="1" spans="11:28" x14ac:dyDescent="0.25">
      <c r="K12377" s="128"/>
      <c r="X12377" s="234"/>
      <c r="Y12377" s="234"/>
      <c r="Z12377" s="234"/>
      <c r="AA12377" s="235"/>
      <c r="AB12377" s="234"/>
    </row>
    <row r="12378" ht="14.5" customHeight="1" spans="11:28" x14ac:dyDescent="0.25">
      <c r="K12378" s="128"/>
      <c r="X12378" s="234"/>
      <c r="Y12378" s="234"/>
      <c r="Z12378" s="234"/>
      <c r="AA12378" s="235"/>
      <c r="AB12378" s="234"/>
    </row>
    <row r="12379" ht="14.5" customHeight="1" spans="11:28" x14ac:dyDescent="0.25">
      <c r="K12379" s="128"/>
      <c r="X12379" s="234"/>
      <c r="Y12379" s="234"/>
      <c r="Z12379" s="234"/>
      <c r="AA12379" s="235"/>
      <c r="AB12379" s="234"/>
    </row>
    <row r="12380" ht="14.5" customHeight="1" spans="11:28" x14ac:dyDescent="0.25">
      <c r="K12380" s="128"/>
      <c r="X12380" s="234"/>
      <c r="Y12380" s="234"/>
      <c r="Z12380" s="234"/>
      <c r="AA12380" s="235"/>
      <c r="AB12380" s="234"/>
    </row>
    <row r="12381" ht="14.5" customHeight="1" spans="11:28" x14ac:dyDescent="0.25">
      <c r="K12381" s="128"/>
      <c r="X12381" s="234"/>
      <c r="Y12381" s="234"/>
      <c r="Z12381" s="234"/>
      <c r="AA12381" s="235"/>
      <c r="AB12381" s="234"/>
    </row>
    <row r="12382" ht="14.5" customHeight="1" spans="11:28" x14ac:dyDescent="0.25">
      <c r="K12382" s="128"/>
      <c r="X12382" s="234"/>
      <c r="Y12382" s="234"/>
      <c r="Z12382" s="234"/>
      <c r="AA12382" s="235"/>
      <c r="AB12382" s="234"/>
    </row>
    <row r="12383" ht="14.5" customHeight="1" spans="11:28" x14ac:dyDescent="0.25">
      <c r="K12383" s="128"/>
      <c r="X12383" s="234"/>
      <c r="Y12383" s="234"/>
      <c r="Z12383" s="234"/>
      <c r="AA12383" s="235"/>
      <c r="AB12383" s="234"/>
    </row>
    <row r="12384" ht="14.5" customHeight="1" spans="11:28" x14ac:dyDescent="0.25">
      <c r="K12384" s="128"/>
      <c r="X12384" s="234"/>
      <c r="Y12384" s="234"/>
      <c r="Z12384" s="234"/>
      <c r="AA12384" s="235"/>
      <c r="AB12384" s="234"/>
    </row>
    <row r="12385" ht="14.5" customHeight="1" spans="11:28" x14ac:dyDescent="0.25">
      <c r="K12385" s="128"/>
      <c r="X12385" s="234"/>
      <c r="Y12385" s="234"/>
      <c r="Z12385" s="234"/>
      <c r="AA12385" s="235"/>
      <c r="AB12385" s="234"/>
    </row>
    <row r="12386" ht="14.5" customHeight="1" spans="11:28" x14ac:dyDescent="0.25">
      <c r="K12386" s="128"/>
      <c r="X12386" s="234"/>
      <c r="Y12386" s="234"/>
      <c r="Z12386" s="234"/>
      <c r="AA12386" s="235"/>
      <c r="AB12386" s="234"/>
    </row>
    <row r="12387" ht="14.5" customHeight="1" spans="11:28" x14ac:dyDescent="0.25">
      <c r="K12387" s="128"/>
      <c r="X12387" s="234"/>
      <c r="Y12387" s="234"/>
      <c r="Z12387" s="234"/>
      <c r="AA12387" s="235"/>
      <c r="AB12387" s="234"/>
    </row>
    <row r="12388" ht="14.5" customHeight="1" spans="11:28" x14ac:dyDescent="0.25">
      <c r="K12388" s="128"/>
      <c r="X12388" s="234"/>
      <c r="Y12388" s="234"/>
      <c r="Z12388" s="234"/>
      <c r="AA12388" s="235"/>
      <c r="AB12388" s="234"/>
    </row>
    <row r="12389" ht="14.5" customHeight="1" spans="11:28" x14ac:dyDescent="0.25">
      <c r="K12389" s="128"/>
      <c r="X12389" s="234"/>
      <c r="Y12389" s="234"/>
      <c r="Z12389" s="234"/>
      <c r="AA12389" s="235"/>
      <c r="AB12389" s="234"/>
    </row>
    <row r="12390" ht="14.5" customHeight="1" spans="11:28" x14ac:dyDescent="0.25">
      <c r="K12390" s="128"/>
      <c r="X12390" s="234"/>
      <c r="Y12390" s="234"/>
      <c r="Z12390" s="234"/>
      <c r="AA12390" s="235"/>
      <c r="AB12390" s="234"/>
    </row>
    <row r="12391" ht="14.5" customHeight="1" spans="11:28" x14ac:dyDescent="0.25">
      <c r="K12391" s="128"/>
      <c r="X12391" s="234"/>
      <c r="Y12391" s="234"/>
      <c r="Z12391" s="234"/>
      <c r="AA12391" s="235"/>
      <c r="AB12391" s="234"/>
    </row>
    <row r="12392" ht="14.5" customHeight="1" spans="11:28" x14ac:dyDescent="0.25">
      <c r="K12392" s="128"/>
      <c r="X12392" s="234"/>
      <c r="Y12392" s="234"/>
      <c r="Z12392" s="234"/>
      <c r="AA12392" s="235"/>
      <c r="AB12392" s="234"/>
    </row>
    <row r="12393" ht="14.5" customHeight="1" spans="11:28" x14ac:dyDescent="0.25">
      <c r="K12393" s="128"/>
      <c r="X12393" s="234"/>
      <c r="Y12393" s="234"/>
      <c r="Z12393" s="234"/>
      <c r="AA12393" s="235"/>
      <c r="AB12393" s="234"/>
    </row>
    <row r="12394" ht="14.5" customHeight="1" spans="11:28" x14ac:dyDescent="0.25">
      <c r="K12394" s="128"/>
      <c r="X12394" s="234"/>
      <c r="Y12394" s="234"/>
      <c r="Z12394" s="234"/>
      <c r="AA12394" s="235"/>
      <c r="AB12394" s="234"/>
    </row>
    <row r="12395" ht="14.5" customHeight="1" spans="11:28" x14ac:dyDescent="0.25">
      <c r="K12395" s="128"/>
      <c r="X12395" s="234"/>
      <c r="Y12395" s="234"/>
      <c r="Z12395" s="234"/>
      <c r="AA12395" s="235"/>
      <c r="AB12395" s="234"/>
    </row>
    <row r="12396" ht="14.5" customHeight="1" spans="11:28" x14ac:dyDescent="0.25">
      <c r="K12396" s="128"/>
      <c r="X12396" s="234"/>
      <c r="Y12396" s="234"/>
      <c r="Z12396" s="234"/>
      <c r="AA12396" s="235"/>
      <c r="AB12396" s="234"/>
    </row>
    <row r="12397" ht="14.5" customHeight="1" spans="11:28" x14ac:dyDescent="0.25">
      <c r="K12397" s="128"/>
      <c r="X12397" s="234"/>
      <c r="Y12397" s="234"/>
      <c r="Z12397" s="234"/>
      <c r="AA12397" s="235"/>
      <c r="AB12397" s="234"/>
    </row>
    <row r="12398" ht="14.5" customHeight="1" spans="11:28" x14ac:dyDescent="0.25">
      <c r="K12398" s="128"/>
      <c r="X12398" s="234"/>
      <c r="Y12398" s="234"/>
      <c r="Z12398" s="234"/>
      <c r="AA12398" s="235"/>
      <c r="AB12398" s="234"/>
    </row>
    <row r="12399" ht="14.5" customHeight="1" spans="11:28" x14ac:dyDescent="0.25">
      <c r="K12399" s="128"/>
      <c r="X12399" s="234"/>
      <c r="Y12399" s="234"/>
      <c r="Z12399" s="234"/>
      <c r="AA12399" s="235"/>
      <c r="AB12399" s="234"/>
    </row>
    <row r="12400" ht="14.5" customHeight="1" spans="11:28" x14ac:dyDescent="0.25">
      <c r="K12400" s="128"/>
      <c r="X12400" s="234"/>
      <c r="Y12400" s="234"/>
      <c r="Z12400" s="234"/>
      <c r="AA12400" s="235"/>
      <c r="AB12400" s="234"/>
    </row>
    <row r="12401" ht="14.5" customHeight="1" spans="11:28" x14ac:dyDescent="0.25">
      <c r="K12401" s="128"/>
      <c r="X12401" s="234"/>
      <c r="Y12401" s="234"/>
      <c r="Z12401" s="234"/>
      <c r="AA12401" s="235"/>
      <c r="AB12401" s="234"/>
    </row>
    <row r="12402" ht="14.5" customHeight="1" spans="11:28" x14ac:dyDescent="0.25">
      <c r="K12402" s="128"/>
      <c r="X12402" s="234"/>
      <c r="Y12402" s="234"/>
      <c r="Z12402" s="234"/>
      <c r="AA12402" s="235"/>
      <c r="AB12402" s="234"/>
    </row>
    <row r="12403" ht="14.5" customHeight="1" spans="11:28" x14ac:dyDescent="0.25">
      <c r="K12403" s="128"/>
      <c r="X12403" s="234"/>
      <c r="Y12403" s="234"/>
      <c r="Z12403" s="234"/>
      <c r="AA12403" s="235"/>
      <c r="AB12403" s="234"/>
    </row>
    <row r="12404" ht="14.5" customHeight="1" spans="11:28" x14ac:dyDescent="0.25">
      <c r="K12404" s="128"/>
      <c r="X12404" s="234"/>
      <c r="Y12404" s="234"/>
      <c r="Z12404" s="234"/>
      <c r="AA12404" s="235"/>
      <c r="AB12404" s="234"/>
    </row>
    <row r="12405" ht="14.5" customHeight="1" spans="11:28" x14ac:dyDescent="0.25">
      <c r="K12405" s="128"/>
      <c r="X12405" s="234"/>
      <c r="Y12405" s="234"/>
      <c r="Z12405" s="234"/>
      <c r="AA12405" s="235"/>
      <c r="AB12405" s="234"/>
    </row>
    <row r="12406" ht="14.5" customHeight="1" spans="11:28" x14ac:dyDescent="0.25">
      <c r="K12406" s="128"/>
      <c r="X12406" s="234"/>
      <c r="Y12406" s="234"/>
      <c r="Z12406" s="234"/>
      <c r="AA12406" s="235"/>
      <c r="AB12406" s="234"/>
    </row>
    <row r="12407" ht="14.5" customHeight="1" spans="11:28" x14ac:dyDescent="0.25">
      <c r="K12407" s="128"/>
      <c r="X12407" s="234"/>
      <c r="Y12407" s="234"/>
      <c r="Z12407" s="234"/>
      <c r="AA12407" s="235"/>
      <c r="AB12407" s="234"/>
    </row>
    <row r="12408" ht="14.5" customHeight="1" spans="11:28" x14ac:dyDescent="0.25">
      <c r="K12408" s="128"/>
      <c r="X12408" s="234"/>
      <c r="Y12408" s="234"/>
      <c r="Z12408" s="234"/>
      <c r="AA12408" s="235"/>
      <c r="AB12408" s="234"/>
    </row>
    <row r="12409" ht="14.5" customHeight="1" spans="11:28" x14ac:dyDescent="0.25">
      <c r="K12409" s="128"/>
      <c r="X12409" s="234"/>
      <c r="Y12409" s="234"/>
      <c r="Z12409" s="234"/>
      <c r="AA12409" s="235"/>
      <c r="AB12409" s="234"/>
    </row>
    <row r="12410" ht="14.5" customHeight="1" spans="11:28" x14ac:dyDescent="0.25">
      <c r="K12410" s="128"/>
      <c r="X12410" s="234"/>
      <c r="Y12410" s="234"/>
      <c r="Z12410" s="234"/>
      <c r="AA12410" s="235"/>
      <c r="AB12410" s="234"/>
    </row>
    <row r="12411" ht="14.5" customHeight="1" spans="11:28" x14ac:dyDescent="0.25">
      <c r="K12411" s="128"/>
      <c r="X12411" s="234"/>
      <c r="Y12411" s="234"/>
      <c r="Z12411" s="234"/>
      <c r="AA12411" s="235"/>
      <c r="AB12411" s="234"/>
    </row>
    <row r="12412" ht="14.5" customHeight="1" spans="11:28" x14ac:dyDescent="0.25">
      <c r="K12412" s="128"/>
      <c r="X12412" s="234"/>
      <c r="Y12412" s="234"/>
      <c r="Z12412" s="234"/>
      <c r="AA12412" s="235"/>
      <c r="AB12412" s="234"/>
    </row>
    <row r="12413" ht="14.5" customHeight="1" spans="11:28" x14ac:dyDescent="0.25">
      <c r="K12413" s="128"/>
      <c r="X12413" s="234"/>
      <c r="Y12413" s="234"/>
      <c r="Z12413" s="234"/>
      <c r="AA12413" s="235"/>
      <c r="AB12413" s="234"/>
    </row>
    <row r="12414" ht="14.5" customHeight="1" spans="11:28" x14ac:dyDescent="0.25">
      <c r="K12414" s="128"/>
      <c r="X12414" s="234"/>
      <c r="Y12414" s="234"/>
      <c r="Z12414" s="234"/>
      <c r="AA12414" s="235"/>
      <c r="AB12414" s="234"/>
    </row>
    <row r="12415" ht="14.5" customHeight="1" spans="11:28" x14ac:dyDescent="0.25">
      <c r="K12415" s="128"/>
      <c r="X12415" s="234"/>
      <c r="Y12415" s="234"/>
      <c r="Z12415" s="234"/>
      <c r="AA12415" s="235"/>
      <c r="AB12415" s="234"/>
    </row>
    <row r="12416" ht="14.5" customHeight="1" spans="11:28" x14ac:dyDescent="0.25">
      <c r="K12416" s="128"/>
      <c r="X12416" s="234"/>
      <c r="Y12416" s="234"/>
      <c r="Z12416" s="234"/>
      <c r="AA12416" s="235"/>
      <c r="AB12416" s="234"/>
    </row>
    <row r="12417" ht="14.5" customHeight="1" spans="11:28" x14ac:dyDescent="0.25">
      <c r="K12417" s="128"/>
      <c r="X12417" s="234"/>
      <c r="Y12417" s="234"/>
      <c r="Z12417" s="234"/>
      <c r="AA12417" s="235"/>
      <c r="AB12417" s="234"/>
    </row>
  </sheetData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P30"/>
  <sheetViews>
    <sheetView workbookViewId="0" showGridLines="0" zoomScale="100" zoomScaleNormal="100">
      <selection activeCell="N10" sqref="N10"/>
    </sheetView>
  </sheetViews>
  <sheetFormatPr defaultRowHeight="12.5" outlineLevelRow="0" outlineLevelCol="0" x14ac:dyDescent="0.25" customHeight="1"/>
  <cols>
    <col min="2" max="2" width="4.26953125" customWidth="1"/>
    <col min="9" max="9" width="10.453125" customWidth="1"/>
    <col min="10" max="10" width="9.7265625" customWidth="1"/>
  </cols>
  <sheetData>
    <row r="2" ht="20.5" customHeight="1" spans="3:12" x14ac:dyDescent="0.25">
      <c r="C2" s="313" t="s">
        <v>284</v>
      </c>
      <c r="L2" s="313" t="s">
        <v>285</v>
      </c>
    </row>
    <row r="3" ht="14" customHeight="1" spans="3:7" x14ac:dyDescent="0.25">
      <c r="C3" s="314" t="s">
        <v>286</v>
      </c>
      <c r="D3" s="315"/>
      <c r="E3" s="315"/>
      <c r="F3" s="315"/>
      <c r="G3" s="316"/>
    </row>
    <row r="4" spans="3:14" x14ac:dyDescent="0.25">
      <c r="C4" s="317">
        <v>590</v>
      </c>
      <c r="D4" s="318" t="s">
        <v>287</v>
      </c>
      <c r="E4" s="318"/>
      <c r="F4" s="318"/>
      <c r="G4" s="319"/>
      <c r="L4" s="1" t="s">
        <v>288</v>
      </c>
      <c r="M4" s="1">
        <v>0.00000105506</v>
      </c>
      <c r="N4" s="1" t="s">
        <v>44</v>
      </c>
    </row>
    <row r="5" spans="3:14" x14ac:dyDescent="0.25">
      <c r="C5" s="317"/>
      <c r="D5" s="318"/>
      <c r="E5" s="318"/>
      <c r="F5" s="318"/>
      <c r="G5" s="319"/>
      <c r="L5" s="4" t="s">
        <v>289</v>
      </c>
      <c r="M5" s="4">
        <v>277.778</v>
      </c>
      <c r="N5" t="s">
        <v>215</v>
      </c>
    </row>
    <row r="6" spans="3:7" x14ac:dyDescent="0.25">
      <c r="C6" s="320" t="s">
        <v>290</v>
      </c>
      <c r="D6" s="321">
        <v>0.0036</v>
      </c>
      <c r="E6" s="318" t="s">
        <v>44</v>
      </c>
      <c r="F6" s="318"/>
      <c r="G6" s="319"/>
    </row>
    <row r="7" spans="3:7" x14ac:dyDescent="0.25">
      <c r="C7" s="317"/>
      <c r="D7" s="318"/>
      <c r="E7" s="318"/>
      <c r="F7" s="318"/>
      <c r="G7" s="319"/>
    </row>
    <row r="8" spans="3:7" x14ac:dyDescent="0.25">
      <c r="C8" s="322">
        <f>C4/D6</f>
        <v>163888.8888888889</v>
      </c>
      <c r="D8" s="318" t="s">
        <v>291</v>
      </c>
      <c r="E8" s="318"/>
      <c r="F8" s="318"/>
      <c r="G8" s="319"/>
    </row>
    <row r="9" ht="14" customHeight="1" spans="3:12" x14ac:dyDescent="0.25">
      <c r="C9" s="323">
        <f>C8/1000</f>
        <v>163.8888888888889</v>
      </c>
      <c r="D9" s="324" t="s">
        <v>292</v>
      </c>
      <c r="E9" s="324"/>
      <c r="F9" s="324"/>
      <c r="G9" s="325"/>
      <c r="L9" s="4" t="s">
        <v>293</v>
      </c>
    </row>
    <row r="10" ht="13" customHeight="1" spans="3:16" x14ac:dyDescent="0.25">
      <c r="C10" s="326"/>
      <c r="D10" s="327"/>
      <c r="E10" s="327"/>
      <c r="F10" s="327"/>
      <c r="G10" s="328"/>
      <c r="L10">
        <v>10.7639104</v>
      </c>
      <c r="M10" s="4" t="s">
        <v>294</v>
      </c>
      <c r="N10" s="4" t="s">
        <v>295</v>
      </c>
      <c r="O10">
        <v>1</v>
      </c>
      <c r="P10" s="4" t="s">
        <v>296</v>
      </c>
    </row>
    <row r="11" spans="3:7" x14ac:dyDescent="0.25">
      <c r="C11" s="329" t="s">
        <v>297</v>
      </c>
      <c r="G11" t="s">
        <v>298</v>
      </c>
    </row>
    <row r="12" ht="13" customHeight="1" x14ac:dyDescent="0.25"/>
    <row r="13" ht="14" customHeight="1" spans="3:6" x14ac:dyDescent="0.25">
      <c r="C13" s="314" t="s">
        <v>299</v>
      </c>
      <c r="D13" s="315"/>
      <c r="E13" s="315"/>
      <c r="F13" s="316" t="s">
        <v>300</v>
      </c>
    </row>
    <row r="14" spans="3:6" x14ac:dyDescent="0.25">
      <c r="C14" s="317">
        <v>1962</v>
      </c>
      <c r="D14" s="318" t="s">
        <v>301</v>
      </c>
      <c r="E14" s="318"/>
      <c r="F14" s="319">
        <v>1</v>
      </c>
    </row>
    <row r="15" spans="3:6" x14ac:dyDescent="0.25">
      <c r="C15" s="317">
        <v>0.037</v>
      </c>
      <c r="D15" s="318" t="s">
        <v>302</v>
      </c>
      <c r="E15" s="318"/>
      <c r="F15" s="319">
        <v>28</v>
      </c>
    </row>
    <row r="16" spans="3:6" x14ac:dyDescent="0.25">
      <c r="C16" s="317">
        <v>0.035</v>
      </c>
      <c r="D16" s="318" t="s">
        <v>303</v>
      </c>
      <c r="E16" s="318"/>
      <c r="F16" s="319">
        <v>265</v>
      </c>
    </row>
    <row r="17" spans="3:6" x14ac:dyDescent="0.25">
      <c r="C17" s="317"/>
      <c r="D17" s="318"/>
      <c r="E17" s="318"/>
      <c r="F17" s="319"/>
    </row>
    <row r="18" spans="3:6" x14ac:dyDescent="0.25">
      <c r="C18" s="317">
        <f>C14*F14</f>
        <v>1962</v>
      </c>
      <c r="D18" s="318" t="s">
        <v>301</v>
      </c>
      <c r="E18" s="318"/>
      <c r="F18" s="319"/>
    </row>
    <row r="19" spans="3:6" x14ac:dyDescent="0.25">
      <c r="C19" s="317">
        <f>C15*F15</f>
        <v>1.036</v>
      </c>
      <c r="D19" s="318" t="s">
        <v>304</v>
      </c>
      <c r="E19" s="318"/>
      <c r="F19" s="319"/>
    </row>
    <row r="20" spans="3:6" x14ac:dyDescent="0.25">
      <c r="C20" s="330">
        <f>C16*F16</f>
        <v>9.275</v>
      </c>
      <c r="D20" s="318" t="s">
        <v>304</v>
      </c>
      <c r="E20" s="318"/>
      <c r="F20" s="319"/>
    </row>
    <row r="21" spans="3:6" x14ac:dyDescent="0.25">
      <c r="C21" s="317"/>
      <c r="D21" s="318"/>
      <c r="E21" s="318"/>
      <c r="F21" s="319"/>
    </row>
    <row r="22" spans="3:6" x14ac:dyDescent="0.25">
      <c r="C22" s="322">
        <f>SUM(C18:C20)</f>
        <v>1972.3110000000001</v>
      </c>
      <c r="D22" s="318" t="s">
        <v>304</v>
      </c>
      <c r="E22" s="318"/>
      <c r="F22" s="319"/>
    </row>
    <row r="23" spans="3:6" x14ac:dyDescent="0.25">
      <c r="C23" s="317"/>
      <c r="D23" s="318"/>
      <c r="E23" s="318"/>
      <c r="F23" s="319"/>
    </row>
    <row r="24" spans="3:6" x14ac:dyDescent="0.25">
      <c r="C24" s="320" t="s">
        <v>305</v>
      </c>
      <c r="D24" s="321">
        <v>0.0373</v>
      </c>
      <c r="E24" s="318" t="s">
        <v>44</v>
      </c>
      <c r="F24" s="319"/>
    </row>
    <row r="25" spans="3:6" x14ac:dyDescent="0.25">
      <c r="C25" s="317"/>
      <c r="D25" s="318"/>
      <c r="E25" s="318"/>
      <c r="F25" s="319"/>
    </row>
    <row r="26" spans="3:6" x14ac:dyDescent="0.25">
      <c r="C26" s="317">
        <f>C22/D24</f>
        <v>52876.97050938338</v>
      </c>
      <c r="D26" s="318" t="s">
        <v>291</v>
      </c>
      <c r="E26" s="318"/>
      <c r="F26" s="319"/>
    </row>
    <row r="27" ht="14.5" customHeight="1" spans="3:6" x14ac:dyDescent="0.25">
      <c r="C27" s="331">
        <f>C26/1000</f>
        <v>52.87697050938338</v>
      </c>
      <c r="D27" s="332" t="s">
        <v>306</v>
      </c>
      <c r="E27" s="327"/>
      <c r="F27" s="328"/>
    </row>
    <row r="28" spans="3:6" x14ac:dyDescent="0.25">
      <c r="C28" s="329" t="s">
        <v>307</v>
      </c>
      <c r="F28" t="s">
        <v>308</v>
      </c>
    </row>
    <row r="29" spans="6:6" x14ac:dyDescent="0.25">
      <c r="F29" t="s">
        <v>309</v>
      </c>
    </row>
    <row r="30" spans="3:6" x14ac:dyDescent="0.25">
      <c r="C30" s="329" t="s">
        <v>310</v>
      </c>
      <c r="F30" t="s">
        <v>311</v>
      </c>
    </row>
  </sheetData>
  <hyperlinks>
    <hyperlink ref="C11" r:id="rId1"/>
    <hyperlink ref="C28" r:id="rId2"/>
    <hyperlink ref="C30" r:id="rId3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Q36"/>
  <sheetViews>
    <sheetView workbookViewId="0" showGridLines="0" zoomScale="100" zoomScaleNormal="100">
      <selection activeCell="J29" sqref="J29"/>
    </sheetView>
  </sheetViews>
  <sheetFormatPr defaultRowHeight="12.5" outlineLevelRow="0" outlineLevelCol="0" x14ac:dyDescent="0.25" customHeight="1"/>
  <cols>
    <col min="2" max="2" width="14.26953125" customWidth="1"/>
    <col min="3" max="3" width="15.26953125" customWidth="1"/>
    <col min="4" max="4" width="16.54296875" customWidth="1"/>
    <col min="5" max="5" width="16.26953125" customWidth="1"/>
    <col min="6" max="7" width="22.1796875" customWidth="1"/>
    <col min="8" max="8" width="14.26953125" customWidth="1"/>
    <col min="10" max="10" width="16.453125" customWidth="1"/>
    <col min="12" max="12" width="12.7265625" customWidth="1"/>
    <col min="13" max="13" width="12.54296875" customWidth="1"/>
    <col min="14" max="14" width="14.1796875" customWidth="1"/>
    <col min="16" max="16" width="13.54296875" customWidth="1"/>
    <col min="17" max="17" width="21.453125" customWidth="1"/>
    <col min="18" max="18" width="24.26953125" customWidth="1"/>
  </cols>
  <sheetData>
    <row r="1" ht="52.5" customHeight="1" spans="1:12" s="333" customFormat="1" x14ac:dyDescent="0.25">
      <c r="A1" s="334" t="s">
        <v>230</v>
      </c>
      <c r="B1" s="334" t="s">
        <v>312</v>
      </c>
      <c r="C1" s="334" t="s">
        <v>313</v>
      </c>
      <c r="D1" s="334" t="s">
        <v>314</v>
      </c>
      <c r="E1" s="334" t="s">
        <v>315</v>
      </c>
      <c r="F1" s="334" t="s">
        <v>316</v>
      </c>
      <c r="G1" s="334" t="s">
        <v>317</v>
      </c>
      <c r="J1" s="1"/>
      <c r="K1" s="1"/>
      <c r="L1" s="1"/>
    </row>
    <row r="2" ht="14.5" customHeight="1" spans="1:17" x14ac:dyDescent="0.25">
      <c r="A2" s="335" t="s">
        <v>318</v>
      </c>
      <c r="B2" s="336">
        <v>162.86</v>
      </c>
      <c r="C2" s="337">
        <v>10.89</v>
      </c>
      <c r="D2" s="338">
        <f t="shared" ref="D2:D13" si="0">C2-E2</f>
        <v>0.5500000000000007</v>
      </c>
      <c r="E2" s="339">
        <f t="shared" ref="E2:E13" si="1">C2-(MIN($C$2:$C$13))</f>
        <v>10.34</v>
      </c>
      <c r="F2" s="340">
        <f>E2/'Conversion Factors'!$M$4</f>
        <v>9800390.499118533</v>
      </c>
      <c r="G2" s="341">
        <f>B2/C2</f>
        <v>14.955004591368228</v>
      </c>
      <c r="J2" s="342" t="s">
        <v>319</v>
      </c>
      <c r="K2" s="343"/>
      <c r="L2" s="343"/>
      <c r="M2" s="342"/>
      <c r="N2" s="342"/>
      <c r="O2" s="344">
        <v>0.8</v>
      </c>
      <c r="P2" s="342"/>
      <c r="Q2" s="342"/>
    </row>
    <row r="3" ht="14.5" customHeight="1" spans="1:17" x14ac:dyDescent="0.25">
      <c r="A3" s="335" t="s">
        <v>320</v>
      </c>
      <c r="B3" s="336">
        <v>143.87</v>
      </c>
      <c r="C3" s="337">
        <v>9.92</v>
      </c>
      <c r="D3" s="338">
        <f t="shared" si="0"/>
        <v>0.5500000000000007</v>
      </c>
      <c r="E3" s="339">
        <f t="shared" si="1"/>
        <v>9.37</v>
      </c>
      <c r="F3" s="340">
        <f>E3/'Conversion Factors'!$M$4</f>
        <v>8881011.506454607</v>
      </c>
      <c r="G3" s="341">
        <f t="shared" ref="G3:G13" si="2">B3/C3</f>
        <v>14.503024193548388</v>
      </c>
      <c r="J3" s="343" t="s">
        <v>321</v>
      </c>
      <c r="K3" s="342"/>
      <c r="L3" s="342"/>
      <c r="M3" s="342"/>
      <c r="N3" s="342"/>
      <c r="O3" s="345">
        <v>17</v>
      </c>
      <c r="P3" s="343" t="s">
        <v>322</v>
      </c>
      <c r="Q3" s="342"/>
    </row>
    <row r="4" ht="14.5" customHeight="1" spans="1:17" x14ac:dyDescent="0.25">
      <c r="A4" s="335" t="s">
        <v>323</v>
      </c>
      <c r="B4" s="336">
        <v>170.17</v>
      </c>
      <c r="C4" s="337">
        <v>11.8</v>
      </c>
      <c r="D4" s="338">
        <f t="shared" si="0"/>
        <v>0.5500000000000007</v>
      </c>
      <c r="E4" s="339">
        <f t="shared" si="1"/>
        <v>11.25</v>
      </c>
      <c r="F4" s="340">
        <f>E4/'Conversion Factors'!$M$4</f>
        <v>10662900.688112523</v>
      </c>
      <c r="G4" s="341">
        <f t="shared" si="2"/>
        <v>14.421186440677964</v>
      </c>
      <c r="J4" s="343" t="s">
        <v>324</v>
      </c>
      <c r="K4" s="342"/>
      <c r="L4" s="342"/>
      <c r="M4" s="342"/>
      <c r="N4" s="342"/>
      <c r="O4" s="345">
        <v>24</v>
      </c>
      <c r="P4" s="343" t="s">
        <v>322</v>
      </c>
      <c r="Q4" s="342"/>
    </row>
    <row r="5" ht="14.5" customHeight="1" spans="1:7" x14ac:dyDescent="0.25">
      <c r="A5" s="335" t="s">
        <v>325</v>
      </c>
      <c r="B5" s="336">
        <v>117</v>
      </c>
      <c r="C5" s="337">
        <v>5.9</v>
      </c>
      <c r="D5" s="338">
        <f t="shared" si="0"/>
        <v>0.5499999999999998</v>
      </c>
      <c r="E5" s="339">
        <f t="shared" si="1"/>
        <v>5.3500000000000005</v>
      </c>
      <c r="F5" s="340">
        <f>E5/'Conversion Factors'!$M$4</f>
        <v>5070801.660569067</v>
      </c>
      <c r="G5" s="341">
        <f t="shared" si="2"/>
        <v>19.83050847457627</v>
      </c>
    </row>
    <row r="6" ht="14.5" customHeight="1" spans="1:16" x14ac:dyDescent="0.25">
      <c r="A6" s="335" t="s">
        <v>326</v>
      </c>
      <c r="B6" s="336">
        <v>68.18</v>
      </c>
      <c r="C6" s="337">
        <f>1.97</f>
        <v>1.97</v>
      </c>
      <c r="D6" s="338">
        <f t="shared" si="0"/>
        <v>0.55</v>
      </c>
      <c r="E6" s="339">
        <f t="shared" si="1"/>
        <v>1.42</v>
      </c>
      <c r="F6" s="340">
        <f>E6/'Conversion Factors'!$M$4</f>
        <v>1345895.0201884252</v>
      </c>
      <c r="G6" s="341">
        <f t="shared" si="2"/>
        <v>34.609137055837564</v>
      </c>
      <c r="J6" s="342" t="s">
        <v>327</v>
      </c>
      <c r="K6" s="342"/>
      <c r="L6" s="342"/>
      <c r="M6" s="342"/>
      <c r="N6" s="342"/>
      <c r="O6" s="346">
        <v>3800</v>
      </c>
      <c r="P6" s="343" t="s">
        <v>328</v>
      </c>
    </row>
    <row r="7" ht="14" customHeight="1" spans="1:7" x14ac:dyDescent="0.25">
      <c r="A7" s="335" t="s">
        <v>329</v>
      </c>
      <c r="B7" s="336">
        <v>63.89</v>
      </c>
      <c r="C7" s="337">
        <v>0.98</v>
      </c>
      <c r="D7" s="338">
        <f t="shared" si="0"/>
        <v>0.55</v>
      </c>
      <c r="E7" s="339">
        <f t="shared" si="1"/>
        <v>0.42999999999999994</v>
      </c>
      <c r="F7" s="340">
        <f>E7/'Conversion Factors'!$M$4</f>
        <v>407559.75963452307</v>
      </c>
      <c r="G7" s="341">
        <f t="shared" si="2"/>
        <v>65.1938775510204</v>
      </c>
    </row>
    <row r="8" ht="14.5" customHeight="1" spans="1:15" x14ac:dyDescent="0.25">
      <c r="A8" s="335" t="s">
        <v>330</v>
      </c>
      <c r="B8" s="336">
        <v>46.36</v>
      </c>
      <c r="C8" s="337">
        <v>0.99</v>
      </c>
      <c r="D8" s="338">
        <f t="shared" si="0"/>
        <v>0.55</v>
      </c>
      <c r="E8" s="339">
        <f t="shared" si="1"/>
        <v>0.43999999999999995</v>
      </c>
      <c r="F8" s="340">
        <f>E8/'Conversion Factors'!$M$4</f>
        <v>417037.893579512</v>
      </c>
      <c r="G8" s="341">
        <f t="shared" si="2"/>
        <v>46.82828282828283</v>
      </c>
      <c r="J8" s="347" t="s">
        <v>7</v>
      </c>
      <c r="K8" s="342"/>
      <c r="L8" s="342"/>
      <c r="M8" s="342"/>
      <c r="N8" s="342"/>
      <c r="O8" s="342"/>
    </row>
    <row r="9" ht="14.5" customHeight="1" spans="1:15" x14ac:dyDescent="0.25">
      <c r="A9" s="335" t="s">
        <v>331</v>
      </c>
      <c r="B9" s="336">
        <v>41.04</v>
      </c>
      <c r="C9" s="337">
        <v>0.55</v>
      </c>
      <c r="D9" s="338">
        <f t="shared" si="0"/>
        <v>0.55</v>
      </c>
      <c r="E9" s="339">
        <f t="shared" si="1"/>
        <v>0</v>
      </c>
      <c r="F9" s="340">
        <f>E9/'Conversion Factors'!$M$4</f>
        <v>0</v>
      </c>
      <c r="G9" s="341">
        <f t="shared" si="2"/>
        <v>74.61818181818181</v>
      </c>
      <c r="J9" s="342" t="s">
        <v>332</v>
      </c>
      <c r="K9" s="342"/>
      <c r="L9" s="342"/>
      <c r="M9" s="342"/>
      <c r="N9" s="342"/>
      <c r="O9" s="348">
        <v>7500</v>
      </c>
    </row>
    <row r="10" ht="14.5" customHeight="1" spans="1:15" x14ac:dyDescent="0.25">
      <c r="A10" s="335" t="s">
        <v>333</v>
      </c>
      <c r="B10" s="336">
        <v>62.36</v>
      </c>
      <c r="C10" s="337">
        <f>1.95-C9</f>
        <v>1.4</v>
      </c>
      <c r="D10" s="338">
        <f t="shared" si="0"/>
        <v>0.55</v>
      </c>
      <c r="E10" s="339">
        <f t="shared" si="1"/>
        <v>0.8499999999999999</v>
      </c>
      <c r="F10" s="340">
        <f>E10/'Conversion Factors'!$M$4</f>
        <v>805641.3853240573</v>
      </c>
      <c r="G10" s="341">
        <f t="shared" si="2"/>
        <v>44.542857142857144</v>
      </c>
      <c r="J10" s="343" t="s">
        <v>334</v>
      </c>
      <c r="K10" s="342"/>
      <c r="L10" s="342"/>
      <c r="M10" s="342"/>
      <c r="N10" s="342"/>
      <c r="O10" s="348">
        <v>16000</v>
      </c>
    </row>
    <row r="11" ht="14.5" customHeight="1" spans="1:17" x14ac:dyDescent="0.25">
      <c r="A11" s="335" t="s">
        <v>335</v>
      </c>
      <c r="B11" s="336">
        <v>71.67</v>
      </c>
      <c r="C11" s="337">
        <v>2.96</v>
      </c>
      <c r="D11" s="338">
        <f t="shared" si="0"/>
        <v>0.5499999999999998</v>
      </c>
      <c r="E11" s="339">
        <f t="shared" si="1"/>
        <v>2.41</v>
      </c>
      <c r="F11" s="340">
        <f>E11/'Conversion Factors'!$M$4</f>
        <v>2284230.2807423277</v>
      </c>
      <c r="G11" s="341">
        <f t="shared" si="2"/>
        <v>24.21283783783784</v>
      </c>
      <c r="J11" s="342" t="s">
        <v>14</v>
      </c>
      <c r="K11" s="342"/>
      <c r="L11" s="342"/>
      <c r="M11" s="342"/>
      <c r="N11" s="342"/>
      <c r="O11" s="348">
        <v>10200</v>
      </c>
      <c r="Q11" s="4"/>
    </row>
    <row r="12" ht="14" customHeight="1" spans="1:7" x14ac:dyDescent="0.25">
      <c r="A12" s="335" t="s">
        <v>336</v>
      </c>
      <c r="B12" s="336">
        <v>143.73</v>
      </c>
      <c r="C12" s="337">
        <v>8.8</v>
      </c>
      <c r="D12" s="338">
        <f t="shared" si="0"/>
        <v>0.5500000000000007</v>
      </c>
      <c r="E12" s="339">
        <f t="shared" si="1"/>
        <v>8.25</v>
      </c>
      <c r="F12" s="340">
        <f>E12/'Conversion Factors'!$M$4</f>
        <v>7819460.504615851</v>
      </c>
      <c r="G12" s="341">
        <f t="shared" si="2"/>
        <v>16.332954545454545</v>
      </c>
    </row>
    <row r="13" ht="14.5" customHeight="1" spans="1:15" x14ac:dyDescent="0.25">
      <c r="A13" s="349" t="s">
        <v>337</v>
      </c>
      <c r="B13" s="350">
        <v>213.84</v>
      </c>
      <c r="C13" s="351">
        <v>14.8</v>
      </c>
      <c r="D13" s="352">
        <f t="shared" si="0"/>
        <v>0.5500000000000007</v>
      </c>
      <c r="E13" s="353">
        <f t="shared" si="1"/>
        <v>14.25</v>
      </c>
      <c r="F13" s="354">
        <f>E13/'Conversion Factors'!$M$4</f>
        <v>13506340.871609198</v>
      </c>
      <c r="G13" s="355">
        <f t="shared" si="2"/>
        <v>14.448648648648648</v>
      </c>
      <c r="J13" s="347" t="s">
        <v>15</v>
      </c>
      <c r="K13" s="342"/>
      <c r="L13" s="342"/>
      <c r="M13" s="342"/>
      <c r="N13" s="342"/>
      <c r="O13" s="342"/>
    </row>
    <row r="14" ht="14" customHeight="1" spans="1:15" x14ac:dyDescent="0.25">
      <c r="A14" s="356" t="s">
        <v>338</v>
      </c>
      <c r="B14" s="357">
        <f>SUM(B2:B13)</f>
        <v>1304.9699999999998</v>
      </c>
      <c r="C14" s="358">
        <f>SUM(C2:C13)</f>
        <v>70.96</v>
      </c>
      <c r="D14" s="359">
        <f>SUM(D2:D13)</f>
        <v>6.600000000000002</v>
      </c>
      <c r="E14" s="360">
        <f>SUM(E2:E13)</f>
        <v>64.36</v>
      </c>
      <c r="F14" s="361">
        <f>SUM(F2:F13)</f>
        <v>61001270.06994863</v>
      </c>
      <c r="G14" s="362">
        <f>B14/C14</f>
        <v>18.390219842164598</v>
      </c>
      <c r="J14" s="342" t="s">
        <v>16</v>
      </c>
      <c r="K14" s="342"/>
      <c r="L14" s="342"/>
      <c r="M14" s="342"/>
      <c r="N14" s="342"/>
      <c r="O14" s="348">
        <v>4400</v>
      </c>
    </row>
    <row r="15" spans="10:15" x14ac:dyDescent="0.25">
      <c r="J15" s="342" t="s">
        <v>18</v>
      </c>
      <c r="K15" s="342"/>
      <c r="L15" s="342"/>
      <c r="M15" s="342"/>
      <c r="N15" s="342"/>
      <c r="O15" s="363">
        <f>O11*10%</f>
        <v>1020</v>
      </c>
    </row>
    <row r="16" ht="39" customHeight="1" spans="1:15" x14ac:dyDescent="0.25">
      <c r="A16" s="334" t="s">
        <v>230</v>
      </c>
      <c r="B16" s="334" t="s">
        <v>339</v>
      </c>
      <c r="C16" s="334" t="s">
        <v>340</v>
      </c>
      <c r="D16" s="334" t="s">
        <v>341</v>
      </c>
      <c r="E16" s="334" t="s">
        <v>340</v>
      </c>
      <c r="F16" s="334" t="s">
        <v>342</v>
      </c>
      <c r="G16" s="334" t="s">
        <v>343</v>
      </c>
      <c r="H16" s="334" t="s">
        <v>344</v>
      </c>
      <c r="N16" s="364" t="s">
        <v>20</v>
      </c>
      <c r="O16" s="365">
        <v>0.0295</v>
      </c>
    </row>
    <row r="17" ht="25" customHeight="1" spans="1:15" x14ac:dyDescent="0.25">
      <c r="A17" s="335" t="s">
        <v>318</v>
      </c>
      <c r="B17" s="366">
        <f>44.79+75</f>
        <v>119.78999999999999</v>
      </c>
      <c r="C17" s="337">
        <v>452</v>
      </c>
      <c r="D17" s="337">
        <v>0</v>
      </c>
      <c r="E17" s="338">
        <f t="shared" ref="E17:E28" si="3">($H$17*$H$18*D17)/1000</f>
        <v>0</v>
      </c>
      <c r="F17" s="338">
        <f t="shared" ref="F17:F22" si="4">E17/277.778</f>
        <v>0</v>
      </c>
      <c r="G17" s="341">
        <f>SUM(B17:B28)/(SUM(C17:C28))</f>
        <v>0.27597886719588066</v>
      </c>
      <c r="H17" s="106">
        <v>8</v>
      </c>
      <c r="I17" s="4" t="s">
        <v>345</v>
      </c>
      <c r="N17" s="364" t="s">
        <v>23</v>
      </c>
      <c r="O17" s="367">
        <v>0</v>
      </c>
    </row>
    <row r="18" ht="14" customHeight="1" spans="1:15" x14ac:dyDescent="0.25">
      <c r="A18" s="335" t="s">
        <v>320</v>
      </c>
      <c r="B18" s="366">
        <f>95.5+25</f>
        <v>120.5</v>
      </c>
      <c r="C18" s="337">
        <v>458</v>
      </c>
      <c r="D18" s="337">
        <v>0</v>
      </c>
      <c r="E18" s="338">
        <f t="shared" si="3"/>
        <v>0</v>
      </c>
      <c r="F18" s="338">
        <f t="shared" si="4"/>
        <v>0</v>
      </c>
      <c r="G18" s="341"/>
      <c r="H18" s="106">
        <v>208</v>
      </c>
      <c r="I18" s="4" t="s">
        <v>346</v>
      </c>
      <c r="O18" s="4"/>
    </row>
    <row r="19" ht="14" customHeight="1" spans="1:15" x14ac:dyDescent="0.25">
      <c r="A19" s="335" t="s">
        <v>323</v>
      </c>
      <c r="B19" s="366">
        <f>61.1+25</f>
        <v>86.1</v>
      </c>
      <c r="C19" s="337">
        <v>288</v>
      </c>
      <c r="D19" s="337">
        <v>0</v>
      </c>
      <c r="E19" s="338">
        <f t="shared" si="3"/>
        <v>0</v>
      </c>
      <c r="F19" s="338">
        <f t="shared" si="4"/>
        <v>0</v>
      </c>
      <c r="G19" s="341"/>
      <c r="O19" s="4"/>
    </row>
    <row r="20" ht="14" customHeight="1" spans="1:15" x14ac:dyDescent="0.25">
      <c r="A20" s="335" t="s">
        <v>325</v>
      </c>
      <c r="B20" s="336">
        <v>64.48</v>
      </c>
      <c r="C20" s="337">
        <v>203</v>
      </c>
      <c r="D20" s="337">
        <v>0</v>
      </c>
      <c r="E20" s="338">
        <f t="shared" si="3"/>
        <v>0</v>
      </c>
      <c r="F20" s="338">
        <f t="shared" si="4"/>
        <v>0</v>
      </c>
      <c r="G20" s="341"/>
      <c r="O20" s="4"/>
    </row>
    <row r="21" ht="14" customHeight="1" spans="1:15" x14ac:dyDescent="0.25">
      <c r="A21" s="335" t="s">
        <v>326</v>
      </c>
      <c r="B21" s="336">
        <v>88.24</v>
      </c>
      <c r="C21" s="337">
        <v>312</v>
      </c>
      <c r="D21" s="337">
        <v>0</v>
      </c>
      <c r="E21" s="338">
        <f t="shared" si="3"/>
        <v>0</v>
      </c>
      <c r="F21" s="338">
        <f t="shared" si="4"/>
        <v>0</v>
      </c>
      <c r="G21" s="341"/>
      <c r="O21" s="4"/>
    </row>
    <row r="22" ht="14" customHeight="1" spans="1:15" x14ac:dyDescent="0.25">
      <c r="A22" s="335" t="s">
        <v>329</v>
      </c>
      <c r="B22" s="366">
        <f>12.44+50</f>
        <v>62.44</v>
      </c>
      <c r="C22" s="337">
        <v>183</v>
      </c>
      <c r="D22" s="337">
        <v>0</v>
      </c>
      <c r="E22" s="338">
        <f t="shared" si="3"/>
        <v>0</v>
      </c>
      <c r="F22" s="338">
        <f t="shared" si="4"/>
        <v>0</v>
      </c>
      <c r="G22" s="341"/>
      <c r="O22" s="4"/>
    </row>
    <row r="23" ht="14" customHeight="1" spans="1:15" x14ac:dyDescent="0.25">
      <c r="A23" s="335" t="s">
        <v>330</v>
      </c>
      <c r="B23" s="366">
        <f>14.39+50</f>
        <v>64.39</v>
      </c>
      <c r="C23" s="337">
        <v>195</v>
      </c>
      <c r="D23" s="337">
        <v>7.7</v>
      </c>
      <c r="E23" s="338">
        <f>($H$17*$H$18*D23)/1000</f>
        <v>12.812800000000001</v>
      </c>
      <c r="F23" s="338">
        <f>E23/277.778</f>
        <v>0.04612604309916552</v>
      </c>
      <c r="G23" s="341"/>
      <c r="O23" s="4"/>
    </row>
    <row r="24" ht="14" customHeight="1" spans="1:7" x14ac:dyDescent="0.25">
      <c r="A24" s="335" t="s">
        <v>331</v>
      </c>
      <c r="B24" s="366">
        <f>27.07+50</f>
        <v>77.07</v>
      </c>
      <c r="C24" s="337">
        <v>281.8</v>
      </c>
      <c r="D24" s="337">
        <v>18.7</v>
      </c>
      <c r="E24" s="338">
        <f t="shared" si="3"/>
        <v>31.116799999999998</v>
      </c>
      <c r="F24" s="338">
        <f t="shared" ref="F24:F28" si="5">E24/277.778</f>
        <v>0.11202039038368768</v>
      </c>
      <c r="G24" s="341"/>
    </row>
    <row r="25" ht="14" customHeight="1" spans="1:7" x14ac:dyDescent="0.25">
      <c r="A25" s="335" t="s">
        <v>333</v>
      </c>
      <c r="B25" s="366">
        <f>11.3+50</f>
        <v>61.3</v>
      </c>
      <c r="C25" s="337">
        <v>213.44</v>
      </c>
      <c r="D25" s="337">
        <v>12.5</v>
      </c>
      <c r="E25" s="338">
        <f t="shared" si="3"/>
        <v>20.8</v>
      </c>
      <c r="F25" s="338">
        <f t="shared" si="5"/>
        <v>0.07487994009604793</v>
      </c>
      <c r="G25" s="341"/>
    </row>
    <row r="26" ht="14" customHeight="1" spans="1:7" x14ac:dyDescent="0.25">
      <c r="A26" s="335" t="s">
        <v>335</v>
      </c>
      <c r="B26" s="366">
        <f>12.24+50</f>
        <v>62.24</v>
      </c>
      <c r="C26" s="337">
        <v>220.56</v>
      </c>
      <c r="D26" s="337">
        <v>0</v>
      </c>
      <c r="E26" s="338">
        <f t="shared" si="3"/>
        <v>0</v>
      </c>
      <c r="F26" s="338">
        <f>E26/277.778</f>
        <v>0</v>
      </c>
      <c r="G26" s="341"/>
    </row>
    <row r="27" ht="14" customHeight="1" spans="1:7" x14ac:dyDescent="0.25">
      <c r="A27" s="335" t="s">
        <v>336</v>
      </c>
      <c r="B27" s="366">
        <f>44.32+50</f>
        <v>94.32</v>
      </c>
      <c r="C27" s="337">
        <v>379</v>
      </c>
      <c r="D27" s="337">
        <v>0</v>
      </c>
      <c r="E27" s="338">
        <f t="shared" si="3"/>
        <v>0</v>
      </c>
      <c r="F27" s="338">
        <f t="shared" si="5"/>
        <v>0</v>
      </c>
      <c r="G27" s="341"/>
    </row>
    <row r="28" ht="14.5" customHeight="1" spans="1:7" x14ac:dyDescent="0.25">
      <c r="A28" s="349" t="s">
        <v>337</v>
      </c>
      <c r="B28" s="368">
        <f>53.2+75</f>
        <v>128.2</v>
      </c>
      <c r="C28" s="351">
        <v>543</v>
      </c>
      <c r="D28" s="351">
        <v>0</v>
      </c>
      <c r="E28" s="352">
        <f t="shared" si="3"/>
        <v>0</v>
      </c>
      <c r="F28" s="352">
        <f t="shared" si="5"/>
        <v>0</v>
      </c>
      <c r="G28" s="355"/>
    </row>
    <row r="29" ht="13.5" customHeight="1" spans="1:7" x14ac:dyDescent="0.25">
      <c r="A29" s="356" t="s">
        <v>338</v>
      </c>
      <c r="B29" s="356"/>
      <c r="C29" s="358"/>
      <c r="D29" s="358">
        <f>SUM(D17:D28)</f>
        <v>38.9</v>
      </c>
      <c r="E29" s="359">
        <f>SUM(E17:E28)</f>
        <v>64.7296</v>
      </c>
      <c r="F29" s="359">
        <f>SUM(F17:F28)</f>
        <v>0.23302637357890113</v>
      </c>
      <c r="G29" s="362"/>
    </row>
    <row r="32" spans="1:1" x14ac:dyDescent="0.25">
      <c r="A32" s="4"/>
    </row>
    <row r="33" spans="1:8" x14ac:dyDescent="0.25">
      <c r="A33" s="4"/>
      <c r="B33" s="4"/>
      <c r="E33" s="86"/>
      <c r="F33" s="4"/>
      <c r="H33" s="4"/>
    </row>
    <row r="34" spans="1:8" x14ac:dyDescent="0.25">
      <c r="A34" s="4"/>
      <c r="B34" s="4"/>
      <c r="E34" s="106"/>
      <c r="F34" s="4"/>
      <c r="H34" s="4"/>
    </row>
    <row r="35" spans="1:8" x14ac:dyDescent="0.25">
      <c r="A35" s="4"/>
      <c r="B35" s="4"/>
      <c r="E35" s="106"/>
      <c r="F35" s="4"/>
      <c r="H35" s="4"/>
    </row>
    <row r="36" spans="6:8" x14ac:dyDescent="0.25">
      <c r="F36" s="369"/>
      <c r="G36" s="369"/>
      <c r="H36" s="369"/>
    </row>
  </sheetData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147"/>
  <sheetViews>
    <sheetView workbookViewId="0" showGridLines="0" zoomScale="115" zoomScaleNormal="115">
      <selection activeCell="K40" sqref="K40"/>
    </sheetView>
  </sheetViews>
  <sheetFormatPr defaultRowHeight="12.5" outlineLevelRow="0" outlineLevelCol="0" x14ac:dyDescent="0.25" customHeight="1"/>
  <cols>
    <col min="1" max="1" width="4.54296875" customWidth="1"/>
    <col min="2" max="2" width="16.453125" customWidth="1"/>
    <col min="3" max="3" width="10.26953125" customWidth="1"/>
    <col min="4" max="4" width="14.54296875" customWidth="1"/>
    <col min="5" max="5" width="10.26953125" customWidth="1"/>
    <col min="6" max="6" width="10.81640625" customWidth="1"/>
    <col min="7" max="7" width="13.7265625" customWidth="1"/>
    <col min="8" max="8" width="10.26953125" customWidth="1"/>
    <col min="18" max="18" width="9.1796875" customWidth="1"/>
  </cols>
  <sheetData>
    <row r="2" ht="20" customHeight="1" spans="2:2" x14ac:dyDescent="0.25">
      <c r="B2" s="256" t="s">
        <v>260</v>
      </c>
    </row>
    <row r="3" ht="13" customHeight="1" x14ac:dyDescent="0.25"/>
    <row r="4" spans="2:5" x14ac:dyDescent="0.25">
      <c r="B4" s="257" t="s">
        <v>261</v>
      </c>
      <c r="C4" s="258"/>
      <c r="D4" s="259"/>
      <c r="E4" s="260">
        <f>'Calc Worksheet'!J66</f>
        <v>2059.52</v>
      </c>
    </row>
    <row r="5" spans="2:5" x14ac:dyDescent="0.25">
      <c r="B5" s="261" t="s">
        <v>262</v>
      </c>
      <c r="C5" s="262"/>
      <c r="D5" s="263"/>
      <c r="E5" s="264">
        <f>'Calc Worksheet'!J67</f>
        <v>203.5139398611663</v>
      </c>
    </row>
    <row r="6" ht="13" customHeight="1" spans="2:5" x14ac:dyDescent="0.25">
      <c r="B6" s="265" t="s">
        <v>263</v>
      </c>
      <c r="C6" s="266"/>
      <c r="D6" s="267"/>
      <c r="E6" s="268">
        <f>SUM(E4:E5)</f>
        <v>2263.0339398611663</v>
      </c>
    </row>
    <row r="7" ht="13" customHeight="1" x14ac:dyDescent="0.25"/>
    <row r="8" spans="2:5" x14ac:dyDescent="0.25">
      <c r="B8" s="269" t="s">
        <v>264</v>
      </c>
      <c r="C8" s="270"/>
      <c r="D8" s="270"/>
      <c r="E8" s="271">
        <f>'Calc Worksheet'!E65</f>
        <v>11.607643584457039</v>
      </c>
    </row>
    <row r="9" ht="13" customHeight="1" spans="2:5" x14ac:dyDescent="0.25">
      <c r="B9" s="272" t="s">
        <v>265</v>
      </c>
      <c r="C9" s="273"/>
      <c r="D9" s="273"/>
      <c r="E9" s="274">
        <f>'Calc Worksheet'!E67</f>
        <v>155.40499572607328</v>
      </c>
    </row>
    <row r="12" ht="13" customHeight="1" x14ac:dyDescent="0.25"/>
    <row r="13" ht="50.5" customHeight="1" spans="2:7" x14ac:dyDescent="0.25">
      <c r="B13" s="275" t="s">
        <v>266</v>
      </c>
      <c r="C13" s="276" t="s">
        <v>267</v>
      </c>
      <c r="D13" s="276" t="s">
        <v>263</v>
      </c>
      <c r="E13" s="276" t="s">
        <v>268</v>
      </c>
      <c r="F13" s="277" t="s">
        <v>269</v>
      </c>
      <c r="G13" s="278"/>
    </row>
    <row r="14" spans="2:7" x14ac:dyDescent="0.25">
      <c r="B14" s="279">
        <v>5</v>
      </c>
      <c r="C14" s="280">
        <v>0.05</v>
      </c>
      <c r="D14" s="281">
        <f>E6</f>
        <v>2263.0339398611663</v>
      </c>
      <c r="E14" s="280">
        <f>(($E$8*'Conversion Factors'!$M$5)*C14)+($E$9*B14)</f>
        <v>938.2423796105318</v>
      </c>
      <c r="F14" s="282">
        <f>E14-D14</f>
        <v>-1324.7915602506346</v>
      </c>
      <c r="G14" s="83"/>
    </row>
    <row r="15" spans="2:6" x14ac:dyDescent="0.25">
      <c r="B15" s="283">
        <f t="shared" ref="B15:B46" si="0">B14+1</f>
        <v>6</v>
      </c>
      <c r="C15" s="189">
        <f t="shared" ref="C15:C46" si="1">C14+0.01</f>
        <v>0.060000000000000005</v>
      </c>
      <c r="D15" s="284">
        <f>D14</f>
        <v>2263.0339398611663</v>
      </c>
      <c r="E15" s="280">
        <f>(($E$8*'Conversion Factors'!$M$5)*C15)+($E$9*B15)</f>
        <v>1125.8908555326382</v>
      </c>
      <c r="F15" s="282">
        <f t="shared" ref="F15:F78" si="2">E15-D15</f>
        <v>-1137.1430843285282</v>
      </c>
    </row>
    <row r="16" spans="2:6" x14ac:dyDescent="0.25">
      <c r="B16" s="283">
        <f t="shared" si="0"/>
        <v>7</v>
      </c>
      <c r="C16" s="189">
        <f t="shared" si="1"/>
        <v>0.07</v>
      </c>
      <c r="D16" s="284">
        <f t="shared" ref="D16:D46" si="3">D15</f>
        <v>2263.0339398611663</v>
      </c>
      <c r="E16" s="280">
        <f>(($E$8*'Conversion Factors'!$M$5)*C16)+($E$9*B16)</f>
        <v>1313.5393314547443</v>
      </c>
      <c r="F16" s="282">
        <f t="shared" si="2"/>
        <v>-949.494608406422</v>
      </c>
    </row>
    <row r="17" spans="2:6" x14ac:dyDescent="0.25">
      <c r="B17" s="283">
        <f t="shared" si="0"/>
        <v>8</v>
      </c>
      <c r="C17" s="189">
        <f t="shared" si="1"/>
        <v>0.08</v>
      </c>
      <c r="D17" s="284">
        <f t="shared" si="3"/>
        <v>2263.0339398611663</v>
      </c>
      <c r="E17" s="280">
        <f>(($E$8*'Conversion Factors'!$M$5)*C17)+($E$9*B17)</f>
        <v>1501.1878073768507</v>
      </c>
      <c r="F17" s="282">
        <f t="shared" si="2"/>
        <v>-761.8461324843156</v>
      </c>
    </row>
    <row r="18" spans="2:6" x14ac:dyDescent="0.25">
      <c r="B18" s="283">
        <f t="shared" si="0"/>
        <v>9</v>
      </c>
      <c r="C18" s="189">
        <f t="shared" si="1"/>
        <v>0.09</v>
      </c>
      <c r="D18" s="284">
        <f t="shared" si="3"/>
        <v>2263.0339398611663</v>
      </c>
      <c r="E18" s="280">
        <f>(($E$8*'Conversion Factors'!$M$5)*C18)+($E$9*B18)</f>
        <v>1688.8362832989574</v>
      </c>
      <c r="F18" s="282">
        <f t="shared" si="2"/>
        <v>-574.197656562209</v>
      </c>
    </row>
    <row r="19" spans="2:6" x14ac:dyDescent="0.25">
      <c r="B19" s="283">
        <f t="shared" si="0"/>
        <v>10</v>
      </c>
      <c r="C19" s="189">
        <f t="shared" si="1"/>
        <v>0.09999999999999999</v>
      </c>
      <c r="D19" s="284">
        <f t="shared" si="3"/>
        <v>2263.0339398611663</v>
      </c>
      <c r="E19" s="280">
        <f>(($E$8*'Conversion Factors'!$M$5)*C19)+($E$9*B19)</f>
        <v>1876.4847592210635</v>
      </c>
      <c r="F19" s="282">
        <f t="shared" si="2"/>
        <v>-386.5491806401028</v>
      </c>
    </row>
    <row r="20" spans="2:6" x14ac:dyDescent="0.25">
      <c r="B20" s="283">
        <f t="shared" si="0"/>
        <v>11</v>
      </c>
      <c r="C20" s="189">
        <f t="shared" si="1"/>
        <v>0.10999999999999999</v>
      </c>
      <c r="D20" s="284">
        <f t="shared" si="3"/>
        <v>2263.0339398611663</v>
      </c>
      <c r="E20" s="280">
        <f>(($E$8*'Conversion Factors'!$M$5)*C20)+($E$9*B20)</f>
        <v>2064.1332351431697</v>
      </c>
      <c r="F20" s="282">
        <f t="shared" si="2"/>
        <v>-198.90070471799663</v>
      </c>
    </row>
    <row r="21" spans="2:6" x14ac:dyDescent="0.25">
      <c r="B21" s="283">
        <f t="shared" si="0"/>
        <v>12</v>
      </c>
      <c r="C21" s="189">
        <f t="shared" si="1"/>
        <v>0.11999999999999998</v>
      </c>
      <c r="D21" s="284">
        <f t="shared" si="3"/>
        <v>2263.0339398611663</v>
      </c>
      <c r="E21" s="280">
        <f>(($E$8*'Conversion Factors'!$M$5)*C21)+($E$9*B21)</f>
        <v>2251.7817110652763</v>
      </c>
      <c r="F21" s="282">
        <f t="shared" si="2"/>
        <v>-11.252228795890005</v>
      </c>
    </row>
    <row r="22" spans="2:6" x14ac:dyDescent="0.25">
      <c r="B22" s="283">
        <f t="shared" si="0"/>
        <v>13</v>
      </c>
      <c r="C22" s="189">
        <f t="shared" si="1"/>
        <v>0.12999999999999998</v>
      </c>
      <c r="D22" s="284">
        <f t="shared" si="3"/>
        <v>2263.0339398611663</v>
      </c>
      <c r="E22" s="280">
        <f>(($E$8*'Conversion Factors'!$M$5)*C22)+($E$9*B22)</f>
        <v>2439.4301869873825</v>
      </c>
      <c r="F22" s="282">
        <f t="shared" si="2"/>
        <v>176.39624712621617</v>
      </c>
    </row>
    <row r="23" spans="2:6" x14ac:dyDescent="0.25">
      <c r="B23" s="283">
        <f t="shared" si="0"/>
        <v>14</v>
      </c>
      <c r="C23" s="189">
        <f t="shared" si="1"/>
        <v>0.13999999999999999</v>
      </c>
      <c r="D23" s="284">
        <f t="shared" si="3"/>
        <v>2263.0339398611663</v>
      </c>
      <c r="E23" s="280">
        <f>(($E$8*'Conversion Factors'!$M$5)*C23)+($E$9*B23)</f>
        <v>2627.0786629094887</v>
      </c>
      <c r="F23" s="282">
        <f t="shared" si="2"/>
        <v>364.04472304832234</v>
      </c>
    </row>
    <row r="24" spans="2:6" x14ac:dyDescent="0.25">
      <c r="B24" s="283">
        <f t="shared" si="0"/>
        <v>15</v>
      </c>
      <c r="C24" s="189">
        <f t="shared" si="1"/>
        <v>0.15</v>
      </c>
      <c r="D24" s="284">
        <f t="shared" si="3"/>
        <v>2263.0339398611663</v>
      </c>
      <c r="E24" s="280">
        <f>(($E$8*'Conversion Factors'!$M$5)*C24)+($E$9*B24)</f>
        <v>2814.7271388315953</v>
      </c>
      <c r="F24" s="282">
        <f t="shared" si="2"/>
        <v>551.693198970429</v>
      </c>
    </row>
    <row r="25" spans="2:6" x14ac:dyDescent="0.25">
      <c r="B25" s="283">
        <f t="shared" si="0"/>
        <v>16</v>
      </c>
      <c r="C25" s="189">
        <f t="shared" si="1"/>
        <v>0.16</v>
      </c>
      <c r="D25" s="284">
        <f t="shared" si="3"/>
        <v>2263.0339398611663</v>
      </c>
      <c r="E25" s="280">
        <f>(($E$8*'Conversion Factors'!$M$5)*C25)+($E$9*B25)</f>
        <v>3002.3756147537015</v>
      </c>
      <c r="F25" s="282">
        <f t="shared" si="2"/>
        <v>739.3416748925351</v>
      </c>
    </row>
    <row r="26" spans="2:6" x14ac:dyDescent="0.25">
      <c r="B26" s="283">
        <f t="shared" si="0"/>
        <v>17</v>
      </c>
      <c r="C26" s="189">
        <f t="shared" si="1"/>
        <v>0.17</v>
      </c>
      <c r="D26" s="284">
        <f t="shared" si="3"/>
        <v>2263.0339398611663</v>
      </c>
      <c r="E26" s="280">
        <f>(($E$8*'Conversion Factors'!$M$5)*C26)+($E$9*B26)</f>
        <v>3190.024090675808</v>
      </c>
      <c r="F26" s="282">
        <f t="shared" si="2"/>
        <v>926.9901508146418</v>
      </c>
    </row>
    <row r="27" spans="2:6" x14ac:dyDescent="0.25">
      <c r="B27" s="283">
        <f t="shared" si="0"/>
        <v>18</v>
      </c>
      <c r="C27" s="189">
        <f t="shared" si="1"/>
        <v>0.18000000000000002</v>
      </c>
      <c r="D27" s="284">
        <f t="shared" si="3"/>
        <v>2263.0339398611663</v>
      </c>
      <c r="E27" s="280">
        <f>(($E$8*'Conversion Factors'!$M$5)*C27)+($E$9*B27)</f>
        <v>3377.6725665979147</v>
      </c>
      <c r="F27" s="282">
        <f t="shared" si="2"/>
        <v>1114.6386267367484</v>
      </c>
    </row>
    <row r="28" spans="2:6" x14ac:dyDescent="0.25">
      <c r="B28" s="283">
        <f t="shared" si="0"/>
        <v>19</v>
      </c>
      <c r="C28" s="189">
        <f t="shared" si="1"/>
        <v>0.19000000000000003</v>
      </c>
      <c r="D28" s="284">
        <f t="shared" si="3"/>
        <v>2263.0339398611663</v>
      </c>
      <c r="E28" s="280">
        <f>(($E$8*'Conversion Factors'!$M$5)*C28)+($E$9*B28)</f>
        <v>3565.321042520021</v>
      </c>
      <c r="F28" s="282">
        <f t="shared" si="2"/>
        <v>1302.2871026588546</v>
      </c>
    </row>
    <row r="29" spans="2:6" x14ac:dyDescent="0.25">
      <c r="B29" s="283">
        <f t="shared" si="0"/>
        <v>20</v>
      </c>
      <c r="C29" s="189">
        <f t="shared" si="1"/>
        <v>0.20000000000000004</v>
      </c>
      <c r="D29" s="284">
        <f t="shared" si="3"/>
        <v>2263.0339398611663</v>
      </c>
      <c r="E29" s="280">
        <f>(($E$8*'Conversion Factors'!$M$5)*C29)+($E$9*B29)</f>
        <v>3752.969518442127</v>
      </c>
      <c r="F29" s="282">
        <f t="shared" si="2"/>
        <v>1489.9355785809607</v>
      </c>
    </row>
    <row r="30" spans="2:6" x14ac:dyDescent="0.25">
      <c r="B30" s="283">
        <f t="shared" si="0"/>
        <v>21</v>
      </c>
      <c r="C30" s="189">
        <f t="shared" si="1"/>
        <v>0.21000000000000005</v>
      </c>
      <c r="D30" s="284">
        <f t="shared" si="3"/>
        <v>2263.0339398611663</v>
      </c>
      <c r="E30" s="280">
        <f>(($E$8*'Conversion Factors'!$M$5)*C30)+($E$9*B30)</f>
        <v>3940.6179943642337</v>
      </c>
      <c r="F30" s="282">
        <f t="shared" si="2"/>
        <v>1677.5840545030674</v>
      </c>
    </row>
    <row r="31" spans="2:6" x14ac:dyDescent="0.25">
      <c r="B31" s="283">
        <f t="shared" si="0"/>
        <v>22</v>
      </c>
      <c r="C31" s="189">
        <f t="shared" si="1"/>
        <v>0.22000000000000006</v>
      </c>
      <c r="D31" s="284">
        <f t="shared" si="3"/>
        <v>2263.0339398611663</v>
      </c>
      <c r="E31" s="280">
        <f>(($E$8*'Conversion Factors'!$M$5)*C31)+($E$9*B31)</f>
        <v>4128.26647028634</v>
      </c>
      <c r="F31" s="282">
        <f t="shared" si="2"/>
        <v>1865.232530425174</v>
      </c>
    </row>
    <row r="32" spans="2:6" x14ac:dyDescent="0.25">
      <c r="B32" s="283">
        <f t="shared" si="0"/>
        <v>23</v>
      </c>
      <c r="C32" s="189">
        <f t="shared" si="1"/>
        <v>0.23000000000000007</v>
      </c>
      <c r="D32" s="284">
        <f t="shared" si="3"/>
        <v>2263.0339398611663</v>
      </c>
      <c r="E32" s="280">
        <f>(($E$8*'Conversion Factors'!$M$5)*C32)+($E$9*B32)</f>
        <v>4315.914946208446</v>
      </c>
      <c r="F32" s="282">
        <f t="shared" si="2"/>
        <v>2052.8810063472797</v>
      </c>
    </row>
    <row r="33" spans="2:6" x14ac:dyDescent="0.25">
      <c r="B33" s="283">
        <f t="shared" si="0"/>
        <v>24</v>
      </c>
      <c r="C33" s="189">
        <f t="shared" si="1"/>
        <v>0.24000000000000007</v>
      </c>
      <c r="D33" s="284">
        <f t="shared" si="3"/>
        <v>2263.0339398611663</v>
      </c>
      <c r="E33" s="280">
        <f>(($E$8*'Conversion Factors'!$M$5)*C33)+($E$9*B33)</f>
        <v>4503.563422130553</v>
      </c>
      <c r="F33" s="282">
        <f t="shared" si="2"/>
        <v>2240.5294822693863</v>
      </c>
    </row>
    <row r="34" spans="2:6" x14ac:dyDescent="0.25">
      <c r="B34" s="283">
        <f t="shared" si="0"/>
        <v>25</v>
      </c>
      <c r="C34" s="189">
        <f t="shared" si="1"/>
        <v>0.25000000000000006</v>
      </c>
      <c r="D34" s="284">
        <f t="shared" si="3"/>
        <v>2263.0339398611663</v>
      </c>
      <c r="E34" s="280">
        <f>(($E$8*'Conversion Factors'!$M$5)*C34)+($E$9*B34)</f>
        <v>4691.211898052659</v>
      </c>
      <c r="F34" s="282">
        <f t="shared" si="2"/>
        <v>2428.177958191493</v>
      </c>
    </row>
    <row r="35" spans="2:6" x14ac:dyDescent="0.25">
      <c r="B35" s="283">
        <f t="shared" si="0"/>
        <v>26</v>
      </c>
      <c r="C35" s="189">
        <f t="shared" si="1"/>
        <v>0.26000000000000006</v>
      </c>
      <c r="D35" s="284">
        <f t="shared" si="3"/>
        <v>2263.0339398611663</v>
      </c>
      <c r="E35" s="280">
        <f>(($E$8*'Conversion Factors'!$M$5)*C35)+($E$9*B35)</f>
        <v>4878.860373974765</v>
      </c>
      <c r="F35" s="282">
        <f t="shared" si="2"/>
        <v>2615.8264341135987</v>
      </c>
    </row>
    <row r="36" ht="13" customHeight="1" spans="2:6" x14ac:dyDescent="0.25">
      <c r="B36" s="283">
        <f t="shared" si="0"/>
        <v>27</v>
      </c>
      <c r="C36" s="189">
        <f t="shared" si="1"/>
        <v>0.2700000000000001</v>
      </c>
      <c r="D36" s="284">
        <f t="shared" si="3"/>
        <v>2263.0339398611663</v>
      </c>
      <c r="E36" s="280">
        <f>(($E$8*'Conversion Factors'!$M$5)*C36)+($E$9*B36)</f>
        <v>5066.508849896872</v>
      </c>
      <c r="F36" s="282">
        <f t="shared" si="2"/>
        <v>2803.4749100357053</v>
      </c>
    </row>
    <row r="37" ht="18" customHeight="1" spans="2:13" x14ac:dyDescent="0.25">
      <c r="B37" s="283">
        <f t="shared" si="0"/>
        <v>28</v>
      </c>
      <c r="C37" s="189">
        <f t="shared" si="1"/>
        <v>0.2800000000000001</v>
      </c>
      <c r="D37" s="284">
        <f t="shared" si="3"/>
        <v>2263.0339398611663</v>
      </c>
      <c r="E37" s="280">
        <f>(($E$8*'Conversion Factors'!$M$5)*C37)+($E$9*B37)</f>
        <v>5254.157325818978</v>
      </c>
      <c r="F37" s="282">
        <f t="shared" si="2"/>
        <v>2991.123385957812</v>
      </c>
      <c r="H37" s="285" t="s">
        <v>270</v>
      </c>
      <c r="I37" s="286"/>
      <c r="J37" s="286"/>
      <c r="K37" s="286"/>
      <c r="L37" s="287">
        <f t="array" ref="L37">INDEX(C14:C79,MATCH(TRUE,INDEX(F14:F79&gt;0,),0))</f>
        <v>0.12999999999999998</v>
      </c>
      <c r="M37" s="288" t="s">
        <v>271</v>
      </c>
    </row>
    <row r="38" spans="2:8" x14ac:dyDescent="0.25">
      <c r="B38" s="283">
        <f t="shared" si="0"/>
        <v>29</v>
      </c>
      <c r="C38" s="189">
        <f t="shared" si="1"/>
        <v>0.2900000000000001</v>
      </c>
      <c r="D38" s="284">
        <f t="shared" si="3"/>
        <v>2263.0339398611663</v>
      </c>
      <c r="E38" s="280">
        <f>(($E$8*'Conversion Factors'!$M$5)*C38)+($E$9*B38)</f>
        <v>5441.805801741085</v>
      </c>
      <c r="F38" s="282">
        <f t="shared" si="2"/>
        <v>3178.7718618799186</v>
      </c>
      <c r="H38" s="289" t="s">
        <v>272</v>
      </c>
    </row>
    <row r="39" spans="2:6" x14ac:dyDescent="0.25">
      <c r="B39" s="283">
        <f t="shared" si="0"/>
        <v>30</v>
      </c>
      <c r="C39" s="189">
        <f t="shared" si="1"/>
        <v>0.3000000000000001</v>
      </c>
      <c r="D39" s="284">
        <f t="shared" si="3"/>
        <v>2263.0339398611663</v>
      </c>
      <c r="E39" s="280">
        <f>(($E$8*'Conversion Factors'!$M$5)*C39)+($E$9*B39)</f>
        <v>5629.4542776631915</v>
      </c>
      <c r="F39" s="282">
        <f t="shared" si="2"/>
        <v>3366.420337802025</v>
      </c>
    </row>
    <row r="40" spans="2:6" x14ac:dyDescent="0.25">
      <c r="B40" s="283">
        <f t="shared" si="0"/>
        <v>31</v>
      </c>
      <c r="C40" s="189">
        <f t="shared" si="1"/>
        <v>0.3100000000000001</v>
      </c>
      <c r="D40" s="284">
        <f t="shared" si="3"/>
        <v>2263.0339398611663</v>
      </c>
      <c r="E40" s="280">
        <f>(($E$8*'Conversion Factors'!$M$5)*C40)+($E$9*B40)</f>
        <v>5817.102753585297</v>
      </c>
      <c r="F40" s="282">
        <f t="shared" si="2"/>
        <v>3554.068813724131</v>
      </c>
    </row>
    <row r="41" spans="2:6" x14ac:dyDescent="0.25">
      <c r="B41" s="283">
        <f t="shared" si="0"/>
        <v>32</v>
      </c>
      <c r="C41" s="189">
        <f t="shared" si="1"/>
        <v>0.3200000000000001</v>
      </c>
      <c r="D41" s="284">
        <f t="shared" si="3"/>
        <v>2263.0339398611663</v>
      </c>
      <c r="E41" s="280">
        <f>(($E$8*'Conversion Factors'!$M$5)*C41)+($E$9*B41)</f>
        <v>6004.751229507404</v>
      </c>
      <c r="F41" s="282">
        <f t="shared" si="2"/>
        <v>3741.7172896462375</v>
      </c>
    </row>
    <row r="42" spans="2:6" x14ac:dyDescent="0.25">
      <c r="B42" s="283">
        <f t="shared" si="0"/>
        <v>33</v>
      </c>
      <c r="C42" s="189">
        <f t="shared" si="1"/>
        <v>0.3300000000000001</v>
      </c>
      <c r="D42" s="284">
        <f t="shared" si="3"/>
        <v>2263.0339398611663</v>
      </c>
      <c r="E42" s="280">
        <f>(($E$8*'Conversion Factors'!$M$5)*C42)+($E$9*B42)</f>
        <v>6192.3997054295105</v>
      </c>
      <c r="F42" s="282">
        <f t="shared" si="2"/>
        <v>3929.365765568344</v>
      </c>
    </row>
    <row r="43" spans="2:6" x14ac:dyDescent="0.25">
      <c r="B43" s="283">
        <f t="shared" si="0"/>
        <v>34</v>
      </c>
      <c r="C43" s="189">
        <f t="shared" si="1"/>
        <v>0.34000000000000014</v>
      </c>
      <c r="D43" s="284">
        <f t="shared" si="3"/>
        <v>2263.0339398611663</v>
      </c>
      <c r="E43" s="280">
        <f>(($E$8*'Conversion Factors'!$M$5)*C43)+($E$9*B43)</f>
        <v>6380.048181351616</v>
      </c>
      <c r="F43" s="282">
        <f t="shared" si="2"/>
        <v>4117.014241490449</v>
      </c>
    </row>
    <row r="44" spans="2:6" x14ac:dyDescent="0.25">
      <c r="B44" s="283">
        <f t="shared" si="0"/>
        <v>35</v>
      </c>
      <c r="C44" s="189">
        <f t="shared" si="1"/>
        <v>0.35000000000000014</v>
      </c>
      <c r="D44" s="284">
        <f t="shared" si="3"/>
        <v>2263.0339398611663</v>
      </c>
      <c r="E44" s="280">
        <f>(($E$8*'Conversion Factors'!$M$5)*C44)+($E$9*B44)</f>
        <v>6567.696657273722</v>
      </c>
      <c r="F44" s="282">
        <f t="shared" si="2"/>
        <v>4304.662717412555</v>
      </c>
    </row>
    <row r="45" spans="2:6" x14ac:dyDescent="0.25">
      <c r="B45" s="283">
        <f t="shared" si="0"/>
        <v>36</v>
      </c>
      <c r="C45" s="189">
        <f t="shared" si="1"/>
        <v>0.36000000000000015</v>
      </c>
      <c r="D45" s="284">
        <f t="shared" si="3"/>
        <v>2263.0339398611663</v>
      </c>
      <c r="E45" s="280">
        <f>(($E$8*'Conversion Factors'!$M$5)*C45)+($E$9*B45)</f>
        <v>6755.3451331958295</v>
      </c>
      <c r="F45" s="282">
        <f t="shared" si="2"/>
        <v>4492.311193334663</v>
      </c>
    </row>
    <row r="46" spans="2:6" x14ac:dyDescent="0.25">
      <c r="B46" s="283">
        <f t="shared" si="0"/>
        <v>37</v>
      </c>
      <c r="C46" s="189">
        <f t="shared" si="1"/>
        <v>0.37000000000000016</v>
      </c>
      <c r="D46" s="284">
        <f t="shared" si="3"/>
        <v>2263.0339398611663</v>
      </c>
      <c r="E46" s="280">
        <f>(($E$8*'Conversion Factors'!$M$5)*C46)+($E$9*B46)</f>
        <v>6942.993609117936</v>
      </c>
      <c r="F46" s="282">
        <f t="shared" si="2"/>
        <v>4679.95966925677</v>
      </c>
    </row>
    <row r="47" spans="2:6" x14ac:dyDescent="0.25">
      <c r="B47" s="283">
        <f t="shared" ref="B47:B79" si="4">B46+1</f>
        <v>38</v>
      </c>
      <c r="C47" s="189">
        <f t="shared" ref="C47:C79" si="5">C46+0.01</f>
        <v>0.38000000000000017</v>
      </c>
      <c r="D47" s="284">
        <f t="shared" ref="D47:D79" si="6">D46</f>
        <v>2263.0339398611663</v>
      </c>
      <c r="E47" s="280">
        <f>(($E$8*'Conversion Factors'!$M$5)*C47)+($E$9*B47)</f>
        <v>7130.642085040042</v>
      </c>
      <c r="F47" s="282">
        <f t="shared" si="2"/>
        <v>4867.608145178876</v>
      </c>
    </row>
    <row r="48" spans="2:6" x14ac:dyDescent="0.25">
      <c r="B48" s="283">
        <f t="shared" si="4"/>
        <v>39</v>
      </c>
      <c r="C48" s="189">
        <f t="shared" si="5"/>
        <v>0.3900000000000002</v>
      </c>
      <c r="D48" s="284">
        <f t="shared" si="6"/>
        <v>2263.0339398611663</v>
      </c>
      <c r="E48" s="280">
        <f>(($E$8*'Conversion Factors'!$M$5)*C48)+($E$9*B48)</f>
        <v>7318.290560962148</v>
      </c>
      <c r="F48" s="282">
        <f t="shared" si="2"/>
        <v>5055.256621100982</v>
      </c>
    </row>
    <row r="49" spans="2:6" x14ac:dyDescent="0.25">
      <c r="B49" s="283">
        <f t="shared" si="4"/>
        <v>40</v>
      </c>
      <c r="C49" s="189">
        <f t="shared" si="5"/>
        <v>0.4000000000000002</v>
      </c>
      <c r="D49" s="284">
        <f t="shared" si="6"/>
        <v>2263.0339398611663</v>
      </c>
      <c r="E49" s="280">
        <f>(($E$8*'Conversion Factors'!$M$5)*C49)+($E$9*B49)</f>
        <v>7505.939036884254</v>
      </c>
      <c r="F49" s="282">
        <f t="shared" si="2"/>
        <v>5242.905097023087</v>
      </c>
    </row>
    <row r="50" spans="2:6" x14ac:dyDescent="0.25">
      <c r="B50" s="283">
        <f t="shared" si="4"/>
        <v>41</v>
      </c>
      <c r="C50" s="189">
        <f t="shared" si="5"/>
        <v>0.4100000000000002</v>
      </c>
      <c r="D50" s="284">
        <f t="shared" si="6"/>
        <v>2263.0339398611663</v>
      </c>
      <c r="E50" s="280">
        <f>(($E$8*'Conversion Factors'!$M$5)*C50)+($E$9*B50)</f>
        <v>7693.587512806361</v>
      </c>
      <c r="F50" s="282">
        <f t="shared" si="2"/>
        <v>5430.553572945195</v>
      </c>
    </row>
    <row r="51" spans="2:6" x14ac:dyDescent="0.25">
      <c r="B51" s="283">
        <f t="shared" si="4"/>
        <v>42</v>
      </c>
      <c r="C51" s="189">
        <f t="shared" si="5"/>
        <v>0.4200000000000002</v>
      </c>
      <c r="D51" s="284">
        <f t="shared" si="6"/>
        <v>2263.0339398611663</v>
      </c>
      <c r="E51" s="280">
        <f>(($E$8*'Conversion Factors'!$M$5)*C51)+($E$9*B51)</f>
        <v>7881.235988728467</v>
      </c>
      <c r="F51" s="282">
        <f t="shared" si="2"/>
        <v>5618.202048867301</v>
      </c>
    </row>
    <row r="52" spans="2:6" x14ac:dyDescent="0.25">
      <c r="B52" s="283">
        <f t="shared" si="4"/>
        <v>43</v>
      </c>
      <c r="C52" s="189">
        <f t="shared" si="5"/>
        <v>0.4300000000000002</v>
      </c>
      <c r="D52" s="284">
        <f t="shared" si="6"/>
        <v>2263.0339398611663</v>
      </c>
      <c r="E52" s="280">
        <f>(($E$8*'Conversion Factors'!$M$5)*C52)+($E$9*B52)</f>
        <v>8068.884464650574</v>
      </c>
      <c r="F52" s="282">
        <f t="shared" si="2"/>
        <v>5805.850524789408</v>
      </c>
    </row>
    <row r="53" spans="2:6" x14ac:dyDescent="0.25">
      <c r="B53" s="283">
        <f t="shared" si="4"/>
        <v>44</v>
      </c>
      <c r="C53" s="189">
        <f t="shared" si="5"/>
        <v>0.4400000000000002</v>
      </c>
      <c r="D53" s="284">
        <f t="shared" si="6"/>
        <v>2263.0339398611663</v>
      </c>
      <c r="E53" s="280">
        <f>(($E$8*'Conversion Factors'!$M$5)*C53)+($E$9*B53)</f>
        <v>8256.53294057268</v>
      </c>
      <c r="F53" s="282">
        <f t="shared" si="2"/>
        <v>5993.499000711514</v>
      </c>
    </row>
    <row r="54" spans="2:6" x14ac:dyDescent="0.25">
      <c r="B54" s="283">
        <f t="shared" si="4"/>
        <v>45</v>
      </c>
      <c r="C54" s="189">
        <f t="shared" si="5"/>
        <v>0.45000000000000023</v>
      </c>
      <c r="D54" s="284">
        <f t="shared" si="6"/>
        <v>2263.0339398611663</v>
      </c>
      <c r="E54" s="280">
        <f>(($E$8*'Conversion Factors'!$M$5)*C54)+($E$9*B54)</f>
        <v>8444.181416494786</v>
      </c>
      <c r="F54" s="282">
        <f t="shared" si="2"/>
        <v>6181.14747663362</v>
      </c>
    </row>
    <row r="55" spans="2:6" x14ac:dyDescent="0.25">
      <c r="B55" s="283">
        <f t="shared" si="4"/>
        <v>46</v>
      </c>
      <c r="C55" s="189">
        <f t="shared" si="5"/>
        <v>0.46000000000000024</v>
      </c>
      <c r="D55" s="284">
        <f t="shared" si="6"/>
        <v>2263.0339398611663</v>
      </c>
      <c r="E55" s="280">
        <f>(($E$8*'Conversion Factors'!$M$5)*C55)+($E$9*B55)</f>
        <v>8631.829892416892</v>
      </c>
      <c r="F55" s="282">
        <f t="shared" si="2"/>
        <v>6368.795952555725</v>
      </c>
    </row>
    <row r="56" spans="2:6" x14ac:dyDescent="0.25">
      <c r="B56" s="283">
        <f t="shared" si="4"/>
        <v>47</v>
      </c>
      <c r="C56" s="189">
        <f t="shared" si="5"/>
        <v>0.47000000000000025</v>
      </c>
      <c r="D56" s="284">
        <f t="shared" si="6"/>
        <v>2263.0339398611663</v>
      </c>
      <c r="E56" s="280">
        <f>(($E$8*'Conversion Factors'!$M$5)*C56)+($E$9*B56)</f>
        <v>8819.478368339</v>
      </c>
      <c r="F56" s="282">
        <f t="shared" si="2"/>
        <v>6556.444428477833</v>
      </c>
    </row>
    <row r="57" spans="2:6" x14ac:dyDescent="0.25">
      <c r="B57" s="283">
        <f t="shared" si="4"/>
        <v>48</v>
      </c>
      <c r="C57" s="189">
        <f t="shared" si="5"/>
        <v>0.48000000000000026</v>
      </c>
      <c r="D57" s="284">
        <f t="shared" si="6"/>
        <v>2263.0339398611663</v>
      </c>
      <c r="E57" s="280">
        <f>(($E$8*'Conversion Factors'!$M$5)*C57)+($E$9*B57)</f>
        <v>9007.126844261107</v>
      </c>
      <c r="F57" s="282">
        <f t="shared" si="2"/>
        <v>6744.09290439994</v>
      </c>
    </row>
    <row r="58" spans="2:6" x14ac:dyDescent="0.25">
      <c r="B58" s="283">
        <f t="shared" si="4"/>
        <v>49</v>
      </c>
      <c r="C58" s="189">
        <f t="shared" si="5"/>
        <v>0.49000000000000027</v>
      </c>
      <c r="D58" s="284">
        <f t="shared" si="6"/>
        <v>2263.0339398611663</v>
      </c>
      <c r="E58" s="280">
        <f>(($E$8*'Conversion Factors'!$M$5)*C58)+($E$9*B58)</f>
        <v>9194.775320183213</v>
      </c>
      <c r="F58" s="282">
        <f t="shared" si="2"/>
        <v>6931.741380322046</v>
      </c>
    </row>
    <row r="59" spans="2:6" x14ac:dyDescent="0.25">
      <c r="B59" s="283">
        <f t="shared" si="4"/>
        <v>50</v>
      </c>
      <c r="C59" s="189">
        <f t="shared" si="5"/>
        <v>0.5000000000000002</v>
      </c>
      <c r="D59" s="284">
        <f t="shared" si="6"/>
        <v>2263.0339398611663</v>
      </c>
      <c r="E59" s="280">
        <f>(($E$8*'Conversion Factors'!$M$5)*C59)+($E$9*B59)</f>
        <v>9382.423796105319</v>
      </c>
      <c r="F59" s="282">
        <f t="shared" si="2"/>
        <v>7119.389856244152</v>
      </c>
    </row>
    <row r="60" spans="2:6" x14ac:dyDescent="0.25">
      <c r="B60" s="283">
        <f t="shared" si="4"/>
        <v>51</v>
      </c>
      <c r="C60" s="189">
        <f t="shared" si="5"/>
        <v>0.5100000000000002</v>
      </c>
      <c r="D60" s="284">
        <f t="shared" si="6"/>
        <v>2263.0339398611663</v>
      </c>
      <c r="E60" s="280">
        <f>(($E$8*'Conversion Factors'!$M$5)*C60)+($E$9*B60)</f>
        <v>9570.072272027424</v>
      </c>
      <c r="F60" s="282">
        <f t="shared" si="2"/>
        <v>7307.0383321662575</v>
      </c>
    </row>
    <row r="61" spans="2:6" x14ac:dyDescent="0.25">
      <c r="B61" s="283">
        <f t="shared" si="4"/>
        <v>52</v>
      </c>
      <c r="C61" s="189">
        <f t="shared" si="5"/>
        <v>0.5200000000000002</v>
      </c>
      <c r="D61" s="284">
        <f t="shared" si="6"/>
        <v>2263.0339398611663</v>
      </c>
      <c r="E61" s="280">
        <f>(($E$8*'Conversion Factors'!$M$5)*C61)+($E$9*B61)</f>
        <v>9757.720747949532</v>
      </c>
      <c r="F61" s="282">
        <f t="shared" si="2"/>
        <v>7494.686808088365</v>
      </c>
    </row>
    <row r="62" spans="2:6" x14ac:dyDescent="0.25">
      <c r="B62" s="283">
        <f t="shared" si="4"/>
        <v>53</v>
      </c>
      <c r="C62" s="189">
        <f t="shared" si="5"/>
        <v>0.5300000000000002</v>
      </c>
      <c r="D62" s="284">
        <f t="shared" si="6"/>
        <v>2263.0339398611663</v>
      </c>
      <c r="E62" s="280">
        <f>(($E$8*'Conversion Factors'!$M$5)*C62)+($E$9*B62)</f>
        <v>9945.369223871638</v>
      </c>
      <c r="F62" s="282">
        <f t="shared" si="2"/>
        <v>7682.335284010471</v>
      </c>
    </row>
    <row r="63" spans="2:6" x14ac:dyDescent="0.25">
      <c r="B63" s="283">
        <f t="shared" si="4"/>
        <v>54</v>
      </c>
      <c r="C63" s="189">
        <f t="shared" si="5"/>
        <v>0.5400000000000003</v>
      </c>
      <c r="D63" s="284">
        <f t="shared" si="6"/>
        <v>2263.0339398611663</v>
      </c>
      <c r="E63" s="280">
        <f>(($E$8*'Conversion Factors'!$M$5)*C63)+($E$9*B63)</f>
        <v>10133.017699793743</v>
      </c>
      <c r="F63" s="282">
        <f t="shared" si="2"/>
        <v>7869.9837599325765</v>
      </c>
    </row>
    <row r="64" spans="2:6" x14ac:dyDescent="0.25">
      <c r="B64" s="283">
        <f t="shared" si="4"/>
        <v>55</v>
      </c>
      <c r="C64" s="189">
        <f t="shared" si="5"/>
        <v>0.5500000000000003</v>
      </c>
      <c r="D64" s="284">
        <f t="shared" si="6"/>
        <v>2263.0339398611663</v>
      </c>
      <c r="E64" s="280">
        <f>(($E$8*'Conversion Factors'!$M$5)*C64)+($E$9*B64)</f>
        <v>10320.66617571585</v>
      </c>
      <c r="F64" s="282">
        <f t="shared" si="2"/>
        <v>8057.632235854684</v>
      </c>
    </row>
    <row r="65" spans="2:6" x14ac:dyDescent="0.25">
      <c r="B65" s="283">
        <f t="shared" si="4"/>
        <v>56</v>
      </c>
      <c r="C65" s="189">
        <f t="shared" si="5"/>
        <v>0.5600000000000003</v>
      </c>
      <c r="D65" s="284">
        <f t="shared" si="6"/>
        <v>2263.0339398611663</v>
      </c>
      <c r="E65" s="280">
        <f>(($E$8*'Conversion Factors'!$M$5)*C65)+($E$9*B65)</f>
        <v>10508.314651637957</v>
      </c>
      <c r="F65" s="282">
        <f t="shared" si="2"/>
        <v>8245.28071177679</v>
      </c>
    </row>
    <row r="66" spans="2:6" x14ac:dyDescent="0.25">
      <c r="B66" s="283">
        <f t="shared" si="4"/>
        <v>57</v>
      </c>
      <c r="C66" s="189">
        <f t="shared" si="5"/>
        <v>0.5700000000000003</v>
      </c>
      <c r="D66" s="284">
        <f t="shared" si="6"/>
        <v>2263.0339398611663</v>
      </c>
      <c r="E66" s="280">
        <f>(($E$8*'Conversion Factors'!$M$5)*C66)+($E$9*B66)</f>
        <v>10695.963127560062</v>
      </c>
      <c r="F66" s="282">
        <f t="shared" si="2"/>
        <v>8432.929187698895</v>
      </c>
    </row>
    <row r="67" spans="2:6" x14ac:dyDescent="0.25">
      <c r="B67" s="283">
        <f t="shared" si="4"/>
        <v>58</v>
      </c>
      <c r="C67" s="189">
        <f t="shared" si="5"/>
        <v>0.5800000000000003</v>
      </c>
      <c r="D67" s="284">
        <f t="shared" si="6"/>
        <v>2263.0339398611663</v>
      </c>
      <c r="E67" s="280">
        <f>(($E$8*'Conversion Factors'!$M$5)*C67)+($E$9*B67)</f>
        <v>10883.61160348217</v>
      </c>
      <c r="F67" s="282">
        <f t="shared" si="2"/>
        <v>8620.577663621003</v>
      </c>
    </row>
    <row r="68" spans="2:6" x14ac:dyDescent="0.25">
      <c r="B68" s="283">
        <f t="shared" si="4"/>
        <v>59</v>
      </c>
      <c r="C68" s="189">
        <f t="shared" si="5"/>
        <v>0.5900000000000003</v>
      </c>
      <c r="D68" s="284">
        <f t="shared" si="6"/>
        <v>2263.0339398611663</v>
      </c>
      <c r="E68" s="280">
        <f>(($E$8*'Conversion Factors'!$M$5)*C68)+($E$9*B68)</f>
        <v>11071.260079404276</v>
      </c>
      <c r="F68" s="282">
        <f t="shared" si="2"/>
        <v>8808.226139543109</v>
      </c>
    </row>
    <row r="69" spans="2:6" x14ac:dyDescent="0.25">
      <c r="B69" s="283">
        <f t="shared" si="4"/>
        <v>60</v>
      </c>
      <c r="C69" s="189">
        <f t="shared" si="5"/>
        <v>0.6000000000000003</v>
      </c>
      <c r="D69" s="284">
        <f t="shared" si="6"/>
        <v>2263.0339398611663</v>
      </c>
      <c r="E69" s="280">
        <f>(($E$8*'Conversion Factors'!$M$5)*C69)+($E$9*B69)</f>
        <v>11258.908555326383</v>
      </c>
      <c r="F69" s="282">
        <f t="shared" si="2"/>
        <v>8995.874615465216</v>
      </c>
    </row>
    <row r="70" spans="2:6" x14ac:dyDescent="0.25">
      <c r="B70" s="283">
        <f t="shared" si="4"/>
        <v>61</v>
      </c>
      <c r="C70" s="189">
        <f t="shared" si="5"/>
        <v>0.6100000000000003</v>
      </c>
      <c r="D70" s="284">
        <f t="shared" si="6"/>
        <v>2263.0339398611663</v>
      </c>
      <c r="E70" s="280">
        <f>(($E$8*'Conversion Factors'!$M$5)*C70)+($E$9*B70)</f>
        <v>11446.557031248489</v>
      </c>
      <c r="F70" s="282">
        <f t="shared" si="2"/>
        <v>9183.523091387322</v>
      </c>
    </row>
    <row r="71" spans="2:6" x14ac:dyDescent="0.25">
      <c r="B71" s="283">
        <f t="shared" si="4"/>
        <v>62</v>
      </c>
      <c r="C71" s="189">
        <f t="shared" si="5"/>
        <v>0.6200000000000003</v>
      </c>
      <c r="D71" s="284">
        <f t="shared" si="6"/>
        <v>2263.0339398611663</v>
      </c>
      <c r="E71" s="280">
        <f>(($E$8*'Conversion Factors'!$M$5)*C71)+($E$9*B71)</f>
        <v>11634.205507170595</v>
      </c>
      <c r="F71" s="282">
        <f t="shared" si="2"/>
        <v>9371.171567309428</v>
      </c>
    </row>
    <row r="72" spans="2:6" x14ac:dyDescent="0.25">
      <c r="B72" s="283">
        <f t="shared" si="4"/>
        <v>63</v>
      </c>
      <c r="C72" s="189">
        <f t="shared" si="5"/>
        <v>0.6300000000000003</v>
      </c>
      <c r="D72" s="284">
        <f t="shared" si="6"/>
        <v>2263.0339398611663</v>
      </c>
      <c r="E72" s="280">
        <f>(($E$8*'Conversion Factors'!$M$5)*C72)+($E$9*B72)</f>
        <v>11821.8539830927</v>
      </c>
      <c r="F72" s="282">
        <f t="shared" si="2"/>
        <v>9558.820043231533</v>
      </c>
    </row>
    <row r="73" spans="2:6" x14ac:dyDescent="0.25">
      <c r="B73" s="283">
        <f t="shared" si="4"/>
        <v>64</v>
      </c>
      <c r="C73" s="189">
        <f t="shared" si="5"/>
        <v>0.6400000000000003</v>
      </c>
      <c r="D73" s="284">
        <f t="shared" si="6"/>
        <v>2263.0339398611663</v>
      </c>
      <c r="E73" s="280">
        <f>(($E$8*'Conversion Factors'!$M$5)*C73)+($E$9*B73)</f>
        <v>12009.502459014808</v>
      </c>
      <c r="F73" s="282">
        <f t="shared" si="2"/>
        <v>9746.468519153641</v>
      </c>
    </row>
    <row r="74" spans="2:6" x14ac:dyDescent="0.25">
      <c r="B74" s="283">
        <f t="shared" si="4"/>
        <v>65</v>
      </c>
      <c r="C74" s="189">
        <f t="shared" si="5"/>
        <v>0.6500000000000004</v>
      </c>
      <c r="D74" s="284">
        <f t="shared" si="6"/>
        <v>2263.0339398611663</v>
      </c>
      <c r="E74" s="280">
        <f>(($E$8*'Conversion Factors'!$M$5)*C74)+($E$9*B74)</f>
        <v>12197.150934936915</v>
      </c>
      <c r="F74" s="282">
        <f t="shared" si="2"/>
        <v>9934.116995075748</v>
      </c>
    </row>
    <row r="75" spans="2:6" x14ac:dyDescent="0.25">
      <c r="B75" s="283">
        <f t="shared" si="4"/>
        <v>66</v>
      </c>
      <c r="C75" s="189">
        <f t="shared" si="5"/>
        <v>0.6600000000000004</v>
      </c>
      <c r="D75" s="284">
        <f t="shared" si="6"/>
        <v>2263.0339398611663</v>
      </c>
      <c r="E75" s="280">
        <f>(($E$8*'Conversion Factors'!$M$5)*C75)+($E$9*B75)</f>
        <v>12384.799410859021</v>
      </c>
      <c r="F75" s="282">
        <f t="shared" si="2"/>
        <v>10121.765470997854</v>
      </c>
    </row>
    <row r="76" spans="2:6" x14ac:dyDescent="0.25">
      <c r="B76" s="283">
        <f t="shared" si="4"/>
        <v>67</v>
      </c>
      <c r="C76" s="189">
        <f t="shared" si="5"/>
        <v>0.6700000000000004</v>
      </c>
      <c r="D76" s="284">
        <f t="shared" si="6"/>
        <v>2263.0339398611663</v>
      </c>
      <c r="E76" s="280">
        <f>(($E$8*'Conversion Factors'!$M$5)*C76)+($E$9*B76)</f>
        <v>12572.447886781127</v>
      </c>
      <c r="F76" s="282">
        <f t="shared" si="2"/>
        <v>10309.41394691996</v>
      </c>
    </row>
    <row r="77" spans="2:6" x14ac:dyDescent="0.25">
      <c r="B77" s="283">
        <f t="shared" si="4"/>
        <v>68</v>
      </c>
      <c r="C77" s="189">
        <f t="shared" si="5"/>
        <v>0.6800000000000004</v>
      </c>
      <c r="D77" s="284">
        <f t="shared" si="6"/>
        <v>2263.0339398611663</v>
      </c>
      <c r="E77" s="280">
        <f>(($E$8*'Conversion Factors'!$M$5)*C77)+($E$9*B77)</f>
        <v>12760.096362703232</v>
      </c>
      <c r="F77" s="282">
        <f t="shared" si="2"/>
        <v>10497.062422842066</v>
      </c>
    </row>
    <row r="78" spans="2:6" x14ac:dyDescent="0.25">
      <c r="B78" s="283">
        <f t="shared" si="4"/>
        <v>69</v>
      </c>
      <c r="C78" s="189">
        <f t="shared" si="5"/>
        <v>0.6900000000000004</v>
      </c>
      <c r="D78" s="284">
        <f t="shared" si="6"/>
        <v>2263.0339398611663</v>
      </c>
      <c r="E78" s="280">
        <f>(($E$8*'Conversion Factors'!$M$5)*C78)+($E$9*B78)</f>
        <v>12947.74483862534</v>
      </c>
      <c r="F78" s="282">
        <f t="shared" si="2"/>
        <v>10684.710898764173</v>
      </c>
    </row>
    <row r="79" ht="13" customHeight="1" spans="2:6" x14ac:dyDescent="0.25">
      <c r="B79" s="272">
        <f t="shared" si="4"/>
        <v>70</v>
      </c>
      <c r="C79" s="273">
        <f t="shared" si="5"/>
        <v>0.7000000000000004</v>
      </c>
      <c r="D79" s="290">
        <f t="shared" si="6"/>
        <v>2263.0339398611663</v>
      </c>
      <c r="E79" s="280">
        <f>(($E$8*'Conversion Factors'!$M$5)*C79)+($E$9*B79)</f>
        <v>13135.393314547446</v>
      </c>
      <c r="F79" s="282">
        <f t="shared" ref="F79" si="7">E79-D79</f>
        <v>10872.359374686279</v>
      </c>
    </row>
    <row r="80" ht="13" customHeight="1" x14ac:dyDescent="0.25"/>
    <row r="81" ht="50.5" customHeight="1" spans="2:4" x14ac:dyDescent="0.25">
      <c r="B81" s="275" t="s">
        <v>266</v>
      </c>
      <c r="C81" s="276" t="s">
        <v>267</v>
      </c>
      <c r="D81" s="277" t="s">
        <v>263</v>
      </c>
    </row>
    <row r="82" spans="2:8" x14ac:dyDescent="0.25">
      <c r="B82" s="279">
        <v>5</v>
      </c>
      <c r="C82" s="281" t="e">
        <f>(D82-(B82*$E$9))/('Cost sensitivity'!$E$8*'Calc Worksheet'!#REF!)</f>
        <v>#REF!</v>
      </c>
      <c r="D82" s="282">
        <f>B82*'Calc Worksheet'!$C$10</f>
        <v>828.0397800412755</v>
      </c>
      <c r="H82" s="291"/>
    </row>
    <row r="83" spans="2:4" x14ac:dyDescent="0.25">
      <c r="B83" s="283">
        <f t="shared" ref="B83:B146" si="8">B82+1</f>
        <v>6</v>
      </c>
      <c r="C83" s="281" t="e">
        <f>(D83-(B83*$E$9))/('Cost sensitivity'!$E$8*'Calc Worksheet'!#REF!)</f>
        <v>#REF!</v>
      </c>
      <c r="D83" s="282">
        <f>B83*'Calc Worksheet'!$C$10</f>
        <v>993.6477360495307</v>
      </c>
    </row>
    <row r="84" spans="2:4" x14ac:dyDescent="0.25">
      <c r="B84" s="283">
        <f t="shared" si="8"/>
        <v>7</v>
      </c>
      <c r="C84" s="281" t="e">
        <f>(D84-(B84*$E$9))/('Cost sensitivity'!$E$8*'Calc Worksheet'!#REF!)</f>
        <v>#REF!</v>
      </c>
      <c r="D84" s="282">
        <f>B84*'Calc Worksheet'!$C$10</f>
        <v>1159.2556920577858</v>
      </c>
    </row>
    <row r="85" spans="2:4" x14ac:dyDescent="0.25">
      <c r="B85" s="283">
        <f t="shared" si="8"/>
        <v>8</v>
      </c>
      <c r="C85" s="281" t="e">
        <f>(D85-(B85*$E$9))/('Cost sensitivity'!$E$8*'Calc Worksheet'!#REF!)</f>
        <v>#REF!</v>
      </c>
      <c r="D85" s="282">
        <f>B85*'Calc Worksheet'!$C$10</f>
        <v>1324.863648066041</v>
      </c>
    </row>
    <row r="86" spans="2:4" x14ac:dyDescent="0.25">
      <c r="B86" s="283">
        <f t="shared" si="8"/>
        <v>9</v>
      </c>
      <c r="C86" s="281" t="e">
        <f>(D86-(B86*$E$9))/('Cost sensitivity'!$E$8*'Calc Worksheet'!#REF!)</f>
        <v>#REF!</v>
      </c>
      <c r="D86" s="282">
        <f>B86*'Calc Worksheet'!$C$10</f>
        <v>1490.471604074296</v>
      </c>
    </row>
    <row r="87" spans="2:4" x14ac:dyDescent="0.25">
      <c r="B87" s="283">
        <f t="shared" si="8"/>
        <v>10</v>
      </c>
      <c r="C87" s="281" t="e">
        <f>(D87-(B87*$E$9))/('Cost sensitivity'!$E$8*'Calc Worksheet'!#REF!)</f>
        <v>#REF!</v>
      </c>
      <c r="D87" s="282">
        <f>B87*'Calc Worksheet'!$C$10</f>
        <v>1656.079560082551</v>
      </c>
    </row>
    <row r="88" spans="2:4" x14ac:dyDescent="0.25">
      <c r="B88" s="283">
        <f t="shared" si="8"/>
        <v>11</v>
      </c>
      <c r="C88" s="281" t="e">
        <f>(D88-(B88*$E$9))/('Cost sensitivity'!$E$8*'Calc Worksheet'!#REF!)</f>
        <v>#REF!</v>
      </c>
      <c r="D88" s="282">
        <f>B88*'Calc Worksheet'!$C$10</f>
        <v>1821.6875160908062</v>
      </c>
    </row>
    <row r="89" spans="2:4" x14ac:dyDescent="0.25">
      <c r="B89" s="283">
        <f t="shared" si="8"/>
        <v>12</v>
      </c>
      <c r="C89" s="281" t="e">
        <f>(D89-(B89*$E$9))/('Cost sensitivity'!$E$8*'Calc Worksheet'!#REF!)</f>
        <v>#REF!</v>
      </c>
      <c r="D89" s="282">
        <f>B89*'Calc Worksheet'!$C$10</f>
        <v>1987.2954720990615</v>
      </c>
    </row>
    <row r="90" spans="2:4" x14ac:dyDescent="0.25">
      <c r="B90" s="283">
        <f t="shared" si="8"/>
        <v>13</v>
      </c>
      <c r="C90" s="281" t="e">
        <f>(D90-(B90*$E$9))/('Cost sensitivity'!$E$8*'Calc Worksheet'!#REF!)</f>
        <v>#REF!</v>
      </c>
      <c r="D90" s="282">
        <f>B90*'Calc Worksheet'!$C$10</f>
        <v>2152.9034281073164</v>
      </c>
    </row>
    <row r="91" spans="2:4" x14ac:dyDescent="0.25">
      <c r="B91" s="283">
        <f t="shared" si="8"/>
        <v>14</v>
      </c>
      <c r="C91" s="281" t="e">
        <f>(D91-(B91*$E$9))/('Cost sensitivity'!$E$8*'Calc Worksheet'!#REF!)</f>
        <v>#REF!</v>
      </c>
      <c r="D91" s="282">
        <f>B91*'Calc Worksheet'!$C$10</f>
        <v>2318.5113841155717</v>
      </c>
    </row>
    <row r="92" spans="2:4" x14ac:dyDescent="0.25">
      <c r="B92" s="283">
        <f t="shared" si="8"/>
        <v>15</v>
      </c>
      <c r="C92" s="281" t="e">
        <f>(D92-(B92*$E$9))/('Cost sensitivity'!$E$8*'Calc Worksheet'!#REF!)</f>
        <v>#REF!</v>
      </c>
      <c r="D92" s="282">
        <f>B92*'Calc Worksheet'!$C$10</f>
        <v>2484.1193401238265</v>
      </c>
    </row>
    <row r="93" spans="2:4" x14ac:dyDescent="0.25">
      <c r="B93" s="283">
        <f t="shared" si="8"/>
        <v>16</v>
      </c>
      <c r="C93" s="281" t="e">
        <f>(D93-(B93*$E$9))/('Cost sensitivity'!$E$8*'Calc Worksheet'!#REF!)</f>
        <v>#REF!</v>
      </c>
      <c r="D93" s="282">
        <f>B93*'Calc Worksheet'!$C$10</f>
        <v>2649.727296132082</v>
      </c>
    </row>
    <row r="94" spans="2:4" x14ac:dyDescent="0.25">
      <c r="B94" s="283">
        <f t="shared" si="8"/>
        <v>17</v>
      </c>
      <c r="C94" s="281" t="e">
        <f>(D94-(B94*$E$9))/('Cost sensitivity'!$E$8*'Calc Worksheet'!#REF!)</f>
        <v>#REF!</v>
      </c>
      <c r="D94" s="282">
        <f>B94*'Calc Worksheet'!$C$10</f>
        <v>2815.335252140337</v>
      </c>
    </row>
    <row r="95" spans="2:4" x14ac:dyDescent="0.25">
      <c r="B95" s="283">
        <f t="shared" si="8"/>
        <v>18</v>
      </c>
      <c r="C95" s="281" t="e">
        <f>(D95-(B95*$E$9))/('Cost sensitivity'!$E$8*'Calc Worksheet'!#REF!)</f>
        <v>#REF!</v>
      </c>
      <c r="D95" s="282">
        <f>B95*'Calc Worksheet'!$C$10</f>
        <v>2980.943208148592</v>
      </c>
    </row>
    <row r="96" spans="2:4" x14ac:dyDescent="0.25">
      <c r="B96" s="283">
        <f t="shared" si="8"/>
        <v>19</v>
      </c>
      <c r="C96" s="281" t="e">
        <f>(D96-(B96*$E$9))/('Cost sensitivity'!$E$8*'Calc Worksheet'!#REF!)</f>
        <v>#REF!</v>
      </c>
      <c r="D96" s="282">
        <f>B96*'Calc Worksheet'!$C$10</f>
        <v>3146.5511641568473</v>
      </c>
    </row>
    <row r="97" spans="2:4" x14ac:dyDescent="0.25">
      <c r="B97" s="283">
        <f t="shared" si="8"/>
        <v>20</v>
      </c>
      <c r="C97" s="281" t="e">
        <f>(D97-(B97*$E$9))/('Cost sensitivity'!$E$8*'Calc Worksheet'!#REF!)</f>
        <v>#REF!</v>
      </c>
      <c r="D97" s="282">
        <f>B97*'Calc Worksheet'!$C$10</f>
        <v>3312.159120165102</v>
      </c>
    </row>
    <row r="98" spans="2:4" x14ac:dyDescent="0.25">
      <c r="B98" s="283">
        <f t="shared" si="8"/>
        <v>21</v>
      </c>
      <c r="C98" s="281" t="e">
        <f>(D98-(B98*$E$9))/('Cost sensitivity'!$E$8*'Calc Worksheet'!#REF!)</f>
        <v>#REF!</v>
      </c>
      <c r="D98" s="282">
        <f>B98*'Calc Worksheet'!$C$10</f>
        <v>3477.7670761733575</v>
      </c>
    </row>
    <row r="99" spans="2:4" x14ac:dyDescent="0.25">
      <c r="B99" s="283">
        <f t="shared" si="8"/>
        <v>22</v>
      </c>
      <c r="C99" s="281" t="e">
        <f>(D99-(B99*$E$9))/('Cost sensitivity'!$E$8*'Calc Worksheet'!#REF!)</f>
        <v>#REF!</v>
      </c>
      <c r="D99" s="282">
        <f>B99*'Calc Worksheet'!$C$10</f>
        <v>3643.3750321816124</v>
      </c>
    </row>
    <row r="100" spans="2:4" x14ac:dyDescent="0.25">
      <c r="B100" s="283">
        <f t="shared" si="8"/>
        <v>23</v>
      </c>
      <c r="C100" s="281" t="e">
        <f>(D100-(B100*$E$9))/('Cost sensitivity'!$E$8*'Calc Worksheet'!#REF!)</f>
        <v>#REF!</v>
      </c>
      <c r="D100" s="282">
        <f>B100*'Calc Worksheet'!$C$10</f>
        <v>3808.9829881898677</v>
      </c>
    </row>
    <row r="101" spans="2:4" x14ac:dyDescent="0.25">
      <c r="B101" s="283">
        <f t="shared" si="8"/>
        <v>24</v>
      </c>
      <c r="C101" s="281" t="e">
        <f>(D101-(B101*$E$9))/('Cost sensitivity'!$E$8*'Calc Worksheet'!#REF!)</f>
        <v>#REF!</v>
      </c>
      <c r="D101" s="282">
        <f>B101*'Calc Worksheet'!$C$10</f>
        <v>3974.590944198123</v>
      </c>
    </row>
    <row r="102" spans="2:4" x14ac:dyDescent="0.25">
      <c r="B102" s="283">
        <f t="shared" si="8"/>
        <v>25</v>
      </c>
      <c r="C102" s="281" t="e">
        <f>(D102-(B102*$E$9))/('Cost sensitivity'!$E$8*'Calc Worksheet'!#REF!)</f>
        <v>#REF!</v>
      </c>
      <c r="D102" s="282">
        <f>B102*'Calc Worksheet'!$C$10</f>
        <v>4140.198900206378</v>
      </c>
    </row>
    <row r="103" spans="2:4" x14ac:dyDescent="0.25">
      <c r="B103" s="283">
        <f t="shared" si="8"/>
        <v>26</v>
      </c>
      <c r="C103" s="281" t="e">
        <f>(D103-(B103*$E$9))/('Cost sensitivity'!$E$8*'Calc Worksheet'!#REF!)</f>
        <v>#REF!</v>
      </c>
      <c r="D103" s="282">
        <f>B103*'Calc Worksheet'!$C$10</f>
        <v>4305.806856214633</v>
      </c>
    </row>
    <row r="104" spans="2:4" x14ac:dyDescent="0.25">
      <c r="B104" s="283">
        <f t="shared" si="8"/>
        <v>27</v>
      </c>
      <c r="C104" s="281" t="e">
        <f>(D104-(B104*$E$9))/('Cost sensitivity'!$E$8*'Calc Worksheet'!#REF!)</f>
        <v>#REF!</v>
      </c>
      <c r="D104" s="282">
        <f>B104*'Calc Worksheet'!$C$10</f>
        <v>4471.414812222888</v>
      </c>
    </row>
    <row r="105" spans="2:4" x14ac:dyDescent="0.25">
      <c r="B105" s="283">
        <f t="shared" si="8"/>
        <v>28</v>
      </c>
      <c r="C105" s="281" t="e">
        <f>(D105-(B105*$E$9))/('Cost sensitivity'!$E$8*'Calc Worksheet'!#REF!)</f>
        <v>#REF!</v>
      </c>
      <c r="D105" s="282">
        <f>B105*'Calc Worksheet'!$C$10</f>
        <v>4637.022768231143</v>
      </c>
    </row>
    <row r="106" spans="2:4" x14ac:dyDescent="0.25">
      <c r="B106" s="283">
        <f t="shared" si="8"/>
        <v>29</v>
      </c>
      <c r="C106" s="281" t="e">
        <f>(D106-(B106*$E$9))/('Cost sensitivity'!$E$8*'Calc Worksheet'!#REF!)</f>
        <v>#REF!</v>
      </c>
      <c r="D106" s="282">
        <f>B106*'Calc Worksheet'!$C$10</f>
        <v>4802.630724239399</v>
      </c>
    </row>
    <row r="107" spans="2:4" x14ac:dyDescent="0.25">
      <c r="B107" s="283">
        <f t="shared" si="8"/>
        <v>30</v>
      </c>
      <c r="C107" s="281" t="e">
        <f>(D107-(B107*$E$9))/('Cost sensitivity'!$E$8*'Calc Worksheet'!#REF!)</f>
        <v>#REF!</v>
      </c>
      <c r="D107" s="282">
        <f>B107*'Calc Worksheet'!$C$10</f>
        <v>4968.238680247653</v>
      </c>
    </row>
    <row r="108" spans="2:4" x14ac:dyDescent="0.25">
      <c r="B108" s="283">
        <f t="shared" si="8"/>
        <v>31</v>
      </c>
      <c r="C108" s="281" t="e">
        <f>(D108-(B108*$E$9))/('Cost sensitivity'!$E$8*'Calc Worksheet'!#REF!)</f>
        <v>#REF!</v>
      </c>
      <c r="D108" s="282">
        <f>B108*'Calc Worksheet'!$C$10</f>
        <v>5133.846636255908</v>
      </c>
    </row>
    <row r="109" spans="2:4" x14ac:dyDescent="0.25">
      <c r="B109" s="283">
        <f t="shared" si="8"/>
        <v>32</v>
      </c>
      <c r="C109" s="281" t="e">
        <f>(D109-(B109*$E$9))/('Cost sensitivity'!$E$8*'Calc Worksheet'!#REF!)</f>
        <v>#REF!</v>
      </c>
      <c r="D109" s="282">
        <f>B109*'Calc Worksheet'!$C$10</f>
        <v>5299.454592264164</v>
      </c>
    </row>
    <row r="110" spans="2:4" x14ac:dyDescent="0.25">
      <c r="B110" s="283">
        <f t="shared" si="8"/>
        <v>33</v>
      </c>
      <c r="C110" s="281" t="e">
        <f>(D110-(B110*$E$9))/('Cost sensitivity'!$E$8*'Calc Worksheet'!#REF!)</f>
        <v>#REF!</v>
      </c>
      <c r="D110" s="282">
        <f>B110*'Calc Worksheet'!$C$10</f>
        <v>5465.062548272419</v>
      </c>
    </row>
    <row r="111" spans="2:4" x14ac:dyDescent="0.25">
      <c r="B111" s="283">
        <f t="shared" si="8"/>
        <v>34</v>
      </c>
      <c r="C111" s="281" t="e">
        <f>(D111-(B111*$E$9))/('Cost sensitivity'!$E$8*'Calc Worksheet'!#REF!)</f>
        <v>#REF!</v>
      </c>
      <c r="D111" s="282">
        <f>B111*'Calc Worksheet'!$C$10</f>
        <v>5630.670504280674</v>
      </c>
    </row>
    <row r="112" spans="2:4" x14ac:dyDescent="0.25">
      <c r="B112" s="283">
        <f t="shared" si="8"/>
        <v>35</v>
      </c>
      <c r="C112" s="281" t="e">
        <f>(D112-(B112*$E$9))/('Cost sensitivity'!$E$8*'Calc Worksheet'!#REF!)</f>
        <v>#REF!</v>
      </c>
      <c r="D112" s="282">
        <f>B112*'Calc Worksheet'!$C$10</f>
        <v>5796.278460288929</v>
      </c>
    </row>
    <row r="113" spans="2:4" x14ac:dyDescent="0.25">
      <c r="B113" s="283">
        <f t="shared" si="8"/>
        <v>36</v>
      </c>
      <c r="C113" s="281" t="e">
        <f>(D113-(B113*$E$9))/('Cost sensitivity'!$E$8*'Calc Worksheet'!#REF!)</f>
        <v>#REF!</v>
      </c>
      <c r="D113" s="282">
        <f>B113*'Calc Worksheet'!$C$10</f>
        <v>5961.886416297184</v>
      </c>
    </row>
    <row r="114" spans="2:4" x14ac:dyDescent="0.25">
      <c r="B114" s="283">
        <f t="shared" si="8"/>
        <v>37</v>
      </c>
      <c r="C114" s="281" t="e">
        <f>(D114-(B114*$E$9))/('Cost sensitivity'!$E$8*'Calc Worksheet'!#REF!)</f>
        <v>#REF!</v>
      </c>
      <c r="D114" s="282">
        <f>B114*'Calc Worksheet'!$C$10</f>
        <v>6127.494372305439</v>
      </c>
    </row>
    <row r="115" spans="2:4" x14ac:dyDescent="0.25">
      <c r="B115" s="283">
        <f t="shared" si="8"/>
        <v>38</v>
      </c>
      <c r="C115" s="281" t="e">
        <f>(D115-(B115*$E$9))/('Cost sensitivity'!$E$8*'Calc Worksheet'!#REF!)</f>
        <v>#REF!</v>
      </c>
      <c r="D115" s="282">
        <f>B115*'Calc Worksheet'!$C$10</f>
        <v>6293.102328313695</v>
      </c>
    </row>
    <row r="116" spans="2:4" x14ac:dyDescent="0.25">
      <c r="B116" s="283">
        <f t="shared" si="8"/>
        <v>39</v>
      </c>
      <c r="C116" s="281" t="e">
        <f>(D116-(B116*$E$9))/('Cost sensitivity'!$E$8*'Calc Worksheet'!#REF!)</f>
        <v>#REF!</v>
      </c>
      <c r="D116" s="282">
        <f>B116*'Calc Worksheet'!$C$10</f>
        <v>6458.710284321949</v>
      </c>
    </row>
    <row r="117" spans="2:4" x14ac:dyDescent="0.25">
      <c r="B117" s="283">
        <f t="shared" si="8"/>
        <v>40</v>
      </c>
      <c r="C117" s="281" t="e">
        <f>(D117-(B117*$E$9))/('Cost sensitivity'!$E$8*'Calc Worksheet'!#REF!)</f>
        <v>#REF!</v>
      </c>
      <c r="D117" s="282">
        <f>B117*'Calc Worksheet'!$C$10</f>
        <v>6624.318240330204</v>
      </c>
    </row>
    <row r="118" spans="2:4" x14ac:dyDescent="0.25">
      <c r="B118" s="283">
        <f t="shared" si="8"/>
        <v>41</v>
      </c>
      <c r="C118" s="281" t="e">
        <f>(D118-(B118*$E$9))/('Cost sensitivity'!$E$8*'Calc Worksheet'!#REF!)</f>
        <v>#REF!</v>
      </c>
      <c r="D118" s="282">
        <f>B118*'Calc Worksheet'!$C$10</f>
        <v>6789.92619633846</v>
      </c>
    </row>
    <row r="119" spans="2:4" x14ac:dyDescent="0.25">
      <c r="B119" s="283">
        <f t="shared" si="8"/>
        <v>42</v>
      </c>
      <c r="C119" s="281" t="e">
        <f>(D119-(B119*$E$9))/('Cost sensitivity'!$E$8*'Calc Worksheet'!#REF!)</f>
        <v>#REF!</v>
      </c>
      <c r="D119" s="282">
        <f>B119*'Calc Worksheet'!$C$10</f>
        <v>6955.534152346715</v>
      </c>
    </row>
    <row r="120" spans="2:4" x14ac:dyDescent="0.25">
      <c r="B120" s="283">
        <f t="shared" si="8"/>
        <v>43</v>
      </c>
      <c r="C120" s="281" t="e">
        <f>(D120-(B120*$E$9))/('Cost sensitivity'!$E$8*'Calc Worksheet'!#REF!)</f>
        <v>#REF!</v>
      </c>
      <c r="D120" s="282">
        <f>B120*'Calc Worksheet'!$C$10</f>
        <v>7121.14210835497</v>
      </c>
    </row>
    <row r="121" spans="2:4" x14ac:dyDescent="0.25">
      <c r="B121" s="283">
        <f t="shared" si="8"/>
        <v>44</v>
      </c>
      <c r="C121" s="281" t="e">
        <f>(D121-(B121*$E$9))/('Cost sensitivity'!$E$8*'Calc Worksheet'!#REF!)</f>
        <v>#REF!</v>
      </c>
      <c r="D121" s="282">
        <f>B121*'Calc Worksheet'!$C$10</f>
        <v>7286.750064363225</v>
      </c>
    </row>
    <row r="122" spans="2:4" x14ac:dyDescent="0.25">
      <c r="B122" s="283">
        <f t="shared" si="8"/>
        <v>45</v>
      </c>
      <c r="C122" s="281" t="e">
        <f>(D122-(B122*$E$9))/('Cost sensitivity'!$E$8*'Calc Worksheet'!#REF!)</f>
        <v>#REF!</v>
      </c>
      <c r="D122" s="282">
        <f>B122*'Calc Worksheet'!$C$10</f>
        <v>7452.35802037148</v>
      </c>
    </row>
    <row r="123" spans="2:4" x14ac:dyDescent="0.25">
      <c r="B123" s="283">
        <f t="shared" si="8"/>
        <v>46</v>
      </c>
      <c r="C123" s="281" t="e">
        <f>(D123-(B123*$E$9))/('Cost sensitivity'!$E$8*'Calc Worksheet'!#REF!)</f>
        <v>#REF!</v>
      </c>
      <c r="D123" s="282">
        <f>B123*'Calc Worksheet'!$C$10</f>
        <v>7617.965976379735</v>
      </c>
    </row>
    <row r="124" spans="2:4" x14ac:dyDescent="0.25">
      <c r="B124" s="283">
        <f t="shared" si="8"/>
        <v>47</v>
      </c>
      <c r="C124" s="281" t="e">
        <f>(D124-(B124*$E$9))/('Cost sensitivity'!$E$8*'Calc Worksheet'!#REF!)</f>
        <v>#REF!</v>
      </c>
      <c r="D124" s="282">
        <f>B124*'Calc Worksheet'!$C$10</f>
        <v>7783.573932387991</v>
      </c>
    </row>
    <row r="125" spans="2:4" x14ac:dyDescent="0.25">
      <c r="B125" s="283">
        <f t="shared" si="8"/>
        <v>48</v>
      </c>
      <c r="C125" s="281" t="e">
        <f>(D125-(B125*$E$9))/('Cost sensitivity'!$E$8*'Calc Worksheet'!#REF!)</f>
        <v>#REF!</v>
      </c>
      <c r="D125" s="282">
        <f>B125*'Calc Worksheet'!$C$10</f>
        <v>7949.181888396246</v>
      </c>
    </row>
    <row r="126" spans="2:4" x14ac:dyDescent="0.25">
      <c r="B126" s="283">
        <f t="shared" si="8"/>
        <v>49</v>
      </c>
      <c r="C126" s="281" t="e">
        <f>(D126-(B126*$E$9))/('Cost sensitivity'!$E$8*'Calc Worksheet'!#REF!)</f>
        <v>#REF!</v>
      </c>
      <c r="D126" s="282">
        <f>B126*'Calc Worksheet'!$C$10</f>
        <v>8114.7898444045</v>
      </c>
    </row>
    <row r="127" spans="2:4" x14ac:dyDescent="0.25">
      <c r="B127" s="283">
        <f t="shared" si="8"/>
        <v>50</v>
      </c>
      <c r="C127" s="281" t="e">
        <f>(D127-(B127*$E$9))/('Cost sensitivity'!$E$8*'Calc Worksheet'!#REF!)</f>
        <v>#REF!</v>
      </c>
      <c r="D127" s="282">
        <f>B127*'Calc Worksheet'!$C$10</f>
        <v>8280.397800412757</v>
      </c>
    </row>
    <row r="128" spans="2:4" x14ac:dyDescent="0.25">
      <c r="B128" s="283">
        <f t="shared" si="8"/>
        <v>51</v>
      </c>
      <c r="C128" s="281" t="e">
        <f>(D128-(B128*$E$9))/('Cost sensitivity'!$E$8*'Calc Worksheet'!#REF!)</f>
        <v>#REF!</v>
      </c>
      <c r="D128" s="282">
        <f>B128*'Calc Worksheet'!$C$10</f>
        <v>8446.005756421011</v>
      </c>
    </row>
    <row r="129" spans="2:4" x14ac:dyDescent="0.25">
      <c r="B129" s="283">
        <f t="shared" si="8"/>
        <v>52</v>
      </c>
      <c r="C129" s="281" t="e">
        <f>(D129-(B129*$E$9))/('Cost sensitivity'!$E$8*'Calc Worksheet'!#REF!)</f>
        <v>#REF!</v>
      </c>
      <c r="D129" s="282">
        <f>B129*'Calc Worksheet'!$C$10</f>
        <v>8611.613712429265</v>
      </c>
    </row>
    <row r="130" spans="2:4" x14ac:dyDescent="0.25">
      <c r="B130" s="283">
        <f t="shared" si="8"/>
        <v>53</v>
      </c>
      <c r="C130" s="281" t="e">
        <f>(D130-(B130*$E$9))/('Cost sensitivity'!$E$8*'Calc Worksheet'!#REF!)</f>
        <v>#REF!</v>
      </c>
      <c r="D130" s="282">
        <f>B130*'Calc Worksheet'!$C$10</f>
        <v>8777.221668437522</v>
      </c>
    </row>
    <row r="131" spans="2:4" x14ac:dyDescent="0.25">
      <c r="B131" s="283">
        <f t="shared" si="8"/>
        <v>54</v>
      </c>
      <c r="C131" s="281" t="e">
        <f>(D131-(B131*$E$9))/('Cost sensitivity'!$E$8*'Calc Worksheet'!#REF!)</f>
        <v>#REF!</v>
      </c>
      <c r="D131" s="282">
        <f>B131*'Calc Worksheet'!$C$10</f>
        <v>8942.829624445776</v>
      </c>
    </row>
    <row r="132" spans="2:4" x14ac:dyDescent="0.25">
      <c r="B132" s="283">
        <f t="shared" si="8"/>
        <v>55</v>
      </c>
      <c r="C132" s="281" t="e">
        <f>(D132-(B132*$E$9))/('Cost sensitivity'!$E$8*'Calc Worksheet'!#REF!)</f>
        <v>#REF!</v>
      </c>
      <c r="D132" s="282">
        <f>B132*'Calc Worksheet'!$C$10</f>
        <v>9108.43758045403</v>
      </c>
    </row>
    <row r="133" spans="2:4" x14ac:dyDescent="0.25">
      <c r="B133" s="283">
        <f t="shared" si="8"/>
        <v>56</v>
      </c>
      <c r="C133" s="281" t="e">
        <f>(D133-(B133*$E$9))/('Cost sensitivity'!$E$8*'Calc Worksheet'!#REF!)</f>
        <v>#REF!</v>
      </c>
      <c r="D133" s="282">
        <f>B133*'Calc Worksheet'!$C$10</f>
        <v>9274.045536462287</v>
      </c>
    </row>
    <row r="134" spans="2:4" x14ac:dyDescent="0.25">
      <c r="B134" s="283">
        <f t="shared" si="8"/>
        <v>57</v>
      </c>
      <c r="C134" s="281" t="e">
        <f>(D134-(B134*$E$9))/('Cost sensitivity'!$E$8*'Calc Worksheet'!#REF!)</f>
        <v>#REF!</v>
      </c>
      <c r="D134" s="282">
        <f>B134*'Calc Worksheet'!$C$10</f>
        <v>9439.653492470541</v>
      </c>
    </row>
    <row r="135" spans="2:4" x14ac:dyDescent="0.25">
      <c r="B135" s="283">
        <f t="shared" si="8"/>
        <v>58</v>
      </c>
      <c r="C135" s="281" t="e">
        <f>(D135-(B135*$E$9))/('Cost sensitivity'!$E$8*'Calc Worksheet'!#REF!)</f>
        <v>#REF!</v>
      </c>
      <c r="D135" s="282">
        <f>B135*'Calc Worksheet'!$C$10</f>
        <v>9605.261448478797</v>
      </c>
    </row>
    <row r="136" spans="2:4" x14ac:dyDescent="0.25">
      <c r="B136" s="283">
        <f t="shared" si="8"/>
        <v>59</v>
      </c>
      <c r="C136" s="281" t="e">
        <f>(D136-(B136*$E$9))/('Cost sensitivity'!$E$8*'Calc Worksheet'!#REF!)</f>
        <v>#REF!</v>
      </c>
      <c r="D136" s="282">
        <f>B136*'Calc Worksheet'!$C$10</f>
        <v>9770.869404487052</v>
      </c>
    </row>
    <row r="137" spans="2:4" x14ac:dyDescent="0.25">
      <c r="B137" s="283">
        <f t="shared" si="8"/>
        <v>60</v>
      </c>
      <c r="C137" s="281" t="e">
        <f>(D137-(B137*$E$9))/('Cost sensitivity'!$E$8*'Calc Worksheet'!#REF!)</f>
        <v>#REF!</v>
      </c>
      <c r="D137" s="282">
        <f>B137*'Calc Worksheet'!$C$10</f>
        <v>9936.477360495306</v>
      </c>
    </row>
    <row r="138" spans="2:4" x14ac:dyDescent="0.25">
      <c r="B138" s="283">
        <f t="shared" si="8"/>
        <v>61</v>
      </c>
      <c r="C138" s="281" t="e">
        <f>(D138-(B138*$E$9))/('Cost sensitivity'!$E$8*'Calc Worksheet'!#REF!)</f>
        <v>#REF!</v>
      </c>
      <c r="D138" s="282">
        <f>B138*'Calc Worksheet'!$C$10</f>
        <v>10102.085316503562</v>
      </c>
    </row>
    <row r="139" spans="2:4" x14ac:dyDescent="0.25">
      <c r="B139" s="283">
        <f t="shared" si="8"/>
        <v>62</v>
      </c>
      <c r="C139" s="281" t="e">
        <f>(D139-(B139*$E$9))/('Cost sensitivity'!$E$8*'Calc Worksheet'!#REF!)</f>
        <v>#REF!</v>
      </c>
      <c r="D139" s="282">
        <f>B139*'Calc Worksheet'!$C$10</f>
        <v>10267.693272511817</v>
      </c>
    </row>
    <row r="140" spans="2:4" x14ac:dyDescent="0.25">
      <c r="B140" s="283">
        <f t="shared" si="8"/>
        <v>63</v>
      </c>
      <c r="C140" s="281" t="e">
        <f>(D140-(B140*$E$9))/('Cost sensitivity'!$E$8*'Calc Worksheet'!#REF!)</f>
        <v>#REF!</v>
      </c>
      <c r="D140" s="282">
        <f>B140*'Calc Worksheet'!$C$10</f>
        <v>10433.301228520073</v>
      </c>
    </row>
    <row r="141" spans="2:4" x14ac:dyDescent="0.25">
      <c r="B141" s="283">
        <f t="shared" si="8"/>
        <v>64</v>
      </c>
      <c r="C141" s="281" t="e">
        <f>(D141-(B141*$E$9))/('Cost sensitivity'!$E$8*'Calc Worksheet'!#REF!)</f>
        <v>#REF!</v>
      </c>
      <c r="D141" s="282">
        <f>B141*'Calc Worksheet'!$C$10</f>
        <v>10598.909184528327</v>
      </c>
    </row>
    <row r="142" spans="2:4" x14ac:dyDescent="0.25">
      <c r="B142" s="283">
        <f t="shared" si="8"/>
        <v>65</v>
      </c>
      <c r="C142" s="281" t="e">
        <f>(D142-(B142*$E$9))/('Cost sensitivity'!$E$8*'Calc Worksheet'!#REF!)</f>
        <v>#REF!</v>
      </c>
      <c r="D142" s="282">
        <f>B142*'Calc Worksheet'!$C$10</f>
        <v>10764.517140536582</v>
      </c>
    </row>
    <row r="143" spans="2:4" x14ac:dyDescent="0.25">
      <c r="B143" s="283">
        <f t="shared" si="8"/>
        <v>66</v>
      </c>
      <c r="C143" s="281" t="e">
        <f>(D143-(B143*$E$9))/('Cost sensitivity'!$E$8*'Calc Worksheet'!#REF!)</f>
        <v>#REF!</v>
      </c>
      <c r="D143" s="282">
        <f>B143*'Calc Worksheet'!$C$10</f>
        <v>10930.125096544838</v>
      </c>
    </row>
    <row r="144" spans="2:4" x14ac:dyDescent="0.25">
      <c r="B144" s="283">
        <f t="shared" si="8"/>
        <v>67</v>
      </c>
      <c r="C144" s="281" t="e">
        <f>(D144-(B144*$E$9))/('Cost sensitivity'!$E$8*'Calc Worksheet'!#REF!)</f>
        <v>#REF!</v>
      </c>
      <c r="D144" s="282">
        <f>B144*'Calc Worksheet'!$C$10</f>
        <v>11095.733052553092</v>
      </c>
    </row>
    <row r="145" spans="2:4" x14ac:dyDescent="0.25">
      <c r="B145" s="283">
        <f t="shared" si="8"/>
        <v>68</v>
      </c>
      <c r="C145" s="281" t="e">
        <f>(D145-(B145*$E$9))/('Cost sensitivity'!$E$8*'Calc Worksheet'!#REF!)</f>
        <v>#REF!</v>
      </c>
      <c r="D145" s="282">
        <f>B145*'Calc Worksheet'!$C$10</f>
        <v>11261.341008561349</v>
      </c>
    </row>
    <row r="146" spans="2:4" x14ac:dyDescent="0.25">
      <c r="B146" s="283">
        <f t="shared" si="8"/>
        <v>69</v>
      </c>
      <c r="C146" s="281" t="e">
        <f>(D146-(B146*$E$9))/('Cost sensitivity'!$E$8*'Calc Worksheet'!#REF!)</f>
        <v>#REF!</v>
      </c>
      <c r="D146" s="282">
        <f>B146*'Calc Worksheet'!$C$10</f>
        <v>11426.948964569603</v>
      </c>
    </row>
    <row r="147" ht="13" customHeight="1" spans="2:4" x14ac:dyDescent="0.25">
      <c r="B147" s="272">
        <f t="shared" ref="B147" si="9">B146+1</f>
        <v>70</v>
      </c>
      <c r="C147" s="292" t="e">
        <f>(D147-(B147*$E$9))/('Cost sensitivity'!$E$8*'Calc Worksheet'!#REF!)</f>
        <v>#REF!</v>
      </c>
      <c r="D147" s="293">
        <f>B147*'Calc Worksheet'!$C$10</f>
        <v>11592.556920577857</v>
      </c>
    </row>
  </sheetData>
  <mergeCells count="3">
    <mergeCell ref="B4:D4"/>
    <mergeCell ref="B5:D5"/>
    <mergeCell ref="B6:D6"/>
  </mergeCells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79"/>
  <sheetViews>
    <sheetView workbookViewId="0" showGridLines="0" zoomScale="100" zoomScaleNormal="100">
      <selection activeCell="K37" sqref="K37"/>
    </sheetView>
  </sheetViews>
  <sheetFormatPr defaultRowHeight="12.5" outlineLevelRow="0" outlineLevelCol="0" x14ac:dyDescent="0.25" customHeight="1"/>
  <cols>
    <col min="1" max="1" width="4.54296875" customWidth="1"/>
    <col min="2" max="2" width="16.453125" customWidth="1"/>
    <col min="3" max="3" width="10.26953125" customWidth="1"/>
    <col min="4" max="4" width="14.54296875" customWidth="1"/>
    <col min="5" max="5" width="12" customWidth="1"/>
    <col min="6" max="6" width="10.81640625" customWidth="1"/>
    <col min="7" max="7" width="13.7265625" customWidth="1"/>
    <col min="11" max="11" width="9.1796875" customWidth="1"/>
    <col min="12" max="12" width="17" customWidth="1"/>
    <col min="18" max="18" width="9.1796875" customWidth="1"/>
  </cols>
  <sheetData>
    <row r="2" ht="20" customHeight="1" spans="2:2" x14ac:dyDescent="0.25">
      <c r="B2" s="256" t="s">
        <v>273</v>
      </c>
    </row>
    <row r="3" ht="13" customHeight="1" x14ac:dyDescent="0.25"/>
    <row r="4" spans="2:5" x14ac:dyDescent="0.25">
      <c r="B4" s="294" t="s">
        <v>274</v>
      </c>
      <c r="C4" s="295"/>
      <c r="D4" s="296"/>
      <c r="E4" s="297">
        <f>'Calc Worksheet'!C13</f>
        <v>8756.847005967766</v>
      </c>
    </row>
    <row r="5" spans="2:5" x14ac:dyDescent="0.25">
      <c r="B5" s="298" t="s">
        <v>275</v>
      </c>
      <c r="C5" s="299"/>
      <c r="D5" s="300"/>
      <c r="E5" s="301">
        <f>'Calc Worksheet'!C17</f>
        <v>428.8326016413763</v>
      </c>
    </row>
    <row r="6" ht="13" customHeight="1" spans="2:5" x14ac:dyDescent="0.25">
      <c r="B6" s="302" t="s">
        <v>276</v>
      </c>
      <c r="C6" s="303"/>
      <c r="D6" s="304"/>
      <c r="E6" s="305">
        <f>'Calc Worksheet'!C19</f>
        <v>9185.679607609141</v>
      </c>
    </row>
    <row r="7" ht="13" customHeight="1" x14ac:dyDescent="0.25"/>
    <row r="8" spans="2:5" x14ac:dyDescent="0.25">
      <c r="B8" s="269" t="s">
        <v>264</v>
      </c>
      <c r="C8" s="270"/>
      <c r="D8" s="270"/>
      <c r="E8" s="271">
        <f>'Calc Worksheet'!E65</f>
        <v>11.607643584457039</v>
      </c>
    </row>
    <row r="9" ht="13" customHeight="1" spans="2:5" x14ac:dyDescent="0.25">
      <c r="B9" s="272" t="s">
        <v>265</v>
      </c>
      <c r="C9" s="273"/>
      <c r="D9" s="273"/>
      <c r="E9" s="274">
        <f>'Calc Worksheet'!E67</f>
        <v>155.40499572607328</v>
      </c>
    </row>
    <row r="12" ht="13" customHeight="1" x14ac:dyDescent="0.25"/>
    <row r="13" ht="38" customHeight="1" spans="2:5" x14ac:dyDescent="0.25">
      <c r="B13" s="306" t="s">
        <v>277</v>
      </c>
      <c r="C13" s="307" t="s">
        <v>278</v>
      </c>
      <c r="D13" s="307" t="s">
        <v>279</v>
      </c>
      <c r="E13" s="308" t="s">
        <v>280</v>
      </c>
    </row>
    <row r="14" spans="2:5" x14ac:dyDescent="0.25">
      <c r="B14" s="279">
        <v>0.8</v>
      </c>
      <c r="C14" s="309">
        <f>$E$6</f>
        <v>9185.679607609141</v>
      </c>
      <c r="D14" s="309">
        <f>(($E$8*'Conversion Factors'!$M$5)*B14)</f>
        <v>2579.4784156826463</v>
      </c>
      <c r="E14" s="310">
        <f>D14-C14</f>
        <v>-6606.201191926495</v>
      </c>
    </row>
    <row r="15" spans="2:5" x14ac:dyDescent="0.25">
      <c r="B15" s="283">
        <f>B14-0.01</f>
        <v>0.79</v>
      </c>
      <c r="C15" s="311">
        <f t="shared" ref="C15:C78" si="0">$E$6</f>
        <v>9185.679607609141</v>
      </c>
      <c r="D15" s="309">
        <f>(($E$8*'Conversion Factors'!$M$5)*B15)</f>
        <v>2547.234935486613</v>
      </c>
      <c r="E15" s="310">
        <f t="shared" ref="E15:E78" si="1">D15-C15</f>
        <v>-6638.444672122529</v>
      </c>
    </row>
    <row r="16" spans="2:5" x14ac:dyDescent="0.25">
      <c r="B16" s="283">
        <f t="shared" ref="B16:B79" si="2">B15-0.01</f>
        <v>0.78</v>
      </c>
      <c r="C16" s="311">
        <f t="shared" si="0"/>
        <v>9185.679607609141</v>
      </c>
      <c r="D16" s="309">
        <f>(($E$8*'Conversion Factors'!$M$5)*B16)</f>
        <v>2514.99145529058</v>
      </c>
      <c r="E16" s="310">
        <f t="shared" si="1"/>
        <v>-6670.688152318562</v>
      </c>
    </row>
    <row r="17" spans="2:5" x14ac:dyDescent="0.25">
      <c r="B17" s="283">
        <f t="shared" si="2"/>
        <v>0.77</v>
      </c>
      <c r="C17" s="311">
        <f t="shared" si="0"/>
        <v>9185.679607609141</v>
      </c>
      <c r="D17" s="309">
        <f>(($E$8*'Conversion Factors'!$M$5)*B17)</f>
        <v>2482.7479750945467</v>
      </c>
      <c r="E17" s="310">
        <f t="shared" si="1"/>
        <v>-6702.931632514595</v>
      </c>
    </row>
    <row r="18" spans="2:5" x14ac:dyDescent="0.25">
      <c r="B18" s="283">
        <f t="shared" si="2"/>
        <v>0.76</v>
      </c>
      <c r="C18" s="311">
        <f t="shared" si="0"/>
        <v>9185.679607609141</v>
      </c>
      <c r="D18" s="309">
        <f>(($E$8*'Conversion Factors'!$M$5)*B18)</f>
        <v>2450.5044948985137</v>
      </c>
      <c r="E18" s="310">
        <f t="shared" si="1"/>
        <v>-6735.175112710627</v>
      </c>
    </row>
    <row r="19" spans="2:5" x14ac:dyDescent="0.25">
      <c r="B19" s="283">
        <f t="shared" si="2"/>
        <v>0.75</v>
      </c>
      <c r="C19" s="311">
        <f t="shared" si="0"/>
        <v>9185.679607609141</v>
      </c>
      <c r="D19" s="309">
        <f>(($E$8*'Conversion Factors'!$M$5)*B19)</f>
        <v>2418.2610147024807</v>
      </c>
      <c r="E19" s="310">
        <f t="shared" si="1"/>
        <v>-6767.418592906661</v>
      </c>
    </row>
    <row r="20" spans="2:5" x14ac:dyDescent="0.25">
      <c r="B20" s="283">
        <f t="shared" si="2"/>
        <v>0.74</v>
      </c>
      <c r="C20" s="311">
        <f t="shared" si="0"/>
        <v>9185.679607609141</v>
      </c>
      <c r="D20" s="309">
        <f>(($E$8*'Conversion Factors'!$M$5)*B20)</f>
        <v>2386.0175345064476</v>
      </c>
      <c r="E20" s="310">
        <f t="shared" si="1"/>
        <v>-6799.662073102694</v>
      </c>
    </row>
    <row r="21" spans="2:5" x14ac:dyDescent="0.25">
      <c r="B21" s="283">
        <f t="shared" si="2"/>
        <v>0.73</v>
      </c>
      <c r="C21" s="311">
        <f t="shared" si="0"/>
        <v>9185.679607609141</v>
      </c>
      <c r="D21" s="309">
        <f>(($E$8*'Conversion Factors'!$M$5)*B21)</f>
        <v>2353.774054310414</v>
      </c>
      <c r="E21" s="310">
        <f t="shared" si="1"/>
        <v>-6831.905553298728</v>
      </c>
    </row>
    <row r="22" spans="2:5" x14ac:dyDescent="0.25">
      <c r="B22" s="283">
        <f t="shared" si="2"/>
        <v>0.72</v>
      </c>
      <c r="C22" s="311">
        <f t="shared" si="0"/>
        <v>9185.679607609141</v>
      </c>
      <c r="D22" s="309">
        <f>(($E$8*'Conversion Factors'!$M$5)*B22)</f>
        <v>2321.530574114381</v>
      </c>
      <c r="E22" s="310">
        <f t="shared" si="1"/>
        <v>-6864.14903349476</v>
      </c>
    </row>
    <row r="23" spans="2:5" x14ac:dyDescent="0.25">
      <c r="B23" s="283">
        <f t="shared" si="2"/>
        <v>0.71</v>
      </c>
      <c r="C23" s="311">
        <f t="shared" si="0"/>
        <v>9185.679607609141</v>
      </c>
      <c r="D23" s="309">
        <f>(($E$8*'Conversion Factors'!$M$5)*B23)</f>
        <v>2289.287093918348</v>
      </c>
      <c r="E23" s="310">
        <f t="shared" si="1"/>
        <v>-6896.392513690793</v>
      </c>
    </row>
    <row r="24" spans="2:5" x14ac:dyDescent="0.25">
      <c r="B24" s="283">
        <f t="shared" si="2"/>
        <v>0.7</v>
      </c>
      <c r="C24" s="311">
        <f t="shared" si="0"/>
        <v>9185.679607609141</v>
      </c>
      <c r="D24" s="309">
        <f>(($E$8*'Conversion Factors'!$M$5)*B24)</f>
        <v>2257.043613722315</v>
      </c>
      <c r="E24" s="310">
        <f t="shared" si="1"/>
        <v>-6928.635993886826</v>
      </c>
    </row>
    <row r="25" spans="2:5" x14ac:dyDescent="0.25">
      <c r="B25" s="283">
        <f t="shared" si="2"/>
        <v>0.69</v>
      </c>
      <c r="C25" s="311">
        <f t="shared" si="0"/>
        <v>9185.679607609141</v>
      </c>
      <c r="D25" s="309">
        <f>(($E$8*'Conversion Factors'!$M$5)*B25)</f>
        <v>2224.800133526282</v>
      </c>
      <c r="E25" s="310">
        <f t="shared" si="1"/>
        <v>-6960.87947408286</v>
      </c>
    </row>
    <row r="26" spans="2:5" x14ac:dyDescent="0.25">
      <c r="B26" s="283">
        <f t="shared" si="2"/>
        <v>0.6799999999999999</v>
      </c>
      <c r="C26" s="311">
        <f t="shared" si="0"/>
        <v>9185.679607609141</v>
      </c>
      <c r="D26" s="309">
        <f>(($E$8*'Conversion Factors'!$M$5)*B26)</f>
        <v>2192.556653330249</v>
      </c>
      <c r="E26" s="310">
        <f t="shared" si="1"/>
        <v>-6993.122954278892</v>
      </c>
    </row>
    <row r="27" spans="2:5" x14ac:dyDescent="0.25">
      <c r="B27" s="283">
        <f t="shared" si="2"/>
        <v>0.6699999999999999</v>
      </c>
      <c r="C27" s="311">
        <f t="shared" si="0"/>
        <v>9185.679607609141</v>
      </c>
      <c r="D27" s="309">
        <f>(($E$8*'Conversion Factors'!$M$5)*B27)</f>
        <v>2160.313173134216</v>
      </c>
      <c r="E27" s="310">
        <f t="shared" si="1"/>
        <v>-7025.366434474925</v>
      </c>
    </row>
    <row r="28" spans="2:5" x14ac:dyDescent="0.25">
      <c r="B28" s="283">
        <f t="shared" si="2"/>
        <v>0.6599999999999999</v>
      </c>
      <c r="C28" s="311">
        <f t="shared" si="0"/>
        <v>9185.679607609141</v>
      </c>
      <c r="D28" s="309">
        <f>(($E$8*'Conversion Factors'!$M$5)*B28)</f>
        <v>2128.0696929381825</v>
      </c>
      <c r="E28" s="310">
        <f t="shared" si="1"/>
        <v>-7057.6099146709585</v>
      </c>
    </row>
    <row r="29" spans="2:5" x14ac:dyDescent="0.25">
      <c r="B29" s="283">
        <f t="shared" si="2"/>
        <v>0.6499999999999999</v>
      </c>
      <c r="C29" s="311">
        <f t="shared" si="0"/>
        <v>9185.679607609141</v>
      </c>
      <c r="D29" s="309">
        <f>(($E$8*'Conversion Factors'!$M$5)*B29)</f>
        <v>2095.8262127421494</v>
      </c>
      <c r="E29" s="310">
        <f t="shared" si="1"/>
        <v>-7089.853394866992</v>
      </c>
    </row>
    <row r="30" spans="2:5" x14ac:dyDescent="0.25">
      <c r="B30" s="283">
        <f t="shared" si="2"/>
        <v>0.6399999999999999</v>
      </c>
      <c r="C30" s="311">
        <f t="shared" si="0"/>
        <v>9185.679607609141</v>
      </c>
      <c r="D30" s="309">
        <f>(($E$8*'Conversion Factors'!$M$5)*B30)</f>
        <v>2063.5827325461164</v>
      </c>
      <c r="E30" s="310">
        <f t="shared" si="1"/>
        <v>-7122.096875063025</v>
      </c>
    </row>
    <row r="31" spans="2:5" x14ac:dyDescent="0.25">
      <c r="B31" s="283">
        <f t="shared" si="2"/>
        <v>0.6299999999999999</v>
      </c>
      <c r="C31" s="311">
        <f t="shared" si="0"/>
        <v>9185.679607609141</v>
      </c>
      <c r="D31" s="309">
        <f>(($E$8*'Conversion Factors'!$M$5)*B31)</f>
        <v>2031.3392523500834</v>
      </c>
      <c r="E31" s="310">
        <f t="shared" si="1"/>
        <v>-7154.340355259058</v>
      </c>
    </row>
    <row r="32" spans="2:5" x14ac:dyDescent="0.25">
      <c r="B32" s="283">
        <f t="shared" si="2"/>
        <v>0.6199999999999999</v>
      </c>
      <c r="C32" s="311">
        <f t="shared" si="0"/>
        <v>9185.679607609141</v>
      </c>
      <c r="D32" s="309">
        <f>(($E$8*'Conversion Factors'!$M$5)*B32)</f>
        <v>1999.0957721540503</v>
      </c>
      <c r="E32" s="310">
        <f t="shared" si="1"/>
        <v>-7186.583835455091</v>
      </c>
    </row>
    <row r="33" spans="2:5" x14ac:dyDescent="0.25">
      <c r="B33" s="283">
        <f t="shared" si="2"/>
        <v>0.6099999999999999</v>
      </c>
      <c r="C33" s="311">
        <f t="shared" si="0"/>
        <v>9185.679607609141</v>
      </c>
      <c r="D33" s="309">
        <f>(($E$8*'Conversion Factors'!$M$5)*B33)</f>
        <v>1966.852291958017</v>
      </c>
      <c r="E33" s="310">
        <f t="shared" si="1"/>
        <v>-7218.827315651124</v>
      </c>
    </row>
    <row r="34" spans="2:5" x14ac:dyDescent="0.25">
      <c r="B34" s="283">
        <f t="shared" si="2"/>
        <v>0.5999999999999999</v>
      </c>
      <c r="C34" s="311">
        <f t="shared" si="0"/>
        <v>9185.679607609141</v>
      </c>
      <c r="D34" s="309">
        <f>(($E$8*'Conversion Factors'!$M$5)*B34)</f>
        <v>1934.608811761984</v>
      </c>
      <c r="E34" s="310">
        <f t="shared" si="1"/>
        <v>-7251.070795847158</v>
      </c>
    </row>
    <row r="35" spans="2:5" x14ac:dyDescent="0.25">
      <c r="B35" s="283">
        <f t="shared" si="2"/>
        <v>0.5899999999999999</v>
      </c>
      <c r="C35" s="311">
        <f t="shared" si="0"/>
        <v>9185.679607609141</v>
      </c>
      <c r="D35" s="309">
        <f>(($E$8*'Conversion Factors'!$M$5)*B35)</f>
        <v>1902.365331565951</v>
      </c>
      <c r="E35" s="310">
        <f t="shared" si="1"/>
        <v>-7283.31427604319</v>
      </c>
    </row>
    <row r="36" ht="13" customHeight="1" spans="2:5" x14ac:dyDescent="0.25">
      <c r="B36" s="283">
        <f t="shared" si="2"/>
        <v>0.5799999999999998</v>
      </c>
      <c r="C36" s="311">
        <f t="shared" si="0"/>
        <v>9185.679607609141</v>
      </c>
      <c r="D36" s="309">
        <f>(($E$8*'Conversion Factors'!$M$5)*B36)</f>
        <v>1870.1218513699177</v>
      </c>
      <c r="E36" s="310">
        <f t="shared" si="1"/>
        <v>-7315.557756239224</v>
      </c>
    </row>
    <row r="37" ht="18" customHeight="1" spans="2:12" x14ac:dyDescent="0.25">
      <c r="B37" s="283">
        <f t="shared" si="2"/>
        <v>0.5699999999999998</v>
      </c>
      <c r="C37" s="311">
        <f t="shared" si="0"/>
        <v>9185.679607609141</v>
      </c>
      <c r="D37" s="309">
        <f>(($E$8*'Conversion Factors'!$M$5)*B37)</f>
        <v>1837.8783711738847</v>
      </c>
      <c r="E37" s="310">
        <f t="shared" si="1"/>
        <v>-7347.801236435256</v>
      </c>
      <c r="H37" s="285" t="s">
        <v>281</v>
      </c>
      <c r="I37" s="286"/>
      <c r="J37" s="286"/>
      <c r="K37" s="287">
        <f t="array" ref="K37">INDEX(B14:B79,MATCH(TRUE,INDEX(E14:E79&lt;0,),0))</f>
        <v>0.8</v>
      </c>
      <c r="L37" s="288" t="s">
        <v>282</v>
      </c>
    </row>
    <row r="38" spans="2:8" x14ac:dyDescent="0.25">
      <c r="B38" s="283">
        <f t="shared" si="2"/>
        <v>0.5599999999999998</v>
      </c>
      <c r="C38" s="311">
        <f t="shared" si="0"/>
        <v>9185.679607609141</v>
      </c>
      <c r="D38" s="309">
        <f>(($E$8*'Conversion Factors'!$M$5)*B38)</f>
        <v>1805.6348909778517</v>
      </c>
      <c r="E38" s="310">
        <f t="shared" si="1"/>
        <v>-7380.04471663129</v>
      </c>
      <c r="H38" s="289" t="s">
        <v>283</v>
      </c>
    </row>
    <row r="39" spans="2:5" x14ac:dyDescent="0.25">
      <c r="B39" s="283">
        <f t="shared" si="2"/>
        <v>0.5499999999999998</v>
      </c>
      <c r="C39" s="311">
        <f t="shared" si="0"/>
        <v>9185.679607609141</v>
      </c>
      <c r="D39" s="309">
        <f>(($E$8*'Conversion Factors'!$M$5)*B39)</f>
        <v>1773.3914107818184</v>
      </c>
      <c r="E39" s="310">
        <f t="shared" si="1"/>
        <v>-7412.288196827323</v>
      </c>
    </row>
    <row r="40" spans="2:5" x14ac:dyDescent="0.25">
      <c r="B40" s="283">
        <f t="shared" si="2"/>
        <v>0.5399999999999998</v>
      </c>
      <c r="C40" s="311">
        <f t="shared" si="0"/>
        <v>9185.679607609141</v>
      </c>
      <c r="D40" s="309">
        <f>(($E$8*'Conversion Factors'!$M$5)*B40)</f>
        <v>1741.1479305857854</v>
      </c>
      <c r="E40" s="310">
        <f t="shared" si="1"/>
        <v>-7444.531677023356</v>
      </c>
    </row>
    <row r="41" spans="2:5" x14ac:dyDescent="0.25">
      <c r="B41" s="283">
        <f t="shared" si="2"/>
        <v>0.5299999999999998</v>
      </c>
      <c r="C41" s="311">
        <f t="shared" si="0"/>
        <v>9185.679607609141</v>
      </c>
      <c r="D41" s="309">
        <f>(($E$8*'Conversion Factors'!$M$5)*B41)</f>
        <v>1708.9044503897524</v>
      </c>
      <c r="E41" s="310">
        <f t="shared" si="1"/>
        <v>-7476.775157219389</v>
      </c>
    </row>
    <row r="42" spans="2:5" x14ac:dyDescent="0.25">
      <c r="B42" s="283">
        <f t="shared" si="2"/>
        <v>0.5199999999999998</v>
      </c>
      <c r="C42" s="311">
        <f t="shared" si="0"/>
        <v>9185.679607609141</v>
      </c>
      <c r="D42" s="309">
        <f>(($E$8*'Conversion Factors'!$M$5)*B42)</f>
        <v>1676.660970193719</v>
      </c>
      <c r="E42" s="310">
        <f t="shared" si="1"/>
        <v>-7509.018637415422</v>
      </c>
    </row>
    <row r="43" spans="2:5" x14ac:dyDescent="0.25">
      <c r="B43" s="283">
        <f t="shared" si="2"/>
        <v>0.5099999999999998</v>
      </c>
      <c r="C43" s="311">
        <f t="shared" si="0"/>
        <v>9185.679607609141</v>
      </c>
      <c r="D43" s="309">
        <f>(($E$8*'Conversion Factors'!$M$5)*B43)</f>
        <v>1644.417489997686</v>
      </c>
      <c r="E43" s="310">
        <f t="shared" si="1"/>
        <v>-7541.262117611455</v>
      </c>
    </row>
    <row r="44" spans="2:5" x14ac:dyDescent="0.25">
      <c r="B44" s="283">
        <f t="shared" si="2"/>
        <v>0.4999999999999998</v>
      </c>
      <c r="C44" s="311">
        <f t="shared" si="0"/>
        <v>9185.679607609141</v>
      </c>
      <c r="D44" s="309">
        <f>(($E$8*'Conversion Factors'!$M$5)*B44)</f>
        <v>1612.174009801653</v>
      </c>
      <c r="E44" s="310">
        <f t="shared" si="1"/>
        <v>-7573.505597807489</v>
      </c>
    </row>
    <row r="45" spans="2:5" x14ac:dyDescent="0.25">
      <c r="B45" s="283">
        <f t="shared" si="2"/>
        <v>0.48999999999999977</v>
      </c>
      <c r="C45" s="311">
        <f t="shared" si="0"/>
        <v>9185.679607609141</v>
      </c>
      <c r="D45" s="309">
        <f>(($E$8*'Conversion Factors'!$M$5)*B45)</f>
        <v>1579.93052960562</v>
      </c>
      <c r="E45" s="310">
        <f t="shared" si="1"/>
        <v>-7605.749078003521</v>
      </c>
    </row>
    <row r="46" spans="2:5" x14ac:dyDescent="0.25">
      <c r="B46" s="283">
        <f t="shared" si="2"/>
        <v>0.47999999999999976</v>
      </c>
      <c r="C46" s="311">
        <f t="shared" si="0"/>
        <v>9185.679607609141</v>
      </c>
      <c r="D46" s="309">
        <f>(($E$8*'Conversion Factors'!$M$5)*B46)</f>
        <v>1547.6870494095867</v>
      </c>
      <c r="E46" s="310">
        <f t="shared" si="1"/>
        <v>-7637.992558199555</v>
      </c>
    </row>
    <row r="47" spans="2:5" x14ac:dyDescent="0.25">
      <c r="B47" s="283">
        <f t="shared" si="2"/>
        <v>0.46999999999999975</v>
      </c>
      <c r="C47" s="311">
        <f t="shared" si="0"/>
        <v>9185.679607609141</v>
      </c>
      <c r="D47" s="309">
        <f>(($E$8*'Conversion Factors'!$M$5)*B47)</f>
        <v>1515.4435692135537</v>
      </c>
      <c r="E47" s="310">
        <f t="shared" si="1"/>
        <v>-7670.2360383955875</v>
      </c>
    </row>
    <row r="48" spans="2:5" x14ac:dyDescent="0.25">
      <c r="B48" s="283">
        <f t="shared" si="2"/>
        <v>0.45999999999999974</v>
      </c>
      <c r="C48" s="311">
        <f t="shared" si="0"/>
        <v>9185.679607609141</v>
      </c>
      <c r="D48" s="309">
        <f>(($E$8*'Conversion Factors'!$M$5)*B48)</f>
        <v>1483.2000890175207</v>
      </c>
      <c r="E48" s="310">
        <f t="shared" si="1"/>
        <v>-7702.479518591621</v>
      </c>
    </row>
    <row r="49" spans="2:5" x14ac:dyDescent="0.25">
      <c r="B49" s="283">
        <f t="shared" si="2"/>
        <v>0.44999999999999973</v>
      </c>
      <c r="C49" s="311">
        <f t="shared" si="0"/>
        <v>9185.679607609141</v>
      </c>
      <c r="D49" s="309">
        <f>(($E$8*'Conversion Factors'!$M$5)*B49)</f>
        <v>1450.9566088214874</v>
      </c>
      <c r="E49" s="310">
        <f t="shared" si="1"/>
        <v>-7734.722998787654</v>
      </c>
    </row>
    <row r="50" spans="2:5" x14ac:dyDescent="0.25">
      <c r="B50" s="283">
        <f t="shared" si="2"/>
        <v>0.4399999999999997</v>
      </c>
      <c r="C50" s="311">
        <f t="shared" si="0"/>
        <v>9185.679607609141</v>
      </c>
      <c r="D50" s="309">
        <f>(($E$8*'Conversion Factors'!$M$5)*B50)</f>
        <v>1418.7131286254544</v>
      </c>
      <c r="E50" s="310">
        <f t="shared" si="1"/>
        <v>-7766.966478983687</v>
      </c>
    </row>
    <row r="51" spans="2:5" x14ac:dyDescent="0.25">
      <c r="B51" s="283">
        <f t="shared" si="2"/>
        <v>0.4299999999999997</v>
      </c>
      <c r="C51" s="311">
        <f t="shared" si="0"/>
        <v>9185.679607609141</v>
      </c>
      <c r="D51" s="309">
        <f>(($E$8*'Conversion Factors'!$M$5)*B51)</f>
        <v>1386.4696484294213</v>
      </c>
      <c r="E51" s="310">
        <f t="shared" si="1"/>
        <v>-7799.20995917972</v>
      </c>
    </row>
    <row r="52" spans="2:5" x14ac:dyDescent="0.25">
      <c r="B52" s="283">
        <f t="shared" si="2"/>
        <v>0.4199999999999997</v>
      </c>
      <c r="C52" s="311">
        <f t="shared" si="0"/>
        <v>9185.679607609141</v>
      </c>
      <c r="D52" s="309">
        <f>(($E$8*'Conversion Factors'!$M$5)*B52)</f>
        <v>1354.226168233388</v>
      </c>
      <c r="E52" s="310">
        <f t="shared" si="1"/>
        <v>-7831.453439375753</v>
      </c>
    </row>
    <row r="53" spans="2:5" x14ac:dyDescent="0.25">
      <c r="B53" s="283">
        <f t="shared" si="2"/>
        <v>0.4099999999999997</v>
      </c>
      <c r="C53" s="311">
        <f t="shared" si="0"/>
        <v>9185.679607609141</v>
      </c>
      <c r="D53" s="309">
        <f>(($E$8*'Conversion Factors'!$M$5)*B53)</f>
        <v>1321.982688037355</v>
      </c>
      <c r="E53" s="310">
        <f t="shared" si="1"/>
        <v>-7863.696919571787</v>
      </c>
    </row>
    <row r="54" spans="2:5" x14ac:dyDescent="0.25">
      <c r="B54" s="283">
        <f t="shared" si="2"/>
        <v>0.3999999999999997</v>
      </c>
      <c r="C54" s="311">
        <f t="shared" si="0"/>
        <v>9185.679607609141</v>
      </c>
      <c r="D54" s="309">
        <f>(($E$8*'Conversion Factors'!$M$5)*B54)</f>
        <v>1289.739207841322</v>
      </c>
      <c r="E54" s="310">
        <f t="shared" si="1"/>
        <v>-7895.940399767819</v>
      </c>
    </row>
    <row r="55" spans="2:5" x14ac:dyDescent="0.25">
      <c r="B55" s="283">
        <f t="shared" si="2"/>
        <v>0.3899999999999997</v>
      </c>
      <c r="C55" s="311">
        <f t="shared" si="0"/>
        <v>9185.679607609141</v>
      </c>
      <c r="D55" s="309">
        <f>(($E$8*'Conversion Factors'!$M$5)*B55)</f>
        <v>1257.4957276452888</v>
      </c>
      <c r="E55" s="310">
        <f t="shared" si="1"/>
        <v>-7928.183879963853</v>
      </c>
    </row>
    <row r="56" spans="2:5" x14ac:dyDescent="0.25">
      <c r="B56" s="283">
        <f t="shared" si="2"/>
        <v>0.37999999999999967</v>
      </c>
      <c r="C56" s="311">
        <f t="shared" si="0"/>
        <v>9185.679607609141</v>
      </c>
      <c r="D56" s="309">
        <f>(($E$8*'Conversion Factors'!$M$5)*B56)</f>
        <v>1225.2522474492557</v>
      </c>
      <c r="E56" s="310">
        <f t="shared" si="1"/>
        <v>-7960.427360159885</v>
      </c>
    </row>
    <row r="57" spans="2:5" x14ac:dyDescent="0.25">
      <c r="B57" s="283">
        <f t="shared" si="2"/>
        <v>0.36999999999999966</v>
      </c>
      <c r="C57" s="311">
        <f t="shared" si="0"/>
        <v>9185.679607609141</v>
      </c>
      <c r="D57" s="309">
        <f>(($E$8*'Conversion Factors'!$M$5)*B57)</f>
        <v>1193.0087672532227</v>
      </c>
      <c r="E57" s="310">
        <f t="shared" si="1"/>
        <v>-7992.670840355919</v>
      </c>
    </row>
    <row r="58" spans="2:5" x14ac:dyDescent="0.25">
      <c r="B58" s="283">
        <f t="shared" si="2"/>
        <v>0.35999999999999965</v>
      </c>
      <c r="C58" s="311">
        <f t="shared" si="0"/>
        <v>9185.679607609141</v>
      </c>
      <c r="D58" s="309">
        <f>(($E$8*'Conversion Factors'!$M$5)*B58)</f>
        <v>1160.7652870571897</v>
      </c>
      <c r="E58" s="310">
        <f t="shared" si="1"/>
        <v>-8024.914320551952</v>
      </c>
    </row>
    <row r="59" spans="2:5" x14ac:dyDescent="0.25">
      <c r="B59" s="283">
        <f t="shared" si="2"/>
        <v>0.34999999999999964</v>
      </c>
      <c r="C59" s="311">
        <f t="shared" si="0"/>
        <v>9185.679607609141</v>
      </c>
      <c r="D59" s="309">
        <f>(($E$8*'Conversion Factors'!$M$5)*B59)</f>
        <v>1128.5218068611564</v>
      </c>
      <c r="E59" s="310">
        <f t="shared" si="1"/>
        <v>-8057.157800747985</v>
      </c>
    </row>
    <row r="60" spans="2:5" x14ac:dyDescent="0.25">
      <c r="B60" s="283">
        <f t="shared" si="2"/>
        <v>0.33999999999999964</v>
      </c>
      <c r="C60" s="311">
        <f t="shared" si="0"/>
        <v>9185.679607609141</v>
      </c>
      <c r="D60" s="309">
        <f>(($E$8*'Conversion Factors'!$M$5)*B60)</f>
        <v>1096.2783266651234</v>
      </c>
      <c r="E60" s="310">
        <f t="shared" si="1"/>
        <v>-8089.401280944018</v>
      </c>
    </row>
    <row r="61" spans="2:5" x14ac:dyDescent="0.25">
      <c r="B61" s="283">
        <f t="shared" si="2"/>
        <v>0.3299999999999996</v>
      </c>
      <c r="C61" s="311">
        <f t="shared" si="0"/>
        <v>9185.679607609141</v>
      </c>
      <c r="D61" s="309">
        <f>(($E$8*'Conversion Factors'!$M$5)*B61)</f>
        <v>1064.0348464690903</v>
      </c>
      <c r="E61" s="310">
        <f t="shared" si="1"/>
        <v>-8121.644761140051</v>
      </c>
    </row>
    <row r="62" spans="2:5" x14ac:dyDescent="0.25">
      <c r="B62" s="283">
        <f t="shared" si="2"/>
        <v>0.3199999999999996</v>
      </c>
      <c r="C62" s="311">
        <f t="shared" si="0"/>
        <v>9185.679607609141</v>
      </c>
      <c r="D62" s="309">
        <f>(($E$8*'Conversion Factors'!$M$5)*B62)</f>
        <v>1031.791366273057</v>
      </c>
      <c r="E62" s="310">
        <f t="shared" si="1"/>
        <v>-8153.888241336084</v>
      </c>
    </row>
    <row r="63" spans="2:5" x14ac:dyDescent="0.25">
      <c r="B63" s="283">
        <f t="shared" si="2"/>
        <v>0.3099999999999996</v>
      </c>
      <c r="C63" s="311">
        <f t="shared" si="0"/>
        <v>9185.679607609141</v>
      </c>
      <c r="D63" s="309">
        <f>(($E$8*'Conversion Factors'!$M$5)*B63)</f>
        <v>999.547886077024</v>
      </c>
      <c r="E63" s="310">
        <f t="shared" si="1"/>
        <v>-8186.131721532118</v>
      </c>
    </row>
    <row r="64" spans="2:5" x14ac:dyDescent="0.25">
      <c r="B64" s="283">
        <f t="shared" si="2"/>
        <v>0.2999999999999996</v>
      </c>
      <c r="C64" s="311">
        <f t="shared" si="0"/>
        <v>9185.679607609141</v>
      </c>
      <c r="D64" s="309">
        <f>(($E$8*'Conversion Factors'!$M$5)*B64)</f>
        <v>967.3044058809909</v>
      </c>
      <c r="E64" s="310">
        <f t="shared" si="1"/>
        <v>-8218.375201728151</v>
      </c>
    </row>
    <row r="65" spans="2:5" x14ac:dyDescent="0.25">
      <c r="B65" s="283">
        <f t="shared" si="2"/>
        <v>0.2899999999999996</v>
      </c>
      <c r="C65" s="311">
        <f t="shared" si="0"/>
        <v>9185.679607609141</v>
      </c>
      <c r="D65" s="309">
        <f>(($E$8*'Conversion Factors'!$M$5)*B65)</f>
        <v>935.0609256849579</v>
      </c>
      <c r="E65" s="310">
        <f t="shared" si="1"/>
        <v>-8250.618681924183</v>
      </c>
    </row>
    <row r="66" spans="2:5" x14ac:dyDescent="0.25">
      <c r="B66" s="283">
        <f t="shared" si="2"/>
        <v>0.2799999999999996</v>
      </c>
      <c r="C66" s="311">
        <f t="shared" si="0"/>
        <v>9185.679607609141</v>
      </c>
      <c r="D66" s="309">
        <f>(($E$8*'Conversion Factors'!$M$5)*B66)</f>
        <v>902.8174454889247</v>
      </c>
      <c r="E66" s="310">
        <f t="shared" si="1"/>
        <v>-8282.862162120216</v>
      </c>
    </row>
    <row r="67" spans="2:5" x14ac:dyDescent="0.25">
      <c r="B67" s="283">
        <f t="shared" si="2"/>
        <v>0.2699999999999996</v>
      </c>
      <c r="C67" s="311">
        <f t="shared" si="0"/>
        <v>9185.679607609141</v>
      </c>
      <c r="D67" s="309">
        <f>(($E$8*'Conversion Factors'!$M$5)*B67)</f>
        <v>870.5739652928917</v>
      </c>
      <c r="E67" s="310">
        <f t="shared" si="1"/>
        <v>-8315.10564231625</v>
      </c>
    </row>
    <row r="68" spans="2:5" x14ac:dyDescent="0.25">
      <c r="B68" s="283">
        <f t="shared" si="2"/>
        <v>0.25999999999999956</v>
      </c>
      <c r="C68" s="311">
        <f t="shared" si="0"/>
        <v>9185.679607609141</v>
      </c>
      <c r="D68" s="309">
        <f>(($E$8*'Conversion Factors'!$M$5)*B68)</f>
        <v>838.3304850968585</v>
      </c>
      <c r="E68" s="310">
        <f t="shared" si="1"/>
        <v>-8347.349122512283</v>
      </c>
    </row>
    <row r="69" spans="2:5" x14ac:dyDescent="0.25">
      <c r="B69" s="283">
        <f t="shared" si="2"/>
        <v>0.24999999999999956</v>
      </c>
      <c r="C69" s="311">
        <f t="shared" si="0"/>
        <v>9185.679607609141</v>
      </c>
      <c r="D69" s="309">
        <f>(($E$8*'Conversion Factors'!$M$5)*B69)</f>
        <v>806.0870049008254</v>
      </c>
      <c r="E69" s="310">
        <f t="shared" si="1"/>
        <v>-8379.592602708315</v>
      </c>
    </row>
    <row r="70" spans="2:5" x14ac:dyDescent="0.25">
      <c r="B70" s="283">
        <f t="shared" si="2"/>
        <v>0.23999999999999955</v>
      </c>
      <c r="C70" s="311">
        <f t="shared" si="0"/>
        <v>9185.679607609141</v>
      </c>
      <c r="D70" s="309">
        <f>(($E$8*'Conversion Factors'!$M$5)*B70)</f>
        <v>773.8435247047923</v>
      </c>
      <c r="E70" s="310">
        <f t="shared" si="1"/>
        <v>-8411.836082904349</v>
      </c>
    </row>
    <row r="71" spans="2:5" x14ac:dyDescent="0.25">
      <c r="B71" s="283">
        <f t="shared" si="2"/>
        <v>0.22999999999999954</v>
      </c>
      <c r="C71" s="311">
        <f t="shared" si="0"/>
        <v>9185.679607609141</v>
      </c>
      <c r="D71" s="309">
        <f>(($E$8*'Conversion Factors'!$M$5)*B71)</f>
        <v>741.6000445087592</v>
      </c>
      <c r="E71" s="310">
        <f t="shared" si="1"/>
        <v>-8444.079563100382</v>
      </c>
    </row>
    <row r="72" spans="2:5" x14ac:dyDescent="0.25">
      <c r="B72" s="283">
        <f t="shared" si="2"/>
        <v>0.21999999999999953</v>
      </c>
      <c r="C72" s="311">
        <f t="shared" si="0"/>
        <v>9185.679607609141</v>
      </c>
      <c r="D72" s="309">
        <f>(($E$8*'Conversion Factors'!$M$5)*B72)</f>
        <v>709.3565643127262</v>
      </c>
      <c r="E72" s="310">
        <f t="shared" si="1"/>
        <v>-8476.323043296416</v>
      </c>
    </row>
    <row r="73" spans="2:5" x14ac:dyDescent="0.25">
      <c r="B73" s="283">
        <f t="shared" si="2"/>
        <v>0.20999999999999952</v>
      </c>
      <c r="C73" s="311">
        <f t="shared" si="0"/>
        <v>9185.679607609141</v>
      </c>
      <c r="D73" s="309">
        <f>(($E$8*'Conversion Factors'!$M$5)*B73)</f>
        <v>677.113084116693</v>
      </c>
      <c r="E73" s="310">
        <f t="shared" si="1"/>
        <v>-8508.566523492449</v>
      </c>
    </row>
    <row r="74" spans="2:5" x14ac:dyDescent="0.25">
      <c r="B74" s="283">
        <f t="shared" si="2"/>
        <v>0.1999999999999995</v>
      </c>
      <c r="C74" s="311">
        <f t="shared" si="0"/>
        <v>9185.679607609141</v>
      </c>
      <c r="D74" s="309">
        <f>(($E$8*'Conversion Factors'!$M$5)*B74)</f>
        <v>644.8696039206599</v>
      </c>
      <c r="E74" s="310">
        <f t="shared" si="1"/>
        <v>-8540.81000368848</v>
      </c>
    </row>
    <row r="75" spans="2:5" x14ac:dyDescent="0.25">
      <c r="B75" s="283">
        <f t="shared" si="2"/>
        <v>0.1899999999999995</v>
      </c>
      <c r="C75" s="311">
        <f t="shared" si="0"/>
        <v>9185.679607609141</v>
      </c>
      <c r="D75" s="309">
        <f>(($E$8*'Conversion Factors'!$M$5)*B75)</f>
        <v>612.6261237246268</v>
      </c>
      <c r="E75" s="310">
        <f t="shared" si="1"/>
        <v>-8573.053483884514</v>
      </c>
    </row>
    <row r="76" spans="2:5" x14ac:dyDescent="0.25">
      <c r="B76" s="283">
        <f t="shared" si="2"/>
        <v>0.1799999999999995</v>
      </c>
      <c r="C76" s="311">
        <f t="shared" si="0"/>
        <v>9185.679607609141</v>
      </c>
      <c r="D76" s="309">
        <f>(($E$8*'Conversion Factors'!$M$5)*B76)</f>
        <v>580.3826435285937</v>
      </c>
      <c r="E76" s="310">
        <f t="shared" si="1"/>
        <v>-8605.296964080548</v>
      </c>
    </row>
    <row r="77" spans="2:5" x14ac:dyDescent="0.25">
      <c r="B77" s="283">
        <f t="shared" si="2"/>
        <v>0.16999999999999948</v>
      </c>
      <c r="C77" s="311">
        <f t="shared" si="0"/>
        <v>9185.679607609141</v>
      </c>
      <c r="D77" s="309">
        <f>(($E$8*'Conversion Factors'!$M$5)*B77)</f>
        <v>548.1391633325607</v>
      </c>
      <c r="E77" s="310">
        <f t="shared" si="1"/>
        <v>-8637.540444276581</v>
      </c>
    </row>
    <row r="78" spans="2:5" x14ac:dyDescent="0.25">
      <c r="B78" s="283">
        <f t="shared" si="2"/>
        <v>0.15999999999999948</v>
      </c>
      <c r="C78" s="311">
        <f t="shared" si="0"/>
        <v>9185.679607609141</v>
      </c>
      <c r="D78" s="309">
        <f>(($E$8*'Conversion Factors'!$M$5)*B78)</f>
        <v>515.8956831365275</v>
      </c>
      <c r="E78" s="310">
        <f t="shared" si="1"/>
        <v>-8669.783924472615</v>
      </c>
    </row>
    <row r="79" ht="13" customHeight="1" spans="2:5" x14ac:dyDescent="0.25">
      <c r="B79" s="272">
        <f t="shared" si="2"/>
        <v>0.14999999999999947</v>
      </c>
      <c r="C79" s="312">
        <f t="shared" ref="C79" si="3">$E$6</f>
        <v>9185.679607609141</v>
      </c>
      <c r="D79" s="309">
        <f>(($E$8*'Conversion Factors'!$M$5)*B79)</f>
        <v>483.6522029404944</v>
      </c>
      <c r="E79" s="310">
        <f t="shared" ref="E79" si="4">D79-C79</f>
        <v>-8702.027404668646</v>
      </c>
    </row>
  </sheetData>
  <mergeCells count="3">
    <mergeCell ref="B4:D4"/>
    <mergeCell ref="B5:D5"/>
    <mergeCell ref="B6:D6"/>
  </mergeCells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56"/>
  <sheetViews>
    <sheetView workbookViewId="0" zoomScale="70" zoomScaleNormal="70">
      <selection activeCell="AF20" sqref="AF20"/>
    </sheetView>
  </sheetViews>
  <sheetFormatPr defaultRowHeight="12.5" outlineLevelRow="0" outlineLevelCol="0" x14ac:dyDescent="0.25" customHeight="1"/>
  <cols>
    <col min="3" max="3" width="25.1796875" customWidth="1"/>
    <col min="4" max="4" width="14.54296875" customWidth="1"/>
    <col min="5" max="5" width="11.81640625" customWidth="1"/>
  </cols>
  <sheetData>
    <row r="2" spans="2:5" x14ac:dyDescent="0.25">
      <c r="B2" s="4" t="s">
        <v>229</v>
      </c>
      <c r="C2" s="4" t="s">
        <v>233</v>
      </c>
      <c r="D2" s="4" t="s">
        <v>234</v>
      </c>
      <c r="E2" s="4" t="s">
        <v>235</v>
      </c>
    </row>
    <row r="3" spans="2:5" x14ac:dyDescent="0.25">
      <c r="B3" s="85">
        <v>0</v>
      </c>
      <c r="C3" s="83">
        <f>'User Inputs'!O10</f>
        <v>16000</v>
      </c>
      <c r="D3" s="83">
        <f>'Calc Worksheet'!$J$69</f>
        <v>-1484.750010007373</v>
      </c>
      <c r="E3" s="83">
        <f t="shared" ref="E3:E28" si="0">C3-D3</f>
        <v>17484.750010007374</v>
      </c>
    </row>
    <row r="4" spans="2:5" x14ac:dyDescent="0.25">
      <c r="B4" s="86">
        <v>1</v>
      </c>
      <c r="C4" s="83">
        <f>E3</f>
        <v>17484.750010007374</v>
      </c>
      <c r="D4" s="243">
        <f>D3*1.02</f>
        <v>-1514.4450102075205</v>
      </c>
      <c r="E4" s="83">
        <f t="shared" si="0"/>
        <v>18999.195020214895</v>
      </c>
    </row>
    <row r="5" spans="2:5" x14ac:dyDescent="0.25">
      <c r="B5" s="86">
        <v>2</v>
      </c>
      <c r="C5" s="83">
        <f t="shared" ref="C5:C28" si="1">E4</f>
        <v>18999.195020214895</v>
      </c>
      <c r="D5" s="243">
        <f t="shared" ref="D5:D28" si="2">D4*1.02</f>
        <v>-1544.7339104116709</v>
      </c>
      <c r="E5" s="83">
        <f t="shared" si="0"/>
        <v>20543.928930626564</v>
      </c>
    </row>
    <row r="6" spans="2:5" x14ac:dyDescent="0.25">
      <c r="B6" s="86">
        <v>3</v>
      </c>
      <c r="C6" s="83">
        <f t="shared" si="1"/>
        <v>20543.928930626564</v>
      </c>
      <c r="D6" s="243">
        <f t="shared" si="2"/>
        <v>-1575.6285886199043</v>
      </c>
      <c r="E6" s="83">
        <f t="shared" si="0"/>
        <v>22119.557519246468</v>
      </c>
    </row>
    <row r="7" spans="2:5" x14ac:dyDescent="0.25">
      <c r="B7" s="86">
        <v>4</v>
      </c>
      <c r="C7" s="83">
        <f t="shared" si="1"/>
        <v>22119.557519246468</v>
      </c>
      <c r="D7" s="243">
        <f t="shared" si="2"/>
        <v>-1607.1411603923025</v>
      </c>
      <c r="E7" s="83">
        <f t="shared" si="0"/>
        <v>23726.698679638772</v>
      </c>
    </row>
    <row r="8" spans="2:5" x14ac:dyDescent="0.25">
      <c r="B8" s="85">
        <v>5</v>
      </c>
      <c r="C8" s="83">
        <f t="shared" si="1"/>
        <v>23726.698679638772</v>
      </c>
      <c r="D8" s="243">
        <f t="shared" si="2"/>
        <v>-1639.2839836001485</v>
      </c>
      <c r="E8" s="83">
        <f t="shared" si="0"/>
        <v>25365.98266323892</v>
      </c>
    </row>
    <row r="9" spans="2:5" x14ac:dyDescent="0.25">
      <c r="B9" s="86">
        <v>6</v>
      </c>
      <c r="C9" s="83">
        <f t="shared" si="1"/>
        <v>25365.98266323892</v>
      </c>
      <c r="D9" s="243">
        <f t="shared" si="2"/>
        <v>-1672.0696632721515</v>
      </c>
      <c r="E9" s="83">
        <f t="shared" si="0"/>
        <v>27038.05232651107</v>
      </c>
    </row>
    <row r="10" spans="2:5" x14ac:dyDescent="0.25">
      <c r="B10" s="86">
        <v>7</v>
      </c>
      <c r="C10" s="83">
        <f t="shared" si="1"/>
        <v>27038.05232651107</v>
      </c>
      <c r="D10" s="243">
        <f t="shared" si="2"/>
        <v>-1705.5110565375946</v>
      </c>
      <c r="E10" s="83">
        <f t="shared" si="0"/>
        <v>28743.563383048666</v>
      </c>
    </row>
    <row r="11" spans="2:5" x14ac:dyDescent="0.25">
      <c r="B11" s="86">
        <v>8</v>
      </c>
      <c r="C11" s="83">
        <f t="shared" si="1"/>
        <v>28743.563383048666</v>
      </c>
      <c r="D11" s="243">
        <f t="shared" si="2"/>
        <v>-1739.6212776683465</v>
      </c>
      <c r="E11" s="83">
        <f t="shared" si="0"/>
        <v>30483.184660717012</v>
      </c>
    </row>
    <row r="12" spans="2:5" x14ac:dyDescent="0.25">
      <c r="B12" s="86">
        <v>9</v>
      </c>
      <c r="C12" s="83">
        <f t="shared" si="1"/>
        <v>30483.184660717012</v>
      </c>
      <c r="D12" s="243">
        <f t="shared" si="2"/>
        <v>-1774.4137032217134</v>
      </c>
      <c r="E12" s="83">
        <f t="shared" si="0"/>
        <v>32257.598363938727</v>
      </c>
    </row>
    <row r="13" spans="2:5" x14ac:dyDescent="0.25">
      <c r="B13" s="85">
        <v>10</v>
      </c>
      <c r="C13" s="83">
        <f t="shared" si="1"/>
        <v>32257.598363938727</v>
      </c>
      <c r="D13" s="243">
        <f t="shared" si="2"/>
        <v>-1809.9019772861477</v>
      </c>
      <c r="E13" s="83">
        <f t="shared" si="0"/>
        <v>34067.50034122488</v>
      </c>
    </row>
    <row r="14" spans="2:5" x14ac:dyDescent="0.25">
      <c r="B14" s="86">
        <v>11</v>
      </c>
      <c r="C14" s="83">
        <f t="shared" si="1"/>
        <v>34067.50034122488</v>
      </c>
      <c r="D14" s="243">
        <f t="shared" si="2"/>
        <v>-1846.1000168318708</v>
      </c>
      <c r="E14" s="83">
        <f t="shared" si="0"/>
        <v>35913.60035805675</v>
      </c>
    </row>
    <row r="15" spans="2:5" x14ac:dyDescent="0.25">
      <c r="B15" s="86">
        <v>12</v>
      </c>
      <c r="C15" s="83">
        <f t="shared" si="1"/>
        <v>35913.60035805675</v>
      </c>
      <c r="D15" s="243">
        <f t="shared" si="2"/>
        <v>-1883.0220171685082</v>
      </c>
      <c r="E15" s="83">
        <f t="shared" si="0"/>
        <v>37796.622375225255</v>
      </c>
    </row>
    <row r="16" spans="2:5" x14ac:dyDescent="0.25">
      <c r="B16" s="86">
        <v>13</v>
      </c>
      <c r="C16" s="83">
        <f t="shared" si="1"/>
        <v>37796.622375225255</v>
      </c>
      <c r="D16" s="243">
        <f t="shared" si="2"/>
        <v>-1920.6824575118785</v>
      </c>
      <c r="E16" s="83">
        <f t="shared" si="0"/>
        <v>39717.304832737136</v>
      </c>
    </row>
    <row r="17" spans="2:5" x14ac:dyDescent="0.25">
      <c r="B17" s="86">
        <v>14</v>
      </c>
      <c r="C17" s="83">
        <f t="shared" si="1"/>
        <v>39717.304832737136</v>
      </c>
      <c r="D17" s="243">
        <f t="shared" si="2"/>
        <v>-1959.0961066621162</v>
      </c>
      <c r="E17" s="83">
        <f t="shared" si="0"/>
        <v>41676.40093939925</v>
      </c>
    </row>
    <row r="18" spans="2:5" x14ac:dyDescent="0.25">
      <c r="B18" s="85">
        <v>15</v>
      </c>
      <c r="C18" s="83">
        <f t="shared" si="1"/>
        <v>41676.40093939925</v>
      </c>
      <c r="D18" s="243">
        <f t="shared" si="2"/>
        <v>-1998.2780287953585</v>
      </c>
      <c r="E18" s="83">
        <f t="shared" si="0"/>
        <v>43674.67896819461</v>
      </c>
    </row>
    <row r="19" spans="2:5" x14ac:dyDescent="0.25">
      <c r="B19" s="86">
        <v>16</v>
      </c>
      <c r="C19" s="83">
        <f t="shared" si="1"/>
        <v>43674.67896819461</v>
      </c>
      <c r="D19" s="243">
        <f t="shared" si="2"/>
        <v>-2038.2435893712657</v>
      </c>
      <c r="E19" s="83">
        <f t="shared" si="0"/>
        <v>45712.92255756588</v>
      </c>
    </row>
    <row r="20" spans="2:5" x14ac:dyDescent="0.25">
      <c r="B20" s="86">
        <v>17</v>
      </c>
      <c r="C20" s="83">
        <f t="shared" si="1"/>
        <v>45712.92255756588</v>
      </c>
      <c r="D20" s="243">
        <f t="shared" si="2"/>
        <v>-2079.008461158691</v>
      </c>
      <c r="E20" s="83">
        <f t="shared" si="0"/>
        <v>47791.93101872457</v>
      </c>
    </row>
    <row r="21" spans="2:5" x14ac:dyDescent="0.25">
      <c r="B21" s="86">
        <v>18</v>
      </c>
      <c r="C21" s="83">
        <f t="shared" si="1"/>
        <v>47791.93101872457</v>
      </c>
      <c r="D21" s="243">
        <f t="shared" si="2"/>
        <v>-2120.5886303818647</v>
      </c>
      <c r="E21" s="83">
        <f t="shared" si="0"/>
        <v>49912.519649106434</v>
      </c>
    </row>
    <row r="22" spans="2:5" x14ac:dyDescent="0.25">
      <c r="B22" s="86">
        <v>19</v>
      </c>
      <c r="C22" s="83">
        <f t="shared" si="1"/>
        <v>49912.519649106434</v>
      </c>
      <c r="D22" s="243">
        <f t="shared" si="2"/>
        <v>-2163.000402989502</v>
      </c>
      <c r="E22" s="83">
        <f t="shared" si="0"/>
        <v>52075.52005209593</v>
      </c>
    </row>
    <row r="23" spans="2:5" x14ac:dyDescent="0.25">
      <c r="B23" s="85">
        <v>20</v>
      </c>
      <c r="C23" s="83">
        <f t="shared" si="1"/>
        <v>52075.52005209593</v>
      </c>
      <c r="D23" s="243">
        <f t="shared" si="2"/>
        <v>-2206.260411049292</v>
      </c>
      <c r="E23" s="83">
        <f t="shared" si="0"/>
        <v>54281.78046314522</v>
      </c>
    </row>
    <row r="24" spans="2:5" x14ac:dyDescent="0.25">
      <c r="B24" s="86">
        <v>21</v>
      </c>
      <c r="C24" s="83">
        <f t="shared" si="1"/>
        <v>54281.78046314522</v>
      </c>
      <c r="D24" s="243">
        <f t="shared" si="2"/>
        <v>-2250.385619270278</v>
      </c>
      <c r="E24" s="83">
        <f t="shared" si="0"/>
        <v>56532.166082415504</v>
      </c>
    </row>
    <row r="25" spans="2:5" x14ac:dyDescent="0.25">
      <c r="B25" s="86">
        <v>22</v>
      </c>
      <c r="C25" s="83">
        <f t="shared" si="1"/>
        <v>56532.166082415504</v>
      </c>
      <c r="D25" s="243">
        <f t="shared" si="2"/>
        <v>-2295.3933316556836</v>
      </c>
      <c r="E25" s="83">
        <f t="shared" si="0"/>
        <v>58827.55941407119</v>
      </c>
    </row>
    <row r="26" spans="2:5" x14ac:dyDescent="0.25">
      <c r="B26" s="86">
        <v>23</v>
      </c>
      <c r="C26" s="83">
        <f t="shared" si="1"/>
        <v>58827.55941407119</v>
      </c>
      <c r="D26" s="243">
        <f t="shared" si="2"/>
        <v>-2341.3011982887974</v>
      </c>
      <c r="E26" s="83">
        <f t="shared" si="0"/>
        <v>61168.86061235999</v>
      </c>
    </row>
    <row r="27" spans="2:5" x14ac:dyDescent="0.25">
      <c r="B27" s="86">
        <v>24</v>
      </c>
      <c r="C27" s="83">
        <f t="shared" si="1"/>
        <v>61168.86061235999</v>
      </c>
      <c r="D27" s="243">
        <f t="shared" si="2"/>
        <v>-2388.1272222545736</v>
      </c>
      <c r="E27" s="83">
        <f t="shared" si="0"/>
        <v>63556.98783461456</v>
      </c>
    </row>
    <row r="28" spans="2:5" x14ac:dyDescent="0.25">
      <c r="B28" s="85">
        <v>25</v>
      </c>
      <c r="C28" s="83">
        <f t="shared" si="1"/>
        <v>63556.98783461456</v>
      </c>
      <c r="D28" s="243">
        <f t="shared" si="2"/>
        <v>-2435.889766699665</v>
      </c>
      <c r="E28" s="83">
        <f t="shared" si="0"/>
        <v>65992.87760131423</v>
      </c>
    </row>
    <row r="29" spans="2:5" x14ac:dyDescent="0.25">
      <c r="B29" s="86"/>
      <c r="C29" s="83"/>
      <c r="D29" s="243"/>
      <c r="E29" s="83"/>
    </row>
    <row r="30" spans="2:5" x14ac:dyDescent="0.25">
      <c r="B30" s="4" t="s">
        <v>229</v>
      </c>
      <c r="C30" s="4" t="s">
        <v>233</v>
      </c>
      <c r="D30" s="4" t="s">
        <v>234</v>
      </c>
      <c r="E30" s="4" t="s">
        <v>236</v>
      </c>
    </row>
    <row r="31" spans="2:5" x14ac:dyDescent="0.25">
      <c r="B31" s="85">
        <v>0</v>
      </c>
      <c r="C31" s="83">
        <f>'User Inputs'!O10+'User Inputs'!O11</f>
        <v>26200</v>
      </c>
      <c r="D31" s="243">
        <f>'Calc Worksheet'!J80</f>
        <v>2051.8164943722404</v>
      </c>
      <c r="E31" s="83">
        <f t="shared" ref="E31:E56" si="3">C31-D31</f>
        <v>24148.18350562776</v>
      </c>
    </row>
    <row r="32" spans="2:5" x14ac:dyDescent="0.25">
      <c r="B32" s="86">
        <v>1</v>
      </c>
      <c r="C32" s="83">
        <f>E31</f>
        <v>24148.18350562776</v>
      </c>
      <c r="D32" s="243">
        <f>D31*1.02</f>
        <v>2092.8528242596853</v>
      </c>
      <c r="E32" s="83">
        <f t="shared" si="3"/>
        <v>22055.330681368076</v>
      </c>
    </row>
    <row r="33" spans="2:5" x14ac:dyDescent="0.25">
      <c r="B33" s="86">
        <v>2</v>
      </c>
      <c r="C33" s="83">
        <f t="shared" ref="C33:C56" si="4">E32</f>
        <v>22055.330681368076</v>
      </c>
      <c r="D33" s="243">
        <f t="shared" ref="D33:D56" si="5">D32*1.02</f>
        <v>2134.7098807448792</v>
      </c>
      <c r="E33" s="83">
        <f t="shared" si="3"/>
        <v>19920.620800623197</v>
      </c>
    </row>
    <row r="34" spans="2:5" x14ac:dyDescent="0.25">
      <c r="B34" s="86">
        <v>3</v>
      </c>
      <c r="C34" s="83">
        <f t="shared" si="4"/>
        <v>19920.620800623197</v>
      </c>
      <c r="D34" s="243">
        <f t="shared" si="5"/>
        <v>2177.404078359777</v>
      </c>
      <c r="E34" s="83">
        <f t="shared" si="3"/>
        <v>17743.21672226342</v>
      </c>
    </row>
    <row r="35" spans="2:5" x14ac:dyDescent="0.25">
      <c r="B35" s="86">
        <v>4</v>
      </c>
      <c r="C35" s="83">
        <f t="shared" si="4"/>
        <v>17743.21672226342</v>
      </c>
      <c r="D35" s="243">
        <f t="shared" si="5"/>
        <v>2220.9521599269724</v>
      </c>
      <c r="E35" s="83">
        <f t="shared" si="3"/>
        <v>15522.264562336448</v>
      </c>
    </row>
    <row r="36" spans="2:5" x14ac:dyDescent="0.25">
      <c r="B36" s="85">
        <v>5</v>
      </c>
      <c r="C36" s="83">
        <f t="shared" si="4"/>
        <v>15522.264562336448</v>
      </c>
      <c r="D36" s="243">
        <f t="shared" si="5"/>
        <v>2265.371203125512</v>
      </c>
      <c r="E36" s="83">
        <f t="shared" si="3"/>
        <v>13256.893359210935</v>
      </c>
    </row>
    <row r="37" spans="2:5" x14ac:dyDescent="0.25">
      <c r="B37" s="86">
        <v>6</v>
      </c>
      <c r="C37" s="83">
        <f t="shared" si="4"/>
        <v>13256.893359210935</v>
      </c>
      <c r="D37" s="243">
        <f t="shared" si="5"/>
        <v>2310.678627188022</v>
      </c>
      <c r="E37" s="83">
        <f t="shared" si="3"/>
        <v>10946.214732022912</v>
      </c>
    </row>
    <row r="38" spans="2:5" x14ac:dyDescent="0.25">
      <c r="B38" s="86">
        <v>7</v>
      </c>
      <c r="C38" s="83">
        <f t="shared" si="4"/>
        <v>10946.214732022912</v>
      </c>
      <c r="D38" s="243">
        <f t="shared" si="5"/>
        <v>2356.8921997317825</v>
      </c>
      <c r="E38" s="83">
        <f t="shared" si="3"/>
        <v>8589.32253229113</v>
      </c>
    </row>
    <row r="39" spans="2:5" x14ac:dyDescent="0.25">
      <c r="B39" s="86">
        <v>8</v>
      </c>
      <c r="C39" s="83">
        <f t="shared" si="4"/>
        <v>8589.32253229113</v>
      </c>
      <c r="D39" s="243">
        <f t="shared" si="5"/>
        <v>2404.030043726418</v>
      </c>
      <c r="E39" s="83">
        <f t="shared" si="3"/>
        <v>6185.292488564712</v>
      </c>
    </row>
    <row r="40" spans="2:5" x14ac:dyDescent="0.25">
      <c r="B40" s="86">
        <v>9</v>
      </c>
      <c r="C40" s="83">
        <f t="shared" si="4"/>
        <v>6185.292488564712</v>
      </c>
      <c r="D40" s="243">
        <f t="shared" si="5"/>
        <v>2452.1106446009467</v>
      </c>
      <c r="E40" s="83">
        <f t="shared" si="3"/>
        <v>3733.181843963765</v>
      </c>
    </row>
    <row r="41" spans="2:5" x14ac:dyDescent="0.25">
      <c r="B41" s="85">
        <v>10</v>
      </c>
      <c r="C41" s="83">
        <f t="shared" si="4"/>
        <v>3733.181843963765</v>
      </c>
      <c r="D41" s="243">
        <f t="shared" si="5"/>
        <v>2501.1528574929657</v>
      </c>
      <c r="E41" s="83">
        <f t="shared" si="3"/>
        <v>1232.0289864707993</v>
      </c>
    </row>
    <row r="42" spans="2:5" x14ac:dyDescent="0.25">
      <c r="B42" s="86">
        <v>11</v>
      </c>
      <c r="C42" s="83">
        <f t="shared" si="4"/>
        <v>1232.0289864707993</v>
      </c>
      <c r="D42" s="243">
        <f t="shared" si="5"/>
        <v>2551.175914642825</v>
      </c>
      <c r="E42" s="83">
        <f t="shared" si="3"/>
        <v>-1319.1469281720256</v>
      </c>
    </row>
    <row r="43" spans="2:5" x14ac:dyDescent="0.25">
      <c r="B43" s="86">
        <v>12</v>
      </c>
      <c r="C43" s="83">
        <f t="shared" si="4"/>
        <v>-1319.1469281720256</v>
      </c>
      <c r="D43" s="243">
        <f t="shared" si="5"/>
        <v>2602.199432935681</v>
      </c>
      <c r="E43" s="83">
        <f t="shared" si="3"/>
        <v>-3921.346361107707</v>
      </c>
    </row>
    <row r="44" spans="2:5" x14ac:dyDescent="0.25">
      <c r="B44" s="86">
        <v>13</v>
      </c>
      <c r="C44" s="83">
        <f t="shared" si="4"/>
        <v>-3921.346361107707</v>
      </c>
      <c r="D44" s="243">
        <f t="shared" si="5"/>
        <v>2654.243421594395</v>
      </c>
      <c r="E44" s="83">
        <f t="shared" si="3"/>
        <v>-6575.589782702102</v>
      </c>
    </row>
    <row r="45" spans="2:5" x14ac:dyDescent="0.25">
      <c r="B45" s="86">
        <v>14</v>
      </c>
      <c r="C45" s="83">
        <f t="shared" si="4"/>
        <v>-6575.589782702102</v>
      </c>
      <c r="D45" s="243">
        <f t="shared" si="5"/>
        <v>2707.328290026283</v>
      </c>
      <c r="E45" s="83">
        <f t="shared" si="3"/>
        <v>-9282.918072728386</v>
      </c>
    </row>
    <row r="46" spans="2:5" x14ac:dyDescent="0.25">
      <c r="B46" s="85">
        <v>15</v>
      </c>
      <c r="C46" s="83">
        <f t="shared" si="4"/>
        <v>-9282.918072728386</v>
      </c>
      <c r="D46" s="243">
        <f t="shared" si="5"/>
        <v>2761.474855826809</v>
      </c>
      <c r="E46" s="83">
        <f t="shared" si="3"/>
        <v>-12044.392928555195</v>
      </c>
    </row>
    <row r="47" spans="2:5" x14ac:dyDescent="0.25">
      <c r="B47" s="86">
        <v>16</v>
      </c>
      <c r="C47" s="83">
        <f t="shared" si="4"/>
        <v>-12044.392928555195</v>
      </c>
      <c r="D47" s="243">
        <f t="shared" si="5"/>
        <v>2816.704352943345</v>
      </c>
      <c r="E47" s="83">
        <f t="shared" si="3"/>
        <v>-14861.09728149854</v>
      </c>
    </row>
    <row r="48" spans="2:5" x14ac:dyDescent="0.25">
      <c r="B48" s="86">
        <v>17</v>
      </c>
      <c r="C48" s="83">
        <f t="shared" si="4"/>
        <v>-14861.09728149854</v>
      </c>
      <c r="D48" s="243">
        <f t="shared" si="5"/>
        <v>2873.0384400022117</v>
      </c>
      <c r="E48" s="83">
        <f t="shared" si="3"/>
        <v>-17734.135721500752</v>
      </c>
    </row>
    <row r="49" spans="2:5" x14ac:dyDescent="0.25">
      <c r="B49" s="86">
        <v>18</v>
      </c>
      <c r="C49" s="83">
        <f t="shared" si="4"/>
        <v>-17734.135721500752</v>
      </c>
      <c r="D49" s="243">
        <f t="shared" si="5"/>
        <v>2930.499208802256</v>
      </c>
      <c r="E49" s="83">
        <f t="shared" si="3"/>
        <v>-20664.634930303007</v>
      </c>
    </row>
    <row r="50" spans="2:5" x14ac:dyDescent="0.25">
      <c r="B50" s="86">
        <v>19</v>
      </c>
      <c r="C50" s="83">
        <f t="shared" si="4"/>
        <v>-20664.634930303007</v>
      </c>
      <c r="D50" s="243">
        <f t="shared" si="5"/>
        <v>2989.109192978301</v>
      </c>
      <c r="E50" s="83">
        <f t="shared" si="3"/>
        <v>-23653.744123281307</v>
      </c>
    </row>
    <row r="51" spans="2:5" x14ac:dyDescent="0.25">
      <c r="B51" s="85">
        <v>20</v>
      </c>
      <c r="C51" s="83">
        <f t="shared" si="4"/>
        <v>-23653.744123281307</v>
      </c>
      <c r="D51" s="243">
        <f t="shared" si="5"/>
        <v>3048.891376837867</v>
      </c>
      <c r="E51" s="83">
        <f t="shared" si="3"/>
        <v>-26702.635500119173</v>
      </c>
    </row>
    <row r="52" spans="2:5" x14ac:dyDescent="0.25">
      <c r="B52" s="86">
        <v>21</v>
      </c>
      <c r="C52" s="83">
        <f t="shared" si="4"/>
        <v>-26702.635500119173</v>
      </c>
      <c r="D52" s="243">
        <f t="shared" si="5"/>
        <v>3109.8692043746246</v>
      </c>
      <c r="E52" s="83">
        <f t="shared" si="3"/>
        <v>-29812.504704493796</v>
      </c>
    </row>
    <row r="53" spans="2:5" x14ac:dyDescent="0.25">
      <c r="B53" s="86">
        <v>22</v>
      </c>
      <c r="C53" s="83">
        <f t="shared" si="4"/>
        <v>-29812.504704493796</v>
      </c>
      <c r="D53" s="243">
        <f t="shared" si="5"/>
        <v>3172.066588462117</v>
      </c>
      <c r="E53" s="83">
        <f t="shared" si="3"/>
        <v>-32984.571292955916</v>
      </c>
    </row>
    <row r="54" spans="2:5" x14ac:dyDescent="0.25">
      <c r="B54" s="86">
        <v>23</v>
      </c>
      <c r="C54" s="83">
        <f t="shared" si="4"/>
        <v>-32984.571292955916</v>
      </c>
      <c r="D54" s="243">
        <f t="shared" si="5"/>
        <v>3235.5079202313595</v>
      </c>
      <c r="E54" s="83">
        <f t="shared" si="3"/>
        <v>-36220.07921318727</v>
      </c>
    </row>
    <row r="55" spans="2:5" x14ac:dyDescent="0.25">
      <c r="B55" s="86">
        <v>24</v>
      </c>
      <c r="C55" s="83">
        <f t="shared" si="4"/>
        <v>-36220.07921318727</v>
      </c>
      <c r="D55" s="243">
        <f t="shared" si="5"/>
        <v>3300.218078635987</v>
      </c>
      <c r="E55" s="83">
        <f t="shared" si="3"/>
        <v>-39520.29729182326</v>
      </c>
    </row>
    <row r="56" spans="2:5" x14ac:dyDescent="0.25">
      <c r="B56" s="85">
        <v>25</v>
      </c>
      <c r="C56" s="83">
        <f t="shared" si="4"/>
        <v>-39520.29729182326</v>
      </c>
      <c r="D56" s="243">
        <f t="shared" si="5"/>
        <v>3366.2224402087068</v>
      </c>
      <c r="E56" s="83">
        <f t="shared" si="3"/>
        <v>-42886.51973203197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B2:V83"/>
  <sheetViews>
    <sheetView workbookViewId="0" zoomScale="85" zoomScaleNormal="85">
      <selection activeCell="B2" sqref="B2"/>
    </sheetView>
  </sheetViews>
  <sheetFormatPr defaultRowHeight="12.5" outlineLevelRow="0" outlineLevelCol="0" x14ac:dyDescent="0.25" customHeight="1"/>
  <cols>
    <col min="3" max="3" width="19.1796875" customWidth="1"/>
    <col min="4" max="4" width="13.54296875" customWidth="1"/>
    <col min="9" max="9" width="10.1796875" customWidth="1"/>
    <col min="10" max="10" width="12" customWidth="1"/>
    <col min="15" max="15" width="15.7265625" customWidth="1"/>
    <col min="16" max="16" width="18.453125" customWidth="1"/>
    <col min="17" max="17" width="26" customWidth="1"/>
    <col min="18" max="18" width="22.453125" customWidth="1"/>
    <col min="19" max="19" width="23.26953125" customWidth="1"/>
    <col min="20" max="20" width="21.1796875" customWidth="1"/>
    <col min="21" max="21" width="20" customWidth="1"/>
    <col min="22" max="22" width="11.1796875" customWidth="1"/>
  </cols>
  <sheetData>
    <row r="2" ht="13" customHeight="1" spans="2:15" x14ac:dyDescent="0.25">
      <c r="B2" t="str">
        <f>'Calc Worksheet'!B54</f>
        <v>High Efficiency Furnace Upgade</v>
      </c>
      <c r="H2" t="str">
        <f>'Calc Worksheet'!B64</f>
        <v>Heat Pump + HEF</v>
      </c>
      <c r="O2" s="90" t="str">
        <f>'Calc Worksheet'!B74</f>
        <v>Heat Pump + HEF + Solar PV</v>
      </c>
    </row>
    <row r="3" ht="13" customHeight="1" spans="8:15" x14ac:dyDescent="0.25">
      <c r="H3" s="137" t="s">
        <v>237</v>
      </c>
      <c r="O3" s="137" t="s">
        <v>238</v>
      </c>
    </row>
    <row r="4" ht="13" customHeight="1" spans="2:15" x14ac:dyDescent="0.25">
      <c r="B4" s="244" t="s">
        <v>229</v>
      </c>
      <c r="C4" s="4" t="s">
        <v>239</v>
      </c>
      <c r="D4" s="4" t="s">
        <v>192</v>
      </c>
      <c r="H4" s="244" t="s">
        <v>229</v>
      </c>
      <c r="I4" s="4" t="s">
        <v>240</v>
      </c>
      <c r="J4" s="4" t="s">
        <v>192</v>
      </c>
      <c r="O4" s="137" t="s">
        <v>241</v>
      </c>
    </row>
    <row r="5" ht="13" customHeight="1" spans="2:19" x14ac:dyDescent="0.25">
      <c r="B5">
        <v>1</v>
      </c>
      <c r="C5" s="245">
        <f>IF('User Inputs'!$O$9&gt;0,'User Inputs'!$O$9,0)</f>
        <v>7500</v>
      </c>
      <c r="D5" s="83">
        <f>IF(C5&gt;0,'Calc Worksheet'!J59,0)</f>
        <v>1051.4266746234325</v>
      </c>
      <c r="H5">
        <v>1</v>
      </c>
      <c r="I5" s="246">
        <f>IF(('User Inputs'!O10-'User Inputs'!O14)&gt;0,'User Inputs'!O10-'User Inputs'!O14,0)</f>
        <v>11600</v>
      </c>
      <c r="J5" s="83">
        <f>'Calc Worksheet'!J69</f>
        <v>-1484.750010007373</v>
      </c>
      <c r="N5" s="137"/>
      <c r="O5" s="137" t="s">
        <v>242</v>
      </c>
      <c r="R5" s="82"/>
      <c r="S5" s="83"/>
    </row>
    <row r="6" ht="13" customHeight="1" spans="2:15" x14ac:dyDescent="0.25">
      <c r="B6">
        <v>2</v>
      </c>
      <c r="C6" s="245">
        <f>IF(C5-D5&gt;0,C5-D5,0)</f>
        <v>6448.5733253765675</v>
      </c>
      <c r="D6" s="83">
        <f t="shared" ref="D6:D31" si="0">IF(C6&gt;0,D5*1.02,0)</f>
        <v>1072.455208115901</v>
      </c>
      <c r="H6">
        <v>2</v>
      </c>
      <c r="I6" s="245">
        <f>IF((I5-J5)&gt;0,I5-J5,0)</f>
        <v>13084.750010007374</v>
      </c>
      <c r="J6" s="83">
        <f>J5*1.02</f>
        <v>-1514.4450102075205</v>
      </c>
      <c r="O6" s="137"/>
    </row>
    <row r="7" ht="13" customHeight="1" spans="2:21" x14ac:dyDescent="0.25">
      <c r="B7">
        <v>3</v>
      </c>
      <c r="C7" s="245">
        <f t="shared" ref="C7:C34" si="1">IF(C6-D6&gt;0,C6-D6,0)</f>
        <v>5376.118117260667</v>
      </c>
      <c r="D7" s="83">
        <f t="shared" si="0"/>
        <v>1093.904312278219</v>
      </c>
      <c r="H7">
        <v>3</v>
      </c>
      <c r="I7" s="245">
        <f t="shared" ref="I7:I34" si="2">IF((I6-J6)&gt;0,I6-J6,0)</f>
        <v>14599.195020214895</v>
      </c>
      <c r="J7" s="83">
        <f t="shared" ref="J7:J34" si="3">J6*1.02</f>
        <v>-1544.7339104116709</v>
      </c>
      <c r="O7" s="247" t="s">
        <v>229</v>
      </c>
      <c r="P7" s="79" t="s">
        <v>243</v>
      </c>
      <c r="Q7" s="248" t="s">
        <v>244</v>
      </c>
      <c r="R7" s="248" t="s">
        <v>245</v>
      </c>
      <c r="S7" s="248" t="s">
        <v>246</v>
      </c>
      <c r="T7" s="248" t="s">
        <v>247</v>
      </c>
      <c r="U7" s="249" t="s">
        <v>248</v>
      </c>
    </row>
    <row r="8" spans="2:22" x14ac:dyDescent="0.25">
      <c r="B8" s="4">
        <v>4</v>
      </c>
      <c r="C8" s="245">
        <f t="shared" si="1"/>
        <v>4282.213804982448</v>
      </c>
      <c r="D8" s="83">
        <f t="shared" si="0"/>
        <v>1115.7823985237835</v>
      </c>
      <c r="E8" s="83"/>
      <c r="F8" s="83"/>
      <c r="G8" s="83"/>
      <c r="H8" s="4">
        <v>4</v>
      </c>
      <c r="I8" s="245">
        <f t="shared" si="2"/>
        <v>16143.928930626565</v>
      </c>
      <c r="J8" s="83">
        <f t="shared" si="3"/>
        <v>-1575.6285886199043</v>
      </c>
      <c r="O8" s="71">
        <v>1</v>
      </c>
      <c r="P8" s="250">
        <f>'User Inputs'!O10-'User Inputs'!O14</f>
        <v>11600</v>
      </c>
      <c r="Q8" s="251">
        <f>'User Inputs'!O11-'User Inputs'!O15</f>
        <v>9180</v>
      </c>
      <c r="R8" s="252">
        <f>Q8*'User Inputs'!$O$16</f>
        <v>270.81</v>
      </c>
      <c r="S8" s="252">
        <f>IF(R8=0,0,Q8/25)</f>
        <v>367.2</v>
      </c>
      <c r="T8" s="252">
        <f>IF(Q8&gt;0,'User Inputs'!$O$17,0)</f>
        <v>0</v>
      </c>
      <c r="U8" s="253">
        <f>'Calc Worksheet'!J80</f>
        <v>2051.8164943722404</v>
      </c>
      <c r="V8" s="83"/>
    </row>
    <row r="9" spans="2:21" x14ac:dyDescent="0.25">
      <c r="B9">
        <v>5</v>
      </c>
      <c r="C9" s="245">
        <f t="shared" si="1"/>
        <v>3166.4314064586642</v>
      </c>
      <c r="D9" s="83">
        <f t="shared" si="0"/>
        <v>1138.0980464942593</v>
      </c>
      <c r="E9" s="83"/>
      <c r="F9" s="83"/>
      <c r="G9" s="83"/>
      <c r="H9">
        <v>5</v>
      </c>
      <c r="I9" s="245">
        <f t="shared" si="2"/>
        <v>17719.55751924647</v>
      </c>
      <c r="J9" s="83">
        <f t="shared" si="3"/>
        <v>-1607.1411603923025</v>
      </c>
      <c r="O9" s="71">
        <v>2</v>
      </c>
      <c r="P9" s="254">
        <f>IF(P8-(U8/2)&gt;0,P8-(U8/2),0)</f>
        <v>10574.09175281388</v>
      </c>
      <c r="Q9" s="251">
        <f>IF((Q8-S8+R8-(U8/2)-T8)&gt;0,Q8-S8+R8-(U8/2)-T8,0)</f>
        <v>8057.701752813879</v>
      </c>
      <c r="R9" s="252">
        <f>Q9*'User Inputs'!$O$16</f>
        <v>237.7022017080094</v>
      </c>
      <c r="S9" s="252">
        <f t="shared" ref="S9:S37" si="4">IF(R9=0,0,Q9/25)</f>
        <v>322.30807011255513</v>
      </c>
      <c r="T9" s="252">
        <f>IF(Q9&gt;0,'User Inputs'!$O$17,0)</f>
        <v>0</v>
      </c>
      <c r="U9" s="253">
        <f>U8*1.02</f>
        <v>2092.8528242596853</v>
      </c>
    </row>
    <row r="10" spans="2:21" x14ac:dyDescent="0.25">
      <c r="B10">
        <v>6</v>
      </c>
      <c r="C10" s="245">
        <f t="shared" si="1"/>
        <v>2028.333359964405</v>
      </c>
      <c r="D10" s="83">
        <f t="shared" si="0"/>
        <v>1160.8600074241444</v>
      </c>
      <c r="E10" s="83"/>
      <c r="F10" s="83"/>
      <c r="G10" s="83"/>
      <c r="H10">
        <v>6</v>
      </c>
      <c r="I10" s="245">
        <f t="shared" si="2"/>
        <v>19326.698679638772</v>
      </c>
      <c r="J10" s="83">
        <f t="shared" si="3"/>
        <v>-1639.2839836001485</v>
      </c>
      <c r="O10" s="71">
        <v>3</v>
      </c>
      <c r="P10" s="254">
        <f t="shared" ref="P10:P37" si="5">IF(P9-(U9/2)&gt;0,P9-(U9/2),0)</f>
        <v>9527.665340684038</v>
      </c>
      <c r="Q10" s="251">
        <f t="shared" ref="Q10:Q37" si="6">IF((Q9-S9+R9-(U9/2)-T9)&gt;0,Q9-S9+R9-(U9/2)-T9,0)</f>
        <v>6926.66947227949</v>
      </c>
      <c r="R10" s="252">
        <f>Q10*'User Inputs'!$O$16</f>
        <v>204.33674943224494</v>
      </c>
      <c r="S10" s="252">
        <f t="shared" si="4"/>
        <v>277.0667788911796</v>
      </c>
      <c r="T10" s="252">
        <f>IF(Q10&gt;0,'User Inputs'!$O$17,0)</f>
        <v>0</v>
      </c>
      <c r="U10" s="253">
        <f t="shared" ref="U10:U37" si="7">U9*1.02</f>
        <v>2134.7098807448792</v>
      </c>
    </row>
    <row r="11" spans="2:21" x14ac:dyDescent="0.25">
      <c r="B11">
        <v>7</v>
      </c>
      <c r="C11" s="245">
        <f t="shared" si="1"/>
        <v>867.4733525402605</v>
      </c>
      <c r="D11" s="83">
        <f t="shared" si="0"/>
        <v>1184.0772075726275</v>
      </c>
      <c r="E11" s="83"/>
      <c r="F11" s="83"/>
      <c r="G11" s="83"/>
      <c r="H11">
        <v>7</v>
      </c>
      <c r="I11" s="245">
        <f t="shared" si="2"/>
        <v>20965.98266323892</v>
      </c>
      <c r="J11" s="83">
        <f t="shared" si="3"/>
        <v>-1672.0696632721515</v>
      </c>
      <c r="O11" s="70">
        <v>4</v>
      </c>
      <c r="P11" s="254">
        <f t="shared" si="5"/>
        <v>8460.310400311599</v>
      </c>
      <c r="Q11" s="251">
        <f t="shared" si="6"/>
        <v>5786.584502448115</v>
      </c>
      <c r="R11" s="252">
        <f>Q11*'User Inputs'!$O$16</f>
        <v>170.70424282221938</v>
      </c>
      <c r="S11" s="252">
        <f t="shared" si="4"/>
        <v>231.4633800979246</v>
      </c>
      <c r="T11" s="252">
        <f>IF(Q11&gt;0,'User Inputs'!$O$17,0)</f>
        <v>0</v>
      </c>
      <c r="U11" s="253">
        <f t="shared" si="7"/>
        <v>2177.404078359777</v>
      </c>
    </row>
    <row r="12" spans="2:21" x14ac:dyDescent="0.25">
      <c r="B12">
        <v>8</v>
      </c>
      <c r="C12" s="245">
        <f t="shared" si="1"/>
        <v>0</v>
      </c>
      <c r="D12" s="83">
        <f t="shared" si="0"/>
        <v>0</v>
      </c>
      <c r="E12" s="83"/>
      <c r="F12" s="83"/>
      <c r="G12" s="83"/>
      <c r="H12">
        <v>8</v>
      </c>
      <c r="I12" s="245">
        <f t="shared" si="2"/>
        <v>22638.05232651107</v>
      </c>
      <c r="J12" s="83">
        <f t="shared" si="3"/>
        <v>-1705.5110565375946</v>
      </c>
      <c r="O12" s="71">
        <v>5</v>
      </c>
      <c r="P12" s="254">
        <f t="shared" si="5"/>
        <v>7371.60836113171</v>
      </c>
      <c r="Q12" s="251">
        <f t="shared" si="6"/>
        <v>4637.123325992521</v>
      </c>
      <c r="R12" s="252">
        <f>Q12*'User Inputs'!$O$16</f>
        <v>136.79513811677936</v>
      </c>
      <c r="S12" s="252">
        <f t="shared" si="4"/>
        <v>185.48493303970085</v>
      </c>
      <c r="T12" s="252">
        <f>IF(Q12&gt;0,'User Inputs'!$O$17,0)</f>
        <v>0</v>
      </c>
      <c r="U12" s="253">
        <f t="shared" si="7"/>
        <v>2220.9521599269724</v>
      </c>
    </row>
    <row r="13" spans="2:21" x14ac:dyDescent="0.25">
      <c r="B13" s="4">
        <v>9</v>
      </c>
      <c r="C13" s="245">
        <f t="shared" si="1"/>
        <v>0</v>
      </c>
      <c r="D13" s="83">
        <f t="shared" si="0"/>
        <v>0</v>
      </c>
      <c r="E13" s="83"/>
      <c r="F13" s="83"/>
      <c r="G13" s="83"/>
      <c r="H13" s="4">
        <v>9</v>
      </c>
      <c r="I13" s="245">
        <f t="shared" si="2"/>
        <v>24343.563383048666</v>
      </c>
      <c r="J13" s="83">
        <f t="shared" si="3"/>
        <v>-1739.6212776683465</v>
      </c>
      <c r="O13" s="71">
        <v>6</v>
      </c>
      <c r="P13" s="254">
        <f t="shared" si="5"/>
        <v>6261.132281168224</v>
      </c>
      <c r="Q13" s="251">
        <f t="shared" si="6"/>
        <v>3477.9574511061137</v>
      </c>
      <c r="R13" s="252">
        <f>Q13*'User Inputs'!$O$16</f>
        <v>102.59974480763034</v>
      </c>
      <c r="S13" s="252">
        <f t="shared" si="4"/>
        <v>139.11829804424454</v>
      </c>
      <c r="T13" s="252">
        <f>IF(Q13&gt;0,'User Inputs'!$O$17,0)</f>
        <v>0</v>
      </c>
      <c r="U13" s="253">
        <f t="shared" si="7"/>
        <v>2265.371203125512</v>
      </c>
    </row>
    <row r="14" spans="2:21" x14ac:dyDescent="0.25">
      <c r="B14">
        <v>10</v>
      </c>
      <c r="C14" s="245">
        <f t="shared" si="1"/>
        <v>0</v>
      </c>
      <c r="D14" s="83">
        <f t="shared" si="0"/>
        <v>0</v>
      </c>
      <c r="E14" s="83"/>
      <c r="F14" s="83"/>
      <c r="G14" s="83"/>
      <c r="H14">
        <v>10</v>
      </c>
      <c r="I14" s="245">
        <f t="shared" si="2"/>
        <v>26083.184660717012</v>
      </c>
      <c r="J14" s="83">
        <f t="shared" si="3"/>
        <v>-1774.4137032217134</v>
      </c>
      <c r="O14" s="71">
        <v>7</v>
      </c>
      <c r="P14" s="254">
        <f t="shared" si="5"/>
        <v>5128.446679605468</v>
      </c>
      <c r="Q14" s="251">
        <f t="shared" si="6"/>
        <v>2308.753296306744</v>
      </c>
      <c r="R14" s="252">
        <f>Q14*'User Inputs'!$O$16</f>
        <v>68.10822224104894</v>
      </c>
      <c r="S14" s="252">
        <f t="shared" si="4"/>
        <v>92.35013185226975</v>
      </c>
      <c r="T14" s="252">
        <f>IF(Q14&gt;0,'User Inputs'!$O$17,0)</f>
        <v>0</v>
      </c>
      <c r="U14" s="253">
        <f t="shared" si="7"/>
        <v>2310.678627188022</v>
      </c>
    </row>
    <row r="15" spans="2:21" x14ac:dyDescent="0.25">
      <c r="B15">
        <v>11</v>
      </c>
      <c r="C15" s="245">
        <f t="shared" si="1"/>
        <v>0</v>
      </c>
      <c r="D15" s="83">
        <f t="shared" si="0"/>
        <v>0</v>
      </c>
      <c r="E15" s="83"/>
      <c r="F15" s="83"/>
      <c r="G15" s="83"/>
      <c r="H15">
        <v>11</v>
      </c>
      <c r="I15" s="245">
        <f t="shared" si="2"/>
        <v>27857.598363938727</v>
      </c>
      <c r="J15" s="83">
        <f t="shared" si="3"/>
        <v>-1809.9019772861477</v>
      </c>
      <c r="O15" s="71">
        <v>8</v>
      </c>
      <c r="P15" s="254">
        <f t="shared" si="5"/>
        <v>3973.1073660114566</v>
      </c>
      <c r="Q15" s="251">
        <f t="shared" si="6"/>
        <v>1129.172073101512</v>
      </c>
      <c r="R15" s="252">
        <f>Q15*'User Inputs'!$O$16</f>
        <v>33.310576156494605</v>
      </c>
      <c r="S15" s="252">
        <f t="shared" si="4"/>
        <v>45.16688292406048</v>
      </c>
      <c r="T15" s="252">
        <f>IF(Q15&gt;0,'User Inputs'!$O$17,0)</f>
        <v>0</v>
      </c>
      <c r="U15" s="253">
        <f t="shared" si="7"/>
        <v>2356.8921997317825</v>
      </c>
    </row>
    <row r="16" spans="2:21" x14ac:dyDescent="0.25">
      <c r="B16">
        <v>12</v>
      </c>
      <c r="C16" s="245">
        <f t="shared" si="1"/>
        <v>0</v>
      </c>
      <c r="D16" s="83">
        <f t="shared" si="0"/>
        <v>0</v>
      </c>
      <c r="E16" s="83"/>
      <c r="F16" s="83"/>
      <c r="G16" s="83"/>
      <c r="H16">
        <v>12</v>
      </c>
      <c r="I16" s="245">
        <f t="shared" si="2"/>
        <v>29667.500341224873</v>
      </c>
      <c r="J16" s="83">
        <f t="shared" si="3"/>
        <v>-1846.1000168318708</v>
      </c>
      <c r="O16" s="70">
        <v>9</v>
      </c>
      <c r="P16" s="254">
        <f t="shared" si="5"/>
        <v>2794.6612661455656</v>
      </c>
      <c r="Q16" s="251">
        <f t="shared" si="6"/>
        <v>0</v>
      </c>
      <c r="R16" s="252">
        <f>Q16*'User Inputs'!$O$16</f>
        <v>0</v>
      </c>
      <c r="S16" s="252">
        <f t="shared" si="4"/>
        <v>0</v>
      </c>
      <c r="T16" s="252">
        <f>IF(Q16&gt;0,'User Inputs'!$O$17,0)</f>
        <v>0</v>
      </c>
      <c r="U16" s="253">
        <f t="shared" si="7"/>
        <v>2404.030043726418</v>
      </c>
    </row>
    <row r="17" spans="2:21" x14ac:dyDescent="0.25">
      <c r="B17">
        <v>13</v>
      </c>
      <c r="C17" s="245">
        <f t="shared" si="1"/>
        <v>0</v>
      </c>
      <c r="D17" s="83">
        <f t="shared" si="0"/>
        <v>0</v>
      </c>
      <c r="E17" s="83"/>
      <c r="F17" s="83"/>
      <c r="G17" s="83"/>
      <c r="H17">
        <v>13</v>
      </c>
      <c r="I17" s="245">
        <f t="shared" si="2"/>
        <v>31513.600358056745</v>
      </c>
      <c r="J17" s="83">
        <f t="shared" si="3"/>
        <v>-1883.0220171685082</v>
      </c>
      <c r="O17" s="71">
        <v>10</v>
      </c>
      <c r="P17" s="254">
        <f t="shared" si="5"/>
        <v>1592.6462442823565</v>
      </c>
      <c r="Q17" s="251">
        <f t="shared" si="6"/>
        <v>0</v>
      </c>
      <c r="R17" s="252">
        <f>Q17*'User Inputs'!$O$16</f>
        <v>0</v>
      </c>
      <c r="S17" s="252">
        <f t="shared" si="4"/>
        <v>0</v>
      </c>
      <c r="T17" s="252">
        <f>IF(Q17&gt;0,'User Inputs'!$O$17,0)</f>
        <v>0</v>
      </c>
      <c r="U17" s="253">
        <f t="shared" si="7"/>
        <v>2452.1106446009467</v>
      </c>
    </row>
    <row r="18" spans="2:21" x14ac:dyDescent="0.25">
      <c r="B18">
        <v>14</v>
      </c>
      <c r="C18" s="245">
        <f t="shared" si="1"/>
        <v>0</v>
      </c>
      <c r="D18" s="83">
        <f t="shared" si="0"/>
        <v>0</v>
      </c>
      <c r="E18" s="83"/>
      <c r="F18" s="83"/>
      <c r="G18" s="83"/>
      <c r="H18" s="4">
        <v>14</v>
      </c>
      <c r="I18" s="245">
        <f t="shared" si="2"/>
        <v>33396.622375225255</v>
      </c>
      <c r="J18" s="83">
        <f t="shared" si="3"/>
        <v>-1920.6824575118785</v>
      </c>
      <c r="O18" s="71">
        <v>11</v>
      </c>
      <c r="P18" s="254">
        <f t="shared" si="5"/>
        <v>366.5909219818832</v>
      </c>
      <c r="Q18" s="251">
        <f t="shared" si="6"/>
        <v>0</v>
      </c>
      <c r="R18" s="252">
        <f>Q18*'User Inputs'!$O$16</f>
        <v>0</v>
      </c>
      <c r="S18" s="252">
        <f t="shared" si="4"/>
        <v>0</v>
      </c>
      <c r="T18" s="252">
        <f>IF(Q18&gt;0,'User Inputs'!$O$17,0)</f>
        <v>0</v>
      </c>
      <c r="U18" s="253">
        <f t="shared" si="7"/>
        <v>2501.1528574929657</v>
      </c>
    </row>
    <row r="19" spans="2:21" x14ac:dyDescent="0.25">
      <c r="B19">
        <v>15</v>
      </c>
      <c r="C19" s="245">
        <f t="shared" si="1"/>
        <v>0</v>
      </c>
      <c r="D19" s="83">
        <f t="shared" si="0"/>
        <v>0</v>
      </c>
      <c r="E19" s="83"/>
      <c r="F19" s="83"/>
      <c r="G19" s="83"/>
      <c r="H19">
        <v>15</v>
      </c>
      <c r="I19" s="245">
        <f t="shared" si="2"/>
        <v>35317.304832737136</v>
      </c>
      <c r="J19" s="83">
        <f t="shared" si="3"/>
        <v>-1959.0961066621162</v>
      </c>
      <c r="O19" s="71">
        <v>12</v>
      </c>
      <c r="P19" s="254">
        <f t="shared" si="5"/>
        <v>0</v>
      </c>
      <c r="Q19" s="251">
        <f t="shared" si="6"/>
        <v>0</v>
      </c>
      <c r="R19" s="252">
        <f>Q19*'User Inputs'!$O$16</f>
        <v>0</v>
      </c>
      <c r="S19" s="252">
        <f t="shared" si="4"/>
        <v>0</v>
      </c>
      <c r="T19" s="252">
        <f>IF(Q19&gt;0,'User Inputs'!$O$17,0)</f>
        <v>0</v>
      </c>
      <c r="U19" s="253">
        <f t="shared" si="7"/>
        <v>2551.175914642825</v>
      </c>
    </row>
    <row r="20" spans="2:21" x14ac:dyDescent="0.25">
      <c r="B20">
        <v>16</v>
      </c>
      <c r="C20" s="245">
        <f t="shared" si="1"/>
        <v>0</v>
      </c>
      <c r="D20" s="83">
        <f t="shared" si="0"/>
        <v>0</v>
      </c>
      <c r="E20" s="83"/>
      <c r="F20" s="83"/>
      <c r="G20" s="83"/>
      <c r="H20">
        <v>16</v>
      </c>
      <c r="I20" s="245">
        <f t="shared" si="2"/>
        <v>37276.40093939925</v>
      </c>
      <c r="J20" s="83">
        <f t="shared" si="3"/>
        <v>-1998.2780287953585</v>
      </c>
      <c r="O20" s="71">
        <v>13</v>
      </c>
      <c r="P20" s="254">
        <f t="shared" si="5"/>
        <v>0</v>
      </c>
      <c r="Q20" s="251">
        <f t="shared" si="6"/>
        <v>0</v>
      </c>
      <c r="R20" s="252">
        <f>Q20*'User Inputs'!$O$16</f>
        <v>0</v>
      </c>
      <c r="S20" s="252">
        <f t="shared" si="4"/>
        <v>0</v>
      </c>
      <c r="T20" s="252">
        <f>IF(Q20&gt;0,'User Inputs'!$O$17,0)</f>
        <v>0</v>
      </c>
      <c r="U20" s="253">
        <f t="shared" si="7"/>
        <v>2602.199432935681</v>
      </c>
    </row>
    <row r="21" spans="2:21" x14ac:dyDescent="0.25">
      <c r="B21">
        <v>17</v>
      </c>
      <c r="C21" s="245">
        <f t="shared" si="1"/>
        <v>0</v>
      </c>
      <c r="D21" s="83">
        <f t="shared" si="0"/>
        <v>0</v>
      </c>
      <c r="E21" s="83"/>
      <c r="F21" s="83"/>
      <c r="G21" s="83"/>
      <c r="H21">
        <v>17</v>
      </c>
      <c r="I21" s="245">
        <f t="shared" si="2"/>
        <v>39274.67896819461</v>
      </c>
      <c r="J21" s="83">
        <f t="shared" si="3"/>
        <v>-2038.2435893712657</v>
      </c>
      <c r="O21" s="70">
        <v>14</v>
      </c>
      <c r="P21" s="254">
        <f t="shared" si="5"/>
        <v>0</v>
      </c>
      <c r="Q21" s="251">
        <f t="shared" si="6"/>
        <v>0</v>
      </c>
      <c r="R21" s="252">
        <f>Q21*'User Inputs'!$O$16</f>
        <v>0</v>
      </c>
      <c r="S21" s="252">
        <f t="shared" si="4"/>
        <v>0</v>
      </c>
      <c r="T21" s="252">
        <f>IF(Q21&gt;0,'User Inputs'!$O$17,0)</f>
        <v>0</v>
      </c>
      <c r="U21" s="253">
        <f t="shared" si="7"/>
        <v>2654.243421594395</v>
      </c>
    </row>
    <row r="22" spans="2:22" x14ac:dyDescent="0.25">
      <c r="B22">
        <v>18</v>
      </c>
      <c r="C22" s="245">
        <f t="shared" si="1"/>
        <v>0</v>
      </c>
      <c r="D22" s="83">
        <f t="shared" si="0"/>
        <v>0</v>
      </c>
      <c r="E22" s="83"/>
      <c r="F22" s="83"/>
      <c r="G22" s="83"/>
      <c r="H22">
        <v>18</v>
      </c>
      <c r="I22" s="245">
        <f t="shared" si="2"/>
        <v>41312.92255756588</v>
      </c>
      <c r="J22" s="83">
        <f t="shared" si="3"/>
        <v>-2079.008461158691</v>
      </c>
      <c r="O22" s="71">
        <v>15</v>
      </c>
      <c r="P22" s="254">
        <f t="shared" si="5"/>
        <v>0</v>
      </c>
      <c r="Q22" s="251">
        <f t="shared" si="6"/>
        <v>0</v>
      </c>
      <c r="R22" s="252">
        <f>Q22*'User Inputs'!$O$16</f>
        <v>0</v>
      </c>
      <c r="S22" s="252">
        <f t="shared" si="4"/>
        <v>0</v>
      </c>
      <c r="T22" s="252">
        <f>IF(Q22&gt;0,'User Inputs'!$O$17,0)</f>
        <v>0</v>
      </c>
      <c r="U22" s="253">
        <f t="shared" si="7"/>
        <v>2707.328290026283</v>
      </c>
      <c r="V22" s="3" t="s">
        <v>249</v>
      </c>
    </row>
    <row r="23" spans="2:21" x14ac:dyDescent="0.25">
      <c r="B23">
        <v>19</v>
      </c>
      <c r="C23" s="245">
        <f t="shared" si="1"/>
        <v>0</v>
      </c>
      <c r="D23" s="83">
        <f t="shared" si="0"/>
        <v>0</v>
      </c>
      <c r="E23" s="83"/>
      <c r="F23" s="83"/>
      <c r="G23" s="83"/>
      <c r="H23" s="4">
        <v>19</v>
      </c>
      <c r="I23" s="245">
        <f t="shared" si="2"/>
        <v>43391.93101872457</v>
      </c>
      <c r="J23" s="83">
        <f t="shared" si="3"/>
        <v>-2120.5886303818647</v>
      </c>
      <c r="O23" s="71">
        <v>16</v>
      </c>
      <c r="P23" s="254">
        <f t="shared" si="5"/>
        <v>0</v>
      </c>
      <c r="Q23" s="251">
        <f t="shared" si="6"/>
        <v>0</v>
      </c>
      <c r="R23" s="252">
        <f>Q23*'User Inputs'!$O$16</f>
        <v>0</v>
      </c>
      <c r="S23" s="252">
        <f t="shared" si="4"/>
        <v>0</v>
      </c>
      <c r="T23" s="252">
        <f>IF(Q23&gt;0,'User Inputs'!$O$17,0)</f>
        <v>0</v>
      </c>
      <c r="U23" s="253">
        <f t="shared" si="7"/>
        <v>2761.474855826809</v>
      </c>
    </row>
    <row r="24" spans="2:21" x14ac:dyDescent="0.25">
      <c r="B24">
        <v>20</v>
      </c>
      <c r="C24" s="245">
        <f t="shared" si="1"/>
        <v>0</v>
      </c>
      <c r="D24" s="83">
        <f t="shared" si="0"/>
        <v>0</v>
      </c>
      <c r="E24" s="83"/>
      <c r="F24" s="83"/>
      <c r="G24" s="83"/>
      <c r="H24">
        <v>20</v>
      </c>
      <c r="I24" s="245">
        <f t="shared" si="2"/>
        <v>45512.519649106434</v>
      </c>
      <c r="J24" s="83">
        <f t="shared" si="3"/>
        <v>-2163.000402989502</v>
      </c>
      <c r="O24" s="71">
        <v>17</v>
      </c>
      <c r="P24" s="254">
        <f t="shared" si="5"/>
        <v>0</v>
      </c>
      <c r="Q24" s="251">
        <f t="shared" si="6"/>
        <v>0</v>
      </c>
      <c r="R24" s="252">
        <f>Q24*'User Inputs'!$O$16</f>
        <v>0</v>
      </c>
      <c r="S24" s="252">
        <f t="shared" si="4"/>
        <v>0</v>
      </c>
      <c r="T24" s="252">
        <f>IF(Q24&gt;0,'User Inputs'!$O$17,0)</f>
        <v>0</v>
      </c>
      <c r="U24" s="253">
        <f t="shared" si="7"/>
        <v>2816.704352943345</v>
      </c>
    </row>
    <row r="25" spans="2:21" x14ac:dyDescent="0.25">
      <c r="B25">
        <v>21</v>
      </c>
      <c r="C25" s="245">
        <f t="shared" si="1"/>
        <v>0</v>
      </c>
      <c r="D25" s="83">
        <f t="shared" si="0"/>
        <v>0</v>
      </c>
      <c r="E25" s="83"/>
      <c r="F25" s="83"/>
      <c r="G25" s="83"/>
      <c r="H25">
        <v>21</v>
      </c>
      <c r="I25" s="245">
        <f t="shared" si="2"/>
        <v>47675.52005209593</v>
      </c>
      <c r="J25" s="83">
        <f t="shared" si="3"/>
        <v>-2206.260411049292</v>
      </c>
      <c r="O25" s="71">
        <v>18</v>
      </c>
      <c r="P25" s="254">
        <f t="shared" si="5"/>
        <v>0</v>
      </c>
      <c r="Q25" s="251">
        <f t="shared" si="6"/>
        <v>0</v>
      </c>
      <c r="R25" s="252">
        <f>Q25*'User Inputs'!$O$16</f>
        <v>0</v>
      </c>
      <c r="S25" s="252">
        <f t="shared" si="4"/>
        <v>0</v>
      </c>
      <c r="T25" s="252">
        <f>IF(Q25&gt;0,'User Inputs'!$O$17,0)</f>
        <v>0</v>
      </c>
      <c r="U25" s="253">
        <f t="shared" si="7"/>
        <v>2873.0384400022117</v>
      </c>
    </row>
    <row r="26" spans="2:21" x14ac:dyDescent="0.25">
      <c r="B26">
        <v>22</v>
      </c>
      <c r="C26" s="245">
        <f t="shared" si="1"/>
        <v>0</v>
      </c>
      <c r="D26" s="83">
        <f t="shared" si="0"/>
        <v>0</v>
      </c>
      <c r="E26" s="83"/>
      <c r="F26" s="83"/>
      <c r="G26" s="83"/>
      <c r="H26">
        <v>22</v>
      </c>
      <c r="I26" s="245">
        <f t="shared" si="2"/>
        <v>49881.78046314522</v>
      </c>
      <c r="J26" s="83">
        <f t="shared" si="3"/>
        <v>-2250.385619270278</v>
      </c>
      <c r="O26" s="71">
        <v>19</v>
      </c>
      <c r="P26" s="254">
        <f t="shared" si="5"/>
        <v>0</v>
      </c>
      <c r="Q26" s="251">
        <f t="shared" si="6"/>
        <v>0</v>
      </c>
      <c r="R26" s="252">
        <f>Q26*'User Inputs'!$O$16</f>
        <v>0</v>
      </c>
      <c r="S26" s="252">
        <f t="shared" si="4"/>
        <v>0</v>
      </c>
      <c r="T26" s="252">
        <f>IF(Q26&gt;0,'User Inputs'!$O$17,0)</f>
        <v>0</v>
      </c>
      <c r="U26" s="253">
        <f t="shared" si="7"/>
        <v>2930.499208802256</v>
      </c>
    </row>
    <row r="27" spans="2:21" x14ac:dyDescent="0.25">
      <c r="B27">
        <v>23</v>
      </c>
      <c r="C27" s="245">
        <f t="shared" si="1"/>
        <v>0</v>
      </c>
      <c r="D27" s="83">
        <f t="shared" si="0"/>
        <v>0</v>
      </c>
      <c r="H27">
        <v>23</v>
      </c>
      <c r="I27" s="245">
        <f t="shared" si="2"/>
        <v>52132.166082415504</v>
      </c>
      <c r="J27" s="83">
        <f t="shared" si="3"/>
        <v>-2295.3933316556836</v>
      </c>
      <c r="O27" s="71">
        <v>20</v>
      </c>
      <c r="P27" s="254">
        <f t="shared" si="5"/>
        <v>0</v>
      </c>
      <c r="Q27" s="251">
        <f t="shared" si="6"/>
        <v>0</v>
      </c>
      <c r="R27" s="252">
        <f>Q27*'User Inputs'!$O$16</f>
        <v>0</v>
      </c>
      <c r="S27" s="252">
        <f t="shared" si="4"/>
        <v>0</v>
      </c>
      <c r="T27" s="252">
        <f>IF(Q27&gt;0,'User Inputs'!$O$17,0)</f>
        <v>0</v>
      </c>
      <c r="U27" s="253">
        <f t="shared" si="7"/>
        <v>2989.109192978301</v>
      </c>
    </row>
    <row r="28" spans="2:21" x14ac:dyDescent="0.25">
      <c r="B28">
        <v>24</v>
      </c>
      <c r="C28" s="245">
        <f t="shared" si="1"/>
        <v>0</v>
      </c>
      <c r="D28" s="83">
        <f t="shared" si="0"/>
        <v>0</v>
      </c>
      <c r="H28" s="4">
        <v>24</v>
      </c>
      <c r="I28" s="245">
        <f t="shared" si="2"/>
        <v>54427.55941407119</v>
      </c>
      <c r="J28" s="83">
        <f t="shared" si="3"/>
        <v>-2341.3011982887974</v>
      </c>
      <c r="O28" s="71">
        <v>21</v>
      </c>
      <c r="P28" s="254">
        <f t="shared" si="5"/>
        <v>0</v>
      </c>
      <c r="Q28" s="251">
        <f t="shared" si="6"/>
        <v>0</v>
      </c>
      <c r="R28" s="252">
        <f>Q28*'User Inputs'!$O$16</f>
        <v>0</v>
      </c>
      <c r="S28" s="252">
        <f t="shared" si="4"/>
        <v>0</v>
      </c>
      <c r="T28" s="252">
        <f>IF(Q28&gt;0,'User Inputs'!$O$17,0)</f>
        <v>0</v>
      </c>
      <c r="U28" s="253">
        <f t="shared" si="7"/>
        <v>3048.891376837867</v>
      </c>
    </row>
    <row r="29" spans="2:21" x14ac:dyDescent="0.25">
      <c r="B29">
        <v>25</v>
      </c>
      <c r="C29" s="245">
        <f t="shared" si="1"/>
        <v>0</v>
      </c>
      <c r="D29" s="83">
        <f t="shared" si="0"/>
        <v>0</v>
      </c>
      <c r="H29">
        <v>25</v>
      </c>
      <c r="I29" s="245">
        <f t="shared" si="2"/>
        <v>56768.86061235999</v>
      </c>
      <c r="J29" s="83">
        <f t="shared" si="3"/>
        <v>-2388.1272222545736</v>
      </c>
      <c r="O29" s="71">
        <v>22</v>
      </c>
      <c r="P29" s="254">
        <f t="shared" si="5"/>
        <v>0</v>
      </c>
      <c r="Q29" s="251">
        <f t="shared" si="6"/>
        <v>0</v>
      </c>
      <c r="R29" s="252">
        <f>Q29*'User Inputs'!$O$16</f>
        <v>0</v>
      </c>
      <c r="S29" s="252">
        <f t="shared" si="4"/>
        <v>0</v>
      </c>
      <c r="T29" s="252">
        <f>IF(Q29&gt;0,'User Inputs'!$O$17,0)</f>
        <v>0</v>
      </c>
      <c r="U29" s="253">
        <f t="shared" si="7"/>
        <v>3109.8692043746246</v>
      </c>
    </row>
    <row r="30" spans="2:21" x14ac:dyDescent="0.25">
      <c r="B30">
        <v>26</v>
      </c>
      <c r="C30" s="245">
        <f t="shared" si="1"/>
        <v>0</v>
      </c>
      <c r="D30" s="83">
        <f t="shared" si="0"/>
        <v>0</v>
      </c>
      <c r="H30">
        <v>26</v>
      </c>
      <c r="I30" s="245">
        <f t="shared" si="2"/>
        <v>59156.98783461456</v>
      </c>
      <c r="J30" s="83">
        <f t="shared" si="3"/>
        <v>-2435.889766699665</v>
      </c>
      <c r="O30" s="71">
        <v>23</v>
      </c>
      <c r="P30" s="254">
        <f t="shared" si="5"/>
        <v>0</v>
      </c>
      <c r="Q30" s="251">
        <f t="shared" si="6"/>
        <v>0</v>
      </c>
      <c r="R30" s="252">
        <f>Q30*'User Inputs'!$O$16</f>
        <v>0</v>
      </c>
      <c r="S30" s="252">
        <f t="shared" si="4"/>
        <v>0</v>
      </c>
      <c r="T30" s="252">
        <f>IF(Q30&gt;0,'User Inputs'!$O$17,0)</f>
        <v>0</v>
      </c>
      <c r="U30" s="253">
        <f t="shared" si="7"/>
        <v>3172.066588462117</v>
      </c>
    </row>
    <row r="31" spans="2:21" x14ac:dyDescent="0.25">
      <c r="B31">
        <v>27</v>
      </c>
      <c r="C31" s="245">
        <f t="shared" si="1"/>
        <v>0</v>
      </c>
      <c r="D31" s="83">
        <f t="shared" si="0"/>
        <v>0</v>
      </c>
      <c r="H31">
        <v>27</v>
      </c>
      <c r="I31" s="245">
        <f t="shared" si="2"/>
        <v>61592.87760131423</v>
      </c>
      <c r="J31" s="83">
        <f t="shared" si="3"/>
        <v>-2484.6075620336583</v>
      </c>
      <c r="O31" s="71">
        <v>24</v>
      </c>
      <c r="P31" s="254">
        <f t="shared" si="5"/>
        <v>0</v>
      </c>
      <c r="Q31" s="251">
        <f t="shared" si="6"/>
        <v>0</v>
      </c>
      <c r="R31" s="252">
        <f>Q31*'User Inputs'!$O$16</f>
        <v>0</v>
      </c>
      <c r="S31" s="252">
        <f t="shared" si="4"/>
        <v>0</v>
      </c>
      <c r="T31" s="252">
        <f>IF(Q31&gt;0,'User Inputs'!$O$17,0)</f>
        <v>0</v>
      </c>
      <c r="U31" s="253">
        <f t="shared" si="7"/>
        <v>3235.5079202313595</v>
      </c>
    </row>
    <row r="32" spans="2:22" x14ac:dyDescent="0.25">
      <c r="B32">
        <v>28</v>
      </c>
      <c r="C32" s="245">
        <f t="shared" si="1"/>
        <v>0</v>
      </c>
      <c r="D32" s="83">
        <f>IF(C32&gt;0,D31*1.02,0)</f>
        <v>0</v>
      </c>
      <c r="H32">
        <v>28</v>
      </c>
      <c r="I32" s="245">
        <f t="shared" si="2"/>
        <v>64077.48516334788</v>
      </c>
      <c r="J32" s="83">
        <f t="shared" si="3"/>
        <v>-2534.2997132743317</v>
      </c>
      <c r="O32" s="71">
        <v>25</v>
      </c>
      <c r="P32" s="254">
        <f t="shared" si="5"/>
        <v>0</v>
      </c>
      <c r="Q32" s="251">
        <f t="shared" si="6"/>
        <v>0</v>
      </c>
      <c r="R32" s="252">
        <f>Q32*'User Inputs'!$O$16</f>
        <v>0</v>
      </c>
      <c r="S32" s="252">
        <f t="shared" si="4"/>
        <v>0</v>
      </c>
      <c r="T32" s="252">
        <f>IF(Q32&gt;0,'User Inputs'!$O$17,0)</f>
        <v>0</v>
      </c>
      <c r="U32" s="253">
        <f t="shared" si="7"/>
        <v>3300.218078635987</v>
      </c>
      <c r="V32" s="3" t="s">
        <v>250</v>
      </c>
    </row>
    <row r="33" spans="2:21" x14ac:dyDescent="0.25">
      <c r="B33">
        <v>29</v>
      </c>
      <c r="C33" s="245">
        <f t="shared" si="1"/>
        <v>0</v>
      </c>
      <c r="D33" s="83">
        <f t="shared" ref="D33:D34" si="8">IF(C33&gt;0,D32*1.02,0)</f>
        <v>0</v>
      </c>
      <c r="H33" s="4">
        <v>29</v>
      </c>
      <c r="I33" s="245">
        <f t="shared" si="2"/>
        <v>66611.78487662222</v>
      </c>
      <c r="J33" s="83">
        <f t="shared" si="3"/>
        <v>-2584.9857075398186</v>
      </c>
      <c r="O33" s="71">
        <v>26</v>
      </c>
      <c r="P33" s="254">
        <f t="shared" si="5"/>
        <v>0</v>
      </c>
      <c r="Q33" s="251">
        <f t="shared" si="6"/>
        <v>0</v>
      </c>
      <c r="R33" s="252">
        <f>Q33*'User Inputs'!$O$16</f>
        <v>0</v>
      </c>
      <c r="S33" s="252">
        <f t="shared" si="4"/>
        <v>0</v>
      </c>
      <c r="T33" s="252">
        <f>IF(Q33&gt;0,'User Inputs'!$O$17,0)</f>
        <v>0</v>
      </c>
      <c r="U33" s="253">
        <f t="shared" si="7"/>
        <v>3366.2224402087068</v>
      </c>
    </row>
    <row r="34" spans="2:21" x14ac:dyDescent="0.25">
      <c r="B34">
        <v>30</v>
      </c>
      <c r="C34" s="245">
        <f t="shared" si="1"/>
        <v>0</v>
      </c>
      <c r="D34" s="83">
        <f t="shared" si="8"/>
        <v>0</v>
      </c>
      <c r="H34">
        <v>30</v>
      </c>
      <c r="I34" s="245">
        <f t="shared" si="2"/>
        <v>69196.77058416203</v>
      </c>
      <c r="J34" s="83">
        <f t="shared" si="3"/>
        <v>-2636.685421690615</v>
      </c>
      <c r="O34" s="71">
        <v>27</v>
      </c>
      <c r="P34" s="254">
        <f t="shared" si="5"/>
        <v>0</v>
      </c>
      <c r="Q34" s="251">
        <f t="shared" si="6"/>
        <v>0</v>
      </c>
      <c r="R34" s="252">
        <f>Q34*'User Inputs'!$O$16</f>
        <v>0</v>
      </c>
      <c r="S34" s="252">
        <f t="shared" si="4"/>
        <v>0</v>
      </c>
      <c r="T34" s="252">
        <f>IF(Q34&gt;0,'User Inputs'!$O$17,0)</f>
        <v>0</v>
      </c>
      <c r="U34" s="253">
        <f t="shared" si="7"/>
        <v>3433.546889012881</v>
      </c>
    </row>
    <row r="35" spans="8:21" x14ac:dyDescent="0.25">
      <c r="H35" s="255" t="s">
        <v>251</v>
      </c>
      <c r="O35" s="71">
        <v>28</v>
      </c>
      <c r="P35" s="254">
        <f t="shared" si="5"/>
        <v>0</v>
      </c>
      <c r="Q35" s="251">
        <f t="shared" si="6"/>
        <v>0</v>
      </c>
      <c r="R35" s="252">
        <f>Q35*'User Inputs'!$O$16</f>
        <v>0</v>
      </c>
      <c r="S35" s="252">
        <f t="shared" si="4"/>
        <v>0</v>
      </c>
      <c r="T35" s="252">
        <f>IF(Q35&gt;0,'User Inputs'!$O$17,0)</f>
        <v>0</v>
      </c>
      <c r="U35" s="253">
        <f t="shared" si="7"/>
        <v>3502.2178267931386</v>
      </c>
    </row>
    <row r="36" spans="8:21" x14ac:dyDescent="0.25">
      <c r="H36" s="4" t="s">
        <v>252</v>
      </c>
      <c r="O36" s="71">
        <v>29</v>
      </c>
      <c r="P36" s="254">
        <f t="shared" si="5"/>
        <v>0</v>
      </c>
      <c r="Q36" s="251">
        <f t="shared" si="6"/>
        <v>0</v>
      </c>
      <c r="R36" s="252">
        <f>Q36*'User Inputs'!$O$16</f>
        <v>0</v>
      </c>
      <c r="S36" s="252">
        <f t="shared" si="4"/>
        <v>0</v>
      </c>
      <c r="T36" s="252">
        <f>IF(Q36&gt;0,'User Inputs'!$O$17,0)</f>
        <v>0</v>
      </c>
      <c r="U36" s="253">
        <f t="shared" si="7"/>
        <v>3572.2621833290013</v>
      </c>
    </row>
    <row r="37" spans="15:21" x14ac:dyDescent="0.25">
      <c r="O37" s="71">
        <v>30</v>
      </c>
      <c r="P37" s="254">
        <f t="shared" si="5"/>
        <v>0</v>
      </c>
      <c r="Q37" s="251">
        <f t="shared" si="6"/>
        <v>0</v>
      </c>
      <c r="R37" s="252">
        <f>Q37*'User Inputs'!$O$16</f>
        <v>0</v>
      </c>
      <c r="S37" s="252">
        <f t="shared" si="4"/>
        <v>0</v>
      </c>
      <c r="T37" s="252">
        <f>IF(Q37&gt;0,'User Inputs'!$O$17,0)</f>
        <v>0</v>
      </c>
      <c r="U37" s="253">
        <f t="shared" si="7"/>
        <v>3643.7074269955815</v>
      </c>
    </row>
    <row r="39" spans="18:22" x14ac:dyDescent="0.25">
      <c r="R39" s="83"/>
      <c r="S39" s="83"/>
      <c r="T39" s="83"/>
      <c r="U39" s="83"/>
      <c r="V39" s="245"/>
    </row>
    <row r="40" spans="22:22" x14ac:dyDescent="0.25">
      <c r="V40" s="245"/>
    </row>
    <row r="45" spans="15:15" x14ac:dyDescent="0.25">
      <c r="O45" s="255" t="s">
        <v>253</v>
      </c>
    </row>
    <row r="46" spans="15:15" x14ac:dyDescent="0.25">
      <c r="O46" s="4" t="s">
        <v>254</v>
      </c>
    </row>
    <row r="47" ht="13" customHeight="1" spans="17:18" x14ac:dyDescent="0.25">
      <c r="Q47" s="90"/>
      <c r="R47" s="90"/>
    </row>
    <row r="48" spans="2:19" x14ac:dyDescent="0.25">
      <c r="B48" s="255" t="s">
        <v>255</v>
      </c>
      <c r="N48" s="4" t="s">
        <v>229</v>
      </c>
      <c r="O48" s="4" t="s">
        <v>256</v>
      </c>
      <c r="P48" s="4" t="s">
        <v>192</v>
      </c>
      <c r="Q48" s="4" t="s">
        <v>257</v>
      </c>
      <c r="R48" s="4" t="s">
        <v>258</v>
      </c>
      <c r="S48" s="4" t="s">
        <v>259</v>
      </c>
    </row>
    <row r="49" spans="14:19" x14ac:dyDescent="0.25">
      <c r="N49">
        <v>1</v>
      </c>
      <c r="O49" s="83">
        <f>-R8</f>
        <v>-270.81</v>
      </c>
      <c r="P49" s="83">
        <f>U8/2</f>
        <v>1025.9082471861202</v>
      </c>
      <c r="Q49" s="83">
        <f>-S8</f>
        <v>-367.2</v>
      </c>
      <c r="R49" s="83">
        <f>-T8</f>
        <v>0</v>
      </c>
      <c r="S49" s="83">
        <f>P49+O49+Q49+R49</f>
        <v>387.8982471861203</v>
      </c>
    </row>
    <row r="50" spans="14:19" x14ac:dyDescent="0.25">
      <c r="N50">
        <v>2</v>
      </c>
      <c r="O50" s="83">
        <f t="shared" ref="O50:O78" si="9">-R9</f>
        <v>-237.7022017080094</v>
      </c>
      <c r="P50" s="83">
        <f t="shared" ref="P50:P65" si="10">U9/2</f>
        <v>1046.4264121298427</v>
      </c>
      <c r="Q50" s="83">
        <f t="shared" ref="Q50:Q65" si="11">-S9</f>
        <v>-322.30807011255513</v>
      </c>
      <c r="R50" s="83">
        <f t="shared" ref="R50:R65" si="12">-T9</f>
        <v>0</v>
      </c>
      <c r="S50" s="83">
        <f t="shared" ref="S50:S65" si="13">P50+O50+Q50+R50</f>
        <v>486.41614030927815</v>
      </c>
    </row>
    <row r="51" spans="14:19" x14ac:dyDescent="0.25">
      <c r="N51">
        <v>3</v>
      </c>
      <c r="O51" s="83">
        <f t="shared" si="9"/>
        <v>-204.33674943224494</v>
      </c>
      <c r="P51" s="83">
        <f t="shared" si="10"/>
        <v>1067.3549403724396</v>
      </c>
      <c r="Q51" s="83">
        <f t="shared" si="11"/>
        <v>-277.0667788911796</v>
      </c>
      <c r="R51" s="83">
        <f t="shared" si="12"/>
        <v>0</v>
      </c>
      <c r="S51" s="83">
        <f t="shared" si="13"/>
        <v>585.9514120490151</v>
      </c>
    </row>
    <row r="52" spans="14:19" x14ac:dyDescent="0.25">
      <c r="N52">
        <v>4</v>
      </c>
      <c r="O52" s="83">
        <f t="shared" si="9"/>
        <v>-170.70424282221938</v>
      </c>
      <c r="P52" s="83">
        <f t="shared" si="10"/>
        <v>1088.7020391798885</v>
      </c>
      <c r="Q52" s="83">
        <f t="shared" si="11"/>
        <v>-231.4633800979246</v>
      </c>
      <c r="R52" s="83">
        <f t="shared" si="12"/>
        <v>0</v>
      </c>
      <c r="S52" s="83">
        <f t="shared" si="13"/>
        <v>686.5344162597445</v>
      </c>
    </row>
    <row r="53" spans="14:19" x14ac:dyDescent="0.25">
      <c r="N53">
        <v>5</v>
      </c>
      <c r="O53" s="83">
        <f t="shared" si="9"/>
        <v>-136.79513811677936</v>
      </c>
      <c r="P53" s="83">
        <f t="shared" si="10"/>
        <v>1110.4760799634862</v>
      </c>
      <c r="Q53" s="83">
        <f t="shared" si="11"/>
        <v>-185.48493303970085</v>
      </c>
      <c r="R53" s="83">
        <f t="shared" si="12"/>
        <v>0</v>
      </c>
      <c r="S53" s="83">
        <f t="shared" si="13"/>
        <v>788.196008807006</v>
      </c>
    </row>
    <row r="54" spans="14:19" x14ac:dyDescent="0.25">
      <c r="N54">
        <v>6</v>
      </c>
      <c r="O54" s="83">
        <f t="shared" si="9"/>
        <v>-102.59974480763034</v>
      </c>
      <c r="P54" s="83">
        <f t="shared" si="10"/>
        <v>1132.685601562756</v>
      </c>
      <c r="Q54" s="83">
        <f t="shared" si="11"/>
        <v>-139.11829804424454</v>
      </c>
      <c r="R54" s="83">
        <f t="shared" si="12"/>
        <v>0</v>
      </c>
      <c r="S54" s="83">
        <f t="shared" si="13"/>
        <v>890.9675587108811</v>
      </c>
    </row>
    <row r="55" spans="14:19" x14ac:dyDescent="0.25">
      <c r="N55">
        <v>7</v>
      </c>
      <c r="O55" s="83">
        <f t="shared" si="9"/>
        <v>-68.10822224104894</v>
      </c>
      <c r="P55" s="83">
        <f t="shared" si="10"/>
        <v>1155.339313594011</v>
      </c>
      <c r="Q55" s="83">
        <f t="shared" si="11"/>
        <v>-92.35013185226975</v>
      </c>
      <c r="R55" s="83">
        <f t="shared" si="12"/>
        <v>0</v>
      </c>
      <c r="S55" s="83">
        <f t="shared" si="13"/>
        <v>994.8809595006923</v>
      </c>
    </row>
    <row r="56" spans="14:19" x14ac:dyDescent="0.25">
      <c r="N56">
        <v>8</v>
      </c>
      <c r="O56" s="83">
        <f t="shared" si="9"/>
        <v>-33.310576156494605</v>
      </c>
      <c r="P56" s="83">
        <f t="shared" si="10"/>
        <v>1178.4460998658913</v>
      </c>
      <c r="Q56" s="83">
        <f t="shared" si="11"/>
        <v>-45.16688292406048</v>
      </c>
      <c r="R56" s="83">
        <f t="shared" si="12"/>
        <v>0</v>
      </c>
      <c r="S56" s="83">
        <f t="shared" si="13"/>
        <v>1099.9686407853362</v>
      </c>
    </row>
    <row r="57" spans="14:19" x14ac:dyDescent="0.25">
      <c r="N57">
        <v>9</v>
      </c>
      <c r="O57" s="83">
        <f t="shared" si="9"/>
        <v>0</v>
      </c>
      <c r="P57" s="83">
        <f t="shared" si="10"/>
        <v>1202.015021863209</v>
      </c>
      <c r="Q57" s="83">
        <f t="shared" si="11"/>
        <v>0</v>
      </c>
      <c r="R57" s="83">
        <f t="shared" si="12"/>
        <v>0</v>
      </c>
      <c r="S57" s="83">
        <f t="shared" si="13"/>
        <v>1202.015021863209</v>
      </c>
    </row>
    <row r="58" spans="14:19" x14ac:dyDescent="0.25">
      <c r="N58">
        <v>10</v>
      </c>
      <c r="O58" s="83">
        <f t="shared" si="9"/>
        <v>0</v>
      </c>
      <c r="P58" s="83">
        <f t="shared" si="10"/>
        <v>1226.0553223004733</v>
      </c>
      <c r="Q58" s="83">
        <f t="shared" si="11"/>
        <v>0</v>
      </c>
      <c r="R58" s="83">
        <f t="shared" si="12"/>
        <v>0</v>
      </c>
      <c r="S58" s="83">
        <f t="shared" si="13"/>
        <v>1226.0553223004733</v>
      </c>
    </row>
    <row r="59" spans="14:19" x14ac:dyDescent="0.25">
      <c r="N59">
        <v>11</v>
      </c>
      <c r="O59" s="83">
        <f t="shared" si="9"/>
        <v>0</v>
      </c>
      <c r="P59" s="83">
        <f t="shared" si="10"/>
        <v>1250.5764287464829</v>
      </c>
      <c r="Q59" s="83">
        <f t="shared" si="11"/>
        <v>0</v>
      </c>
      <c r="R59" s="83">
        <f t="shared" si="12"/>
        <v>0</v>
      </c>
      <c r="S59" s="83">
        <f t="shared" si="13"/>
        <v>1250.5764287464829</v>
      </c>
    </row>
    <row r="60" spans="14:19" x14ac:dyDescent="0.25">
      <c r="N60">
        <v>12</v>
      </c>
      <c r="O60" s="83">
        <f t="shared" si="9"/>
        <v>0</v>
      </c>
      <c r="P60" s="83">
        <f t="shared" si="10"/>
        <v>1275.5879573214124</v>
      </c>
      <c r="Q60" s="83">
        <f t="shared" si="11"/>
        <v>0</v>
      </c>
      <c r="R60" s="83">
        <f t="shared" si="12"/>
        <v>0</v>
      </c>
      <c r="S60" s="83">
        <f t="shared" si="13"/>
        <v>1275.5879573214124</v>
      </c>
    </row>
    <row r="61" spans="14:19" x14ac:dyDescent="0.25">
      <c r="N61">
        <v>13</v>
      </c>
      <c r="O61" s="83">
        <f t="shared" si="9"/>
        <v>0</v>
      </c>
      <c r="P61" s="83">
        <f t="shared" si="10"/>
        <v>1301.0997164678406</v>
      </c>
      <c r="Q61" s="83">
        <f t="shared" si="11"/>
        <v>0</v>
      </c>
      <c r="R61" s="83">
        <f t="shared" si="12"/>
        <v>0</v>
      </c>
      <c r="S61" s="83">
        <f t="shared" si="13"/>
        <v>1301.0997164678406</v>
      </c>
    </row>
    <row r="62" spans="14:19" x14ac:dyDescent="0.25">
      <c r="N62">
        <v>14</v>
      </c>
      <c r="O62" s="83">
        <f t="shared" si="9"/>
        <v>0</v>
      </c>
      <c r="P62" s="83">
        <f t="shared" si="10"/>
        <v>1327.1217107971975</v>
      </c>
      <c r="Q62" s="83">
        <f t="shared" si="11"/>
        <v>0</v>
      </c>
      <c r="R62" s="83">
        <f t="shared" si="12"/>
        <v>0</v>
      </c>
      <c r="S62" s="83">
        <f t="shared" si="13"/>
        <v>1327.1217107971975</v>
      </c>
    </row>
    <row r="63" spans="14:19" x14ac:dyDescent="0.25">
      <c r="N63">
        <v>15</v>
      </c>
      <c r="O63" s="83">
        <f t="shared" si="9"/>
        <v>0</v>
      </c>
      <c r="P63" s="83">
        <f t="shared" si="10"/>
        <v>1353.6641450131415</v>
      </c>
      <c r="Q63" s="83">
        <f t="shared" si="11"/>
        <v>0</v>
      </c>
      <c r="R63" s="83">
        <f t="shared" si="12"/>
        <v>0</v>
      </c>
      <c r="S63" s="83">
        <f t="shared" si="13"/>
        <v>1353.6641450131415</v>
      </c>
    </row>
    <row r="64" spans="14:19" x14ac:dyDescent="0.25">
      <c r="N64">
        <v>16</v>
      </c>
      <c r="O64" s="83">
        <f t="shared" si="9"/>
        <v>0</v>
      </c>
      <c r="P64" s="83">
        <f t="shared" si="10"/>
        <v>1380.7374279134044</v>
      </c>
      <c r="Q64" s="83">
        <f t="shared" si="11"/>
        <v>0</v>
      </c>
      <c r="R64" s="83">
        <f t="shared" si="12"/>
        <v>0</v>
      </c>
      <c r="S64" s="83">
        <f t="shared" si="13"/>
        <v>1380.7374279134044</v>
      </c>
    </row>
    <row r="65" spans="14:19" x14ac:dyDescent="0.25">
      <c r="N65">
        <v>17</v>
      </c>
      <c r="O65" s="83">
        <f t="shared" si="9"/>
        <v>0</v>
      </c>
      <c r="P65" s="83">
        <f t="shared" si="10"/>
        <v>1408.3521764716725</v>
      </c>
      <c r="Q65" s="83">
        <f t="shared" si="11"/>
        <v>0</v>
      </c>
      <c r="R65" s="83">
        <f t="shared" si="12"/>
        <v>0</v>
      </c>
      <c r="S65" s="83">
        <f t="shared" si="13"/>
        <v>1408.3521764716725</v>
      </c>
    </row>
    <row r="66" spans="14:19" x14ac:dyDescent="0.25">
      <c r="N66">
        <v>18</v>
      </c>
      <c r="O66" s="83">
        <f t="shared" ref="O66" si="14">-R25</f>
        <v>0</v>
      </c>
      <c r="P66" s="83">
        <f t="shared" ref="P66" si="15">U25/2</f>
        <v>1436.5192200011059</v>
      </c>
      <c r="Q66" s="83">
        <f t="shared" ref="Q66" si="16">-S25</f>
        <v>0</v>
      </c>
      <c r="R66" s="83">
        <f t="shared" ref="R66" si="17">-T25</f>
        <v>0</v>
      </c>
      <c r="S66" s="83">
        <f t="shared" ref="S66" si="18">P66+O66+Q66+R66</f>
        <v>1436.5192200011059</v>
      </c>
    </row>
    <row r="67" spans="14:19" x14ac:dyDescent="0.25">
      <c r="N67">
        <v>19</v>
      </c>
      <c r="O67" s="83">
        <f t="shared" ref="O67" si="19">-R26</f>
        <v>0</v>
      </c>
      <c r="P67" s="83"/>
      <c r="Q67" s="83">
        <f t="shared" ref="Q67" si="20">-S26</f>
        <v>0</v>
      </c>
      <c r="R67" s="83">
        <f t="shared" ref="R67" si="21">-T26</f>
        <v>0</v>
      </c>
      <c r="S67" s="83">
        <f t="shared" ref="S67" si="22">P67+O67+Q67+R67</f>
        <v>0</v>
      </c>
    </row>
    <row r="68" spans="14:19" x14ac:dyDescent="0.25">
      <c r="N68">
        <v>20</v>
      </c>
      <c r="O68" s="83">
        <f t="shared" ref="O68" si="23">-R27</f>
        <v>0</v>
      </c>
      <c r="P68" s="83"/>
      <c r="Q68" s="83">
        <f t="shared" ref="Q68" si="24">-S27</f>
        <v>0</v>
      </c>
      <c r="R68" s="83">
        <f t="shared" ref="R68" si="25">-T27</f>
        <v>0</v>
      </c>
      <c r="S68" s="83">
        <f t="shared" ref="S68" si="26">P68+O68+Q68+R68</f>
        <v>0</v>
      </c>
    </row>
    <row r="69" spans="14:18" x14ac:dyDescent="0.25">
      <c r="N69">
        <v>21</v>
      </c>
      <c r="O69" s="83">
        <f t="shared" si="9"/>
        <v>0</v>
      </c>
      <c r="P69" s="83"/>
      <c r="Q69" s="83"/>
      <c r="R69" s="83">
        <f t="shared" ref="R69:R79" si="27">T28</f>
        <v>0</v>
      </c>
    </row>
    <row r="70" spans="14:18" x14ac:dyDescent="0.25">
      <c r="N70">
        <v>22</v>
      </c>
      <c r="O70" s="83">
        <f t="shared" si="9"/>
        <v>0</v>
      </c>
      <c r="P70" s="83"/>
      <c r="Q70" s="83"/>
      <c r="R70" s="83">
        <f t="shared" si="27"/>
        <v>0</v>
      </c>
    </row>
    <row r="71" spans="14:18" x14ac:dyDescent="0.25">
      <c r="N71">
        <v>23</v>
      </c>
      <c r="O71" s="83">
        <f t="shared" si="9"/>
        <v>0</v>
      </c>
      <c r="P71" s="83"/>
      <c r="Q71" s="83"/>
      <c r="R71" s="83">
        <f t="shared" si="27"/>
        <v>0</v>
      </c>
    </row>
    <row r="72" spans="14:18" x14ac:dyDescent="0.25">
      <c r="N72">
        <v>24</v>
      </c>
      <c r="O72" s="83">
        <f t="shared" si="9"/>
        <v>0</v>
      </c>
      <c r="P72" s="83"/>
      <c r="Q72" s="83"/>
      <c r="R72" s="83">
        <f t="shared" si="27"/>
        <v>0</v>
      </c>
    </row>
    <row r="73" spans="14:18" x14ac:dyDescent="0.25">
      <c r="N73">
        <v>25</v>
      </c>
      <c r="O73" s="83">
        <f t="shared" si="9"/>
        <v>0</v>
      </c>
      <c r="P73" s="83"/>
      <c r="Q73" s="83"/>
      <c r="R73" s="83">
        <f t="shared" si="27"/>
        <v>0</v>
      </c>
    </row>
    <row r="74" spans="14:18" x14ac:dyDescent="0.25">
      <c r="N74">
        <v>26</v>
      </c>
      <c r="O74" s="83">
        <f t="shared" si="9"/>
        <v>0</v>
      </c>
      <c r="P74" s="83"/>
      <c r="Q74" s="83"/>
      <c r="R74" s="83">
        <f t="shared" si="27"/>
        <v>0</v>
      </c>
    </row>
    <row r="75" spans="14:18" x14ac:dyDescent="0.25">
      <c r="N75">
        <v>27</v>
      </c>
      <c r="O75" s="83">
        <f t="shared" si="9"/>
        <v>0</v>
      </c>
      <c r="P75" s="83"/>
      <c r="Q75" s="83"/>
      <c r="R75" s="83">
        <f t="shared" si="27"/>
        <v>0</v>
      </c>
    </row>
    <row r="76" spans="14:18" x14ac:dyDescent="0.25">
      <c r="N76">
        <v>28</v>
      </c>
      <c r="O76" s="83">
        <f t="shared" si="9"/>
        <v>0</v>
      </c>
      <c r="P76" s="83"/>
      <c r="Q76" s="83"/>
      <c r="R76" s="83">
        <f t="shared" si="27"/>
        <v>0</v>
      </c>
    </row>
    <row r="77" spans="14:18" x14ac:dyDescent="0.25">
      <c r="N77">
        <v>29</v>
      </c>
      <c r="O77" s="83">
        <f t="shared" si="9"/>
        <v>0</v>
      </c>
      <c r="P77" s="83"/>
      <c r="Q77" s="83"/>
      <c r="R77" s="83">
        <f t="shared" si="27"/>
        <v>0</v>
      </c>
    </row>
    <row r="78" spans="14:18" x14ac:dyDescent="0.25">
      <c r="N78">
        <v>30</v>
      </c>
      <c r="O78" s="83">
        <f t="shared" si="9"/>
        <v>0</v>
      </c>
      <c r="P78" s="83"/>
      <c r="Q78" s="83"/>
      <c r="R78" s="83">
        <f t="shared" si="27"/>
        <v>0</v>
      </c>
    </row>
    <row r="79" spans="17:18" x14ac:dyDescent="0.25">
      <c r="Q79" s="83"/>
      <c r="R79" s="83">
        <f t="shared" si="27"/>
        <v>0</v>
      </c>
    </row>
    <row r="80" spans="17:18" x14ac:dyDescent="0.25">
      <c r="Q80" s="83"/>
      <c r="R80" s="83"/>
    </row>
    <row r="81" spans="17:18" x14ac:dyDescent="0.25">
      <c r="Q81" s="83"/>
      <c r="R81" s="83"/>
    </row>
    <row r="82" spans="17:18" x14ac:dyDescent="0.25">
      <c r="Q82" s="83"/>
      <c r="R82" s="83"/>
    </row>
    <row r="83" spans="18:18" x14ac:dyDescent="0.25">
      <c r="R83" s="83"/>
    </row>
  </sheetData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89"/>
  <sheetViews>
    <sheetView workbookViewId="0" zoomScale="115" zoomScaleNormal="115">
      <selection activeCell="G4" sqref="G4"/>
    </sheetView>
  </sheetViews>
  <sheetFormatPr defaultRowHeight="12.5" outlineLevelRow="0" outlineLevelCol="0" x14ac:dyDescent="0.25" customHeight="1"/>
  <cols>
    <col min="1" max="1" width="3.7265625" customWidth="1"/>
    <col min="2" max="2" width="28.453125" customWidth="1"/>
    <col min="3" max="3" width="25.81640625" customWidth="1"/>
    <col min="4" max="4" width="25.1796875" customWidth="1"/>
    <col min="5" max="5" width="22.453125" customWidth="1"/>
    <col min="6" max="6" width="16.54296875" customWidth="1"/>
    <col min="7" max="7" width="12.1796875" customWidth="1"/>
    <col min="8" max="8" width="12.453125" customWidth="1"/>
    <col min="9" max="9" width="10.54296875" customWidth="1"/>
    <col min="10" max="10" width="19" customWidth="1"/>
    <col min="11" max="12" width="10.54296875" customWidth="1"/>
    <col min="13" max="13" width="16.90625" customWidth="1"/>
    <col min="14" max="14" width="13.54296875" customWidth="1"/>
    <col min="15" max="15" width="10.54296875" customWidth="1"/>
  </cols>
  <sheetData>
    <row r="1" ht="13.5" customHeight="1" spans="2:14" x14ac:dyDescent="0.25">
      <c r="B1" s="8" t="s">
        <v>0</v>
      </c>
      <c r="C1" s="9" t="s">
        <v>1</v>
      </c>
      <c r="D1" s="10" t="s">
        <v>2</v>
      </c>
      <c r="E1" s="11" t="s">
        <v>3</v>
      </c>
      <c r="F1" s="12"/>
      <c r="G1" s="12"/>
      <c r="H1" s="13"/>
      <c r="I1" s="14" t="s">
        <v>4</v>
      </c>
      <c r="J1" s="15"/>
      <c r="K1" s="15"/>
      <c r="L1" s="15"/>
      <c r="M1" s="15"/>
      <c r="N1" s="16"/>
    </row>
    <row r="2" ht="15" customHeight="1" spans="2:15" x14ac:dyDescent="0.25">
      <c r="B2" s="17">
        <v>800</v>
      </c>
      <c r="C2" s="18">
        <f>(VLOOKUP($G$2,$B$9:$C$16,2,FALSE)*B2)/'Conversion Factors'!$L$10</f>
        <v>47.31655885950147</v>
      </c>
      <c r="D2" s="19">
        <f>C2*3.6%</f>
        <v>1.703396118942053</v>
      </c>
      <c r="E2" s="20"/>
      <c r="F2" s="21" t="s">
        <v>5</v>
      </c>
      <c r="G2" s="22" t="s">
        <v>6</v>
      </c>
      <c r="H2" s="23"/>
      <c r="I2" s="24" t="s">
        <v>7</v>
      </c>
      <c r="J2" s="25"/>
      <c r="K2" s="25"/>
      <c r="L2" s="25"/>
      <c r="M2" s="25"/>
      <c r="N2" s="26"/>
      <c r="O2" s="3" t="s">
        <v>8</v>
      </c>
    </row>
    <row r="3" ht="13" customHeight="1" spans="2:14" x14ac:dyDescent="0.25">
      <c r="B3" s="17">
        <v>1200</v>
      </c>
      <c r="C3" s="18">
        <f>(VLOOKUP($G$2,$B$9:$C$16,2,FALSE)*B3)/'Conversion Factors'!$L$10</f>
        <v>70.97483828925219</v>
      </c>
      <c r="D3" s="19">
        <f t="shared" ref="D3:D7" si="0">C3*3.6%</f>
        <v>2.555094178413079</v>
      </c>
      <c r="E3" s="20"/>
      <c r="F3" s="21" t="s">
        <v>9</v>
      </c>
      <c r="G3" s="27">
        <v>2000</v>
      </c>
      <c r="H3" s="23"/>
      <c r="I3" s="28" t="s">
        <v>10</v>
      </c>
      <c r="J3" s="29"/>
      <c r="K3" s="29"/>
      <c r="L3" s="29"/>
      <c r="M3" s="29"/>
      <c r="N3" s="30">
        <v>10000</v>
      </c>
    </row>
    <row r="4" ht="13" customHeight="1" spans="2:14" x14ac:dyDescent="0.25">
      <c r="B4" s="17">
        <v>2000</v>
      </c>
      <c r="C4" s="18">
        <f>(VLOOKUP($G$2,$B$9:$C$16,2,FALSE)*B4)/'Conversion Factors'!$L$10</f>
        <v>118.29139714875367</v>
      </c>
      <c r="D4" s="19">
        <f t="shared" si="0"/>
        <v>4.258490297355133</v>
      </c>
      <c r="E4" s="20"/>
      <c r="F4" s="21" t="s">
        <v>11</v>
      </c>
      <c r="G4" s="31">
        <v>2800</v>
      </c>
      <c r="H4" s="23"/>
      <c r="I4" s="28" t="s">
        <v>12</v>
      </c>
      <c r="J4" s="29"/>
      <c r="K4" s="29"/>
      <c r="L4" s="29"/>
      <c r="M4" s="29"/>
      <c r="N4" s="30">
        <v>16000</v>
      </c>
    </row>
    <row r="5" ht="13" customHeight="1" spans="2:14" x14ac:dyDescent="0.25">
      <c r="B5" s="32">
        <v>2400</v>
      </c>
      <c r="C5" s="18">
        <f>(VLOOKUP($G$2,$B$9:$C$16,2,FALSE)*B5)/'Conversion Factors'!$L$10</f>
        <v>141.94967657850438</v>
      </c>
      <c r="D5" s="19">
        <f t="shared" si="0"/>
        <v>5.110188356826158</v>
      </c>
      <c r="E5" s="20"/>
      <c r="F5" s="21" t="s">
        <v>13</v>
      </c>
      <c r="G5" s="33">
        <v>0.8</v>
      </c>
      <c r="H5" s="23"/>
      <c r="I5" s="34" t="s">
        <v>14</v>
      </c>
      <c r="J5" s="35"/>
      <c r="K5" s="35"/>
      <c r="L5" s="35"/>
      <c r="M5" s="35"/>
      <c r="N5" s="30">
        <v>10200</v>
      </c>
    </row>
    <row r="6" ht="13.5" customHeight="1" spans="2:14" x14ac:dyDescent="0.25">
      <c r="B6" s="32">
        <v>3000</v>
      </c>
      <c r="C6" s="18">
        <f>(VLOOKUP($G$2,$B$9:$C$16,2,FALSE)*B6)/'Conversion Factors'!$L$10</f>
        <v>177.43709572313048</v>
      </c>
      <c r="D6" s="19">
        <f t="shared" si="0"/>
        <v>6.387735446032698</v>
      </c>
      <c r="E6" s="36"/>
      <c r="F6" s="37"/>
      <c r="G6" s="37"/>
      <c r="H6" s="23"/>
      <c r="I6" s="24" t="s">
        <v>15</v>
      </c>
      <c r="J6" s="25"/>
      <c r="K6" s="25"/>
      <c r="L6" s="25"/>
      <c r="M6" s="25"/>
      <c r="N6" s="26"/>
    </row>
    <row r="7" ht="13" customHeight="1" spans="2:14" x14ac:dyDescent="0.25">
      <c r="B7" s="38">
        <f>G4</f>
        <v>2800</v>
      </c>
      <c r="C7" s="39">
        <f>(VLOOKUP($G$2,$B$9:$C$16,2,FALSE)*B7)/'Conversion Factors'!$L$10</f>
        <v>165.60795600825512</v>
      </c>
      <c r="D7" s="40">
        <f t="shared" si="0"/>
        <v>5.961886416297185</v>
      </c>
      <c r="E7" s="41"/>
      <c r="F7" s="42"/>
      <c r="G7" s="42"/>
      <c r="H7" s="43"/>
      <c r="I7" s="44" t="s">
        <v>16</v>
      </c>
      <c r="J7" s="29"/>
      <c r="K7" s="29"/>
      <c r="L7" s="29"/>
      <c r="M7" s="29"/>
      <c r="N7" s="30">
        <v>4400</v>
      </c>
    </row>
    <row r="8" ht="13" customHeight="1" spans="2:14" x14ac:dyDescent="0.25">
      <c r="B8" s="45" t="s">
        <v>17</v>
      </c>
      <c r="C8" s="46"/>
      <c r="D8" s="3"/>
      <c r="I8" s="34" t="s">
        <v>18</v>
      </c>
      <c r="J8" s="35"/>
      <c r="K8" s="35"/>
      <c r="L8" s="35"/>
      <c r="M8" s="35"/>
      <c r="N8" s="30">
        <f>N5*10%</f>
        <v>1020</v>
      </c>
    </row>
    <row r="9" ht="13" customHeight="1" spans="2:14" x14ac:dyDescent="0.25">
      <c r="B9" s="17" t="s">
        <v>19</v>
      </c>
      <c r="C9" s="47">
        <v>1.079265</v>
      </c>
      <c r="G9" s="4"/>
      <c r="I9" s="44"/>
      <c r="J9" s="29"/>
      <c r="K9" s="29"/>
      <c r="L9" s="29"/>
      <c r="M9" s="48" t="s">
        <v>20</v>
      </c>
      <c r="N9" s="49">
        <v>0.0295</v>
      </c>
    </row>
    <row r="10" ht="25.5" customHeight="1" spans="2:14" x14ac:dyDescent="0.25">
      <c r="B10" s="17" t="s">
        <v>21</v>
      </c>
      <c r="C10" s="47">
        <v>0.824586</v>
      </c>
      <c r="D10" s="3"/>
      <c r="E10" s="11" t="s">
        <v>22</v>
      </c>
      <c r="F10" s="12"/>
      <c r="G10" s="12"/>
      <c r="H10" s="13"/>
      <c r="I10" s="35"/>
      <c r="J10" s="35"/>
      <c r="K10" s="35"/>
      <c r="L10" s="35"/>
      <c r="M10" s="50" t="s">
        <v>23</v>
      </c>
      <c r="N10" s="51">
        <v>0</v>
      </c>
    </row>
    <row r="11" ht="52" customHeight="1" spans="2:8" x14ac:dyDescent="0.25">
      <c r="B11" s="17" t="s">
        <v>24</v>
      </c>
      <c r="C11" s="47">
        <v>0.754569</v>
      </c>
      <c r="D11" s="3"/>
      <c r="E11" s="52" t="s">
        <v>25</v>
      </c>
      <c r="F11" s="53" t="s">
        <v>26</v>
      </c>
      <c r="G11" s="54" t="s">
        <v>27</v>
      </c>
      <c r="H11" s="55" t="s">
        <v>28</v>
      </c>
    </row>
    <row r="12" ht="16" customHeight="1" spans="2:8" x14ac:dyDescent="0.25">
      <c r="B12" s="17" t="s">
        <v>6</v>
      </c>
      <c r="C12" s="47">
        <v>0.636639</v>
      </c>
      <c r="D12" s="3"/>
      <c r="E12" s="56">
        <f>IF(ISBLANK(G4),VLOOKUP(G3,B2:C7,2,FALSE),C7)</f>
        <v>165.60795600825512</v>
      </c>
      <c r="F12" s="57">
        <f>E12*1.58%</f>
        <v>2.616605704930431</v>
      </c>
      <c r="G12" s="58">
        <f>IF(G5=B18,"80%",G5)</f>
        <v>0.8</v>
      </c>
      <c r="H12" s="59">
        <f>IF(ISBLANK(G4),G3,G4)</f>
        <v>2800</v>
      </c>
    </row>
    <row r="13" spans="2:8" x14ac:dyDescent="0.25">
      <c r="B13" s="17" t="s">
        <v>29</v>
      </c>
      <c r="C13" s="47">
        <v>0.538576</v>
      </c>
      <c r="D13" s="3"/>
      <c r="E13" s="60" t="s">
        <v>30</v>
      </c>
      <c r="H13" s="60" t="s">
        <v>31</v>
      </c>
    </row>
    <row r="14" spans="2:8" x14ac:dyDescent="0.25">
      <c r="B14" s="17" t="s">
        <v>32</v>
      </c>
      <c r="C14" s="47">
        <v>0.476621</v>
      </c>
      <c r="D14" s="3"/>
      <c r="G14" s="4"/>
      <c r="H14" s="60" t="s">
        <v>33</v>
      </c>
    </row>
    <row r="15" spans="2:7" x14ac:dyDescent="0.25">
      <c r="B15" s="17" t="s">
        <v>34</v>
      </c>
      <c r="C15" s="47">
        <v>0.34159</v>
      </c>
      <c r="D15" s="3"/>
      <c r="G15" s="4"/>
    </row>
    <row r="16" ht="13" customHeight="1" spans="2:7" x14ac:dyDescent="0.25">
      <c r="B16" s="61" t="s">
        <v>35</v>
      </c>
      <c r="C16" s="62">
        <v>0.241833</v>
      </c>
      <c r="D16" s="3"/>
      <c r="G16" s="4"/>
    </row>
    <row r="17" spans="2:7" x14ac:dyDescent="0.25">
      <c r="B17" s="63" t="s">
        <v>36</v>
      </c>
      <c r="D17" s="3"/>
      <c r="G17" s="4"/>
    </row>
    <row r="18" spans="2:7" x14ac:dyDescent="0.25">
      <c r="B18" s="64" t="s">
        <v>37</v>
      </c>
      <c r="C18" s="65"/>
      <c r="D18" s="3"/>
      <c r="G18" s="4"/>
    </row>
    <row r="19" spans="2:7" x14ac:dyDescent="0.25">
      <c r="B19" s="66">
        <v>0.8</v>
      </c>
      <c r="C19" s="65"/>
      <c r="D19" s="3"/>
      <c r="G19" s="4"/>
    </row>
    <row r="20" spans="2:7" x14ac:dyDescent="0.25">
      <c r="B20" s="66">
        <v>0.95</v>
      </c>
      <c r="C20" s="65"/>
      <c r="D20" s="3"/>
      <c r="G20" s="4"/>
    </row>
    <row r="21" ht="13" customHeight="1" spans="2:7" x14ac:dyDescent="0.25">
      <c r="B21" s="67">
        <v>0.97</v>
      </c>
      <c r="C21" s="65"/>
      <c r="D21" s="3"/>
      <c r="G21" s="4"/>
    </row>
    <row r="22" spans="2:7" x14ac:dyDescent="0.25">
      <c r="B22" s="68"/>
      <c r="C22" s="65"/>
      <c r="D22" s="3"/>
      <c r="G22" s="4"/>
    </row>
    <row r="23" spans="2:7" x14ac:dyDescent="0.25">
      <c r="B23" s="68"/>
      <c r="C23" s="65"/>
      <c r="D23" s="3"/>
      <c r="G23" s="4"/>
    </row>
    <row r="24" spans="2:7" x14ac:dyDescent="0.25">
      <c r="B24" s="68"/>
      <c r="C24" s="65"/>
      <c r="D24" s="3"/>
      <c r="G24" s="4"/>
    </row>
    <row r="25" spans="2:7" x14ac:dyDescent="0.25">
      <c r="B25" s="68"/>
      <c r="C25" s="65"/>
      <c r="D25" s="3"/>
      <c r="G25" s="4"/>
    </row>
    <row r="26" spans="2:7" x14ac:dyDescent="0.25">
      <c r="B26" s="68"/>
      <c r="C26" s="65"/>
      <c r="D26" s="3"/>
      <c r="G26" s="4"/>
    </row>
    <row r="27" spans="2:7" x14ac:dyDescent="0.25">
      <c r="B27" s="68"/>
      <c r="C27" s="65"/>
      <c r="D27" s="3"/>
      <c r="G27" s="4"/>
    </row>
    <row r="28" spans="2:7" x14ac:dyDescent="0.25">
      <c r="B28" s="68"/>
      <c r="C28" s="65"/>
      <c r="D28" s="3"/>
      <c r="G28" s="4"/>
    </row>
    <row r="29" spans="2:7" x14ac:dyDescent="0.25">
      <c r="B29" s="68"/>
      <c r="C29" s="65"/>
      <c r="D29" s="3"/>
      <c r="G29" s="4"/>
    </row>
    <row r="30" spans="2:8" x14ac:dyDescent="0.25">
      <c r="B30" s="68"/>
      <c r="C30" s="68"/>
      <c r="D30" s="68"/>
      <c r="E30" s="68"/>
      <c r="F30" s="68"/>
      <c r="G30" s="68"/>
      <c r="H30" s="68"/>
    </row>
    <row r="31" ht="14" customHeight="1" spans="2:7" x14ac:dyDescent="0.25">
      <c r="B31" s="69" t="s">
        <v>38</v>
      </c>
      <c r="C31" s="70" t="s">
        <v>39</v>
      </c>
      <c r="D31" s="71"/>
      <c r="E31" s="71"/>
      <c r="F31" s="71"/>
      <c r="G31" s="71"/>
    </row>
    <row r="32" spans="2:2" x14ac:dyDescent="0.25">
      <c r="B32" s="72"/>
    </row>
    <row r="33" ht="14" customHeight="1" spans="2:4" x14ac:dyDescent="0.25">
      <c r="B33" s="73" t="s">
        <v>40</v>
      </c>
      <c r="C33" s="74"/>
      <c r="D33" s="74"/>
    </row>
    <row r="34" spans="2:2" x14ac:dyDescent="0.25">
      <c r="B34" s="4"/>
    </row>
    <row r="35" spans="2:4" x14ac:dyDescent="0.25">
      <c r="B35" s="4" t="s">
        <v>41</v>
      </c>
      <c r="C35" s="4" t="s">
        <v>42</v>
      </c>
      <c r="D35" s="4" t="s">
        <v>43</v>
      </c>
    </row>
    <row r="36" spans="2:5" x14ac:dyDescent="0.25">
      <c r="B36" s="75" t="s">
        <v>44</v>
      </c>
      <c r="C36">
        <f>124</f>
        <v>124</v>
      </c>
      <c r="D36">
        <v>106.1</v>
      </c>
      <c r="E36" s="4" t="s">
        <v>45</v>
      </c>
    </row>
    <row r="37" spans="2:5" x14ac:dyDescent="0.25">
      <c r="B37" s="75" t="s">
        <v>46</v>
      </c>
      <c r="C37" s="76">
        <f>C36/2246</f>
        <v>0.05520926090828139</v>
      </c>
      <c r="D37" s="76">
        <f>D36/1713</f>
        <v>0.06193812025685931</v>
      </c>
      <c r="E37" s="4"/>
    </row>
    <row r="39" ht="14" customHeight="1" spans="2:4" x14ac:dyDescent="0.25">
      <c r="B39" s="77" t="s">
        <v>47</v>
      </c>
      <c r="C39" s="78"/>
      <c r="D39" s="78"/>
    </row>
    <row r="41" spans="2:5" x14ac:dyDescent="0.25">
      <c r="B41" s="4" t="s">
        <v>48</v>
      </c>
      <c r="C41" s="4" t="s">
        <v>49</v>
      </c>
      <c r="D41" s="4" t="s">
        <v>50</v>
      </c>
      <c r="E41" s="4" t="s">
        <v>51</v>
      </c>
    </row>
    <row r="42" spans="2:4" x14ac:dyDescent="0.25">
      <c r="B42" s="4" t="s">
        <v>19</v>
      </c>
      <c r="C42" s="65">
        <v>1.079265</v>
      </c>
      <c r="D42">
        <v>991</v>
      </c>
    </row>
    <row r="43" spans="2:4" x14ac:dyDescent="0.25">
      <c r="B43" s="4" t="s">
        <v>21</v>
      </c>
      <c r="C43" s="65">
        <v>0.824586</v>
      </c>
      <c r="D43">
        <v>2103</v>
      </c>
    </row>
    <row r="44" spans="2:4" x14ac:dyDescent="0.25">
      <c r="B44" s="4" t="s">
        <v>24</v>
      </c>
      <c r="C44" s="65">
        <v>0.754569</v>
      </c>
      <c r="D44">
        <v>10126</v>
      </c>
    </row>
    <row r="45" spans="2:4" x14ac:dyDescent="0.25">
      <c r="B45" s="4" t="s">
        <v>6</v>
      </c>
      <c r="C45" s="65">
        <v>0.636639</v>
      </c>
      <c r="D45">
        <v>3302</v>
      </c>
    </row>
    <row r="46" spans="2:4" x14ac:dyDescent="0.25">
      <c r="B46" s="4" t="s">
        <v>29</v>
      </c>
      <c r="C46" s="65">
        <v>0.538576</v>
      </c>
      <c r="D46">
        <v>2328</v>
      </c>
    </row>
    <row r="47" spans="2:4" x14ac:dyDescent="0.25">
      <c r="B47" s="4" t="s">
        <v>32</v>
      </c>
      <c r="C47" s="65">
        <v>0.476621</v>
      </c>
      <c r="D47">
        <v>1958</v>
      </c>
    </row>
    <row r="48" spans="2:4" x14ac:dyDescent="0.25">
      <c r="B48" s="4" t="s">
        <v>34</v>
      </c>
      <c r="C48" s="65">
        <v>0.34159</v>
      </c>
      <c r="D48">
        <v>569</v>
      </c>
    </row>
    <row r="49" spans="2:4" x14ac:dyDescent="0.25">
      <c r="B49" s="4" t="s">
        <v>35</v>
      </c>
      <c r="C49" s="65">
        <v>0.241833</v>
      </c>
      <c r="D49">
        <v>277</v>
      </c>
    </row>
    <row r="51" spans="2:3" x14ac:dyDescent="0.25">
      <c r="B51" s="4" t="s">
        <v>52</v>
      </c>
      <c r="C51" s="65">
        <f>((C42*D42)+(C43*D43)+(C44*D44)+(C45*D45)+(C46*D46)+(C47*D47)+(C48*D48)+(C49*D49))/SUM(D42:D49)</f>
        <v>0.6924810631753949</v>
      </c>
    </row>
    <row r="52" ht="13" customHeight="1" spans="2:3" x14ac:dyDescent="0.25">
      <c r="B52" s="79" t="s">
        <v>53</v>
      </c>
      <c r="C52" s="80">
        <f>(C51/10.7639)</f>
        <v>0.06433365816993794</v>
      </c>
    </row>
    <row r="54" spans="2:4" x14ac:dyDescent="0.25">
      <c r="B54" s="4" t="s">
        <v>54</v>
      </c>
      <c r="C54" s="81">
        <f>1-17.61%</f>
        <v>0.8239</v>
      </c>
      <c r="D54" s="4" t="s">
        <v>55</v>
      </c>
    </row>
    <row r="55" spans="2:4" x14ac:dyDescent="0.25">
      <c r="B55" s="4" t="s">
        <v>56</v>
      </c>
      <c r="C55" s="82">
        <v>0.0714</v>
      </c>
      <c r="D55" t="s">
        <v>57</v>
      </c>
    </row>
    <row r="57" spans="2:2" x14ac:dyDescent="0.25">
      <c r="B57" t="s">
        <v>58</v>
      </c>
    </row>
    <row r="59" spans="2:5" x14ac:dyDescent="0.25">
      <c r="B59" s="74" t="s">
        <v>59</v>
      </c>
      <c r="C59" s="74"/>
      <c r="D59" s="74"/>
      <c r="E59" s="74"/>
    </row>
    <row r="60" spans="9:9" x14ac:dyDescent="0.25">
      <c r="I60" s="83"/>
    </row>
    <row r="61" ht="13" customHeight="1" spans="2:8" x14ac:dyDescent="0.25">
      <c r="B61" s="84" t="s">
        <v>60</v>
      </c>
      <c r="C61" s="84" t="s">
        <v>61</v>
      </c>
      <c r="D61" s="84" t="s">
        <v>62</v>
      </c>
      <c r="E61" s="84" t="s">
        <v>63</v>
      </c>
      <c r="G61" s="84"/>
      <c r="H61" s="84"/>
    </row>
    <row r="62" spans="2:5" x14ac:dyDescent="0.25">
      <c r="B62" s="85" t="s">
        <v>64</v>
      </c>
      <c r="C62">
        <v>1200</v>
      </c>
      <c r="D62" s="65">
        <f>C62*$C$37*$C$54</f>
        <v>54.58429207479965</v>
      </c>
      <c r="E62" s="65">
        <f>D62*$C$55</f>
        <v>3.897318454140695</v>
      </c>
    </row>
    <row r="63" spans="2:5" x14ac:dyDescent="0.25">
      <c r="B63" s="85"/>
      <c r="C63">
        <v>2000</v>
      </c>
      <c r="D63" s="65">
        <f t="shared" ref="D63:D65" si="1">C63*$C$37*$C$54</f>
        <v>90.97382012466608</v>
      </c>
      <c r="E63" s="65">
        <f t="shared" ref="E63:E69" si="2">D63*$C$55</f>
        <v>6.495530756901158</v>
      </c>
    </row>
    <row r="64" spans="2:5" x14ac:dyDescent="0.25">
      <c r="B64" s="85"/>
      <c r="C64">
        <v>2600</v>
      </c>
      <c r="D64" s="65">
        <f t="shared" si="1"/>
        <v>118.26596616206588</v>
      </c>
      <c r="E64" s="65">
        <f t="shared" si="2"/>
        <v>8.444189983971505</v>
      </c>
    </row>
    <row r="65" spans="2:5" x14ac:dyDescent="0.25">
      <c r="B65" s="85"/>
      <c r="C65">
        <v>3000</v>
      </c>
      <c r="D65" s="65">
        <f t="shared" si="1"/>
        <v>136.46073018699911</v>
      </c>
      <c r="E65" s="65">
        <f t="shared" si="2"/>
        <v>9.743296135351738</v>
      </c>
    </row>
    <row r="66" spans="2:5" x14ac:dyDescent="0.25">
      <c r="B66" s="85" t="s">
        <v>65</v>
      </c>
      <c r="C66">
        <v>800</v>
      </c>
      <c r="D66" s="65">
        <f>C66*$D$37*$C$54</f>
        <v>40.824653823701105</v>
      </c>
      <c r="E66" s="65">
        <f t="shared" si="2"/>
        <v>2.914880283012259</v>
      </c>
    </row>
    <row r="67" spans="2:5" x14ac:dyDescent="0.25">
      <c r="B67" s="85"/>
      <c r="C67">
        <v>1200</v>
      </c>
      <c r="D67" s="65">
        <f t="shared" ref="D67:D69" si="3">C67*$D$37*$C$54</f>
        <v>61.23698073555167</v>
      </c>
      <c r="E67" s="65">
        <f t="shared" si="2"/>
        <v>4.3723204245183895</v>
      </c>
    </row>
    <row r="68" spans="2:5" x14ac:dyDescent="0.25">
      <c r="B68" s="85"/>
      <c r="C68">
        <v>2000</v>
      </c>
      <c r="D68" s="65">
        <f t="shared" si="3"/>
        <v>102.06163455925277</v>
      </c>
      <c r="E68" s="65">
        <f t="shared" si="2"/>
        <v>7.287200707530648</v>
      </c>
    </row>
    <row r="69" spans="2:5" x14ac:dyDescent="0.25">
      <c r="B69" s="85"/>
      <c r="C69">
        <v>2400</v>
      </c>
      <c r="D69" s="65">
        <f t="shared" si="3"/>
        <v>122.47396147110334</v>
      </c>
      <c r="E69" s="65">
        <f t="shared" si="2"/>
        <v>8.744640849036779</v>
      </c>
    </row>
    <row r="71" spans="2:5" x14ac:dyDescent="0.25">
      <c r="B71" s="78" t="s">
        <v>66</v>
      </c>
      <c r="C71" s="78"/>
      <c r="D71" s="78"/>
      <c r="E71" s="78"/>
    </row>
    <row r="73" ht="13" customHeight="1" spans="2:5" x14ac:dyDescent="0.25">
      <c r="B73" s="84" t="s">
        <v>60</v>
      </c>
      <c r="C73" s="84" t="s">
        <v>61</v>
      </c>
      <c r="D73" s="84" t="s">
        <v>62</v>
      </c>
      <c r="E73" s="84" t="s">
        <v>63</v>
      </c>
    </row>
    <row r="74" spans="2:5" x14ac:dyDescent="0.25">
      <c r="B74" s="86" t="s">
        <v>64</v>
      </c>
      <c r="C74">
        <v>1200</v>
      </c>
      <c r="D74" s="65">
        <f>C74*$C$52*$C$54</f>
        <v>63.605401159454246</v>
      </c>
      <c r="E74" s="65">
        <f>D74*$C$55</f>
        <v>4.5414256427850335</v>
      </c>
    </row>
    <row r="75" spans="2:5" x14ac:dyDescent="0.25">
      <c r="B75" s="86"/>
      <c r="C75">
        <v>2000</v>
      </c>
      <c r="D75" s="65">
        <f t="shared" ref="D75:D81" si="4">C75*$C$52*$C$54</f>
        <v>106.00900193242373</v>
      </c>
      <c r="E75" s="65">
        <f t="shared" ref="E75:E81" si="5">D75*$C$55</f>
        <v>7.569042737975055</v>
      </c>
    </row>
    <row r="76" spans="2:5" x14ac:dyDescent="0.25">
      <c r="B76" s="86"/>
      <c r="C76">
        <v>2600</v>
      </c>
      <c r="D76" s="65">
        <f t="shared" si="4"/>
        <v>137.81170251215084</v>
      </c>
      <c r="E76" s="65">
        <f t="shared" si="5"/>
        <v>9.839755559367571</v>
      </c>
    </row>
    <row r="77" spans="2:5" x14ac:dyDescent="0.25">
      <c r="B77" s="86"/>
      <c r="C77">
        <v>3000</v>
      </c>
      <c r="D77" s="65">
        <f t="shared" si="4"/>
        <v>159.0135028986356</v>
      </c>
      <c r="E77" s="65">
        <f>D77*$C$55</f>
        <v>11.353564106962583</v>
      </c>
    </row>
    <row r="78" spans="2:5" x14ac:dyDescent="0.25">
      <c r="B78" s="86" t="s">
        <v>65</v>
      </c>
      <c r="C78">
        <v>800</v>
      </c>
      <c r="D78" s="65">
        <f t="shared" si="4"/>
        <v>42.40360077296949</v>
      </c>
      <c r="E78" s="65">
        <f t="shared" si="5"/>
        <v>3.027617095190022</v>
      </c>
    </row>
    <row r="79" spans="2:5" x14ac:dyDescent="0.25">
      <c r="B79" s="86"/>
      <c r="C79">
        <v>1200</v>
      </c>
      <c r="D79" s="65">
        <f t="shared" si="4"/>
        <v>63.605401159454246</v>
      </c>
      <c r="E79" s="65">
        <f t="shared" si="5"/>
        <v>4.5414256427850335</v>
      </c>
    </row>
    <row r="80" spans="2:5" x14ac:dyDescent="0.25">
      <c r="B80" s="86"/>
      <c r="C80">
        <v>2000</v>
      </c>
      <c r="D80" s="65">
        <f t="shared" si="4"/>
        <v>106.00900193242373</v>
      </c>
      <c r="E80" s="65">
        <f t="shared" si="5"/>
        <v>7.569042737975055</v>
      </c>
    </row>
    <row r="81" spans="2:5" x14ac:dyDescent="0.25">
      <c r="B81" s="86"/>
      <c r="C81">
        <v>2400</v>
      </c>
      <c r="D81" s="65">
        <f t="shared" si="4"/>
        <v>127.21080231890849</v>
      </c>
      <c r="E81" s="65">
        <f t="shared" si="5"/>
        <v>9.082851285570067</v>
      </c>
    </row>
    <row r="83" spans="2:2" x14ac:dyDescent="0.25">
      <c r="B83" s="4" t="s">
        <v>67</v>
      </c>
    </row>
    <row r="85" spans="2:3" x14ac:dyDescent="0.25">
      <c r="B85" t="s">
        <v>68</v>
      </c>
      <c r="C85" t="s">
        <v>69</v>
      </c>
    </row>
    <row r="86" spans="2:3" x14ac:dyDescent="0.25">
      <c r="B86" s="87">
        <v>90075.82</v>
      </c>
      <c r="C86" s="87">
        <v>1419.14</v>
      </c>
    </row>
    <row r="87" spans="2:2" x14ac:dyDescent="0.25">
      <c r="B87" s="82">
        <v>0.0158</v>
      </c>
    </row>
    <row r="89" spans="2:2" x14ac:dyDescent="0.25">
      <c r="B89" t="s">
        <v>70</v>
      </c>
    </row>
  </sheetData>
  <mergeCells count="7">
    <mergeCell ref="E1:H1"/>
    <mergeCell ref="I1:N1"/>
    <mergeCell ref="E10:H10"/>
    <mergeCell ref="B62:B65"/>
    <mergeCell ref="B66:B69"/>
    <mergeCell ref="B74:B77"/>
    <mergeCell ref="B78:B81"/>
  </mergeCells>
  <dataValidations count="3">
    <dataValidation type="list" allowBlank="1" showInputMessage="1" showErrorMessage="1" sqref="G2">
      <formula1>$B$9:$B$16</formula1>
    </dataValidation>
    <dataValidation type="list" allowBlank="1" showInputMessage="1" showErrorMessage="1" sqref="G3">
      <formula1>$B$2:$B$6</formula1>
    </dataValidation>
    <dataValidation type="list" allowBlank="1" showInputMessage="1" showErrorMessage="1" sqref="G5">
      <formula1>$B$18:$B$21</formula1>
    </dataValidation>
  </dataValidations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048576"/>
  <sheetViews>
    <sheetView workbookViewId="0" zoomScale="100" zoomScaleNormal="100">
      <selection activeCell="C30" sqref="C30"/>
    </sheetView>
  </sheetViews>
  <sheetFormatPr defaultRowHeight="12.5" outlineLevelRow="0" outlineLevelCol="0" x14ac:dyDescent="0.25" customHeight="1"/>
  <cols>
    <col min="2" max="3" width="12.36328125" customWidth="1"/>
    <col min="4" max="4" width="9.7265625" customWidth="1"/>
    <col min="5" max="7" width="13.81640625" customWidth="1"/>
    <col min="10" max="10" width="15" customWidth="1"/>
  </cols>
  <sheetData>
    <row r="2" spans="2:5" x14ac:dyDescent="0.25">
      <c r="B2" t="s">
        <v>71</v>
      </c>
      <c r="E2" t="s">
        <v>72</v>
      </c>
    </row>
    <row r="3" spans="5:5" x14ac:dyDescent="0.25">
      <c r="E3" t="s">
        <v>73</v>
      </c>
    </row>
    <row r="4" ht="13" customHeight="1" spans="2:5" x14ac:dyDescent="0.25">
      <c r="B4" t="s">
        <v>74</v>
      </c>
      <c r="E4" t="s">
        <v>75</v>
      </c>
    </row>
    <row r="5" ht="13" customHeight="1" spans="11:14" x14ac:dyDescent="0.25">
      <c r="K5" s="88" t="s">
        <v>76</v>
      </c>
      <c r="L5" s="89"/>
      <c r="M5" s="88" t="s">
        <v>77</v>
      </c>
      <c r="N5" s="89"/>
    </row>
    <row r="6" ht="13.5" customHeight="1" spans="2:14" x14ac:dyDescent="0.25">
      <c r="B6" s="90" t="s">
        <v>78</v>
      </c>
      <c r="C6" s="90"/>
      <c r="D6" s="90" t="s">
        <v>79</v>
      </c>
      <c r="E6" s="90" t="s">
        <v>80</v>
      </c>
      <c r="F6" s="90" t="s">
        <v>81</v>
      </c>
      <c r="G6" s="90"/>
      <c r="J6" s="91" t="s">
        <v>82</v>
      </c>
      <c r="K6" s="92" t="s">
        <v>83</v>
      </c>
      <c r="L6" s="93" t="s">
        <v>84</v>
      </c>
      <c r="M6" s="94" t="s">
        <v>83</v>
      </c>
      <c r="N6" s="93" t="s">
        <v>84</v>
      </c>
    </row>
    <row r="7" ht="13" customHeight="1" spans="1:14" x14ac:dyDescent="0.25">
      <c r="A7" s="75" t="s">
        <v>76</v>
      </c>
      <c r="B7" s="95">
        <v>213194257</v>
      </c>
      <c r="C7" s="95"/>
      <c r="D7" s="90" t="s">
        <v>85</v>
      </c>
      <c r="E7" s="90" t="s">
        <v>86</v>
      </c>
      <c r="F7" s="90" t="s">
        <v>87</v>
      </c>
      <c r="J7" s="96">
        <v>35</v>
      </c>
      <c r="K7" s="97">
        <v>6900</v>
      </c>
      <c r="L7" s="98">
        <v>22800</v>
      </c>
      <c r="M7" s="97">
        <v>12100</v>
      </c>
      <c r="N7" s="98">
        <v>46500</v>
      </c>
    </row>
    <row r="8" ht="13" customHeight="1" spans="1:14" x14ac:dyDescent="0.25">
      <c r="A8" s="75" t="s">
        <v>77</v>
      </c>
      <c r="B8" s="95">
        <v>213194316</v>
      </c>
      <c r="C8" s="95"/>
      <c r="D8" t="s">
        <v>88</v>
      </c>
      <c r="E8" t="s">
        <v>89</v>
      </c>
      <c r="F8" t="s">
        <v>90</v>
      </c>
      <c r="J8" s="99"/>
      <c r="K8" s="100">
        <v>0.39</v>
      </c>
      <c r="L8" s="101">
        <v>1.47</v>
      </c>
      <c r="M8" s="100">
        <v>0.67</v>
      </c>
      <c r="N8" s="101">
        <v>3.67</v>
      </c>
    </row>
    <row r="9" ht="13.5" customHeight="1" spans="2:14" x14ac:dyDescent="0.25">
      <c r="B9" s="95"/>
      <c r="C9" s="95"/>
      <c r="D9" s="102"/>
      <c r="J9" s="103"/>
      <c r="K9" s="104">
        <v>5.19</v>
      </c>
      <c r="L9" s="105">
        <v>4.55</v>
      </c>
      <c r="M9" s="104">
        <v>5.29</v>
      </c>
      <c r="N9" s="105">
        <v>3.71</v>
      </c>
    </row>
    <row r="10" spans="2:14" x14ac:dyDescent="0.25">
      <c r="B10" s="106"/>
      <c r="C10" s="106"/>
      <c r="D10" s="102"/>
      <c r="J10" s="96">
        <v>28</v>
      </c>
      <c r="K10" s="97">
        <v>7300</v>
      </c>
      <c r="L10" s="98">
        <v>24000</v>
      </c>
      <c r="M10" s="97">
        <v>12700</v>
      </c>
      <c r="N10" s="98">
        <v>49500</v>
      </c>
    </row>
    <row r="11" spans="10:14" x14ac:dyDescent="0.25">
      <c r="J11" s="99"/>
      <c r="K11" s="100">
        <v>0.31</v>
      </c>
      <c r="L11" s="101">
        <v>1.25</v>
      </c>
      <c r="M11" s="100">
        <v>0.52</v>
      </c>
      <c r="N11" s="101">
        <v>3.1</v>
      </c>
    </row>
    <row r="12" ht="13" customHeight="1" spans="10:14" x14ac:dyDescent="0.25">
      <c r="J12" s="103"/>
      <c r="K12" s="104">
        <v>6.9</v>
      </c>
      <c r="L12" s="105">
        <v>5.63</v>
      </c>
      <c r="M12" s="104">
        <v>7.16</v>
      </c>
      <c r="N12" s="105">
        <v>4.68</v>
      </c>
    </row>
    <row r="13" spans="10:14" x14ac:dyDescent="0.25">
      <c r="J13" s="96">
        <v>8</v>
      </c>
      <c r="K13" s="97">
        <v>5500</v>
      </c>
      <c r="L13" s="98">
        <v>21400</v>
      </c>
      <c r="M13" s="97">
        <v>9500</v>
      </c>
      <c r="N13" s="98">
        <v>43500</v>
      </c>
    </row>
    <row r="14" spans="10:14" x14ac:dyDescent="0.25">
      <c r="J14" s="99"/>
      <c r="K14" s="100">
        <v>0.39</v>
      </c>
      <c r="L14" s="101">
        <v>1.65</v>
      </c>
      <c r="M14" s="100">
        <v>0.54</v>
      </c>
      <c r="N14" s="101">
        <v>3.77</v>
      </c>
    </row>
    <row r="15" ht="13" customHeight="1" spans="10:14" x14ac:dyDescent="0.25">
      <c r="J15" s="103"/>
      <c r="K15" s="104">
        <v>4.13</v>
      </c>
      <c r="L15" s="105">
        <v>3.8</v>
      </c>
      <c r="M15" s="104">
        <v>5.16</v>
      </c>
      <c r="N15" s="105">
        <v>3.38</v>
      </c>
    </row>
    <row r="16" spans="10:14" x14ac:dyDescent="0.25">
      <c r="J16" s="96">
        <v>-8</v>
      </c>
      <c r="K16" s="97">
        <v>23800</v>
      </c>
      <c r="L16" s="98">
        <v>23800</v>
      </c>
      <c r="M16" s="97">
        <v>42000</v>
      </c>
      <c r="N16" s="98">
        <v>42000</v>
      </c>
    </row>
    <row r="17" spans="10:14" x14ac:dyDescent="0.25">
      <c r="J17" s="99"/>
      <c r="K17" s="100">
        <v>3.19</v>
      </c>
      <c r="L17" s="101">
        <v>3.19</v>
      </c>
      <c r="M17" s="100">
        <v>6.19</v>
      </c>
      <c r="N17" s="101">
        <v>6.19</v>
      </c>
    </row>
    <row r="18" ht="13" customHeight="1" spans="10:14" x14ac:dyDescent="0.25">
      <c r="J18" s="103"/>
      <c r="K18" s="104">
        <v>2.19</v>
      </c>
      <c r="L18" s="105">
        <v>2.19</v>
      </c>
      <c r="M18" s="104">
        <v>1.96</v>
      </c>
      <c r="N18" s="105">
        <v>1.99</v>
      </c>
    </row>
    <row r="19" spans="10:14" x14ac:dyDescent="0.25">
      <c r="J19" s="96">
        <v>-15</v>
      </c>
      <c r="K19" s="97">
        <v>20200</v>
      </c>
      <c r="L19" s="98">
        <v>20200</v>
      </c>
      <c r="M19" s="97">
        <v>35800</v>
      </c>
      <c r="N19" s="98">
        <v>35800</v>
      </c>
    </row>
    <row r="20" spans="10:14" x14ac:dyDescent="0.25">
      <c r="J20" s="99"/>
      <c r="K20" s="100">
        <v>3.1</v>
      </c>
      <c r="L20" s="101">
        <v>3.1</v>
      </c>
      <c r="M20" s="100">
        <v>5.65</v>
      </c>
      <c r="N20" s="101">
        <v>5.65</v>
      </c>
    </row>
    <row r="21" ht="13" customHeight="1" spans="10:14" x14ac:dyDescent="0.25">
      <c r="J21" s="103"/>
      <c r="K21" s="104">
        <v>1.91</v>
      </c>
      <c r="L21" s="105">
        <v>1.91</v>
      </c>
      <c r="M21" s="104">
        <v>1.86</v>
      </c>
      <c r="N21" s="105">
        <v>1.86</v>
      </c>
    </row>
    <row r="22" spans="10:14" x14ac:dyDescent="0.25">
      <c r="J22" s="96">
        <v>-26</v>
      </c>
      <c r="K22" s="97">
        <v>14300</v>
      </c>
      <c r="L22" s="98">
        <v>14300</v>
      </c>
      <c r="M22" s="97">
        <v>25000</v>
      </c>
      <c r="N22" s="98">
        <v>25000</v>
      </c>
    </row>
    <row r="23" spans="10:14" x14ac:dyDescent="0.25">
      <c r="J23" s="99"/>
      <c r="K23" s="100">
        <v>2.74</v>
      </c>
      <c r="L23" s="101">
        <v>2.74</v>
      </c>
      <c r="M23" s="100">
        <v>4.78</v>
      </c>
      <c r="N23" s="101">
        <v>4.78</v>
      </c>
    </row>
    <row r="24" ht="13" customHeight="1" spans="10:14" x14ac:dyDescent="0.25">
      <c r="J24" s="103"/>
      <c r="K24" s="104">
        <v>1.53</v>
      </c>
      <c r="L24" s="105">
        <v>1.53</v>
      </c>
      <c r="M24" s="104">
        <v>1.53</v>
      </c>
      <c r="N24" s="105">
        <v>1.53</v>
      </c>
    </row>
    <row r="29" ht="13.5" customHeight="1" spans="1:10" x14ac:dyDescent="0.25">
      <c r="A29" s="107" t="s">
        <v>91</v>
      </c>
      <c r="B29" s="107" t="s">
        <v>92</v>
      </c>
      <c r="C29" s="107"/>
      <c r="D29" s="107" t="s">
        <v>93</v>
      </c>
      <c r="E29" s="107" t="s">
        <v>94</v>
      </c>
      <c r="F29" s="107" t="s">
        <v>95</v>
      </c>
      <c r="G29" s="107" t="s">
        <v>96</v>
      </c>
      <c r="H29" s="107" t="s">
        <v>97</v>
      </c>
      <c r="I29" s="107" t="s">
        <v>98</v>
      </c>
      <c r="J29" s="107" t="s">
        <v>99</v>
      </c>
    </row>
    <row r="30" ht="13" customHeight="1" spans="1:10" x14ac:dyDescent="0.25">
      <c r="A30" s="108" t="s">
        <v>100</v>
      </c>
      <c r="B30" s="109">
        <v>-31</v>
      </c>
      <c r="C30" s="109" t="str">
        <f>A30&amp;B30</f>
        <v>Unit 1-31</v>
      </c>
      <c r="D30" s="109">
        <v>0</v>
      </c>
      <c r="E30" s="109">
        <v>14300</v>
      </c>
      <c r="F30" s="109">
        <v>14300</v>
      </c>
      <c r="G30" s="109">
        <v>2.74</v>
      </c>
      <c r="H30" s="109">
        <v>2.74</v>
      </c>
      <c r="I30" s="109">
        <v>1.53</v>
      </c>
      <c r="J30" s="110">
        <v>1.53</v>
      </c>
    </row>
    <row r="31" ht="13" customHeight="1" spans="1:10" x14ac:dyDescent="0.25">
      <c r="A31" s="108" t="s">
        <v>100</v>
      </c>
      <c r="B31" s="106">
        <v>-15</v>
      </c>
      <c r="C31" s="109" t="str">
        <f t="shared" ref="C31:C41" si="0">A31&amp;B31</f>
        <v>Unit 1-15</v>
      </c>
      <c r="D31" s="106">
        <v>1</v>
      </c>
      <c r="E31" s="106">
        <v>20200</v>
      </c>
      <c r="F31" s="106">
        <v>20200</v>
      </c>
      <c r="G31" s="106">
        <v>3.1</v>
      </c>
      <c r="H31" s="106">
        <v>3.1</v>
      </c>
      <c r="I31" s="106">
        <v>1.91</v>
      </c>
      <c r="J31" s="111">
        <v>1.91</v>
      </c>
    </row>
    <row r="32" ht="13" customHeight="1" spans="1:10" x14ac:dyDescent="0.25">
      <c r="A32" s="108" t="s">
        <v>100</v>
      </c>
      <c r="B32" s="106">
        <v>-8</v>
      </c>
      <c r="C32" s="109" t="str">
        <f t="shared" si="0"/>
        <v>Unit 1-8</v>
      </c>
      <c r="D32" s="106">
        <v>2</v>
      </c>
      <c r="E32" s="106">
        <v>23800</v>
      </c>
      <c r="F32" s="106">
        <v>23800</v>
      </c>
      <c r="G32" s="106">
        <v>3.19</v>
      </c>
      <c r="H32" s="106">
        <v>3.19</v>
      </c>
      <c r="I32" s="106">
        <v>2.19</v>
      </c>
      <c r="J32" s="111">
        <v>2.19</v>
      </c>
    </row>
    <row r="33" ht="13" customHeight="1" spans="1:10" x14ac:dyDescent="0.25">
      <c r="A33" s="108" t="s">
        <v>100</v>
      </c>
      <c r="B33" s="106">
        <v>8</v>
      </c>
      <c r="C33" s="109" t="str">
        <f t="shared" si="0"/>
        <v>Unit 18</v>
      </c>
      <c r="D33" s="106">
        <f>IF(ISBLANK(E33),"",$D$30+3)</f>
        <v>3</v>
      </c>
      <c r="E33" s="106">
        <v>5500</v>
      </c>
      <c r="F33" s="106">
        <v>21400</v>
      </c>
      <c r="G33" s="106">
        <v>0.39</v>
      </c>
      <c r="H33" s="106">
        <v>1.65</v>
      </c>
      <c r="I33" s="106">
        <v>4.13</v>
      </c>
      <c r="J33" s="111">
        <v>3.8</v>
      </c>
    </row>
    <row r="34" ht="13" customHeight="1" spans="1:10" x14ac:dyDescent="0.25">
      <c r="A34" s="108" t="s">
        <v>100</v>
      </c>
      <c r="B34" s="106">
        <v>28</v>
      </c>
      <c r="C34" s="109" t="str">
        <f t="shared" si="0"/>
        <v>Unit 128</v>
      </c>
      <c r="D34" s="106">
        <f>IF(ISBLANK(E34),"",$D$30+4)</f>
        <v>4</v>
      </c>
      <c r="E34" s="106">
        <v>7300</v>
      </c>
      <c r="F34" s="106">
        <v>24000</v>
      </c>
      <c r="G34" s="106">
        <v>0.31</v>
      </c>
      <c r="H34" s="106">
        <v>1.25</v>
      </c>
      <c r="I34" s="106">
        <v>6.9</v>
      </c>
      <c r="J34" s="111">
        <v>5.63</v>
      </c>
    </row>
    <row r="35" ht="13" customHeight="1" spans="1:10" x14ac:dyDescent="0.25">
      <c r="A35" s="108" t="s">
        <v>100</v>
      </c>
      <c r="B35" s="112">
        <v>35</v>
      </c>
      <c r="C35" s="109" t="str">
        <f t="shared" si="0"/>
        <v>Unit 135</v>
      </c>
      <c r="D35" s="112">
        <f>IF(ISBLANK(E35),"",$D$30+5)</f>
        <v>5</v>
      </c>
      <c r="E35" s="112">
        <v>6900</v>
      </c>
      <c r="F35" s="112">
        <v>22800</v>
      </c>
      <c r="G35" s="112">
        <v>0.39</v>
      </c>
      <c r="H35" s="112">
        <v>1.47</v>
      </c>
      <c r="I35" s="112">
        <v>5.19</v>
      </c>
      <c r="J35" s="113">
        <v>4.55</v>
      </c>
    </row>
    <row r="36" ht="13" customHeight="1" spans="1:10" x14ac:dyDescent="0.25">
      <c r="A36" s="108" t="s">
        <v>101</v>
      </c>
      <c r="B36" s="109">
        <v>-31</v>
      </c>
      <c r="C36" s="109" t="str">
        <f t="shared" si="0"/>
        <v>Unit 2-31</v>
      </c>
      <c r="D36" s="109">
        <v>0</v>
      </c>
      <c r="E36" s="109">
        <v>25000</v>
      </c>
      <c r="F36" s="109">
        <v>25000</v>
      </c>
      <c r="G36" s="109">
        <v>0.67</v>
      </c>
      <c r="H36" s="109">
        <v>3.67</v>
      </c>
      <c r="I36" s="109">
        <v>5.29</v>
      </c>
      <c r="J36" s="110">
        <v>3.71</v>
      </c>
    </row>
    <row r="37" ht="13" customHeight="1" spans="1:10" x14ac:dyDescent="0.25">
      <c r="A37" s="108" t="s">
        <v>101</v>
      </c>
      <c r="B37" s="106">
        <v>-15</v>
      </c>
      <c r="C37" s="109" t="str">
        <f t="shared" si="0"/>
        <v>Unit 2-15</v>
      </c>
      <c r="D37" s="106">
        <v>1</v>
      </c>
      <c r="E37" s="106">
        <v>35800</v>
      </c>
      <c r="F37" s="106">
        <v>35800</v>
      </c>
      <c r="G37" s="106">
        <v>0.52</v>
      </c>
      <c r="H37" s="106">
        <v>3.1</v>
      </c>
      <c r="I37" s="106">
        <v>7.16</v>
      </c>
      <c r="J37" s="111">
        <v>4.68</v>
      </c>
    </row>
    <row r="38" ht="13" customHeight="1" spans="1:10" x14ac:dyDescent="0.25">
      <c r="A38" s="108" t="s">
        <v>101</v>
      </c>
      <c r="B38" s="106">
        <v>-8</v>
      </c>
      <c r="C38" s="109" t="str">
        <f t="shared" si="0"/>
        <v>Unit 2-8</v>
      </c>
      <c r="D38" s="106">
        <v>2</v>
      </c>
      <c r="E38" s="106">
        <v>42000</v>
      </c>
      <c r="F38" s="106">
        <v>42000</v>
      </c>
      <c r="G38" s="106">
        <v>0.54</v>
      </c>
      <c r="H38" s="106">
        <v>3.77</v>
      </c>
      <c r="I38" s="106">
        <v>5.16</v>
      </c>
      <c r="J38" s="111">
        <v>3.38</v>
      </c>
    </row>
    <row r="39" ht="13" customHeight="1" spans="1:10" x14ac:dyDescent="0.25">
      <c r="A39" s="108" t="s">
        <v>101</v>
      </c>
      <c r="B39" s="106">
        <v>8</v>
      </c>
      <c r="C39" s="109" t="str">
        <f t="shared" si="0"/>
        <v>Unit 28</v>
      </c>
      <c r="D39" s="106">
        <f>IF(ISBLANK(E39),"",$D$30+3)</f>
        <v>3</v>
      </c>
      <c r="E39" s="106">
        <v>9500</v>
      </c>
      <c r="F39" s="106">
        <v>43500</v>
      </c>
      <c r="G39" s="106">
        <v>6.19</v>
      </c>
      <c r="H39" s="106">
        <v>6.19</v>
      </c>
      <c r="I39" s="106">
        <v>1.96</v>
      </c>
      <c r="J39" s="111">
        <v>1.99</v>
      </c>
    </row>
    <row r="40" ht="13" customHeight="1" spans="1:10" x14ac:dyDescent="0.25">
      <c r="A40" s="108" t="s">
        <v>101</v>
      </c>
      <c r="B40" s="106">
        <v>28</v>
      </c>
      <c r="C40" s="109" t="str">
        <f t="shared" si="0"/>
        <v>Unit 228</v>
      </c>
      <c r="D40" s="106">
        <f>IF(ISBLANK(E40),"",$D$30+4)</f>
        <v>4</v>
      </c>
      <c r="E40" s="106">
        <v>12700</v>
      </c>
      <c r="F40" s="106">
        <v>49500</v>
      </c>
      <c r="G40" s="106">
        <v>5.65</v>
      </c>
      <c r="H40" s="106">
        <v>5.65</v>
      </c>
      <c r="I40" s="106">
        <v>1.86</v>
      </c>
      <c r="J40" s="111">
        <v>1.86</v>
      </c>
    </row>
    <row r="41" ht="13" customHeight="1" spans="1:10" x14ac:dyDescent="0.25">
      <c r="A41" s="108" t="s">
        <v>101</v>
      </c>
      <c r="B41" s="112">
        <v>35</v>
      </c>
      <c r="C41" s="109" t="str">
        <f t="shared" si="0"/>
        <v>Unit 235</v>
      </c>
      <c r="D41" s="112">
        <f>IF(ISBLANK(E41),"",$D$30+5)</f>
        <v>5</v>
      </c>
      <c r="E41" s="112">
        <v>12100</v>
      </c>
      <c r="F41" s="112">
        <v>46500</v>
      </c>
      <c r="G41" s="112">
        <v>4.78</v>
      </c>
      <c r="H41" s="112">
        <v>4.78</v>
      </c>
      <c r="I41" s="112">
        <v>1.53</v>
      </c>
      <c r="J41" s="113">
        <v>1.53</v>
      </c>
    </row>
    <row r="42" spans="14:20" x14ac:dyDescent="0.25">
      <c r="N42" t="s">
        <v>102</v>
      </c>
      <c r="O42" t="s">
        <v>103</v>
      </c>
      <c r="P42" t="s">
        <v>104</v>
      </c>
      <c r="Q42" t="s">
        <v>105</v>
      </c>
      <c r="R42" s="7">
        <v>12100</v>
      </c>
      <c r="S42" s="7">
        <v>45500</v>
      </c>
      <c r="T42" s="7">
        <v>46500</v>
      </c>
    </row>
    <row r="43" spans="17:20" x14ac:dyDescent="0.25">
      <c r="Q43" t="s">
        <v>106</v>
      </c>
      <c r="R43">
        <v>0.67</v>
      </c>
      <c r="S43">
        <v>3.67</v>
      </c>
      <c r="T43">
        <v>3.67</v>
      </c>
    </row>
    <row r="44" spans="17:20" x14ac:dyDescent="0.25">
      <c r="Q44" t="s">
        <v>107</v>
      </c>
      <c r="R44">
        <v>5.29</v>
      </c>
      <c r="S44">
        <v>3.63</v>
      </c>
      <c r="T44">
        <v>3.71</v>
      </c>
    </row>
    <row r="45" spans="14:20" x14ac:dyDescent="0.25">
      <c r="N45" t="s">
        <v>102</v>
      </c>
      <c r="O45" t="s">
        <v>108</v>
      </c>
      <c r="P45" t="s">
        <v>104</v>
      </c>
      <c r="Q45" t="s">
        <v>105</v>
      </c>
      <c r="R45" s="7">
        <v>12700</v>
      </c>
      <c r="S45" t="s">
        <v>109</v>
      </c>
      <c r="T45" s="7">
        <v>49500</v>
      </c>
    </row>
    <row r="46" spans="17:20" x14ac:dyDescent="0.25">
      <c r="Q46" t="s">
        <v>106</v>
      </c>
      <c r="R46">
        <v>0.52</v>
      </c>
      <c r="S46" t="s">
        <v>109</v>
      </c>
      <c r="T46">
        <v>3.1</v>
      </c>
    </row>
    <row r="47" spans="17:20" x14ac:dyDescent="0.25">
      <c r="Q47" t="s">
        <v>107</v>
      </c>
      <c r="R47">
        <v>7.16</v>
      </c>
      <c r="S47" t="s">
        <v>109</v>
      </c>
      <c r="T47">
        <v>4.68</v>
      </c>
    </row>
    <row r="48" spans="14:20" x14ac:dyDescent="0.25">
      <c r="N48" t="s">
        <v>110</v>
      </c>
      <c r="O48" t="s">
        <v>111</v>
      </c>
      <c r="P48" t="s">
        <v>112</v>
      </c>
      <c r="Q48" t="s">
        <v>105</v>
      </c>
      <c r="R48" s="7">
        <v>9500</v>
      </c>
      <c r="S48" s="7">
        <v>43500</v>
      </c>
      <c r="T48" s="7">
        <v>43500</v>
      </c>
    </row>
    <row r="49" spans="17:20" x14ac:dyDescent="0.25">
      <c r="Q49" t="s">
        <v>106</v>
      </c>
      <c r="R49">
        <v>0.54</v>
      </c>
      <c r="S49">
        <v>3.77</v>
      </c>
      <c r="T49">
        <v>3.77</v>
      </c>
    </row>
    <row r="50" spans="17:20" x14ac:dyDescent="0.25">
      <c r="Q50" t="s">
        <v>107</v>
      </c>
      <c r="R50">
        <v>5.16</v>
      </c>
      <c r="S50">
        <v>3.38</v>
      </c>
      <c r="T50">
        <v>3.38</v>
      </c>
    </row>
    <row r="51" spans="14:20" x14ac:dyDescent="0.25">
      <c r="N51" t="s">
        <v>110</v>
      </c>
      <c r="O51" t="s">
        <v>113</v>
      </c>
      <c r="P51" t="s">
        <v>112</v>
      </c>
      <c r="Q51" t="s">
        <v>105</v>
      </c>
      <c r="R51" s="7">
        <v>42000</v>
      </c>
      <c r="S51" s="7">
        <v>41500</v>
      </c>
      <c r="T51" s="7">
        <v>42000</v>
      </c>
    </row>
    <row r="52" spans="17:20" x14ac:dyDescent="0.25">
      <c r="Q52" t="s">
        <v>106</v>
      </c>
      <c r="R52">
        <v>6.19</v>
      </c>
      <c r="S52">
        <v>6.19</v>
      </c>
      <c r="T52">
        <v>6.19</v>
      </c>
    </row>
    <row r="53" spans="17:20" x14ac:dyDescent="0.25">
      <c r="Q53" t="s">
        <v>107</v>
      </c>
      <c r="R53">
        <v>1.99</v>
      </c>
      <c r="S53">
        <v>1.96</v>
      </c>
      <c r="T53">
        <v>1.99</v>
      </c>
    </row>
    <row r="54" spans="14:20" x14ac:dyDescent="0.25">
      <c r="N54" t="s">
        <v>110</v>
      </c>
      <c r="O54" t="s">
        <v>114</v>
      </c>
      <c r="P54" t="s">
        <v>112</v>
      </c>
      <c r="Q54" t="s">
        <v>105</v>
      </c>
      <c r="R54" s="7">
        <v>35800</v>
      </c>
      <c r="S54" s="7">
        <v>35800</v>
      </c>
      <c r="T54" s="7">
        <v>35800</v>
      </c>
    </row>
    <row r="55" spans="17:20" x14ac:dyDescent="0.25">
      <c r="Q55" t="s">
        <v>106</v>
      </c>
      <c r="R55">
        <v>5.65</v>
      </c>
      <c r="S55">
        <v>5.65</v>
      </c>
      <c r="T55">
        <v>5.65</v>
      </c>
    </row>
    <row r="56" spans="17:20" x14ac:dyDescent="0.25">
      <c r="Q56" t="s">
        <v>107</v>
      </c>
      <c r="R56">
        <v>1.86</v>
      </c>
      <c r="S56">
        <v>1.86</v>
      </c>
      <c r="T56">
        <v>1.86</v>
      </c>
    </row>
    <row r="57" spans="14:20" x14ac:dyDescent="0.25">
      <c r="N57" t="s">
        <v>110</v>
      </c>
      <c r="O57" t="s">
        <v>115</v>
      </c>
      <c r="P57" t="s">
        <v>112</v>
      </c>
      <c r="Q57" t="s">
        <v>105</v>
      </c>
      <c r="R57" s="7">
        <v>25000</v>
      </c>
      <c r="S57" t="s">
        <v>109</v>
      </c>
      <c r="T57" s="7">
        <v>25000</v>
      </c>
    </row>
    <row r="58" spans="17:20" x14ac:dyDescent="0.25">
      <c r="Q58" t="s">
        <v>106</v>
      </c>
      <c r="R58">
        <v>4.78</v>
      </c>
      <c r="S58" t="s">
        <v>109</v>
      </c>
      <c r="T58">
        <v>4.78</v>
      </c>
    </row>
    <row r="59" spans="17:20" x14ac:dyDescent="0.25">
      <c r="Q59" t="s">
        <v>107</v>
      </c>
      <c r="R59">
        <v>1.53</v>
      </c>
      <c r="S59" t="s">
        <v>109</v>
      </c>
      <c r="T59">
        <v>1.53</v>
      </c>
    </row>
    <row r="1048575" ht="13" customHeight="1" x14ac:dyDescent="0.25"/>
    <row r="1048576" spans="1:1" x14ac:dyDescent="0.25">
      <c r="A1048576" s="108"/>
    </row>
  </sheetData>
  <mergeCells count="8">
    <mergeCell ref="K5:L5"/>
    <mergeCell ref="M5:N5"/>
    <mergeCell ref="J7:J9"/>
    <mergeCell ref="J10:J12"/>
    <mergeCell ref="J13:J15"/>
    <mergeCell ref="J16:J18"/>
    <mergeCell ref="J19:J21"/>
    <mergeCell ref="J22:J24"/>
  </mergeCells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</vt:lpstr>
      <vt:lpstr>Home Size Selector</vt:lpstr>
      <vt:lpstr>Heat Pump Selector</vt:lpstr>
      <vt:lpstr>Calc Worksheet</vt:lpstr>
      <vt:lpstr>Calc Table</vt:lpstr>
      <vt:lpstr>Payback Worksheet</vt:lpstr>
      <vt:lpstr>Financing</vt:lpstr>
      <vt:lpstr>Cost sensitivity</vt:lpstr>
      <vt:lpstr>Emissions sensitivity</vt:lpstr>
      <vt:lpstr>Conversion Factors</vt:lpstr>
      <vt:lpstr>User Inputs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DeFraine, Cory</dc:creator>
  <dc:title/>
  <dc:subject/>
  <dc:description/>
  <cp:keywords/>
  <cp:category/>
  <cp:lastModifiedBy>Downey, Brent</cp:lastModifiedBy>
  <cp:contentStatus/>
  <dcterms:created xsi:type="dcterms:W3CDTF">2023-01-09T23:32:43Z</dcterms:created>
  <dcterms:modified xsi:type="dcterms:W3CDTF">2023-11-29T23:41:55Z</dcterms:modified>
</cp:coreProperties>
</file>